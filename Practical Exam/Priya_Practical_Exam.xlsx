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1.xml" ContentType="application/vnd.openxmlformats-officedocument.spreadsheetml.tab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2.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202300"/>
  <mc:AlternateContent xmlns:mc="http://schemas.openxmlformats.org/markup-compatibility/2006">
    <mc:Choice Requires="x15">
      <x15ac:absPath xmlns:x15ac="http://schemas.microsoft.com/office/spreadsheetml/2010/11/ac" url="https://d.docs.live.net/c136c9e14ba35254/Desktop/"/>
    </mc:Choice>
  </mc:AlternateContent>
  <xr:revisionPtr revIDLastSave="1003" documentId="8_{B66A4BBE-987E-4EA2-9516-8406BEFEA32E}" xr6:coauthVersionLast="47" xr6:coauthVersionMax="47" xr10:uidLastSave="{68BD2FEB-28DF-4565-B140-425E9A556B57}"/>
  <bookViews>
    <workbookView xWindow="-108" yWindow="-108" windowWidth="23256" windowHeight="12456" activeTab="1" xr2:uid="{87A4C268-9B22-40BE-B4B0-F329919C456B}"/>
  </bookViews>
  <sheets>
    <sheet name="Raw data" sheetId="1" r:id="rId1"/>
    <sheet name="Dash Board" sheetId="6" r:id="rId2"/>
    <sheet name="Pivot Table" sheetId="4" r:id="rId3"/>
    <sheet name="Charts" sheetId="7" r:id="rId4"/>
    <sheet name="Analysis" sheetId="3" r:id="rId5"/>
  </sheets>
  <definedNames>
    <definedName name="_xlnm._FilterDatabase" localSheetId="4" hidden="1">Analysis!$BA$1:$BA$858</definedName>
    <definedName name="NativeTimeline_Date">#N/A</definedName>
    <definedName name="Slicer_Daily_Trend">#N/A</definedName>
    <definedName name="Slicer_Trading_Signal">#N/A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9"/>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7" i="4" l="1"/>
  <c r="E17" i="4"/>
  <c r="D17" i="4"/>
  <c r="C17" i="4"/>
  <c r="BA3" i="3"/>
  <c r="BA4" i="3"/>
  <c r="BA5" i="3"/>
  <c r="BA6" i="3"/>
  <c r="BA7" i="3"/>
  <c r="BA8" i="3"/>
  <c r="BA9" i="3"/>
  <c r="BA10" i="3"/>
  <c r="BA11" i="3"/>
  <c r="BA12" i="3"/>
  <c r="BA13" i="3"/>
  <c r="BA14" i="3"/>
  <c r="BA15" i="3"/>
  <c r="BA16" i="3"/>
  <c r="BA17" i="3"/>
  <c r="BA18" i="3"/>
  <c r="BA19" i="3"/>
  <c r="BA20" i="3"/>
  <c r="BA21" i="3"/>
  <c r="BA22" i="3"/>
  <c r="BA23" i="3"/>
  <c r="BA24" i="3"/>
  <c r="BA25" i="3"/>
  <c r="BA26" i="3"/>
  <c r="BA27" i="3"/>
  <c r="BA28" i="3"/>
  <c r="BA29" i="3"/>
  <c r="BA30" i="3"/>
  <c r="BA31" i="3"/>
  <c r="BA32" i="3"/>
  <c r="BA33" i="3"/>
  <c r="BA34" i="3"/>
  <c r="BA35" i="3"/>
  <c r="BA36" i="3"/>
  <c r="BA37" i="3"/>
  <c r="BA38" i="3"/>
  <c r="BA39" i="3"/>
  <c r="BA40" i="3"/>
  <c r="BA41" i="3"/>
  <c r="BA42" i="3"/>
  <c r="BA43" i="3"/>
  <c r="BA44" i="3"/>
  <c r="BA45" i="3"/>
  <c r="BA46" i="3"/>
  <c r="BA47" i="3"/>
  <c r="BA48" i="3"/>
  <c r="BA49" i="3"/>
  <c r="BA50" i="3"/>
  <c r="BA51" i="3"/>
  <c r="BA52" i="3"/>
  <c r="BA53" i="3"/>
  <c r="BA54" i="3"/>
  <c r="BA55" i="3"/>
  <c r="BA56" i="3"/>
  <c r="BA57" i="3"/>
  <c r="BA58" i="3"/>
  <c r="BA59" i="3"/>
  <c r="BA60" i="3"/>
  <c r="BA61" i="3"/>
  <c r="BA62" i="3"/>
  <c r="BA63" i="3"/>
  <c r="BA64" i="3"/>
  <c r="BA65" i="3"/>
  <c r="BA66" i="3"/>
  <c r="BA67" i="3"/>
  <c r="BA68" i="3"/>
  <c r="BA69" i="3"/>
  <c r="BA70" i="3"/>
  <c r="BA71" i="3"/>
  <c r="BA72" i="3"/>
  <c r="BA73" i="3"/>
  <c r="BA74" i="3"/>
  <c r="BA75" i="3"/>
  <c r="BA76" i="3"/>
  <c r="BA77" i="3"/>
  <c r="BA78" i="3"/>
  <c r="BA79" i="3"/>
  <c r="BA80" i="3"/>
  <c r="BA81" i="3"/>
  <c r="BA82" i="3"/>
  <c r="BA83" i="3"/>
  <c r="BA84" i="3"/>
  <c r="BA85" i="3"/>
  <c r="BA86" i="3"/>
  <c r="BA87" i="3"/>
  <c r="BA88" i="3"/>
  <c r="BA89" i="3"/>
  <c r="BA90" i="3"/>
  <c r="BA91" i="3"/>
  <c r="BA92" i="3"/>
  <c r="BA93" i="3"/>
  <c r="BA94" i="3"/>
  <c r="BA95" i="3"/>
  <c r="BA96" i="3"/>
  <c r="BA97" i="3"/>
  <c r="BA98" i="3"/>
  <c r="BA99" i="3"/>
  <c r="BA100" i="3"/>
  <c r="BA101" i="3"/>
  <c r="BA102" i="3"/>
  <c r="BA103" i="3"/>
  <c r="BA104" i="3"/>
  <c r="BA105" i="3"/>
  <c r="BA106" i="3"/>
  <c r="BA107" i="3"/>
  <c r="BA108" i="3"/>
  <c r="BA109" i="3"/>
  <c r="BA110" i="3"/>
  <c r="BA111" i="3"/>
  <c r="BA112" i="3"/>
  <c r="BA113" i="3"/>
  <c r="BA114" i="3"/>
  <c r="BA115" i="3"/>
  <c r="BA116" i="3"/>
  <c r="BA117" i="3"/>
  <c r="BA118" i="3"/>
  <c r="BA119" i="3"/>
  <c r="BA120" i="3"/>
  <c r="BA121" i="3"/>
  <c r="BA122" i="3"/>
  <c r="BA123" i="3"/>
  <c r="BA124" i="3"/>
  <c r="BA125" i="3"/>
  <c r="BA126" i="3"/>
  <c r="BA127" i="3"/>
  <c r="BA128" i="3"/>
  <c r="BA129" i="3"/>
  <c r="BA130" i="3"/>
  <c r="BA131" i="3"/>
  <c r="BA132" i="3"/>
  <c r="BA133" i="3"/>
  <c r="BA134" i="3"/>
  <c r="BA135" i="3"/>
  <c r="BA136" i="3"/>
  <c r="BA137" i="3"/>
  <c r="BA138" i="3"/>
  <c r="BA139" i="3"/>
  <c r="BA140" i="3"/>
  <c r="BA141" i="3"/>
  <c r="BA142" i="3"/>
  <c r="BA143" i="3"/>
  <c r="BA144" i="3"/>
  <c r="BA145" i="3"/>
  <c r="BA146" i="3"/>
  <c r="BA147" i="3"/>
  <c r="BA148" i="3"/>
  <c r="BA149" i="3"/>
  <c r="BA150" i="3"/>
  <c r="BA151" i="3"/>
  <c r="BA152" i="3"/>
  <c r="BA153" i="3"/>
  <c r="BA154" i="3"/>
  <c r="BA155" i="3"/>
  <c r="BA156" i="3"/>
  <c r="BA157" i="3"/>
  <c r="BA158" i="3"/>
  <c r="BA159" i="3"/>
  <c r="BA160" i="3"/>
  <c r="BA161" i="3"/>
  <c r="BA162" i="3"/>
  <c r="BA163" i="3"/>
  <c r="BA164" i="3"/>
  <c r="BA165" i="3"/>
  <c r="BA166" i="3"/>
  <c r="BA167" i="3"/>
  <c r="BA168" i="3"/>
  <c r="BA169" i="3"/>
  <c r="BA170" i="3"/>
  <c r="BA171" i="3"/>
  <c r="BA172" i="3"/>
  <c r="BA173" i="3"/>
  <c r="BA174" i="3"/>
  <c r="BA175" i="3"/>
  <c r="BA176" i="3"/>
  <c r="BA177" i="3"/>
  <c r="BA178" i="3"/>
  <c r="BA179" i="3"/>
  <c r="BA180" i="3"/>
  <c r="BA181" i="3"/>
  <c r="BA182" i="3"/>
  <c r="BA183" i="3"/>
  <c r="BA184" i="3"/>
  <c r="BA185" i="3"/>
  <c r="BA186" i="3"/>
  <c r="BA187" i="3"/>
  <c r="BA188" i="3"/>
  <c r="BA189" i="3"/>
  <c r="BA190" i="3"/>
  <c r="BA191" i="3"/>
  <c r="BA192" i="3"/>
  <c r="BA193" i="3"/>
  <c r="BA194" i="3"/>
  <c r="BA195" i="3"/>
  <c r="BA196" i="3"/>
  <c r="BA197" i="3"/>
  <c r="BA198" i="3"/>
  <c r="BA199" i="3"/>
  <c r="BA200" i="3"/>
  <c r="BA201" i="3"/>
  <c r="BA202" i="3"/>
  <c r="BA203" i="3"/>
  <c r="BA204" i="3"/>
  <c r="BA205" i="3"/>
  <c r="BA206" i="3"/>
  <c r="BA207" i="3"/>
  <c r="BA208" i="3"/>
  <c r="BA209" i="3"/>
  <c r="BA210" i="3"/>
  <c r="BA211" i="3"/>
  <c r="BA212" i="3"/>
  <c r="BA213" i="3"/>
  <c r="BA214" i="3"/>
  <c r="BA215" i="3"/>
  <c r="BA216" i="3"/>
  <c r="BA217" i="3"/>
  <c r="BA218" i="3"/>
  <c r="BA219" i="3"/>
  <c r="BA220" i="3"/>
  <c r="BA221" i="3"/>
  <c r="BA222" i="3"/>
  <c r="BA223" i="3"/>
  <c r="BA224" i="3"/>
  <c r="BA225" i="3"/>
  <c r="BA226" i="3"/>
  <c r="BA227" i="3"/>
  <c r="BA228" i="3"/>
  <c r="BA229" i="3"/>
  <c r="BA230" i="3"/>
  <c r="BA231" i="3"/>
  <c r="BA232" i="3"/>
  <c r="BA233" i="3"/>
  <c r="BA234" i="3"/>
  <c r="BA235" i="3"/>
  <c r="BA236" i="3"/>
  <c r="BA237" i="3"/>
  <c r="BA238" i="3"/>
  <c r="BA239" i="3"/>
  <c r="BA240" i="3"/>
  <c r="BA241" i="3"/>
  <c r="BA242" i="3"/>
  <c r="BA243" i="3"/>
  <c r="BA244" i="3"/>
  <c r="BA245" i="3"/>
  <c r="BA246" i="3"/>
  <c r="BA247" i="3"/>
  <c r="BA248" i="3"/>
  <c r="BA249" i="3"/>
  <c r="BA250" i="3"/>
  <c r="BA251" i="3"/>
  <c r="BA252" i="3"/>
  <c r="BA253" i="3"/>
  <c r="BA254" i="3"/>
  <c r="BA255" i="3"/>
  <c r="BA256" i="3"/>
  <c r="BA257" i="3"/>
  <c r="BA258" i="3"/>
  <c r="BA259" i="3"/>
  <c r="BA260" i="3"/>
  <c r="BA261" i="3"/>
  <c r="BA262" i="3"/>
  <c r="BA263" i="3"/>
  <c r="BA264" i="3"/>
  <c r="BA265" i="3"/>
  <c r="BA266" i="3"/>
  <c r="BA267" i="3"/>
  <c r="BA268" i="3"/>
  <c r="BA269" i="3"/>
  <c r="BA270" i="3"/>
  <c r="BA271" i="3"/>
  <c r="BA272" i="3"/>
  <c r="BA273" i="3"/>
  <c r="BA274" i="3"/>
  <c r="BA275" i="3"/>
  <c r="BA276" i="3"/>
  <c r="BA277" i="3"/>
  <c r="BA278" i="3"/>
  <c r="BA279" i="3"/>
  <c r="BA280" i="3"/>
  <c r="BA281" i="3"/>
  <c r="BA282" i="3"/>
  <c r="BA283" i="3"/>
  <c r="BA284" i="3"/>
  <c r="BA285" i="3"/>
  <c r="BA286" i="3"/>
  <c r="BA287" i="3"/>
  <c r="BA288" i="3"/>
  <c r="BA289" i="3"/>
  <c r="BA290" i="3"/>
  <c r="BA291" i="3"/>
  <c r="BA292" i="3"/>
  <c r="BA293" i="3"/>
  <c r="BA294" i="3"/>
  <c r="BA295" i="3"/>
  <c r="BA296" i="3"/>
  <c r="BA297" i="3"/>
  <c r="BA298" i="3"/>
  <c r="BA299" i="3"/>
  <c r="BA300" i="3"/>
  <c r="BA301" i="3"/>
  <c r="BA302" i="3"/>
  <c r="BA303" i="3"/>
  <c r="BA304" i="3"/>
  <c r="BA305" i="3"/>
  <c r="BA306" i="3"/>
  <c r="BA307" i="3"/>
  <c r="BA308" i="3"/>
  <c r="BA309" i="3"/>
  <c r="BA310" i="3"/>
  <c r="BA311" i="3"/>
  <c r="BA312" i="3"/>
  <c r="BA313" i="3"/>
  <c r="BA314" i="3"/>
  <c r="BA315" i="3"/>
  <c r="BA316" i="3"/>
  <c r="BA317" i="3"/>
  <c r="BA318" i="3"/>
  <c r="BA319" i="3"/>
  <c r="BA320" i="3"/>
  <c r="BA321" i="3"/>
  <c r="BA322" i="3"/>
  <c r="BA323" i="3"/>
  <c r="BA324" i="3"/>
  <c r="BA325" i="3"/>
  <c r="BA326" i="3"/>
  <c r="BA327" i="3"/>
  <c r="BA328" i="3"/>
  <c r="BA329" i="3"/>
  <c r="BA330" i="3"/>
  <c r="BA331" i="3"/>
  <c r="BA332" i="3"/>
  <c r="BA333" i="3"/>
  <c r="BA334" i="3"/>
  <c r="BA335" i="3"/>
  <c r="BA336" i="3"/>
  <c r="BA337" i="3"/>
  <c r="BA338" i="3"/>
  <c r="BA339" i="3"/>
  <c r="BA340" i="3"/>
  <c r="BA341" i="3"/>
  <c r="BA342" i="3"/>
  <c r="BA343" i="3"/>
  <c r="BA344" i="3"/>
  <c r="BA345" i="3"/>
  <c r="BA346" i="3"/>
  <c r="BA347" i="3"/>
  <c r="BA348" i="3"/>
  <c r="BA349" i="3"/>
  <c r="BA350" i="3"/>
  <c r="BA351" i="3"/>
  <c r="BA352" i="3"/>
  <c r="BA353" i="3"/>
  <c r="BA354" i="3"/>
  <c r="BA355" i="3"/>
  <c r="BA356" i="3"/>
  <c r="BA357" i="3"/>
  <c r="BA358" i="3"/>
  <c r="BA359" i="3"/>
  <c r="BA360" i="3"/>
  <c r="BA361" i="3"/>
  <c r="BA362" i="3"/>
  <c r="BA363" i="3"/>
  <c r="BA364" i="3"/>
  <c r="BA365" i="3"/>
  <c r="BA366" i="3"/>
  <c r="BA367" i="3"/>
  <c r="BA368" i="3"/>
  <c r="BA369" i="3"/>
  <c r="BA370" i="3"/>
  <c r="BA371" i="3"/>
  <c r="BA372" i="3"/>
  <c r="BA373" i="3"/>
  <c r="BA374" i="3"/>
  <c r="BA375" i="3"/>
  <c r="BA376" i="3"/>
  <c r="BA377" i="3"/>
  <c r="BA378" i="3"/>
  <c r="BA379" i="3"/>
  <c r="BA380" i="3"/>
  <c r="BA381" i="3"/>
  <c r="BA382" i="3"/>
  <c r="BA383" i="3"/>
  <c r="BA384" i="3"/>
  <c r="BA385" i="3"/>
  <c r="BA386" i="3"/>
  <c r="BA387" i="3"/>
  <c r="BA388" i="3"/>
  <c r="BA389" i="3"/>
  <c r="BA390" i="3"/>
  <c r="BA391" i="3"/>
  <c r="BA392" i="3"/>
  <c r="BA393" i="3"/>
  <c r="BA394" i="3"/>
  <c r="BA395" i="3"/>
  <c r="BA396" i="3"/>
  <c r="BA397" i="3"/>
  <c r="BA398" i="3"/>
  <c r="BA399" i="3"/>
  <c r="BA400" i="3"/>
  <c r="BA401" i="3"/>
  <c r="BA402" i="3"/>
  <c r="BA403" i="3"/>
  <c r="BA404" i="3"/>
  <c r="BA405" i="3"/>
  <c r="BA406" i="3"/>
  <c r="BA407" i="3"/>
  <c r="BA408" i="3"/>
  <c r="BA409" i="3"/>
  <c r="BA410" i="3"/>
  <c r="BA411" i="3"/>
  <c r="BA412" i="3"/>
  <c r="BA413" i="3"/>
  <c r="BA414" i="3"/>
  <c r="BA415" i="3"/>
  <c r="BA416" i="3"/>
  <c r="BA417" i="3"/>
  <c r="BA418" i="3"/>
  <c r="BA419" i="3"/>
  <c r="BA420" i="3"/>
  <c r="BA421" i="3"/>
  <c r="BA422" i="3"/>
  <c r="BA423" i="3"/>
  <c r="BA424" i="3"/>
  <c r="BA425" i="3"/>
  <c r="BA426" i="3"/>
  <c r="BA427" i="3"/>
  <c r="BA428" i="3"/>
  <c r="BA429" i="3"/>
  <c r="BA430" i="3"/>
  <c r="BA431" i="3"/>
  <c r="BA432" i="3"/>
  <c r="BA433" i="3"/>
  <c r="BA434" i="3"/>
  <c r="BA435" i="3"/>
  <c r="BA436" i="3"/>
  <c r="BA437" i="3"/>
  <c r="BA438" i="3"/>
  <c r="BA439" i="3"/>
  <c r="BA440" i="3"/>
  <c r="BA441" i="3"/>
  <c r="BA442" i="3"/>
  <c r="BA443" i="3"/>
  <c r="BA444" i="3"/>
  <c r="BA445" i="3"/>
  <c r="BA446" i="3"/>
  <c r="BA447" i="3"/>
  <c r="BA448" i="3"/>
  <c r="BA449" i="3"/>
  <c r="BA450" i="3"/>
  <c r="BA451" i="3"/>
  <c r="BA452" i="3"/>
  <c r="BA453" i="3"/>
  <c r="BA454" i="3"/>
  <c r="BA455" i="3"/>
  <c r="BA456" i="3"/>
  <c r="BA457" i="3"/>
  <c r="BA458" i="3"/>
  <c r="BA459" i="3"/>
  <c r="BA460" i="3"/>
  <c r="BA461" i="3"/>
  <c r="BA462" i="3"/>
  <c r="BA463" i="3"/>
  <c r="BA464" i="3"/>
  <c r="BA465" i="3"/>
  <c r="BA466" i="3"/>
  <c r="BA467" i="3"/>
  <c r="BA468" i="3"/>
  <c r="BA469" i="3"/>
  <c r="BA470" i="3"/>
  <c r="BA471" i="3"/>
  <c r="BA472" i="3"/>
  <c r="BA473" i="3"/>
  <c r="BA474" i="3"/>
  <c r="BA475" i="3"/>
  <c r="BA476" i="3"/>
  <c r="BA477" i="3"/>
  <c r="BA478" i="3"/>
  <c r="BA479" i="3"/>
  <c r="BA480" i="3"/>
  <c r="BA481" i="3"/>
  <c r="BA482" i="3"/>
  <c r="BA483" i="3"/>
  <c r="BA484" i="3"/>
  <c r="BA485" i="3"/>
  <c r="BA486" i="3"/>
  <c r="BA487" i="3"/>
  <c r="BA488" i="3"/>
  <c r="BA489" i="3"/>
  <c r="BA490" i="3"/>
  <c r="BA491" i="3"/>
  <c r="BA492" i="3"/>
  <c r="BA493" i="3"/>
  <c r="BA494" i="3"/>
  <c r="BA495" i="3"/>
  <c r="BA496" i="3"/>
  <c r="BA497" i="3"/>
  <c r="BA498" i="3"/>
  <c r="BA499" i="3"/>
  <c r="BA500" i="3"/>
  <c r="BA501" i="3"/>
  <c r="BA502" i="3"/>
  <c r="BA503" i="3"/>
  <c r="BA504" i="3"/>
  <c r="BA505" i="3"/>
  <c r="BA506" i="3"/>
  <c r="BA507" i="3"/>
  <c r="BA508" i="3"/>
  <c r="BA509" i="3"/>
  <c r="BA510" i="3"/>
  <c r="BA511" i="3"/>
  <c r="BA512" i="3"/>
  <c r="BA513" i="3"/>
  <c r="BA514" i="3"/>
  <c r="BA515" i="3"/>
  <c r="BA516" i="3"/>
  <c r="BA517" i="3"/>
  <c r="BA518" i="3"/>
  <c r="BA519" i="3"/>
  <c r="BA520" i="3"/>
  <c r="BA521" i="3"/>
  <c r="BA522" i="3"/>
  <c r="BA523" i="3"/>
  <c r="BA524" i="3"/>
  <c r="BA525" i="3"/>
  <c r="BA526" i="3"/>
  <c r="BA527" i="3"/>
  <c r="BA528" i="3"/>
  <c r="BA529" i="3"/>
  <c r="BA530" i="3"/>
  <c r="BA531" i="3"/>
  <c r="BA532" i="3"/>
  <c r="BA533" i="3"/>
  <c r="BA534" i="3"/>
  <c r="BA535" i="3"/>
  <c r="BA536" i="3"/>
  <c r="BA537" i="3"/>
  <c r="BA538" i="3"/>
  <c r="BA539" i="3"/>
  <c r="BA540" i="3"/>
  <c r="BA541" i="3"/>
  <c r="BA542" i="3"/>
  <c r="BA543" i="3"/>
  <c r="BA544" i="3"/>
  <c r="BA545" i="3"/>
  <c r="BA546" i="3"/>
  <c r="BA547" i="3"/>
  <c r="BA548" i="3"/>
  <c r="BA549" i="3"/>
  <c r="BA550" i="3"/>
  <c r="BA551" i="3"/>
  <c r="BA552" i="3"/>
  <c r="BA553" i="3"/>
  <c r="BA554" i="3"/>
  <c r="BA555" i="3"/>
  <c r="BA556" i="3"/>
  <c r="BA557" i="3"/>
  <c r="BA558" i="3"/>
  <c r="BA559" i="3"/>
  <c r="BA560" i="3"/>
  <c r="BA561" i="3"/>
  <c r="BA562" i="3"/>
  <c r="BA563" i="3"/>
  <c r="BA564" i="3"/>
  <c r="BA565" i="3"/>
  <c r="BA566" i="3"/>
  <c r="BA567" i="3"/>
  <c r="BA568" i="3"/>
  <c r="BA569" i="3"/>
  <c r="BA570" i="3"/>
  <c r="BA571" i="3"/>
  <c r="BA572" i="3"/>
  <c r="BA573" i="3"/>
  <c r="BA574" i="3"/>
  <c r="BA575" i="3"/>
  <c r="BA576" i="3"/>
  <c r="BA577" i="3"/>
  <c r="BA578" i="3"/>
  <c r="BA579" i="3"/>
  <c r="BA580" i="3"/>
  <c r="BA581" i="3"/>
  <c r="BA582" i="3"/>
  <c r="BA583" i="3"/>
  <c r="BA584" i="3"/>
  <c r="BA585" i="3"/>
  <c r="BA586" i="3"/>
  <c r="BA587" i="3"/>
  <c r="BA588" i="3"/>
  <c r="BA589" i="3"/>
  <c r="BA590" i="3"/>
  <c r="BA591" i="3"/>
  <c r="BA592" i="3"/>
  <c r="BA593" i="3"/>
  <c r="BA594" i="3"/>
  <c r="BA595" i="3"/>
  <c r="BA596" i="3"/>
  <c r="BA597" i="3"/>
  <c r="BA598" i="3"/>
  <c r="BA599" i="3"/>
  <c r="BA600" i="3"/>
  <c r="BA601" i="3"/>
  <c r="BA602" i="3"/>
  <c r="BA603" i="3"/>
  <c r="BA604" i="3"/>
  <c r="BA605" i="3"/>
  <c r="BA606" i="3"/>
  <c r="BA607" i="3"/>
  <c r="BA608" i="3"/>
  <c r="BA609" i="3"/>
  <c r="BA610" i="3"/>
  <c r="BA611" i="3"/>
  <c r="BA612" i="3"/>
  <c r="BA613" i="3"/>
  <c r="BA614" i="3"/>
  <c r="BA615" i="3"/>
  <c r="BA616" i="3"/>
  <c r="BA617" i="3"/>
  <c r="BA618" i="3"/>
  <c r="BA619" i="3"/>
  <c r="BA620" i="3"/>
  <c r="BA621" i="3"/>
  <c r="BA622" i="3"/>
  <c r="BA623" i="3"/>
  <c r="BA624" i="3"/>
  <c r="BA625" i="3"/>
  <c r="BA626" i="3"/>
  <c r="BA627" i="3"/>
  <c r="BA628" i="3"/>
  <c r="BA629" i="3"/>
  <c r="BA630" i="3"/>
  <c r="BA631" i="3"/>
  <c r="BA632" i="3"/>
  <c r="BA633" i="3"/>
  <c r="BA634" i="3"/>
  <c r="BA635" i="3"/>
  <c r="BA636" i="3"/>
  <c r="BA637" i="3"/>
  <c r="BA638" i="3"/>
  <c r="BA639" i="3"/>
  <c r="BA640" i="3"/>
  <c r="BA641" i="3"/>
  <c r="BA642" i="3"/>
  <c r="BA643" i="3"/>
  <c r="BA644" i="3"/>
  <c r="BA645" i="3"/>
  <c r="BA646" i="3"/>
  <c r="BA647" i="3"/>
  <c r="BA648" i="3"/>
  <c r="BA649" i="3"/>
  <c r="BA650" i="3"/>
  <c r="BA651" i="3"/>
  <c r="BA652" i="3"/>
  <c r="BA653" i="3"/>
  <c r="BA654" i="3"/>
  <c r="BA655" i="3"/>
  <c r="BA656" i="3"/>
  <c r="BA657" i="3"/>
  <c r="BA658" i="3"/>
  <c r="BA659" i="3"/>
  <c r="BA660" i="3"/>
  <c r="BA661" i="3"/>
  <c r="BA662" i="3"/>
  <c r="BA663" i="3"/>
  <c r="BA664" i="3"/>
  <c r="BA665" i="3"/>
  <c r="BA666" i="3"/>
  <c r="BA667" i="3"/>
  <c r="BA668" i="3"/>
  <c r="BA669" i="3"/>
  <c r="BA670" i="3"/>
  <c r="BA671" i="3"/>
  <c r="BA672" i="3"/>
  <c r="BA673" i="3"/>
  <c r="BA674" i="3"/>
  <c r="BA675" i="3"/>
  <c r="BA676" i="3"/>
  <c r="BA677" i="3"/>
  <c r="BA678" i="3"/>
  <c r="BA679" i="3"/>
  <c r="BA680" i="3"/>
  <c r="BA681" i="3"/>
  <c r="BA682" i="3"/>
  <c r="BA683" i="3"/>
  <c r="BA684" i="3"/>
  <c r="BA685" i="3"/>
  <c r="BA686" i="3"/>
  <c r="BA687" i="3"/>
  <c r="BA688" i="3"/>
  <c r="BA689" i="3"/>
  <c r="BA690" i="3"/>
  <c r="BA691" i="3"/>
  <c r="BA692" i="3"/>
  <c r="BA693" i="3"/>
  <c r="BA694" i="3"/>
  <c r="BA695" i="3"/>
  <c r="BA696" i="3"/>
  <c r="BA697" i="3"/>
  <c r="BA698" i="3"/>
  <c r="BA699" i="3"/>
  <c r="BA700" i="3"/>
  <c r="BA701" i="3"/>
  <c r="BA702" i="3"/>
  <c r="BA703" i="3"/>
  <c r="BA704" i="3"/>
  <c r="BA705" i="3"/>
  <c r="BA706" i="3"/>
  <c r="BA707" i="3"/>
  <c r="BA708" i="3"/>
  <c r="BA709" i="3"/>
  <c r="BA710" i="3"/>
  <c r="BA711" i="3"/>
  <c r="BA712" i="3"/>
  <c r="BA713" i="3"/>
  <c r="BA714" i="3"/>
  <c r="BA715" i="3"/>
  <c r="BA716" i="3"/>
  <c r="BA717" i="3"/>
  <c r="BA718" i="3"/>
  <c r="BA719" i="3"/>
  <c r="BA720" i="3"/>
  <c r="BA721" i="3"/>
  <c r="BA722" i="3"/>
  <c r="BA723" i="3"/>
  <c r="BA724" i="3"/>
  <c r="BA725" i="3"/>
  <c r="BA726" i="3"/>
  <c r="BA727" i="3"/>
  <c r="BA728" i="3"/>
  <c r="BA729" i="3"/>
  <c r="BA730" i="3"/>
  <c r="BA731" i="3"/>
  <c r="BA732" i="3"/>
  <c r="BA733" i="3"/>
  <c r="BA734" i="3"/>
  <c r="BA735" i="3"/>
  <c r="BA736" i="3"/>
  <c r="BA737" i="3"/>
  <c r="BA738" i="3"/>
  <c r="BA739" i="3"/>
  <c r="BA740" i="3"/>
  <c r="BA741" i="3"/>
  <c r="BA742" i="3"/>
  <c r="BA743" i="3"/>
  <c r="BA744" i="3"/>
  <c r="BA745" i="3"/>
  <c r="BA746" i="3"/>
  <c r="BA747" i="3"/>
  <c r="BA748" i="3"/>
  <c r="BA749" i="3"/>
  <c r="BA750" i="3"/>
  <c r="BA751" i="3"/>
  <c r="BA752" i="3"/>
  <c r="BA753" i="3"/>
  <c r="BA754" i="3"/>
  <c r="BA755" i="3"/>
  <c r="BA756" i="3"/>
  <c r="BA757" i="3"/>
  <c r="BA758" i="3"/>
  <c r="BA759" i="3"/>
  <c r="BA760" i="3"/>
  <c r="BA761" i="3"/>
  <c r="BA762" i="3"/>
  <c r="BA763" i="3"/>
  <c r="BA764" i="3"/>
  <c r="BA765" i="3"/>
  <c r="BA766" i="3"/>
  <c r="BA767" i="3"/>
  <c r="BA768" i="3"/>
  <c r="BA769" i="3"/>
  <c r="BA770" i="3"/>
  <c r="BA771" i="3"/>
  <c r="BA772" i="3"/>
  <c r="BA773" i="3"/>
  <c r="BA774" i="3"/>
  <c r="BA775" i="3"/>
  <c r="BA776" i="3"/>
  <c r="BA777" i="3"/>
  <c r="BA778" i="3"/>
  <c r="BA779" i="3"/>
  <c r="BA780" i="3"/>
  <c r="BA781" i="3"/>
  <c r="BA782" i="3"/>
  <c r="BA783" i="3"/>
  <c r="BA784" i="3"/>
  <c r="BA785" i="3"/>
  <c r="BA786" i="3"/>
  <c r="BA787" i="3"/>
  <c r="BA788" i="3"/>
  <c r="BA789" i="3"/>
  <c r="BA790" i="3"/>
  <c r="BA791" i="3"/>
  <c r="BA792" i="3"/>
  <c r="BA793" i="3"/>
  <c r="BA794" i="3"/>
  <c r="BA795" i="3"/>
  <c r="BA796" i="3"/>
  <c r="BA797" i="3"/>
  <c r="BA798" i="3"/>
  <c r="BA799" i="3"/>
  <c r="BA800" i="3"/>
  <c r="BA801" i="3"/>
  <c r="BA802" i="3"/>
  <c r="BA803" i="3"/>
  <c r="BA804" i="3"/>
  <c r="BA805" i="3"/>
  <c r="BA806" i="3"/>
  <c r="BA807" i="3"/>
  <c r="BA808" i="3"/>
  <c r="BA809" i="3"/>
  <c r="BA810" i="3"/>
  <c r="BA811" i="3"/>
  <c r="BA812" i="3"/>
  <c r="BA813" i="3"/>
  <c r="BA814" i="3"/>
  <c r="BA815" i="3"/>
  <c r="BA816" i="3"/>
  <c r="BA817" i="3"/>
  <c r="BA818" i="3"/>
  <c r="BA819" i="3"/>
  <c r="BA820" i="3"/>
  <c r="BA821" i="3"/>
  <c r="BA822" i="3"/>
  <c r="BA823" i="3"/>
  <c r="BA824" i="3"/>
  <c r="BA825" i="3"/>
  <c r="BA826" i="3"/>
  <c r="BA827" i="3"/>
  <c r="BA828" i="3"/>
  <c r="BA829" i="3"/>
  <c r="BA830" i="3"/>
  <c r="BA831" i="3"/>
  <c r="BA832" i="3"/>
  <c r="BA833" i="3"/>
  <c r="BA834" i="3"/>
  <c r="BA835" i="3"/>
  <c r="BA836" i="3"/>
  <c r="BA837" i="3"/>
  <c r="BA838" i="3"/>
  <c r="BA839" i="3"/>
  <c r="BA840" i="3"/>
  <c r="BA841" i="3"/>
  <c r="BA842" i="3"/>
  <c r="BA843" i="3"/>
  <c r="BA844" i="3"/>
  <c r="BA845" i="3"/>
  <c r="BA846" i="3"/>
  <c r="BA847" i="3"/>
  <c r="BA848" i="3"/>
  <c r="BA849" i="3"/>
  <c r="BA850" i="3"/>
  <c r="BA851" i="3"/>
  <c r="BA852" i="3"/>
  <c r="BA853" i="3"/>
  <c r="BA854" i="3"/>
  <c r="BA855" i="3"/>
  <c r="BA856" i="3"/>
  <c r="BA857" i="3"/>
  <c r="BA858" i="3"/>
  <c r="BA2" i="3"/>
  <c r="AE3" i="3"/>
  <c r="AE4" i="3"/>
  <c r="AE5" i="3"/>
  <c r="AE6" i="3"/>
  <c r="AE7" i="3"/>
  <c r="AE8" i="3"/>
  <c r="AE9" i="3"/>
  <c r="AE10" i="3"/>
  <c r="AE11" i="3"/>
  <c r="AE12" i="3"/>
  <c r="AE13" i="3"/>
  <c r="AE14" i="3"/>
  <c r="AE15" i="3"/>
  <c r="AE16" i="3"/>
  <c r="AE17" i="3"/>
  <c r="AE18" i="3"/>
  <c r="AE19" i="3"/>
  <c r="AE20" i="3"/>
  <c r="AE21" i="3"/>
  <c r="AE22" i="3"/>
  <c r="AE23" i="3"/>
  <c r="AE24" i="3"/>
  <c r="AE25" i="3"/>
  <c r="AE26" i="3"/>
  <c r="AE27" i="3"/>
  <c r="AE28" i="3"/>
  <c r="AE29" i="3"/>
  <c r="AE30" i="3"/>
  <c r="AE31" i="3"/>
  <c r="AE32" i="3"/>
  <c r="AE33" i="3"/>
  <c r="AE34" i="3"/>
  <c r="AE35" i="3"/>
  <c r="AE36" i="3"/>
  <c r="AE37" i="3"/>
  <c r="AE38" i="3"/>
  <c r="AE39" i="3"/>
  <c r="AE40" i="3"/>
  <c r="AE41" i="3"/>
  <c r="AE42" i="3"/>
  <c r="AE43" i="3"/>
  <c r="AE44" i="3"/>
  <c r="AE45" i="3"/>
  <c r="AE46" i="3"/>
  <c r="AE47" i="3"/>
  <c r="AE48" i="3"/>
  <c r="AE49" i="3"/>
  <c r="AE50" i="3"/>
  <c r="AE51" i="3"/>
  <c r="AE52" i="3"/>
  <c r="AE53" i="3"/>
  <c r="AE54" i="3"/>
  <c r="AE55" i="3"/>
  <c r="AE56" i="3"/>
  <c r="AE57" i="3"/>
  <c r="AE58" i="3"/>
  <c r="AE59" i="3"/>
  <c r="AE60" i="3"/>
  <c r="AE61" i="3"/>
  <c r="AE62" i="3"/>
  <c r="AE63" i="3"/>
  <c r="AE64" i="3"/>
  <c r="AE65" i="3"/>
  <c r="AE66" i="3"/>
  <c r="AE67" i="3"/>
  <c r="AE68" i="3"/>
  <c r="AE69" i="3"/>
  <c r="AE70" i="3"/>
  <c r="AE71" i="3"/>
  <c r="AE72" i="3"/>
  <c r="AE73" i="3"/>
  <c r="AE74" i="3"/>
  <c r="AE75" i="3"/>
  <c r="AE76" i="3"/>
  <c r="AE77" i="3"/>
  <c r="AE78" i="3"/>
  <c r="AE79" i="3"/>
  <c r="AE80" i="3"/>
  <c r="AE81" i="3"/>
  <c r="AE82" i="3"/>
  <c r="AE83" i="3"/>
  <c r="AE84" i="3"/>
  <c r="AE85" i="3"/>
  <c r="AE86" i="3"/>
  <c r="AE87" i="3"/>
  <c r="AE88" i="3"/>
  <c r="AE89" i="3"/>
  <c r="AE90" i="3"/>
  <c r="AE91" i="3"/>
  <c r="AE92" i="3"/>
  <c r="AE93" i="3"/>
  <c r="AE94" i="3"/>
  <c r="AE95" i="3"/>
  <c r="AE96" i="3"/>
  <c r="AE97" i="3"/>
  <c r="AE98" i="3"/>
  <c r="AE99" i="3"/>
  <c r="AE100" i="3"/>
  <c r="AE101" i="3"/>
  <c r="AE102" i="3"/>
  <c r="AE103" i="3"/>
  <c r="AE104" i="3"/>
  <c r="AE105" i="3"/>
  <c r="AE106" i="3"/>
  <c r="AE107" i="3"/>
  <c r="AE108" i="3"/>
  <c r="AE109" i="3"/>
  <c r="AE110" i="3"/>
  <c r="AE111" i="3"/>
  <c r="AE112" i="3"/>
  <c r="AE113" i="3"/>
  <c r="AE114" i="3"/>
  <c r="AE115" i="3"/>
  <c r="AE116" i="3"/>
  <c r="AE117" i="3"/>
  <c r="AE118" i="3"/>
  <c r="AE119" i="3"/>
  <c r="AE120" i="3"/>
  <c r="AE121" i="3"/>
  <c r="AE122" i="3"/>
  <c r="AE123" i="3"/>
  <c r="AE124" i="3"/>
  <c r="AE125" i="3"/>
  <c r="AE126" i="3"/>
  <c r="AE127" i="3"/>
  <c r="AE128" i="3"/>
  <c r="AE129" i="3"/>
  <c r="AE130" i="3"/>
  <c r="AE131" i="3"/>
  <c r="AE132" i="3"/>
  <c r="AE133" i="3"/>
  <c r="AE134" i="3"/>
  <c r="AE135" i="3"/>
  <c r="AE136" i="3"/>
  <c r="AE137" i="3"/>
  <c r="AE138" i="3"/>
  <c r="AE139" i="3"/>
  <c r="AE140" i="3"/>
  <c r="AE141" i="3"/>
  <c r="AE142" i="3"/>
  <c r="AE143" i="3"/>
  <c r="AE144" i="3"/>
  <c r="AE145" i="3"/>
  <c r="AE146" i="3"/>
  <c r="AE147" i="3"/>
  <c r="AE148" i="3"/>
  <c r="AE149" i="3"/>
  <c r="AE150" i="3"/>
  <c r="AE151" i="3"/>
  <c r="AE152" i="3"/>
  <c r="AE153" i="3"/>
  <c r="AE154" i="3"/>
  <c r="AE155" i="3"/>
  <c r="AE156" i="3"/>
  <c r="AE157" i="3"/>
  <c r="AE158" i="3"/>
  <c r="AE159" i="3"/>
  <c r="AE160" i="3"/>
  <c r="AE161" i="3"/>
  <c r="AE162" i="3"/>
  <c r="AE163" i="3"/>
  <c r="AE164" i="3"/>
  <c r="AE165" i="3"/>
  <c r="AE166" i="3"/>
  <c r="AE167" i="3"/>
  <c r="AE168" i="3"/>
  <c r="AE169" i="3"/>
  <c r="AE170" i="3"/>
  <c r="AE171" i="3"/>
  <c r="AE172" i="3"/>
  <c r="AE173" i="3"/>
  <c r="AE174" i="3"/>
  <c r="AE175" i="3"/>
  <c r="AE176" i="3"/>
  <c r="AE177" i="3"/>
  <c r="AE178" i="3"/>
  <c r="AE179" i="3"/>
  <c r="AE180" i="3"/>
  <c r="AE181" i="3"/>
  <c r="AE182" i="3"/>
  <c r="AE183" i="3"/>
  <c r="AE184" i="3"/>
  <c r="AE185" i="3"/>
  <c r="AE186" i="3"/>
  <c r="AE187" i="3"/>
  <c r="AE188" i="3"/>
  <c r="AE189" i="3"/>
  <c r="AE190" i="3"/>
  <c r="AE191" i="3"/>
  <c r="AE192" i="3"/>
  <c r="AE193" i="3"/>
  <c r="AE194" i="3"/>
  <c r="AE195" i="3"/>
  <c r="AE196" i="3"/>
  <c r="AE197" i="3"/>
  <c r="AE198" i="3"/>
  <c r="AE199" i="3"/>
  <c r="AE200" i="3"/>
  <c r="AE201" i="3"/>
  <c r="AE202" i="3"/>
  <c r="AE203" i="3"/>
  <c r="AE204" i="3"/>
  <c r="AE205" i="3"/>
  <c r="AE206" i="3"/>
  <c r="AE207" i="3"/>
  <c r="AE208" i="3"/>
  <c r="AE209" i="3"/>
  <c r="AE210" i="3"/>
  <c r="AE211" i="3"/>
  <c r="AE212" i="3"/>
  <c r="AE213" i="3"/>
  <c r="AE214" i="3"/>
  <c r="AE215" i="3"/>
  <c r="AE216" i="3"/>
  <c r="AE217" i="3"/>
  <c r="AE218" i="3"/>
  <c r="AE219" i="3"/>
  <c r="AE220" i="3"/>
  <c r="AE221" i="3"/>
  <c r="AE222" i="3"/>
  <c r="AE223" i="3"/>
  <c r="AE224" i="3"/>
  <c r="AE225" i="3"/>
  <c r="AE226" i="3"/>
  <c r="AE227" i="3"/>
  <c r="AE228" i="3"/>
  <c r="AE229" i="3"/>
  <c r="AE230" i="3"/>
  <c r="AE231" i="3"/>
  <c r="AE232" i="3"/>
  <c r="AE233" i="3"/>
  <c r="AE234" i="3"/>
  <c r="AE235" i="3"/>
  <c r="AE236" i="3"/>
  <c r="AE237" i="3"/>
  <c r="AE238" i="3"/>
  <c r="AE239" i="3"/>
  <c r="AE240" i="3"/>
  <c r="AE241" i="3"/>
  <c r="AE242" i="3"/>
  <c r="AE243" i="3"/>
  <c r="AE244" i="3"/>
  <c r="AE245" i="3"/>
  <c r="AE246" i="3"/>
  <c r="AE247" i="3"/>
  <c r="AE248" i="3"/>
  <c r="AE249" i="3"/>
  <c r="AE250" i="3"/>
  <c r="AE251" i="3"/>
  <c r="AE252" i="3"/>
  <c r="AE253" i="3"/>
  <c r="AE254" i="3"/>
  <c r="AE255" i="3"/>
  <c r="AE256" i="3"/>
  <c r="AE257" i="3"/>
  <c r="AE258" i="3"/>
  <c r="AE259" i="3"/>
  <c r="AE260" i="3"/>
  <c r="AE261" i="3"/>
  <c r="AE262" i="3"/>
  <c r="AE263" i="3"/>
  <c r="AE264" i="3"/>
  <c r="AE265" i="3"/>
  <c r="AE266" i="3"/>
  <c r="AE267" i="3"/>
  <c r="AE268" i="3"/>
  <c r="AE269" i="3"/>
  <c r="AE270" i="3"/>
  <c r="AE271" i="3"/>
  <c r="AE272" i="3"/>
  <c r="AE273" i="3"/>
  <c r="AE274" i="3"/>
  <c r="AE275" i="3"/>
  <c r="AE276" i="3"/>
  <c r="AE277" i="3"/>
  <c r="AE278" i="3"/>
  <c r="AE279" i="3"/>
  <c r="AE280" i="3"/>
  <c r="AE281" i="3"/>
  <c r="AE282" i="3"/>
  <c r="AE283" i="3"/>
  <c r="AE284" i="3"/>
  <c r="AE285" i="3"/>
  <c r="AE286" i="3"/>
  <c r="AE287" i="3"/>
  <c r="AE288" i="3"/>
  <c r="AE289" i="3"/>
  <c r="AE290" i="3"/>
  <c r="AE291" i="3"/>
  <c r="AE292" i="3"/>
  <c r="AE293" i="3"/>
  <c r="AE294" i="3"/>
  <c r="AE295" i="3"/>
  <c r="AE296" i="3"/>
  <c r="AE297" i="3"/>
  <c r="AE298" i="3"/>
  <c r="AE299" i="3"/>
  <c r="AE300" i="3"/>
  <c r="AE301" i="3"/>
  <c r="AE302" i="3"/>
  <c r="AE303" i="3"/>
  <c r="AE304" i="3"/>
  <c r="AE305" i="3"/>
  <c r="AE306" i="3"/>
  <c r="AE307" i="3"/>
  <c r="AE308" i="3"/>
  <c r="AE309" i="3"/>
  <c r="AE310" i="3"/>
  <c r="AE311" i="3"/>
  <c r="AE312" i="3"/>
  <c r="AE313" i="3"/>
  <c r="AE314" i="3"/>
  <c r="AE315" i="3"/>
  <c r="AE316" i="3"/>
  <c r="AE317" i="3"/>
  <c r="AE318" i="3"/>
  <c r="AE319" i="3"/>
  <c r="AE320" i="3"/>
  <c r="AE321" i="3"/>
  <c r="AE322" i="3"/>
  <c r="AE323" i="3"/>
  <c r="AE324" i="3"/>
  <c r="AE325" i="3"/>
  <c r="AE326" i="3"/>
  <c r="AE327" i="3"/>
  <c r="AE328" i="3"/>
  <c r="AE329" i="3"/>
  <c r="AE330" i="3"/>
  <c r="AE331" i="3"/>
  <c r="AE332" i="3"/>
  <c r="AE333" i="3"/>
  <c r="AE334" i="3"/>
  <c r="AE335" i="3"/>
  <c r="AE336" i="3"/>
  <c r="AE337" i="3"/>
  <c r="AE338" i="3"/>
  <c r="AE339" i="3"/>
  <c r="AE340" i="3"/>
  <c r="AE341" i="3"/>
  <c r="AE342" i="3"/>
  <c r="AE343" i="3"/>
  <c r="AE344" i="3"/>
  <c r="AE345" i="3"/>
  <c r="AE346" i="3"/>
  <c r="AE347" i="3"/>
  <c r="AE348" i="3"/>
  <c r="AE349" i="3"/>
  <c r="AE350" i="3"/>
  <c r="AE351" i="3"/>
  <c r="AE352" i="3"/>
  <c r="AE353" i="3"/>
  <c r="AE354" i="3"/>
  <c r="AE355" i="3"/>
  <c r="AE356" i="3"/>
  <c r="AE357" i="3"/>
  <c r="AE358" i="3"/>
  <c r="AE359" i="3"/>
  <c r="AE360" i="3"/>
  <c r="AE361" i="3"/>
  <c r="AE362" i="3"/>
  <c r="AE363" i="3"/>
  <c r="AE364" i="3"/>
  <c r="AE365" i="3"/>
  <c r="AE366" i="3"/>
  <c r="AE367" i="3"/>
  <c r="AE368" i="3"/>
  <c r="AE369" i="3"/>
  <c r="AE370" i="3"/>
  <c r="AE371" i="3"/>
  <c r="AE372" i="3"/>
  <c r="AE373" i="3"/>
  <c r="AE374" i="3"/>
  <c r="AE375" i="3"/>
  <c r="AE376" i="3"/>
  <c r="AE377" i="3"/>
  <c r="AE378" i="3"/>
  <c r="AE379" i="3"/>
  <c r="AE380" i="3"/>
  <c r="AE381" i="3"/>
  <c r="AE382" i="3"/>
  <c r="AE383" i="3"/>
  <c r="AE384" i="3"/>
  <c r="AE385" i="3"/>
  <c r="AE386" i="3"/>
  <c r="AE387" i="3"/>
  <c r="AE388" i="3"/>
  <c r="AE389" i="3"/>
  <c r="AE390" i="3"/>
  <c r="AE391" i="3"/>
  <c r="AE392" i="3"/>
  <c r="AE393" i="3"/>
  <c r="AE394" i="3"/>
  <c r="AE395" i="3"/>
  <c r="AE396" i="3"/>
  <c r="AE397" i="3"/>
  <c r="AE398" i="3"/>
  <c r="AE399" i="3"/>
  <c r="AE400" i="3"/>
  <c r="AE401" i="3"/>
  <c r="AE402" i="3"/>
  <c r="AE403" i="3"/>
  <c r="AE404" i="3"/>
  <c r="AE405" i="3"/>
  <c r="AE406" i="3"/>
  <c r="AE407" i="3"/>
  <c r="AE408" i="3"/>
  <c r="AE409" i="3"/>
  <c r="AE410" i="3"/>
  <c r="AE411" i="3"/>
  <c r="AE412" i="3"/>
  <c r="AE413" i="3"/>
  <c r="AE414" i="3"/>
  <c r="AE415" i="3"/>
  <c r="AE416" i="3"/>
  <c r="AE417" i="3"/>
  <c r="AE418" i="3"/>
  <c r="AE419" i="3"/>
  <c r="AE420" i="3"/>
  <c r="AE421" i="3"/>
  <c r="AE422" i="3"/>
  <c r="AE423" i="3"/>
  <c r="AE424" i="3"/>
  <c r="AE425" i="3"/>
  <c r="AE426" i="3"/>
  <c r="AE427" i="3"/>
  <c r="AE428" i="3"/>
  <c r="AE429" i="3"/>
  <c r="AE430" i="3"/>
  <c r="AE431" i="3"/>
  <c r="AE432" i="3"/>
  <c r="AE433" i="3"/>
  <c r="AE434" i="3"/>
  <c r="AE435" i="3"/>
  <c r="AE436" i="3"/>
  <c r="AE437" i="3"/>
  <c r="AE438" i="3"/>
  <c r="AE439" i="3"/>
  <c r="AE440" i="3"/>
  <c r="AE441" i="3"/>
  <c r="AE442" i="3"/>
  <c r="AE443" i="3"/>
  <c r="AE444" i="3"/>
  <c r="AE445" i="3"/>
  <c r="AE446" i="3"/>
  <c r="AE447" i="3"/>
  <c r="AE448" i="3"/>
  <c r="AE449" i="3"/>
  <c r="AE450" i="3"/>
  <c r="AE451" i="3"/>
  <c r="AE452" i="3"/>
  <c r="AE453" i="3"/>
  <c r="AE454" i="3"/>
  <c r="AE455" i="3"/>
  <c r="AE456" i="3"/>
  <c r="AE457" i="3"/>
  <c r="AE458" i="3"/>
  <c r="AE459" i="3"/>
  <c r="AE460" i="3"/>
  <c r="AE461" i="3"/>
  <c r="AE462" i="3"/>
  <c r="AE463" i="3"/>
  <c r="AE464" i="3"/>
  <c r="AE465" i="3"/>
  <c r="AE466" i="3"/>
  <c r="AE467" i="3"/>
  <c r="AE468" i="3"/>
  <c r="AE469" i="3"/>
  <c r="AE470" i="3"/>
  <c r="AE471" i="3"/>
  <c r="AE472" i="3"/>
  <c r="AE473" i="3"/>
  <c r="AE474" i="3"/>
  <c r="AE475" i="3"/>
  <c r="AE476" i="3"/>
  <c r="AE477" i="3"/>
  <c r="AE478" i="3"/>
  <c r="AE479" i="3"/>
  <c r="AE480" i="3"/>
  <c r="AE481" i="3"/>
  <c r="AE482" i="3"/>
  <c r="AE483" i="3"/>
  <c r="AE484" i="3"/>
  <c r="AE485" i="3"/>
  <c r="AE486" i="3"/>
  <c r="AE487" i="3"/>
  <c r="AE488" i="3"/>
  <c r="AE489" i="3"/>
  <c r="AE490" i="3"/>
  <c r="AE491" i="3"/>
  <c r="AE492" i="3"/>
  <c r="AE493" i="3"/>
  <c r="AE494" i="3"/>
  <c r="AE495" i="3"/>
  <c r="AE496" i="3"/>
  <c r="AE497" i="3"/>
  <c r="AE498" i="3"/>
  <c r="AE499" i="3"/>
  <c r="AE500" i="3"/>
  <c r="AE501" i="3"/>
  <c r="AE502" i="3"/>
  <c r="AE503" i="3"/>
  <c r="AE504" i="3"/>
  <c r="AE505" i="3"/>
  <c r="AE506" i="3"/>
  <c r="AE507" i="3"/>
  <c r="AE508" i="3"/>
  <c r="AE509" i="3"/>
  <c r="AE510" i="3"/>
  <c r="AE511" i="3"/>
  <c r="AE512" i="3"/>
  <c r="AE513" i="3"/>
  <c r="AE514" i="3"/>
  <c r="AE515" i="3"/>
  <c r="AE516" i="3"/>
  <c r="AE517" i="3"/>
  <c r="AE518" i="3"/>
  <c r="AE519" i="3"/>
  <c r="AE520" i="3"/>
  <c r="AE521" i="3"/>
  <c r="AE522" i="3"/>
  <c r="AE523" i="3"/>
  <c r="AE524" i="3"/>
  <c r="AE525" i="3"/>
  <c r="AE526" i="3"/>
  <c r="AE527" i="3"/>
  <c r="AE528" i="3"/>
  <c r="AE529" i="3"/>
  <c r="AE530" i="3"/>
  <c r="AE531" i="3"/>
  <c r="AE532" i="3"/>
  <c r="AE533" i="3"/>
  <c r="AE534" i="3"/>
  <c r="AE535" i="3"/>
  <c r="AE536" i="3"/>
  <c r="AE537" i="3"/>
  <c r="AE538" i="3"/>
  <c r="AE539" i="3"/>
  <c r="AE540" i="3"/>
  <c r="AE541" i="3"/>
  <c r="AE542" i="3"/>
  <c r="AE543" i="3"/>
  <c r="AE544" i="3"/>
  <c r="AE545" i="3"/>
  <c r="AE546" i="3"/>
  <c r="AE547" i="3"/>
  <c r="AE548" i="3"/>
  <c r="AE549" i="3"/>
  <c r="AE550" i="3"/>
  <c r="AE551" i="3"/>
  <c r="AE552" i="3"/>
  <c r="AE553" i="3"/>
  <c r="AE554" i="3"/>
  <c r="AE555" i="3"/>
  <c r="AE556" i="3"/>
  <c r="AE557" i="3"/>
  <c r="AE558" i="3"/>
  <c r="AE559" i="3"/>
  <c r="AE560" i="3"/>
  <c r="AE561" i="3"/>
  <c r="AE562" i="3"/>
  <c r="AE563" i="3"/>
  <c r="AE564" i="3"/>
  <c r="AE565" i="3"/>
  <c r="AE566" i="3"/>
  <c r="AE567" i="3"/>
  <c r="AE568" i="3"/>
  <c r="AE569" i="3"/>
  <c r="AE570" i="3"/>
  <c r="AE571" i="3"/>
  <c r="AE572" i="3"/>
  <c r="AE573" i="3"/>
  <c r="AE574" i="3"/>
  <c r="AE575" i="3"/>
  <c r="AE576" i="3"/>
  <c r="AE577" i="3"/>
  <c r="AE578" i="3"/>
  <c r="AE579" i="3"/>
  <c r="AE580" i="3"/>
  <c r="AE581" i="3"/>
  <c r="AE582" i="3"/>
  <c r="AE583" i="3"/>
  <c r="AE584" i="3"/>
  <c r="AE585" i="3"/>
  <c r="AE586" i="3"/>
  <c r="AE587" i="3"/>
  <c r="AE588" i="3"/>
  <c r="AE589" i="3"/>
  <c r="AE590" i="3"/>
  <c r="AE591" i="3"/>
  <c r="AE592" i="3"/>
  <c r="AE593" i="3"/>
  <c r="AE594" i="3"/>
  <c r="AE595" i="3"/>
  <c r="AE596" i="3"/>
  <c r="AE597" i="3"/>
  <c r="AE598" i="3"/>
  <c r="AE599" i="3"/>
  <c r="AE600" i="3"/>
  <c r="AE601" i="3"/>
  <c r="AE602" i="3"/>
  <c r="AE603" i="3"/>
  <c r="AE604" i="3"/>
  <c r="AE605" i="3"/>
  <c r="AE606" i="3"/>
  <c r="AE607" i="3"/>
  <c r="AE608" i="3"/>
  <c r="AE609" i="3"/>
  <c r="AE610" i="3"/>
  <c r="AE611" i="3"/>
  <c r="AE612" i="3"/>
  <c r="AE613" i="3"/>
  <c r="AE614" i="3"/>
  <c r="AE615" i="3"/>
  <c r="AE616" i="3"/>
  <c r="AE617" i="3"/>
  <c r="AE618" i="3"/>
  <c r="AE619" i="3"/>
  <c r="AE620" i="3"/>
  <c r="AE621" i="3"/>
  <c r="AE622" i="3"/>
  <c r="AE623" i="3"/>
  <c r="AE624" i="3"/>
  <c r="AE625" i="3"/>
  <c r="AE626" i="3"/>
  <c r="AE627" i="3"/>
  <c r="AE628" i="3"/>
  <c r="AE629" i="3"/>
  <c r="AE630" i="3"/>
  <c r="AE631" i="3"/>
  <c r="AE632" i="3"/>
  <c r="AE633" i="3"/>
  <c r="AE634" i="3"/>
  <c r="AE635" i="3"/>
  <c r="AE636" i="3"/>
  <c r="AE637" i="3"/>
  <c r="AE638" i="3"/>
  <c r="AE639" i="3"/>
  <c r="AE640" i="3"/>
  <c r="AE641" i="3"/>
  <c r="AE642" i="3"/>
  <c r="AE643" i="3"/>
  <c r="AE644" i="3"/>
  <c r="AE645" i="3"/>
  <c r="AE646" i="3"/>
  <c r="AE647" i="3"/>
  <c r="AE648" i="3"/>
  <c r="AE649" i="3"/>
  <c r="AE650" i="3"/>
  <c r="AE651" i="3"/>
  <c r="AE652" i="3"/>
  <c r="AE653" i="3"/>
  <c r="AE654" i="3"/>
  <c r="AE655" i="3"/>
  <c r="AE656" i="3"/>
  <c r="AE657" i="3"/>
  <c r="AE658" i="3"/>
  <c r="AE659" i="3"/>
  <c r="AE660" i="3"/>
  <c r="AE661" i="3"/>
  <c r="AE662" i="3"/>
  <c r="AE663" i="3"/>
  <c r="AE664" i="3"/>
  <c r="AE665" i="3"/>
  <c r="AE666" i="3"/>
  <c r="AE667" i="3"/>
  <c r="AE668" i="3"/>
  <c r="AE669" i="3"/>
  <c r="AE670" i="3"/>
  <c r="AE671" i="3"/>
  <c r="AE672" i="3"/>
  <c r="AE673" i="3"/>
  <c r="AE674" i="3"/>
  <c r="AE675" i="3"/>
  <c r="AE676" i="3"/>
  <c r="AE677" i="3"/>
  <c r="AE678" i="3"/>
  <c r="AE679" i="3"/>
  <c r="AE680" i="3"/>
  <c r="AE681" i="3"/>
  <c r="AE682" i="3"/>
  <c r="AE683" i="3"/>
  <c r="AE684" i="3"/>
  <c r="AE685" i="3"/>
  <c r="AE686" i="3"/>
  <c r="AE687" i="3"/>
  <c r="AE688" i="3"/>
  <c r="AE689" i="3"/>
  <c r="AE690" i="3"/>
  <c r="AE691" i="3"/>
  <c r="AE692" i="3"/>
  <c r="AE693" i="3"/>
  <c r="AE694" i="3"/>
  <c r="AE695" i="3"/>
  <c r="AE696" i="3"/>
  <c r="AE697" i="3"/>
  <c r="AE698" i="3"/>
  <c r="AE699" i="3"/>
  <c r="AE700" i="3"/>
  <c r="AE701" i="3"/>
  <c r="AE702" i="3"/>
  <c r="AE703" i="3"/>
  <c r="AE704" i="3"/>
  <c r="AE705" i="3"/>
  <c r="AE706" i="3"/>
  <c r="AE707" i="3"/>
  <c r="AE708" i="3"/>
  <c r="AE709" i="3"/>
  <c r="AE710" i="3"/>
  <c r="AE711" i="3"/>
  <c r="AE712" i="3"/>
  <c r="AE713" i="3"/>
  <c r="AE714" i="3"/>
  <c r="AE715" i="3"/>
  <c r="AE716" i="3"/>
  <c r="AE717" i="3"/>
  <c r="AE718" i="3"/>
  <c r="AE719" i="3"/>
  <c r="AE720" i="3"/>
  <c r="AE721" i="3"/>
  <c r="AE722" i="3"/>
  <c r="AE723" i="3"/>
  <c r="AE724" i="3"/>
  <c r="AE725" i="3"/>
  <c r="AE726" i="3"/>
  <c r="AE727" i="3"/>
  <c r="AE728" i="3"/>
  <c r="AE729" i="3"/>
  <c r="AE730" i="3"/>
  <c r="AE731" i="3"/>
  <c r="AE732" i="3"/>
  <c r="AE733" i="3"/>
  <c r="AE734" i="3"/>
  <c r="AE735" i="3"/>
  <c r="AE736" i="3"/>
  <c r="AE737" i="3"/>
  <c r="AE738" i="3"/>
  <c r="AE739" i="3"/>
  <c r="AE740" i="3"/>
  <c r="AE741" i="3"/>
  <c r="AE742" i="3"/>
  <c r="AE743" i="3"/>
  <c r="AE744" i="3"/>
  <c r="AE745" i="3"/>
  <c r="AE746" i="3"/>
  <c r="AE747" i="3"/>
  <c r="AE748" i="3"/>
  <c r="AE749" i="3"/>
  <c r="AE750" i="3"/>
  <c r="AE751" i="3"/>
  <c r="AE752" i="3"/>
  <c r="AE753" i="3"/>
  <c r="AE754" i="3"/>
  <c r="AE755" i="3"/>
  <c r="AE756" i="3"/>
  <c r="AE757" i="3"/>
  <c r="AE758" i="3"/>
  <c r="AE759" i="3"/>
  <c r="AE760" i="3"/>
  <c r="AE761" i="3"/>
  <c r="AE762" i="3"/>
  <c r="AE763" i="3"/>
  <c r="AE764" i="3"/>
  <c r="AE765" i="3"/>
  <c r="AE766" i="3"/>
  <c r="AE767" i="3"/>
  <c r="AE768" i="3"/>
  <c r="AE769" i="3"/>
  <c r="AE770" i="3"/>
  <c r="AE771" i="3"/>
  <c r="AE772" i="3"/>
  <c r="AE773" i="3"/>
  <c r="AE774" i="3"/>
  <c r="AE775" i="3"/>
  <c r="AE776" i="3"/>
  <c r="AE777" i="3"/>
  <c r="AE778" i="3"/>
  <c r="AE779" i="3"/>
  <c r="AE780" i="3"/>
  <c r="AE781" i="3"/>
  <c r="AE782" i="3"/>
  <c r="AE783" i="3"/>
  <c r="AE784" i="3"/>
  <c r="AE785" i="3"/>
  <c r="AE786" i="3"/>
  <c r="AE787" i="3"/>
  <c r="AE788" i="3"/>
  <c r="AE789" i="3"/>
  <c r="AE790" i="3"/>
  <c r="AE791" i="3"/>
  <c r="AE792" i="3"/>
  <c r="AE793" i="3"/>
  <c r="AE794" i="3"/>
  <c r="AE795" i="3"/>
  <c r="AE796" i="3"/>
  <c r="AE797" i="3"/>
  <c r="AE798" i="3"/>
  <c r="AE799" i="3"/>
  <c r="AE800" i="3"/>
  <c r="AE801" i="3"/>
  <c r="AE802" i="3"/>
  <c r="AE803" i="3"/>
  <c r="AE804" i="3"/>
  <c r="AE805" i="3"/>
  <c r="AE806" i="3"/>
  <c r="AE807" i="3"/>
  <c r="AE808" i="3"/>
  <c r="AE809" i="3"/>
  <c r="AE810" i="3"/>
  <c r="AE811" i="3"/>
  <c r="AE812" i="3"/>
  <c r="AE813" i="3"/>
  <c r="AE814" i="3"/>
  <c r="AE815" i="3"/>
  <c r="AE816" i="3"/>
  <c r="AE817" i="3"/>
  <c r="AE818" i="3"/>
  <c r="AE819" i="3"/>
  <c r="AE820" i="3"/>
  <c r="AE821" i="3"/>
  <c r="AE822" i="3"/>
  <c r="AE823" i="3"/>
  <c r="AE824" i="3"/>
  <c r="AE825" i="3"/>
  <c r="AE826" i="3"/>
  <c r="AE827" i="3"/>
  <c r="AE828" i="3"/>
  <c r="AE829" i="3"/>
  <c r="AE830" i="3"/>
  <c r="AE831" i="3"/>
  <c r="AE832" i="3"/>
  <c r="AE833" i="3"/>
  <c r="AE834" i="3"/>
  <c r="AE835" i="3"/>
  <c r="AE836" i="3"/>
  <c r="AE837" i="3"/>
  <c r="AE838" i="3"/>
  <c r="AE839" i="3"/>
  <c r="AE840" i="3"/>
  <c r="AE841" i="3"/>
  <c r="AE842" i="3"/>
  <c r="AE843" i="3"/>
  <c r="AE844" i="3"/>
  <c r="AE845" i="3"/>
  <c r="AE846" i="3"/>
  <c r="AE847" i="3"/>
  <c r="AE848" i="3"/>
  <c r="AE849" i="3"/>
  <c r="AE850" i="3"/>
  <c r="AE851" i="3"/>
  <c r="AE852" i="3"/>
  <c r="AE853" i="3"/>
  <c r="AE854" i="3"/>
  <c r="AE855" i="3"/>
  <c r="AE856" i="3"/>
  <c r="AE857" i="3"/>
  <c r="AE858" i="3"/>
  <c r="AE859" i="3"/>
  <c r="AE860" i="3"/>
  <c r="AE861" i="3"/>
  <c r="AE862" i="3"/>
  <c r="AE863" i="3"/>
  <c r="AE864" i="3"/>
  <c r="AE865" i="3"/>
  <c r="AE866" i="3"/>
  <c r="AE867" i="3"/>
  <c r="AE868" i="3"/>
  <c r="AE869" i="3"/>
  <c r="AE870" i="3"/>
  <c r="AE871" i="3"/>
  <c r="AE872" i="3"/>
  <c r="AE873" i="3"/>
  <c r="AE874" i="3"/>
  <c r="AE875" i="3"/>
  <c r="AE876" i="3"/>
  <c r="AE877" i="3"/>
  <c r="AE878" i="3"/>
  <c r="AE879" i="3"/>
  <c r="AE880" i="3"/>
  <c r="AE881" i="3"/>
  <c r="AE882" i="3"/>
  <c r="AE883" i="3"/>
  <c r="AE884" i="3"/>
  <c r="AE885" i="3"/>
  <c r="AE886" i="3"/>
  <c r="AE887" i="3"/>
  <c r="AE888" i="3"/>
  <c r="AE889" i="3"/>
  <c r="AE890" i="3"/>
  <c r="AE891" i="3"/>
  <c r="AE892" i="3"/>
  <c r="AE893" i="3"/>
  <c r="AE894" i="3"/>
  <c r="AE895" i="3"/>
  <c r="AE896" i="3"/>
  <c r="AE897" i="3"/>
  <c r="AE898" i="3"/>
  <c r="AE899" i="3"/>
  <c r="AE900" i="3"/>
  <c r="AE901" i="3"/>
  <c r="AE902" i="3"/>
  <c r="AE903" i="3"/>
  <c r="AE904" i="3"/>
  <c r="AE905" i="3"/>
  <c r="AE906" i="3"/>
  <c r="AE907" i="3"/>
  <c r="AE908" i="3"/>
  <c r="AE909" i="3"/>
  <c r="AE910" i="3"/>
  <c r="AE911" i="3"/>
  <c r="AE912" i="3"/>
  <c r="AE913" i="3"/>
  <c r="AE914" i="3"/>
  <c r="AE915" i="3"/>
  <c r="AE916" i="3"/>
  <c r="AE917" i="3"/>
  <c r="AE918" i="3"/>
  <c r="AE919" i="3"/>
  <c r="AE920" i="3"/>
  <c r="AE921" i="3"/>
  <c r="AE922" i="3"/>
  <c r="AE923" i="3"/>
  <c r="AE924" i="3"/>
  <c r="AE925" i="3"/>
  <c r="AE926" i="3"/>
  <c r="AE927" i="3"/>
  <c r="AE928" i="3"/>
  <c r="AE929" i="3"/>
  <c r="AE930" i="3"/>
  <c r="AE931" i="3"/>
  <c r="AE932" i="3"/>
  <c r="AE933" i="3"/>
  <c r="AE934" i="3"/>
  <c r="AE935" i="3"/>
  <c r="AE936" i="3"/>
  <c r="AE937" i="3"/>
  <c r="AE938" i="3"/>
  <c r="AE939" i="3"/>
  <c r="AE940" i="3"/>
  <c r="AE941" i="3"/>
  <c r="AE942" i="3"/>
  <c r="AE943" i="3"/>
  <c r="AE944" i="3"/>
  <c r="AE945" i="3"/>
  <c r="AE946" i="3"/>
  <c r="AE947" i="3"/>
  <c r="AE948" i="3"/>
  <c r="AE949" i="3"/>
  <c r="AE950" i="3"/>
  <c r="AE951" i="3"/>
  <c r="AE952" i="3"/>
  <c r="AE953" i="3"/>
  <c r="AE954" i="3"/>
  <c r="AE955" i="3"/>
  <c r="AE956" i="3"/>
  <c r="AE957" i="3"/>
  <c r="AE958" i="3"/>
  <c r="AE959" i="3"/>
  <c r="AE960" i="3"/>
  <c r="AE961" i="3"/>
  <c r="AE962" i="3"/>
  <c r="AE963" i="3"/>
  <c r="AE964" i="3"/>
  <c r="AE965" i="3"/>
  <c r="AE966" i="3"/>
  <c r="AE967" i="3"/>
  <c r="AE968" i="3"/>
  <c r="AE969" i="3"/>
  <c r="AE970" i="3"/>
  <c r="AE971" i="3"/>
  <c r="AE972" i="3"/>
  <c r="AE973" i="3"/>
  <c r="AE974" i="3"/>
  <c r="AE975" i="3"/>
  <c r="AE976" i="3"/>
  <c r="AE977" i="3"/>
  <c r="AE978" i="3"/>
  <c r="AE979" i="3"/>
  <c r="AE980" i="3"/>
  <c r="AE981" i="3"/>
  <c r="AE982" i="3"/>
  <c r="AE983" i="3"/>
  <c r="AE984" i="3"/>
  <c r="AE985" i="3"/>
  <c r="AE986" i="3"/>
  <c r="AE987" i="3"/>
  <c r="AE988" i="3"/>
  <c r="AE989" i="3"/>
  <c r="AE990" i="3"/>
  <c r="AE991" i="3"/>
  <c r="AE992" i="3"/>
  <c r="AE993" i="3"/>
  <c r="AE994" i="3"/>
  <c r="AE995" i="3"/>
  <c r="AE996" i="3"/>
  <c r="AE997" i="3"/>
  <c r="AE998" i="3"/>
  <c r="AE999" i="3"/>
  <c r="AE1000" i="3"/>
  <c r="AE1001" i="3"/>
  <c r="AE1002" i="3"/>
  <c r="AE1003" i="3"/>
  <c r="AE1004" i="3"/>
  <c r="AE1005" i="3"/>
  <c r="AE1006" i="3"/>
  <c r="AE1007" i="3"/>
  <c r="AE1008" i="3"/>
  <c r="AE1009" i="3"/>
  <c r="AE1010" i="3"/>
  <c r="AE1011" i="3"/>
  <c r="AE1012" i="3"/>
  <c r="AE1013" i="3"/>
  <c r="AE1014" i="3"/>
  <c r="AE1015" i="3"/>
  <c r="AE1016" i="3"/>
  <c r="AE1017" i="3"/>
  <c r="AE1018" i="3"/>
  <c r="AE1019" i="3"/>
  <c r="AE1020" i="3"/>
  <c r="AE1021" i="3"/>
  <c r="AE1022" i="3"/>
  <c r="AE1023" i="3"/>
  <c r="AE1024" i="3"/>
  <c r="AE1025" i="3"/>
  <c r="AE1026" i="3"/>
  <c r="AE1027" i="3"/>
  <c r="AE1028" i="3"/>
  <c r="AE1029" i="3"/>
  <c r="AE1030" i="3"/>
  <c r="AE1031" i="3"/>
  <c r="AE1032" i="3"/>
  <c r="AE1033" i="3"/>
  <c r="AE1034" i="3"/>
  <c r="AE1035" i="3"/>
  <c r="AE1036" i="3"/>
  <c r="AE1037" i="3"/>
  <c r="AE1038" i="3"/>
  <c r="AE1039" i="3"/>
  <c r="AE1040" i="3"/>
  <c r="AE1041" i="3"/>
  <c r="AE1042" i="3"/>
  <c r="AE1043" i="3"/>
  <c r="AE1044" i="3"/>
  <c r="AE1045" i="3"/>
  <c r="AE1046" i="3"/>
  <c r="AE1047" i="3"/>
  <c r="AE1048" i="3"/>
  <c r="AE1049" i="3"/>
  <c r="AE1050" i="3"/>
  <c r="AE1051" i="3"/>
  <c r="AE1052" i="3"/>
  <c r="AE1053" i="3"/>
  <c r="AE1054" i="3"/>
  <c r="AE1055" i="3"/>
  <c r="AE1056" i="3"/>
  <c r="AE1057" i="3"/>
  <c r="AE1058" i="3"/>
  <c r="AE1059" i="3"/>
  <c r="AE1060" i="3"/>
  <c r="AE1061" i="3"/>
  <c r="AE1062" i="3"/>
  <c r="AE1063" i="3"/>
  <c r="AE1064" i="3"/>
  <c r="AE1065" i="3"/>
  <c r="AE1066" i="3"/>
  <c r="AE1067" i="3"/>
  <c r="AE1068" i="3"/>
  <c r="AE1069" i="3"/>
  <c r="AE1070" i="3"/>
  <c r="AE1071" i="3"/>
  <c r="AE1072" i="3"/>
  <c r="AE1073" i="3"/>
  <c r="AE1074" i="3"/>
  <c r="AE1075" i="3"/>
  <c r="AE1076" i="3"/>
  <c r="AE1077" i="3"/>
  <c r="AE1078" i="3"/>
  <c r="AE1079" i="3"/>
  <c r="AE1080" i="3"/>
  <c r="AE1081" i="3"/>
  <c r="AE1082" i="3"/>
  <c r="AE1083" i="3"/>
  <c r="AE1084" i="3"/>
  <c r="AE1085" i="3"/>
  <c r="AE1086" i="3"/>
  <c r="AE1087" i="3"/>
  <c r="AE1088" i="3"/>
  <c r="AE1089" i="3"/>
  <c r="AE1090" i="3"/>
  <c r="AE1091" i="3"/>
  <c r="AE1092" i="3"/>
  <c r="AE1093" i="3"/>
  <c r="AE1094" i="3"/>
  <c r="AE1095" i="3"/>
  <c r="AE1096" i="3"/>
  <c r="AE1097" i="3"/>
  <c r="AE1098" i="3"/>
  <c r="AE1099" i="3"/>
  <c r="AE1100" i="3"/>
  <c r="AE1101" i="3"/>
  <c r="AE1102" i="3"/>
  <c r="AE1103" i="3"/>
  <c r="AE1104" i="3"/>
  <c r="AE1105" i="3"/>
  <c r="AE1106" i="3"/>
  <c r="AE1107" i="3"/>
  <c r="AE1108" i="3"/>
  <c r="AE1109" i="3"/>
  <c r="AE1110" i="3"/>
  <c r="AE1111" i="3"/>
  <c r="AE1112" i="3"/>
  <c r="AE1113" i="3"/>
  <c r="AE1114" i="3"/>
  <c r="AE1115" i="3"/>
  <c r="AE1116" i="3"/>
  <c r="AE1117" i="3"/>
  <c r="AE1118" i="3"/>
  <c r="AE1119" i="3"/>
  <c r="AE1120" i="3"/>
  <c r="AE1121" i="3"/>
  <c r="AE1122" i="3"/>
  <c r="AE1123" i="3"/>
  <c r="AE1124" i="3"/>
  <c r="AE1125" i="3"/>
  <c r="AE1126" i="3"/>
  <c r="AE1127" i="3"/>
  <c r="AE1128" i="3"/>
  <c r="AE1129" i="3"/>
  <c r="AE1130" i="3"/>
  <c r="AE1131" i="3"/>
  <c r="AE1132" i="3"/>
  <c r="AE1133" i="3"/>
  <c r="AE1134" i="3"/>
  <c r="AE1135" i="3"/>
  <c r="AE1136" i="3"/>
  <c r="AE1137" i="3"/>
  <c r="AE1138" i="3"/>
  <c r="AE1139" i="3"/>
  <c r="AE1140" i="3"/>
  <c r="AE1141" i="3"/>
  <c r="AE1142" i="3"/>
  <c r="AE1143" i="3"/>
  <c r="AE1144" i="3"/>
  <c r="AE1145" i="3"/>
  <c r="AE1146" i="3"/>
  <c r="AE1147" i="3"/>
  <c r="AE1148" i="3"/>
  <c r="AE1149" i="3"/>
  <c r="AE1150" i="3"/>
  <c r="AE1151" i="3"/>
  <c r="AE1152" i="3"/>
  <c r="AE1153" i="3"/>
  <c r="AE1154" i="3"/>
  <c r="AE1155" i="3"/>
  <c r="AE1156" i="3"/>
  <c r="AE1157" i="3"/>
  <c r="AE1158" i="3"/>
  <c r="AE1159" i="3"/>
  <c r="AE1160" i="3"/>
  <c r="AE1161" i="3"/>
  <c r="AE1162" i="3"/>
  <c r="AE1163" i="3"/>
  <c r="AE1164" i="3"/>
  <c r="AE1165" i="3"/>
  <c r="AE1166" i="3"/>
  <c r="AE1167" i="3"/>
  <c r="AE1168" i="3"/>
  <c r="AE1169" i="3"/>
  <c r="AE1170" i="3"/>
  <c r="AD3" i="3"/>
  <c r="AD4" i="3"/>
  <c r="AD5" i="3"/>
  <c r="AD6" i="3"/>
  <c r="AD7" i="3"/>
  <c r="AD8" i="3"/>
  <c r="AD9" i="3"/>
  <c r="AD10" i="3"/>
  <c r="AD11" i="3"/>
  <c r="AD12" i="3"/>
  <c r="AD13" i="3"/>
  <c r="AD14" i="3"/>
  <c r="AD15" i="3"/>
  <c r="AD16" i="3"/>
  <c r="AD17" i="3"/>
  <c r="AD18" i="3"/>
  <c r="AD19" i="3"/>
  <c r="AD20" i="3"/>
  <c r="AD21" i="3"/>
  <c r="AD22" i="3"/>
  <c r="AD23" i="3"/>
  <c r="AD24" i="3"/>
  <c r="AD25" i="3"/>
  <c r="AD26" i="3"/>
  <c r="AD27" i="3"/>
  <c r="AD28" i="3"/>
  <c r="AD29" i="3"/>
  <c r="AD30" i="3"/>
  <c r="AD31" i="3"/>
  <c r="AD32" i="3"/>
  <c r="AD33" i="3"/>
  <c r="AD34" i="3"/>
  <c r="AD35" i="3"/>
  <c r="AD36" i="3"/>
  <c r="AD37" i="3"/>
  <c r="AD38" i="3"/>
  <c r="AD39" i="3"/>
  <c r="AD40" i="3"/>
  <c r="AD41" i="3"/>
  <c r="AD42" i="3"/>
  <c r="AD43" i="3"/>
  <c r="AD44" i="3"/>
  <c r="AD45" i="3"/>
  <c r="AD46" i="3"/>
  <c r="AD47" i="3"/>
  <c r="AD48" i="3"/>
  <c r="AD49" i="3"/>
  <c r="AD50" i="3"/>
  <c r="AD51" i="3"/>
  <c r="AD52" i="3"/>
  <c r="AD53" i="3"/>
  <c r="AD54" i="3"/>
  <c r="AD55" i="3"/>
  <c r="AD56" i="3"/>
  <c r="AD57" i="3"/>
  <c r="AD58" i="3"/>
  <c r="AD59" i="3"/>
  <c r="AD60" i="3"/>
  <c r="AD61" i="3"/>
  <c r="AD62" i="3"/>
  <c r="AD63" i="3"/>
  <c r="AD64" i="3"/>
  <c r="AD65" i="3"/>
  <c r="AD66" i="3"/>
  <c r="AD67" i="3"/>
  <c r="AD68" i="3"/>
  <c r="AD69" i="3"/>
  <c r="AD70" i="3"/>
  <c r="AD71" i="3"/>
  <c r="AD72" i="3"/>
  <c r="AD73" i="3"/>
  <c r="AD74" i="3"/>
  <c r="AD75" i="3"/>
  <c r="AD76" i="3"/>
  <c r="AD77" i="3"/>
  <c r="AD78" i="3"/>
  <c r="AD79" i="3"/>
  <c r="AD80" i="3"/>
  <c r="AD81" i="3"/>
  <c r="AD82" i="3"/>
  <c r="AD83" i="3"/>
  <c r="AD84" i="3"/>
  <c r="AD85" i="3"/>
  <c r="AD86" i="3"/>
  <c r="AD87" i="3"/>
  <c r="AD88" i="3"/>
  <c r="AD89" i="3"/>
  <c r="AD90" i="3"/>
  <c r="AD91" i="3"/>
  <c r="AD92" i="3"/>
  <c r="AD93" i="3"/>
  <c r="AD94" i="3"/>
  <c r="AD95" i="3"/>
  <c r="AD96" i="3"/>
  <c r="AD97" i="3"/>
  <c r="AD98" i="3"/>
  <c r="AD99" i="3"/>
  <c r="AD100" i="3"/>
  <c r="AD101" i="3"/>
  <c r="AD102" i="3"/>
  <c r="AD103" i="3"/>
  <c r="AD104" i="3"/>
  <c r="AD105" i="3"/>
  <c r="AD106" i="3"/>
  <c r="AD107" i="3"/>
  <c r="AD108" i="3"/>
  <c r="AD109" i="3"/>
  <c r="AD110" i="3"/>
  <c r="AD111" i="3"/>
  <c r="AD112" i="3"/>
  <c r="AD113" i="3"/>
  <c r="AD114" i="3"/>
  <c r="AD115" i="3"/>
  <c r="AD116" i="3"/>
  <c r="AD117" i="3"/>
  <c r="AD118" i="3"/>
  <c r="AD119" i="3"/>
  <c r="AD120" i="3"/>
  <c r="AD121" i="3"/>
  <c r="AD122" i="3"/>
  <c r="AD123" i="3"/>
  <c r="AD124" i="3"/>
  <c r="AD125" i="3"/>
  <c r="AD126" i="3"/>
  <c r="AD127" i="3"/>
  <c r="AD128" i="3"/>
  <c r="AD129" i="3"/>
  <c r="AD130" i="3"/>
  <c r="AD131" i="3"/>
  <c r="AD132" i="3"/>
  <c r="AD133" i="3"/>
  <c r="AD134" i="3"/>
  <c r="AD135" i="3"/>
  <c r="AD136" i="3"/>
  <c r="AD137" i="3"/>
  <c r="AD138" i="3"/>
  <c r="AD139" i="3"/>
  <c r="AD140" i="3"/>
  <c r="AD141" i="3"/>
  <c r="AD142" i="3"/>
  <c r="AD143" i="3"/>
  <c r="AD144" i="3"/>
  <c r="AD145" i="3"/>
  <c r="AD146" i="3"/>
  <c r="AD147" i="3"/>
  <c r="AD148" i="3"/>
  <c r="AD149" i="3"/>
  <c r="AD150" i="3"/>
  <c r="AD151" i="3"/>
  <c r="AD152" i="3"/>
  <c r="AD153" i="3"/>
  <c r="AD154" i="3"/>
  <c r="AD155" i="3"/>
  <c r="AD156" i="3"/>
  <c r="AD157" i="3"/>
  <c r="AD158" i="3"/>
  <c r="AD159" i="3"/>
  <c r="AD160" i="3"/>
  <c r="AD161" i="3"/>
  <c r="AD162" i="3"/>
  <c r="AD163" i="3"/>
  <c r="AD164" i="3"/>
  <c r="AD165" i="3"/>
  <c r="AD166" i="3"/>
  <c r="AD167" i="3"/>
  <c r="AD168" i="3"/>
  <c r="AD169" i="3"/>
  <c r="AD170" i="3"/>
  <c r="AD171" i="3"/>
  <c r="AD172" i="3"/>
  <c r="AD173" i="3"/>
  <c r="AD174" i="3"/>
  <c r="AD175" i="3"/>
  <c r="AD176" i="3"/>
  <c r="AD177" i="3"/>
  <c r="AD178" i="3"/>
  <c r="AD179" i="3"/>
  <c r="AD180" i="3"/>
  <c r="AD181" i="3"/>
  <c r="AD182" i="3"/>
  <c r="AD183" i="3"/>
  <c r="AD184" i="3"/>
  <c r="AD185" i="3"/>
  <c r="AD186" i="3"/>
  <c r="AD187" i="3"/>
  <c r="AD188" i="3"/>
  <c r="AD189" i="3"/>
  <c r="AD190" i="3"/>
  <c r="AD191" i="3"/>
  <c r="AD192" i="3"/>
  <c r="AD193" i="3"/>
  <c r="AD194" i="3"/>
  <c r="AD195" i="3"/>
  <c r="AD196" i="3"/>
  <c r="AD197" i="3"/>
  <c r="AD198" i="3"/>
  <c r="AD199" i="3"/>
  <c r="AD200" i="3"/>
  <c r="AD201" i="3"/>
  <c r="AD202" i="3"/>
  <c r="AD203" i="3"/>
  <c r="AD204" i="3"/>
  <c r="AD205" i="3"/>
  <c r="AD206" i="3"/>
  <c r="AD207" i="3"/>
  <c r="AD208" i="3"/>
  <c r="AD209" i="3"/>
  <c r="AD210" i="3"/>
  <c r="AD211" i="3"/>
  <c r="AD212" i="3"/>
  <c r="AD213" i="3"/>
  <c r="AD214" i="3"/>
  <c r="AD215" i="3"/>
  <c r="AD216" i="3"/>
  <c r="AD217" i="3"/>
  <c r="AD218" i="3"/>
  <c r="AD219" i="3"/>
  <c r="AD220" i="3"/>
  <c r="AD221" i="3"/>
  <c r="AD222" i="3"/>
  <c r="AD223" i="3"/>
  <c r="AD224" i="3"/>
  <c r="AD225" i="3"/>
  <c r="AD226" i="3"/>
  <c r="AD227" i="3"/>
  <c r="AD228" i="3"/>
  <c r="AD229" i="3"/>
  <c r="AD230" i="3"/>
  <c r="AD231" i="3"/>
  <c r="AD232" i="3"/>
  <c r="AD233" i="3"/>
  <c r="AD234" i="3"/>
  <c r="AD235" i="3"/>
  <c r="AD236" i="3"/>
  <c r="AD237" i="3"/>
  <c r="AD238" i="3"/>
  <c r="AD239" i="3"/>
  <c r="AD240" i="3"/>
  <c r="AD241" i="3"/>
  <c r="AD242" i="3"/>
  <c r="AD243" i="3"/>
  <c r="AD244" i="3"/>
  <c r="AD245" i="3"/>
  <c r="AD246" i="3"/>
  <c r="AD247" i="3"/>
  <c r="AD248" i="3"/>
  <c r="AD249" i="3"/>
  <c r="AD250" i="3"/>
  <c r="AD251" i="3"/>
  <c r="AD252" i="3"/>
  <c r="AD253" i="3"/>
  <c r="AD254" i="3"/>
  <c r="AD255" i="3"/>
  <c r="AD256" i="3"/>
  <c r="AD257" i="3"/>
  <c r="AD258" i="3"/>
  <c r="AD259" i="3"/>
  <c r="AD260" i="3"/>
  <c r="AD261" i="3"/>
  <c r="AD262" i="3"/>
  <c r="AD263" i="3"/>
  <c r="AD264" i="3"/>
  <c r="AD265" i="3"/>
  <c r="AD266" i="3"/>
  <c r="AD267" i="3"/>
  <c r="AD268" i="3"/>
  <c r="AD269" i="3"/>
  <c r="AD270" i="3"/>
  <c r="AD271" i="3"/>
  <c r="AD272" i="3"/>
  <c r="AD273" i="3"/>
  <c r="AD274" i="3"/>
  <c r="AD275" i="3"/>
  <c r="AD276" i="3"/>
  <c r="AD277" i="3"/>
  <c r="AD278" i="3"/>
  <c r="AD279" i="3"/>
  <c r="AD280" i="3"/>
  <c r="AD281" i="3"/>
  <c r="AD282" i="3"/>
  <c r="AD283" i="3"/>
  <c r="AD284" i="3"/>
  <c r="AD285" i="3"/>
  <c r="AD286" i="3"/>
  <c r="AD287" i="3"/>
  <c r="AD288" i="3"/>
  <c r="AD289" i="3"/>
  <c r="AD290" i="3"/>
  <c r="AD291" i="3"/>
  <c r="AD292" i="3"/>
  <c r="AD293" i="3"/>
  <c r="AD294" i="3"/>
  <c r="AD295" i="3"/>
  <c r="AD296" i="3"/>
  <c r="AD297" i="3"/>
  <c r="AD298" i="3"/>
  <c r="AD299" i="3"/>
  <c r="AD300" i="3"/>
  <c r="AD301" i="3"/>
  <c r="AD302" i="3"/>
  <c r="AD303" i="3"/>
  <c r="AD304" i="3"/>
  <c r="AD305" i="3"/>
  <c r="AD306" i="3"/>
  <c r="AD307" i="3"/>
  <c r="AD308" i="3"/>
  <c r="AD309" i="3"/>
  <c r="AD310" i="3"/>
  <c r="AD311" i="3"/>
  <c r="AD312" i="3"/>
  <c r="AD313" i="3"/>
  <c r="AD314" i="3"/>
  <c r="AD315" i="3"/>
  <c r="AD316" i="3"/>
  <c r="AD317" i="3"/>
  <c r="AD318" i="3"/>
  <c r="AD319" i="3"/>
  <c r="AD320" i="3"/>
  <c r="AD321" i="3"/>
  <c r="AD322" i="3"/>
  <c r="AD323" i="3"/>
  <c r="AD324" i="3"/>
  <c r="AD325" i="3"/>
  <c r="AD326" i="3"/>
  <c r="AD327" i="3"/>
  <c r="AD328" i="3"/>
  <c r="AD329" i="3"/>
  <c r="AD330" i="3"/>
  <c r="AD331" i="3"/>
  <c r="AD332" i="3"/>
  <c r="AD333" i="3"/>
  <c r="AD334" i="3"/>
  <c r="AD335" i="3"/>
  <c r="AD336" i="3"/>
  <c r="AD337" i="3"/>
  <c r="AD338" i="3"/>
  <c r="AD339" i="3"/>
  <c r="AD340" i="3"/>
  <c r="AD341" i="3"/>
  <c r="AD342" i="3"/>
  <c r="AD343" i="3"/>
  <c r="AD344" i="3"/>
  <c r="AD345" i="3"/>
  <c r="AD346" i="3"/>
  <c r="AD347" i="3"/>
  <c r="AD348" i="3"/>
  <c r="AD349" i="3"/>
  <c r="AD350" i="3"/>
  <c r="AD351" i="3"/>
  <c r="AD352" i="3"/>
  <c r="AD353" i="3"/>
  <c r="AD354" i="3"/>
  <c r="AD355" i="3"/>
  <c r="AD356" i="3"/>
  <c r="AD357" i="3"/>
  <c r="AD358" i="3"/>
  <c r="AD359" i="3"/>
  <c r="AD360" i="3"/>
  <c r="AD361" i="3"/>
  <c r="AD362" i="3"/>
  <c r="AD363" i="3"/>
  <c r="AD364" i="3"/>
  <c r="AD365" i="3"/>
  <c r="AD366" i="3"/>
  <c r="AD367" i="3"/>
  <c r="AD368" i="3"/>
  <c r="AD369" i="3"/>
  <c r="AD370" i="3"/>
  <c r="AD371" i="3"/>
  <c r="AD372" i="3"/>
  <c r="AD373" i="3"/>
  <c r="AD374" i="3"/>
  <c r="AD375" i="3"/>
  <c r="AD376" i="3"/>
  <c r="AD377" i="3"/>
  <c r="AD378" i="3"/>
  <c r="AD379" i="3"/>
  <c r="AD380" i="3"/>
  <c r="AD381" i="3"/>
  <c r="AD382" i="3"/>
  <c r="AD383" i="3"/>
  <c r="AD384" i="3"/>
  <c r="AD385" i="3"/>
  <c r="AD386" i="3"/>
  <c r="AD387" i="3"/>
  <c r="AD388" i="3"/>
  <c r="AD389" i="3"/>
  <c r="AD390" i="3"/>
  <c r="AD391" i="3"/>
  <c r="AD392" i="3"/>
  <c r="AD393" i="3"/>
  <c r="AD394" i="3"/>
  <c r="AD395" i="3"/>
  <c r="AD396" i="3"/>
  <c r="AD397" i="3"/>
  <c r="AD398" i="3"/>
  <c r="AD399" i="3"/>
  <c r="AD400" i="3"/>
  <c r="AD401" i="3"/>
  <c r="AD402" i="3"/>
  <c r="AD403" i="3"/>
  <c r="AD404" i="3"/>
  <c r="AD405" i="3"/>
  <c r="AD406" i="3"/>
  <c r="AD407" i="3"/>
  <c r="AD408" i="3"/>
  <c r="AD409" i="3"/>
  <c r="AD410" i="3"/>
  <c r="AD411" i="3"/>
  <c r="AD412" i="3"/>
  <c r="AD413" i="3"/>
  <c r="AD414" i="3"/>
  <c r="AD415" i="3"/>
  <c r="AD416" i="3"/>
  <c r="AD417" i="3"/>
  <c r="AD418" i="3"/>
  <c r="AD419" i="3"/>
  <c r="AD420" i="3"/>
  <c r="AD421" i="3"/>
  <c r="AD422" i="3"/>
  <c r="AD423" i="3"/>
  <c r="AD424" i="3"/>
  <c r="AD425" i="3"/>
  <c r="AD426" i="3"/>
  <c r="AD427" i="3"/>
  <c r="AD428" i="3"/>
  <c r="AD429" i="3"/>
  <c r="AD430" i="3"/>
  <c r="AD431" i="3"/>
  <c r="AD432" i="3"/>
  <c r="AD433" i="3"/>
  <c r="AD434" i="3"/>
  <c r="AD435" i="3"/>
  <c r="AD436" i="3"/>
  <c r="AD437" i="3"/>
  <c r="AD438" i="3"/>
  <c r="AD439" i="3"/>
  <c r="AD440" i="3"/>
  <c r="AD441" i="3"/>
  <c r="AD442" i="3"/>
  <c r="AD443" i="3"/>
  <c r="AD444" i="3"/>
  <c r="AD445" i="3"/>
  <c r="AD446" i="3"/>
  <c r="AD447" i="3"/>
  <c r="AD448" i="3"/>
  <c r="AD449" i="3"/>
  <c r="AD450" i="3"/>
  <c r="AD451" i="3"/>
  <c r="AD452" i="3"/>
  <c r="AD453" i="3"/>
  <c r="AD454" i="3"/>
  <c r="AD455" i="3"/>
  <c r="AD456" i="3"/>
  <c r="AD457" i="3"/>
  <c r="AD458" i="3"/>
  <c r="AD459" i="3"/>
  <c r="AD460" i="3"/>
  <c r="AD461" i="3"/>
  <c r="AD462" i="3"/>
  <c r="AD463" i="3"/>
  <c r="AD464" i="3"/>
  <c r="AD465" i="3"/>
  <c r="AD466" i="3"/>
  <c r="AD467" i="3"/>
  <c r="AD468" i="3"/>
  <c r="AD469" i="3"/>
  <c r="AD470" i="3"/>
  <c r="AD471" i="3"/>
  <c r="AD472" i="3"/>
  <c r="AD473" i="3"/>
  <c r="AD474" i="3"/>
  <c r="AD475" i="3"/>
  <c r="AD476" i="3"/>
  <c r="AD477" i="3"/>
  <c r="AD478" i="3"/>
  <c r="AD479" i="3"/>
  <c r="AD480" i="3"/>
  <c r="AD481" i="3"/>
  <c r="AD482" i="3"/>
  <c r="AD483" i="3"/>
  <c r="AD484" i="3"/>
  <c r="AD485" i="3"/>
  <c r="AD486" i="3"/>
  <c r="AD487" i="3"/>
  <c r="AD488" i="3"/>
  <c r="AD489" i="3"/>
  <c r="AD490" i="3"/>
  <c r="AD491" i="3"/>
  <c r="AD492" i="3"/>
  <c r="AD493" i="3"/>
  <c r="AD494" i="3"/>
  <c r="AD495" i="3"/>
  <c r="AD496" i="3"/>
  <c r="AD497" i="3"/>
  <c r="AD498" i="3"/>
  <c r="AD499" i="3"/>
  <c r="AD500" i="3"/>
  <c r="AD501" i="3"/>
  <c r="AD502" i="3"/>
  <c r="AD503" i="3"/>
  <c r="AD504" i="3"/>
  <c r="AD505" i="3"/>
  <c r="AD506" i="3"/>
  <c r="AD507" i="3"/>
  <c r="AD508" i="3"/>
  <c r="AD509" i="3"/>
  <c r="AD510" i="3"/>
  <c r="AD511" i="3"/>
  <c r="AD512" i="3"/>
  <c r="AD513" i="3"/>
  <c r="AD514" i="3"/>
  <c r="AD515" i="3"/>
  <c r="AD516" i="3"/>
  <c r="AD517" i="3"/>
  <c r="AD518" i="3"/>
  <c r="AD519" i="3"/>
  <c r="AD520" i="3"/>
  <c r="AD521" i="3"/>
  <c r="AD522" i="3"/>
  <c r="AD523" i="3"/>
  <c r="AD524" i="3"/>
  <c r="AD525" i="3"/>
  <c r="AD526" i="3"/>
  <c r="AD527" i="3"/>
  <c r="AD528" i="3"/>
  <c r="AD529" i="3"/>
  <c r="AD530" i="3"/>
  <c r="AD531" i="3"/>
  <c r="AD532" i="3"/>
  <c r="AD533" i="3"/>
  <c r="AD534" i="3"/>
  <c r="AD535" i="3"/>
  <c r="AD536" i="3"/>
  <c r="AD537" i="3"/>
  <c r="AD538" i="3"/>
  <c r="AD539" i="3"/>
  <c r="AD540" i="3"/>
  <c r="AD541" i="3"/>
  <c r="AD542" i="3"/>
  <c r="AD543" i="3"/>
  <c r="AD544" i="3"/>
  <c r="AD545" i="3"/>
  <c r="AD546" i="3"/>
  <c r="AD547" i="3"/>
  <c r="AD548" i="3"/>
  <c r="AD549" i="3"/>
  <c r="AD550" i="3"/>
  <c r="AD551" i="3"/>
  <c r="AD552" i="3"/>
  <c r="AD553" i="3"/>
  <c r="AD554" i="3"/>
  <c r="AD555" i="3"/>
  <c r="AD556" i="3"/>
  <c r="AD557" i="3"/>
  <c r="AD558" i="3"/>
  <c r="AD559" i="3"/>
  <c r="AD560" i="3"/>
  <c r="AD561" i="3"/>
  <c r="AD562" i="3"/>
  <c r="AD563" i="3"/>
  <c r="AD564" i="3"/>
  <c r="AD565" i="3"/>
  <c r="AD566" i="3"/>
  <c r="AD567" i="3"/>
  <c r="AD568" i="3"/>
  <c r="AD569" i="3"/>
  <c r="AD570" i="3"/>
  <c r="AD571" i="3"/>
  <c r="AD572" i="3"/>
  <c r="AD573" i="3"/>
  <c r="AD574" i="3"/>
  <c r="AD575" i="3"/>
  <c r="AD576" i="3"/>
  <c r="AD577" i="3"/>
  <c r="AD578" i="3"/>
  <c r="AD579" i="3"/>
  <c r="AD580" i="3"/>
  <c r="AD581" i="3"/>
  <c r="AD582" i="3"/>
  <c r="AD583" i="3"/>
  <c r="AD584" i="3"/>
  <c r="AD585" i="3"/>
  <c r="AD586" i="3"/>
  <c r="AD587" i="3"/>
  <c r="AD588" i="3"/>
  <c r="AD589" i="3"/>
  <c r="AD590" i="3"/>
  <c r="AD591" i="3"/>
  <c r="AD592" i="3"/>
  <c r="AD593" i="3"/>
  <c r="AD594" i="3"/>
  <c r="AD595" i="3"/>
  <c r="AD596" i="3"/>
  <c r="AD597" i="3"/>
  <c r="AD598" i="3"/>
  <c r="AD599" i="3"/>
  <c r="AD600" i="3"/>
  <c r="AD601" i="3"/>
  <c r="AD602" i="3"/>
  <c r="AD603" i="3"/>
  <c r="AD604" i="3"/>
  <c r="AD605" i="3"/>
  <c r="AD606" i="3"/>
  <c r="AD607" i="3"/>
  <c r="AD608" i="3"/>
  <c r="AD609" i="3"/>
  <c r="AD610" i="3"/>
  <c r="AD611" i="3"/>
  <c r="AD612" i="3"/>
  <c r="AD613" i="3"/>
  <c r="AD614" i="3"/>
  <c r="AD615" i="3"/>
  <c r="AD616" i="3"/>
  <c r="AD617" i="3"/>
  <c r="AD618" i="3"/>
  <c r="AD619" i="3"/>
  <c r="AD620" i="3"/>
  <c r="AD621" i="3"/>
  <c r="AD622" i="3"/>
  <c r="AD623" i="3"/>
  <c r="AD624" i="3"/>
  <c r="AD625" i="3"/>
  <c r="AD626" i="3"/>
  <c r="AD627" i="3"/>
  <c r="AD628" i="3"/>
  <c r="AD629" i="3"/>
  <c r="AD630" i="3"/>
  <c r="AD631" i="3"/>
  <c r="AD632" i="3"/>
  <c r="AD633" i="3"/>
  <c r="AD634" i="3"/>
  <c r="AD635" i="3"/>
  <c r="AD636" i="3"/>
  <c r="AD637" i="3"/>
  <c r="AD638" i="3"/>
  <c r="AD639" i="3"/>
  <c r="AD640" i="3"/>
  <c r="AD641" i="3"/>
  <c r="AD642" i="3"/>
  <c r="AD643" i="3"/>
  <c r="AD644" i="3"/>
  <c r="AD645" i="3"/>
  <c r="AD646" i="3"/>
  <c r="AD647" i="3"/>
  <c r="AD648" i="3"/>
  <c r="AD649" i="3"/>
  <c r="AD650" i="3"/>
  <c r="AD651" i="3"/>
  <c r="AD652" i="3"/>
  <c r="AD653" i="3"/>
  <c r="AD654" i="3"/>
  <c r="AD655" i="3"/>
  <c r="AD656" i="3"/>
  <c r="AD657" i="3"/>
  <c r="AD658" i="3"/>
  <c r="AD659" i="3"/>
  <c r="AD660" i="3"/>
  <c r="AD661" i="3"/>
  <c r="AD662" i="3"/>
  <c r="AD663" i="3"/>
  <c r="AD664" i="3"/>
  <c r="AD665" i="3"/>
  <c r="AD666" i="3"/>
  <c r="AD667" i="3"/>
  <c r="AD668" i="3"/>
  <c r="AD669" i="3"/>
  <c r="AD670" i="3"/>
  <c r="AD671" i="3"/>
  <c r="AD672" i="3"/>
  <c r="AD673" i="3"/>
  <c r="AD674" i="3"/>
  <c r="AD675" i="3"/>
  <c r="AD676" i="3"/>
  <c r="AD677" i="3"/>
  <c r="AD678" i="3"/>
  <c r="AD679" i="3"/>
  <c r="AD680" i="3"/>
  <c r="AD681" i="3"/>
  <c r="AD682" i="3"/>
  <c r="AD683" i="3"/>
  <c r="AD684" i="3"/>
  <c r="AD685" i="3"/>
  <c r="AD686" i="3"/>
  <c r="AD687" i="3"/>
  <c r="AD688" i="3"/>
  <c r="AD689" i="3"/>
  <c r="AD690" i="3"/>
  <c r="AD691" i="3"/>
  <c r="AD692" i="3"/>
  <c r="AD693" i="3"/>
  <c r="AD694" i="3"/>
  <c r="AD695" i="3"/>
  <c r="AD696" i="3"/>
  <c r="AD697" i="3"/>
  <c r="AD698" i="3"/>
  <c r="AD699" i="3"/>
  <c r="AD700" i="3"/>
  <c r="AD701" i="3"/>
  <c r="AD702" i="3"/>
  <c r="AD703" i="3"/>
  <c r="AD704" i="3"/>
  <c r="AD705" i="3"/>
  <c r="AD706" i="3"/>
  <c r="AD707" i="3"/>
  <c r="AD708" i="3"/>
  <c r="AD709" i="3"/>
  <c r="AD710" i="3"/>
  <c r="AD711" i="3"/>
  <c r="AD712" i="3"/>
  <c r="AD713" i="3"/>
  <c r="AD714" i="3"/>
  <c r="AD715" i="3"/>
  <c r="AD716" i="3"/>
  <c r="AD717" i="3"/>
  <c r="AD718" i="3"/>
  <c r="AD719" i="3"/>
  <c r="AD720" i="3"/>
  <c r="AD721" i="3"/>
  <c r="AD722" i="3"/>
  <c r="AD723" i="3"/>
  <c r="AD724" i="3"/>
  <c r="AD725" i="3"/>
  <c r="AD726" i="3"/>
  <c r="AD727" i="3"/>
  <c r="AD728" i="3"/>
  <c r="AD729" i="3"/>
  <c r="AD730" i="3"/>
  <c r="AD731" i="3"/>
  <c r="AD732" i="3"/>
  <c r="AD733" i="3"/>
  <c r="AD734" i="3"/>
  <c r="AD735" i="3"/>
  <c r="AD736" i="3"/>
  <c r="AD737" i="3"/>
  <c r="AD738" i="3"/>
  <c r="AD739" i="3"/>
  <c r="AD740" i="3"/>
  <c r="AD741" i="3"/>
  <c r="AD742" i="3"/>
  <c r="AD743" i="3"/>
  <c r="AD744" i="3"/>
  <c r="AD745" i="3"/>
  <c r="AD746" i="3"/>
  <c r="AD747" i="3"/>
  <c r="AD748" i="3"/>
  <c r="AD749" i="3"/>
  <c r="AD750" i="3"/>
  <c r="AD751" i="3"/>
  <c r="AD752" i="3"/>
  <c r="AD753" i="3"/>
  <c r="AD754" i="3"/>
  <c r="AD755" i="3"/>
  <c r="AD756" i="3"/>
  <c r="AD757" i="3"/>
  <c r="AD758" i="3"/>
  <c r="AD759" i="3"/>
  <c r="AD760" i="3"/>
  <c r="AD761" i="3"/>
  <c r="AD762" i="3"/>
  <c r="AD763" i="3"/>
  <c r="AD764" i="3"/>
  <c r="AD765" i="3"/>
  <c r="AD766" i="3"/>
  <c r="AD767" i="3"/>
  <c r="AD768" i="3"/>
  <c r="AD769" i="3"/>
  <c r="AD770" i="3"/>
  <c r="AD771" i="3"/>
  <c r="AD772" i="3"/>
  <c r="AD773" i="3"/>
  <c r="AD774" i="3"/>
  <c r="AD775" i="3"/>
  <c r="AD776" i="3"/>
  <c r="AD777" i="3"/>
  <c r="AD778" i="3"/>
  <c r="AD779" i="3"/>
  <c r="AD780" i="3"/>
  <c r="AD781" i="3"/>
  <c r="AD782" i="3"/>
  <c r="AD783" i="3"/>
  <c r="AD784" i="3"/>
  <c r="AD785" i="3"/>
  <c r="AD786" i="3"/>
  <c r="AD787" i="3"/>
  <c r="AD788" i="3"/>
  <c r="AD789" i="3"/>
  <c r="AD790" i="3"/>
  <c r="AD791" i="3"/>
  <c r="AD792" i="3"/>
  <c r="AD793" i="3"/>
  <c r="AD794" i="3"/>
  <c r="AD795" i="3"/>
  <c r="AD796" i="3"/>
  <c r="AD797" i="3"/>
  <c r="AD798" i="3"/>
  <c r="AD799" i="3"/>
  <c r="AD800" i="3"/>
  <c r="AD801" i="3"/>
  <c r="AD802" i="3"/>
  <c r="AD803" i="3"/>
  <c r="AD804" i="3"/>
  <c r="AD805" i="3"/>
  <c r="AD806" i="3"/>
  <c r="AD807" i="3"/>
  <c r="AD808" i="3"/>
  <c r="AD809" i="3"/>
  <c r="AD810" i="3"/>
  <c r="AD811" i="3"/>
  <c r="AD812" i="3"/>
  <c r="AD813" i="3"/>
  <c r="AD814" i="3"/>
  <c r="AD815" i="3"/>
  <c r="AD816" i="3"/>
  <c r="AD817" i="3"/>
  <c r="AD818" i="3"/>
  <c r="AD819" i="3"/>
  <c r="AD820" i="3"/>
  <c r="AD821" i="3"/>
  <c r="AD822" i="3"/>
  <c r="AD823" i="3"/>
  <c r="AD824" i="3"/>
  <c r="AD825" i="3"/>
  <c r="AD826" i="3"/>
  <c r="AD827" i="3"/>
  <c r="AD828" i="3"/>
  <c r="AD829" i="3"/>
  <c r="AD830" i="3"/>
  <c r="AD831" i="3"/>
  <c r="AD832" i="3"/>
  <c r="AD833" i="3"/>
  <c r="AD834" i="3"/>
  <c r="AD835" i="3"/>
  <c r="AD836" i="3"/>
  <c r="AD837" i="3"/>
  <c r="AD838" i="3"/>
  <c r="AD839" i="3"/>
  <c r="AD840" i="3"/>
  <c r="AD841" i="3"/>
  <c r="AD842" i="3"/>
  <c r="AD843" i="3"/>
  <c r="AD844" i="3"/>
  <c r="AD845" i="3"/>
  <c r="AD846" i="3"/>
  <c r="AD847" i="3"/>
  <c r="AD848" i="3"/>
  <c r="AD849" i="3"/>
  <c r="AD850" i="3"/>
  <c r="AD851" i="3"/>
  <c r="AD852" i="3"/>
  <c r="AD853" i="3"/>
  <c r="AD854" i="3"/>
  <c r="AD855" i="3"/>
  <c r="AD856" i="3"/>
  <c r="AD857" i="3"/>
  <c r="AD858" i="3"/>
  <c r="AD859" i="3"/>
  <c r="AD860" i="3"/>
  <c r="AD861" i="3"/>
  <c r="AD862" i="3"/>
  <c r="AD863" i="3"/>
  <c r="AD864" i="3"/>
  <c r="AD865" i="3"/>
  <c r="AD866" i="3"/>
  <c r="AD867" i="3"/>
  <c r="AD868" i="3"/>
  <c r="AD869" i="3"/>
  <c r="AD870" i="3"/>
  <c r="AD871" i="3"/>
  <c r="AD872" i="3"/>
  <c r="AD873" i="3"/>
  <c r="AD874" i="3"/>
  <c r="AD875" i="3"/>
  <c r="AD876" i="3"/>
  <c r="AD877" i="3"/>
  <c r="AD878" i="3"/>
  <c r="AD879" i="3"/>
  <c r="AD880" i="3"/>
  <c r="AD881" i="3"/>
  <c r="AD882" i="3"/>
  <c r="AD883" i="3"/>
  <c r="AD884" i="3"/>
  <c r="AD885" i="3"/>
  <c r="AD886" i="3"/>
  <c r="AD887" i="3"/>
  <c r="AD888" i="3"/>
  <c r="AD889" i="3"/>
  <c r="AD890" i="3"/>
  <c r="AD891" i="3"/>
  <c r="AD892" i="3"/>
  <c r="AD893" i="3"/>
  <c r="AD894" i="3"/>
  <c r="AD895" i="3"/>
  <c r="AD896" i="3"/>
  <c r="AD897" i="3"/>
  <c r="AD898" i="3"/>
  <c r="AD899" i="3"/>
  <c r="AD900" i="3"/>
  <c r="AD901" i="3"/>
  <c r="AD902" i="3"/>
  <c r="AD903" i="3"/>
  <c r="AD904" i="3"/>
  <c r="AD905" i="3"/>
  <c r="AD906" i="3"/>
  <c r="AD907" i="3"/>
  <c r="AD908" i="3"/>
  <c r="AD909" i="3"/>
  <c r="AD910" i="3"/>
  <c r="AD911" i="3"/>
  <c r="AD912" i="3"/>
  <c r="AD913" i="3"/>
  <c r="AD914" i="3"/>
  <c r="AD915" i="3"/>
  <c r="AD916" i="3"/>
  <c r="AD917" i="3"/>
  <c r="AD918" i="3"/>
  <c r="AD919" i="3"/>
  <c r="AD920" i="3"/>
  <c r="AD921" i="3"/>
  <c r="AD922" i="3"/>
  <c r="AD923" i="3"/>
  <c r="AD924" i="3"/>
  <c r="AD925" i="3"/>
  <c r="AD926" i="3"/>
  <c r="AD927" i="3"/>
  <c r="AD928" i="3"/>
  <c r="AD929" i="3"/>
  <c r="AD930" i="3"/>
  <c r="AD931" i="3"/>
  <c r="AD932" i="3"/>
  <c r="AD933" i="3"/>
  <c r="AD934" i="3"/>
  <c r="AD935" i="3"/>
  <c r="AD936" i="3"/>
  <c r="AD937" i="3"/>
  <c r="AD938" i="3"/>
  <c r="AD939" i="3"/>
  <c r="AD940" i="3"/>
  <c r="AD941" i="3"/>
  <c r="AD942" i="3"/>
  <c r="AD943" i="3"/>
  <c r="AD944" i="3"/>
  <c r="AD945" i="3"/>
  <c r="AD946" i="3"/>
  <c r="AD947" i="3"/>
  <c r="AD948" i="3"/>
  <c r="AD949" i="3"/>
  <c r="AD950" i="3"/>
  <c r="AD951" i="3"/>
  <c r="AD952" i="3"/>
  <c r="AD953" i="3"/>
  <c r="AD954" i="3"/>
  <c r="AD955" i="3"/>
  <c r="AD956" i="3"/>
  <c r="AD957" i="3"/>
  <c r="AD958" i="3"/>
  <c r="AD959" i="3"/>
  <c r="AD960" i="3"/>
  <c r="AD961" i="3"/>
  <c r="AD962" i="3"/>
  <c r="AD963" i="3"/>
  <c r="AD964" i="3"/>
  <c r="AD965" i="3"/>
  <c r="AD966" i="3"/>
  <c r="AD967" i="3"/>
  <c r="AD968" i="3"/>
  <c r="AD969" i="3"/>
  <c r="AD970" i="3"/>
  <c r="AD971" i="3"/>
  <c r="AD972" i="3"/>
  <c r="AD973" i="3"/>
  <c r="AD974" i="3"/>
  <c r="AD975" i="3"/>
  <c r="AD976" i="3"/>
  <c r="AD977" i="3"/>
  <c r="AD978" i="3"/>
  <c r="AD979" i="3"/>
  <c r="AD980" i="3"/>
  <c r="AD981" i="3"/>
  <c r="AD982" i="3"/>
  <c r="AD983" i="3"/>
  <c r="AD984" i="3"/>
  <c r="AD985" i="3"/>
  <c r="AD986" i="3"/>
  <c r="AD987" i="3"/>
  <c r="AD988" i="3"/>
  <c r="AD989" i="3"/>
  <c r="AD990" i="3"/>
  <c r="AD991" i="3"/>
  <c r="AD992" i="3"/>
  <c r="AD993" i="3"/>
  <c r="AD994" i="3"/>
  <c r="AD995" i="3"/>
  <c r="AD996" i="3"/>
  <c r="AD997" i="3"/>
  <c r="AD998" i="3"/>
  <c r="AD999" i="3"/>
  <c r="AD1000" i="3"/>
  <c r="AD1001" i="3"/>
  <c r="AD1002" i="3"/>
  <c r="AD1003" i="3"/>
  <c r="AD1004" i="3"/>
  <c r="AD1005" i="3"/>
  <c r="AD1006" i="3"/>
  <c r="AD1007" i="3"/>
  <c r="AD1008" i="3"/>
  <c r="AD1009" i="3"/>
  <c r="AD1010" i="3"/>
  <c r="AD1011" i="3"/>
  <c r="AD1012" i="3"/>
  <c r="AD1013" i="3"/>
  <c r="AD1014" i="3"/>
  <c r="AD1015" i="3"/>
  <c r="AD1016" i="3"/>
  <c r="AD1017" i="3"/>
  <c r="AD1018" i="3"/>
  <c r="AD1019" i="3"/>
  <c r="AD1020" i="3"/>
  <c r="AD1021" i="3"/>
  <c r="AD1022" i="3"/>
  <c r="AD1023" i="3"/>
  <c r="AD1024" i="3"/>
  <c r="AD1025" i="3"/>
  <c r="AD1026" i="3"/>
  <c r="AD1027" i="3"/>
  <c r="AD1028" i="3"/>
  <c r="AD1029" i="3"/>
  <c r="AD1030" i="3"/>
  <c r="AD1031" i="3"/>
  <c r="AD1032" i="3"/>
  <c r="AD1033" i="3"/>
  <c r="AD1034" i="3"/>
  <c r="AD1035" i="3"/>
  <c r="AD1036" i="3"/>
  <c r="AD1037" i="3"/>
  <c r="AD1038" i="3"/>
  <c r="AD1039" i="3"/>
  <c r="AD1040" i="3"/>
  <c r="AD1041" i="3"/>
  <c r="AD1042" i="3"/>
  <c r="AD1043" i="3"/>
  <c r="AD1044" i="3"/>
  <c r="AD1045" i="3"/>
  <c r="AD1046" i="3"/>
  <c r="AD1047" i="3"/>
  <c r="AD1048" i="3"/>
  <c r="AD1049" i="3"/>
  <c r="AD1050" i="3"/>
  <c r="AD1051" i="3"/>
  <c r="AD1052" i="3"/>
  <c r="AD1053" i="3"/>
  <c r="AD1054" i="3"/>
  <c r="AD1055" i="3"/>
  <c r="AD1056" i="3"/>
  <c r="AD1057" i="3"/>
  <c r="AD1058" i="3"/>
  <c r="AD1059" i="3"/>
  <c r="AD1060" i="3"/>
  <c r="AD1061" i="3"/>
  <c r="AD1062" i="3"/>
  <c r="AD1063" i="3"/>
  <c r="AD1064" i="3"/>
  <c r="AD1065" i="3"/>
  <c r="AD1066" i="3"/>
  <c r="AD1067" i="3"/>
  <c r="AD1068" i="3"/>
  <c r="AD1069" i="3"/>
  <c r="AD1070" i="3"/>
  <c r="AD1071" i="3"/>
  <c r="AD1072" i="3"/>
  <c r="AD1073" i="3"/>
  <c r="AD1074" i="3"/>
  <c r="AD1075" i="3"/>
  <c r="AD1076" i="3"/>
  <c r="AD1077" i="3"/>
  <c r="AD1078" i="3"/>
  <c r="AD1079" i="3"/>
  <c r="AD1080" i="3"/>
  <c r="AD1081" i="3"/>
  <c r="AD1082" i="3"/>
  <c r="AD1083" i="3"/>
  <c r="AD1084" i="3"/>
  <c r="AD1085" i="3"/>
  <c r="AD1086" i="3"/>
  <c r="AD1087" i="3"/>
  <c r="AD1088" i="3"/>
  <c r="AD1089" i="3"/>
  <c r="AD1090" i="3"/>
  <c r="AD1091" i="3"/>
  <c r="AD1092" i="3"/>
  <c r="AD1093" i="3"/>
  <c r="AD1094" i="3"/>
  <c r="AD1095" i="3"/>
  <c r="AD1096" i="3"/>
  <c r="AD1097" i="3"/>
  <c r="AD1098" i="3"/>
  <c r="AD1099" i="3"/>
  <c r="AD1100" i="3"/>
  <c r="AD1101" i="3"/>
  <c r="AD1102" i="3"/>
  <c r="AD1103" i="3"/>
  <c r="AD1104" i="3"/>
  <c r="AD1105" i="3"/>
  <c r="AD1106" i="3"/>
  <c r="AD1107" i="3"/>
  <c r="AD1108" i="3"/>
  <c r="AD1109" i="3"/>
  <c r="AD1110" i="3"/>
  <c r="AD1111" i="3"/>
  <c r="AD1112" i="3"/>
  <c r="AD1113" i="3"/>
  <c r="AD1114" i="3"/>
  <c r="AD1115" i="3"/>
  <c r="AD1116" i="3"/>
  <c r="AD1117" i="3"/>
  <c r="AD1118" i="3"/>
  <c r="AD1119" i="3"/>
  <c r="AD1120" i="3"/>
  <c r="AD1121" i="3"/>
  <c r="AD1122" i="3"/>
  <c r="AD1123" i="3"/>
  <c r="AD1124" i="3"/>
  <c r="AD1125" i="3"/>
  <c r="AD1126" i="3"/>
  <c r="AD1127" i="3"/>
  <c r="AD1128" i="3"/>
  <c r="AD1129" i="3"/>
  <c r="AD1130" i="3"/>
  <c r="AD1131" i="3"/>
  <c r="AD1132" i="3"/>
  <c r="AD1133" i="3"/>
  <c r="AD1134" i="3"/>
  <c r="AD1135" i="3"/>
  <c r="AD1136" i="3"/>
  <c r="AD1137" i="3"/>
  <c r="AD1138" i="3"/>
  <c r="AD1139" i="3"/>
  <c r="AD1140" i="3"/>
  <c r="AD1141" i="3"/>
  <c r="AD1142" i="3"/>
  <c r="AD1143" i="3"/>
  <c r="AD1144" i="3"/>
  <c r="AD1145" i="3"/>
  <c r="AD1146" i="3"/>
  <c r="AD1147" i="3"/>
  <c r="AD1148" i="3"/>
  <c r="AD1149" i="3"/>
  <c r="AD1150" i="3"/>
  <c r="AD1151" i="3"/>
  <c r="AD1152" i="3"/>
  <c r="AD1153" i="3"/>
  <c r="AD1154" i="3"/>
  <c r="AD1155" i="3"/>
  <c r="AD1156" i="3"/>
  <c r="AD1157" i="3"/>
  <c r="AD1158" i="3"/>
  <c r="AD1159" i="3"/>
  <c r="AD1160" i="3"/>
  <c r="AD1161" i="3"/>
  <c r="AD1162" i="3"/>
  <c r="AD1163" i="3"/>
  <c r="AD1164" i="3"/>
  <c r="AD1165" i="3"/>
  <c r="AD1166" i="3"/>
  <c r="AD1167" i="3"/>
  <c r="AD1168" i="3"/>
  <c r="AD1169" i="3"/>
  <c r="AD1170" i="3"/>
  <c r="AC68" i="3"/>
  <c r="AC69" i="3"/>
  <c r="AC70" i="3"/>
  <c r="AC71" i="3"/>
  <c r="AC72" i="3"/>
  <c r="AC73" i="3"/>
  <c r="AC74" i="3"/>
  <c r="AC75" i="3"/>
  <c r="AC76" i="3"/>
  <c r="AC77" i="3"/>
  <c r="AC78" i="3"/>
  <c r="AC79" i="3"/>
  <c r="AC80" i="3"/>
  <c r="AC81" i="3"/>
  <c r="AC82" i="3"/>
  <c r="AC83" i="3"/>
  <c r="AC84" i="3"/>
  <c r="AC85" i="3"/>
  <c r="AC86" i="3"/>
  <c r="AC87" i="3"/>
  <c r="AC88" i="3"/>
  <c r="AC89" i="3"/>
  <c r="AC90" i="3"/>
  <c r="AC91" i="3"/>
  <c r="AC92" i="3"/>
  <c r="AC93" i="3"/>
  <c r="AC94" i="3"/>
  <c r="AC95" i="3"/>
  <c r="AC96" i="3"/>
  <c r="AC97" i="3"/>
  <c r="AC98" i="3"/>
  <c r="AC99" i="3"/>
  <c r="AC100" i="3"/>
  <c r="AC101" i="3"/>
  <c r="AC102" i="3"/>
  <c r="AC103" i="3"/>
  <c r="AC104" i="3"/>
  <c r="AC105" i="3"/>
  <c r="AC106" i="3"/>
  <c r="AC107" i="3"/>
  <c r="AC108" i="3"/>
  <c r="AC109" i="3"/>
  <c r="AC110" i="3"/>
  <c r="AC111" i="3"/>
  <c r="AC112" i="3"/>
  <c r="AC113" i="3"/>
  <c r="AC114" i="3"/>
  <c r="AC115" i="3"/>
  <c r="AC116" i="3"/>
  <c r="AC117" i="3"/>
  <c r="AC118" i="3"/>
  <c r="AC119" i="3"/>
  <c r="AC120" i="3"/>
  <c r="AC121" i="3"/>
  <c r="AC122" i="3"/>
  <c r="AC123" i="3"/>
  <c r="AC124" i="3"/>
  <c r="AC125" i="3"/>
  <c r="AC126" i="3"/>
  <c r="AC127" i="3"/>
  <c r="AC128" i="3"/>
  <c r="AC129" i="3"/>
  <c r="AC130" i="3"/>
  <c r="AC131" i="3"/>
  <c r="AC132" i="3"/>
  <c r="AC133" i="3"/>
  <c r="AC134" i="3"/>
  <c r="AC135" i="3"/>
  <c r="AC136" i="3"/>
  <c r="AC137" i="3"/>
  <c r="AC138" i="3"/>
  <c r="AC139" i="3"/>
  <c r="AC140" i="3"/>
  <c r="AC141" i="3"/>
  <c r="AC142" i="3"/>
  <c r="AC143" i="3"/>
  <c r="AC144" i="3"/>
  <c r="AC145" i="3"/>
  <c r="AC146" i="3"/>
  <c r="AC147" i="3"/>
  <c r="AC148" i="3"/>
  <c r="AC149" i="3"/>
  <c r="AC150" i="3"/>
  <c r="AC151" i="3"/>
  <c r="AC152" i="3"/>
  <c r="AC153" i="3"/>
  <c r="AC154" i="3"/>
  <c r="AC155" i="3"/>
  <c r="AC156" i="3"/>
  <c r="AC157" i="3"/>
  <c r="AC158" i="3"/>
  <c r="AC159" i="3"/>
  <c r="AC160" i="3"/>
  <c r="AC161" i="3"/>
  <c r="AC162" i="3"/>
  <c r="AC163" i="3"/>
  <c r="AC164" i="3"/>
  <c r="AC165" i="3"/>
  <c r="AC166" i="3"/>
  <c r="AC167" i="3"/>
  <c r="AC168" i="3"/>
  <c r="AC169" i="3"/>
  <c r="AC170" i="3"/>
  <c r="AC171" i="3"/>
  <c r="AC172" i="3"/>
  <c r="AC173" i="3"/>
  <c r="AC174" i="3"/>
  <c r="AC175" i="3"/>
  <c r="AC176" i="3"/>
  <c r="AC177" i="3"/>
  <c r="AC178" i="3"/>
  <c r="AC179" i="3"/>
  <c r="AC180" i="3"/>
  <c r="AC181" i="3"/>
  <c r="AC182" i="3"/>
  <c r="AC183" i="3"/>
  <c r="AC184" i="3"/>
  <c r="AC185" i="3"/>
  <c r="AC186" i="3"/>
  <c r="AC187" i="3"/>
  <c r="AC188" i="3"/>
  <c r="AC189" i="3"/>
  <c r="AC190" i="3"/>
  <c r="AC191" i="3"/>
  <c r="AC192" i="3"/>
  <c r="AC193" i="3"/>
  <c r="AC194" i="3"/>
  <c r="AC195" i="3"/>
  <c r="AC196" i="3"/>
  <c r="AC197" i="3"/>
  <c r="AC198" i="3"/>
  <c r="AC199" i="3"/>
  <c r="AC200" i="3"/>
  <c r="AC201" i="3"/>
  <c r="AC202" i="3"/>
  <c r="AC203" i="3"/>
  <c r="AC204" i="3"/>
  <c r="AC205" i="3"/>
  <c r="AC206" i="3"/>
  <c r="AC207" i="3"/>
  <c r="AC208" i="3"/>
  <c r="AC209" i="3"/>
  <c r="AC210" i="3"/>
  <c r="AC211" i="3"/>
  <c r="AC212" i="3"/>
  <c r="AC213" i="3"/>
  <c r="AC214" i="3"/>
  <c r="AC215" i="3"/>
  <c r="AC216" i="3"/>
  <c r="AC217" i="3"/>
  <c r="AC218" i="3"/>
  <c r="AC219" i="3"/>
  <c r="AC220" i="3"/>
  <c r="AC221" i="3"/>
  <c r="AC222" i="3"/>
  <c r="AC223" i="3"/>
  <c r="AC224" i="3"/>
  <c r="AC225" i="3"/>
  <c r="AC226" i="3"/>
  <c r="AC227" i="3"/>
  <c r="AC228" i="3"/>
  <c r="AC229" i="3"/>
  <c r="AC230" i="3"/>
  <c r="AC231" i="3"/>
  <c r="AC232" i="3"/>
  <c r="AC233" i="3"/>
  <c r="AC234" i="3"/>
  <c r="AC235" i="3"/>
  <c r="AC236" i="3"/>
  <c r="AC237" i="3"/>
  <c r="AC238" i="3"/>
  <c r="AC239" i="3"/>
  <c r="AC240" i="3"/>
  <c r="AC241" i="3"/>
  <c r="AC242" i="3"/>
  <c r="AC243" i="3"/>
  <c r="AC244" i="3"/>
  <c r="AC245" i="3"/>
  <c r="AC246" i="3"/>
  <c r="AC247" i="3"/>
  <c r="AC248" i="3"/>
  <c r="AC249" i="3"/>
  <c r="AC250" i="3"/>
  <c r="AC251" i="3"/>
  <c r="AC252" i="3"/>
  <c r="AC253" i="3"/>
  <c r="AC254" i="3"/>
  <c r="AC255" i="3"/>
  <c r="AC256" i="3"/>
  <c r="AC257" i="3"/>
  <c r="AC258" i="3"/>
  <c r="AC259" i="3"/>
  <c r="AC260" i="3"/>
  <c r="AC261" i="3"/>
  <c r="AC262" i="3"/>
  <c r="AC263" i="3"/>
  <c r="AC264" i="3"/>
  <c r="AC265" i="3"/>
  <c r="AC266" i="3"/>
  <c r="AC267" i="3"/>
  <c r="AC268" i="3"/>
  <c r="AC269" i="3"/>
  <c r="AC270" i="3"/>
  <c r="AC271" i="3"/>
  <c r="AC272" i="3"/>
  <c r="AC273" i="3"/>
  <c r="AC274" i="3"/>
  <c r="AC275" i="3"/>
  <c r="AC276" i="3"/>
  <c r="AC277" i="3"/>
  <c r="AC278" i="3"/>
  <c r="AC279" i="3"/>
  <c r="AC280" i="3"/>
  <c r="AC281" i="3"/>
  <c r="AC282" i="3"/>
  <c r="AC283" i="3"/>
  <c r="AC284" i="3"/>
  <c r="AC285" i="3"/>
  <c r="AC286" i="3"/>
  <c r="AC287" i="3"/>
  <c r="AC288" i="3"/>
  <c r="AC289" i="3"/>
  <c r="AC290" i="3"/>
  <c r="AC291" i="3"/>
  <c r="AC292" i="3"/>
  <c r="AC293" i="3"/>
  <c r="AC294" i="3"/>
  <c r="AC295" i="3"/>
  <c r="AC296" i="3"/>
  <c r="AC297" i="3"/>
  <c r="AC298" i="3"/>
  <c r="AC299" i="3"/>
  <c r="AC300" i="3"/>
  <c r="AC301" i="3"/>
  <c r="AC302" i="3"/>
  <c r="AC303" i="3"/>
  <c r="AC304" i="3"/>
  <c r="AC305" i="3"/>
  <c r="AC306" i="3"/>
  <c r="AC307" i="3"/>
  <c r="AC308" i="3"/>
  <c r="AC309" i="3"/>
  <c r="AC310" i="3"/>
  <c r="AC311" i="3"/>
  <c r="AC312" i="3"/>
  <c r="AC313" i="3"/>
  <c r="AC314" i="3"/>
  <c r="AC315" i="3"/>
  <c r="AC316" i="3"/>
  <c r="AC317" i="3"/>
  <c r="AC318" i="3"/>
  <c r="AC319" i="3"/>
  <c r="AC320" i="3"/>
  <c r="AC321" i="3"/>
  <c r="AC322" i="3"/>
  <c r="AC323" i="3"/>
  <c r="AC324" i="3"/>
  <c r="AC325" i="3"/>
  <c r="AC326" i="3"/>
  <c r="AC327" i="3"/>
  <c r="AC328" i="3"/>
  <c r="AC329" i="3"/>
  <c r="AC330" i="3"/>
  <c r="AC331" i="3"/>
  <c r="AC332" i="3"/>
  <c r="AC333" i="3"/>
  <c r="AC334" i="3"/>
  <c r="AC335" i="3"/>
  <c r="AC336" i="3"/>
  <c r="AC337" i="3"/>
  <c r="AC338" i="3"/>
  <c r="AC339" i="3"/>
  <c r="AC340" i="3"/>
  <c r="AC341" i="3"/>
  <c r="AC342" i="3"/>
  <c r="AC343" i="3"/>
  <c r="AC344" i="3"/>
  <c r="AC345" i="3"/>
  <c r="AC346" i="3"/>
  <c r="AC347" i="3"/>
  <c r="AC348" i="3"/>
  <c r="AC349" i="3"/>
  <c r="AC350" i="3"/>
  <c r="AC351" i="3"/>
  <c r="AC352" i="3"/>
  <c r="AC353" i="3"/>
  <c r="AC354" i="3"/>
  <c r="AC355" i="3"/>
  <c r="AC356" i="3"/>
  <c r="AC357" i="3"/>
  <c r="AC358" i="3"/>
  <c r="AC359" i="3"/>
  <c r="AC360" i="3"/>
  <c r="AC361" i="3"/>
  <c r="AC362" i="3"/>
  <c r="AC363" i="3"/>
  <c r="AC364" i="3"/>
  <c r="AC365" i="3"/>
  <c r="AC366" i="3"/>
  <c r="AC367" i="3"/>
  <c r="AC368" i="3"/>
  <c r="AC369" i="3"/>
  <c r="AC370" i="3"/>
  <c r="AC371" i="3"/>
  <c r="AC372" i="3"/>
  <c r="AC373" i="3"/>
  <c r="AC374" i="3"/>
  <c r="AC375" i="3"/>
  <c r="AC376" i="3"/>
  <c r="AC377" i="3"/>
  <c r="AC378" i="3"/>
  <c r="AC379" i="3"/>
  <c r="AC380" i="3"/>
  <c r="AC381" i="3"/>
  <c r="AC382" i="3"/>
  <c r="AC383" i="3"/>
  <c r="AC384" i="3"/>
  <c r="AC385" i="3"/>
  <c r="AC386" i="3"/>
  <c r="AC387" i="3"/>
  <c r="AC388" i="3"/>
  <c r="AC389" i="3"/>
  <c r="AC390" i="3"/>
  <c r="AC391" i="3"/>
  <c r="AC392" i="3"/>
  <c r="AC393" i="3"/>
  <c r="AC394" i="3"/>
  <c r="AC395" i="3"/>
  <c r="AC396" i="3"/>
  <c r="AC397" i="3"/>
  <c r="AC398" i="3"/>
  <c r="AC399" i="3"/>
  <c r="AC400" i="3"/>
  <c r="AC401" i="3"/>
  <c r="AC402" i="3"/>
  <c r="AC403" i="3"/>
  <c r="AC404" i="3"/>
  <c r="AC405" i="3"/>
  <c r="AC406" i="3"/>
  <c r="AC407" i="3"/>
  <c r="AC408" i="3"/>
  <c r="AC409" i="3"/>
  <c r="AC410" i="3"/>
  <c r="AC411" i="3"/>
  <c r="AC412" i="3"/>
  <c r="AC413" i="3"/>
  <c r="AC414" i="3"/>
  <c r="AC415" i="3"/>
  <c r="AC416" i="3"/>
  <c r="AC417" i="3"/>
  <c r="AC418" i="3"/>
  <c r="AC419" i="3"/>
  <c r="AC420" i="3"/>
  <c r="AC421" i="3"/>
  <c r="AC422" i="3"/>
  <c r="AC423" i="3"/>
  <c r="AC424" i="3"/>
  <c r="AC425" i="3"/>
  <c r="AC426" i="3"/>
  <c r="AC427" i="3"/>
  <c r="AC428" i="3"/>
  <c r="AC429" i="3"/>
  <c r="AC430" i="3"/>
  <c r="AC431" i="3"/>
  <c r="AC432" i="3"/>
  <c r="AC433" i="3"/>
  <c r="AC434" i="3"/>
  <c r="AC435" i="3"/>
  <c r="AC436" i="3"/>
  <c r="AC437" i="3"/>
  <c r="AC438" i="3"/>
  <c r="AC439" i="3"/>
  <c r="AC440" i="3"/>
  <c r="AC441" i="3"/>
  <c r="AC442" i="3"/>
  <c r="AC443" i="3"/>
  <c r="AC444" i="3"/>
  <c r="AC445" i="3"/>
  <c r="AC446" i="3"/>
  <c r="AC447" i="3"/>
  <c r="AC448" i="3"/>
  <c r="AC449" i="3"/>
  <c r="AC450" i="3"/>
  <c r="AC451" i="3"/>
  <c r="AC452" i="3"/>
  <c r="AC453" i="3"/>
  <c r="AC454" i="3"/>
  <c r="AC455" i="3"/>
  <c r="AC456" i="3"/>
  <c r="AC457" i="3"/>
  <c r="AC458" i="3"/>
  <c r="AC459" i="3"/>
  <c r="AC460" i="3"/>
  <c r="AC461" i="3"/>
  <c r="AC462" i="3"/>
  <c r="AC463" i="3"/>
  <c r="AC464" i="3"/>
  <c r="AC465" i="3"/>
  <c r="AC466" i="3"/>
  <c r="AC467" i="3"/>
  <c r="AC468" i="3"/>
  <c r="AC469" i="3"/>
  <c r="AC470" i="3"/>
  <c r="AC471" i="3"/>
  <c r="AC472" i="3"/>
  <c r="AC473" i="3"/>
  <c r="AC474" i="3"/>
  <c r="AC475" i="3"/>
  <c r="AC476" i="3"/>
  <c r="AC477" i="3"/>
  <c r="AC478" i="3"/>
  <c r="AC479" i="3"/>
  <c r="AC480" i="3"/>
  <c r="AC481" i="3"/>
  <c r="AC482" i="3"/>
  <c r="AC483" i="3"/>
  <c r="AC484" i="3"/>
  <c r="AC485" i="3"/>
  <c r="AC486" i="3"/>
  <c r="AC487" i="3"/>
  <c r="AC488" i="3"/>
  <c r="AC489" i="3"/>
  <c r="AC490" i="3"/>
  <c r="AC491" i="3"/>
  <c r="AC492" i="3"/>
  <c r="AC493" i="3"/>
  <c r="AC494" i="3"/>
  <c r="AC495" i="3"/>
  <c r="AC496" i="3"/>
  <c r="AC497" i="3"/>
  <c r="AC498" i="3"/>
  <c r="AC499" i="3"/>
  <c r="AC500" i="3"/>
  <c r="AC501" i="3"/>
  <c r="AC502" i="3"/>
  <c r="AC503" i="3"/>
  <c r="AC504" i="3"/>
  <c r="AC505" i="3"/>
  <c r="AC506" i="3"/>
  <c r="AC507" i="3"/>
  <c r="AC508" i="3"/>
  <c r="AC509" i="3"/>
  <c r="AC510" i="3"/>
  <c r="AC511" i="3"/>
  <c r="AC512" i="3"/>
  <c r="AC513" i="3"/>
  <c r="AC514" i="3"/>
  <c r="AC515" i="3"/>
  <c r="AC516" i="3"/>
  <c r="AC517" i="3"/>
  <c r="AC518" i="3"/>
  <c r="AC519" i="3"/>
  <c r="AC520" i="3"/>
  <c r="AC521" i="3"/>
  <c r="AC522" i="3"/>
  <c r="AC523" i="3"/>
  <c r="AC524" i="3"/>
  <c r="AC525" i="3"/>
  <c r="AC526" i="3"/>
  <c r="AC527" i="3"/>
  <c r="AC528" i="3"/>
  <c r="AC529" i="3"/>
  <c r="AC530" i="3"/>
  <c r="AC531" i="3"/>
  <c r="AC532" i="3"/>
  <c r="AC533" i="3"/>
  <c r="AC534" i="3"/>
  <c r="AC535" i="3"/>
  <c r="AC536" i="3"/>
  <c r="AC537" i="3"/>
  <c r="AC538" i="3"/>
  <c r="AC539" i="3"/>
  <c r="AC540" i="3"/>
  <c r="AC541" i="3"/>
  <c r="AC542" i="3"/>
  <c r="AC543" i="3"/>
  <c r="AC544" i="3"/>
  <c r="AC545" i="3"/>
  <c r="AC546" i="3"/>
  <c r="AC547" i="3"/>
  <c r="AC548" i="3"/>
  <c r="AC549" i="3"/>
  <c r="AC550" i="3"/>
  <c r="AC551" i="3"/>
  <c r="AC552" i="3"/>
  <c r="AC553" i="3"/>
  <c r="AC554" i="3"/>
  <c r="AC555" i="3"/>
  <c r="AC556" i="3"/>
  <c r="AC557" i="3"/>
  <c r="AC558" i="3"/>
  <c r="AC559" i="3"/>
  <c r="AC560" i="3"/>
  <c r="AC561" i="3"/>
  <c r="AC562" i="3"/>
  <c r="AC563" i="3"/>
  <c r="AC564" i="3"/>
  <c r="AC565" i="3"/>
  <c r="AC566" i="3"/>
  <c r="AC567" i="3"/>
  <c r="AC568" i="3"/>
  <c r="AC569" i="3"/>
  <c r="AC570" i="3"/>
  <c r="AC571" i="3"/>
  <c r="AC572" i="3"/>
  <c r="AC573" i="3"/>
  <c r="AC574" i="3"/>
  <c r="AC575" i="3"/>
  <c r="AC576" i="3"/>
  <c r="AC577" i="3"/>
  <c r="AC578" i="3"/>
  <c r="AC579" i="3"/>
  <c r="AC580" i="3"/>
  <c r="AC581" i="3"/>
  <c r="AC582" i="3"/>
  <c r="AC583" i="3"/>
  <c r="AC584" i="3"/>
  <c r="AC585" i="3"/>
  <c r="AC586" i="3"/>
  <c r="AC587" i="3"/>
  <c r="AC588" i="3"/>
  <c r="AC589" i="3"/>
  <c r="AC590" i="3"/>
  <c r="AC591" i="3"/>
  <c r="AC592" i="3"/>
  <c r="AC593" i="3"/>
  <c r="AC594" i="3"/>
  <c r="AC595" i="3"/>
  <c r="AC596" i="3"/>
  <c r="AC597" i="3"/>
  <c r="AC598" i="3"/>
  <c r="AC599" i="3"/>
  <c r="AC600" i="3"/>
  <c r="AC601" i="3"/>
  <c r="AC602" i="3"/>
  <c r="AC603" i="3"/>
  <c r="AC604" i="3"/>
  <c r="AC605" i="3"/>
  <c r="AC606" i="3"/>
  <c r="AC607" i="3"/>
  <c r="AC608" i="3"/>
  <c r="AC609" i="3"/>
  <c r="AC610" i="3"/>
  <c r="AC611" i="3"/>
  <c r="AC612" i="3"/>
  <c r="AC613" i="3"/>
  <c r="AC614" i="3"/>
  <c r="AC615" i="3"/>
  <c r="AC616" i="3"/>
  <c r="AC617" i="3"/>
  <c r="AC618" i="3"/>
  <c r="AC619" i="3"/>
  <c r="AC620" i="3"/>
  <c r="AC621" i="3"/>
  <c r="AC622" i="3"/>
  <c r="AC623" i="3"/>
  <c r="AC624" i="3"/>
  <c r="AC625" i="3"/>
  <c r="AC626" i="3"/>
  <c r="AC627" i="3"/>
  <c r="AC628" i="3"/>
  <c r="AC629" i="3"/>
  <c r="AC630" i="3"/>
  <c r="AC631" i="3"/>
  <c r="AC632" i="3"/>
  <c r="AC633" i="3"/>
  <c r="AC634" i="3"/>
  <c r="AC635" i="3"/>
  <c r="AC636" i="3"/>
  <c r="AC637" i="3"/>
  <c r="AC638" i="3"/>
  <c r="AC639" i="3"/>
  <c r="AC640" i="3"/>
  <c r="AC641" i="3"/>
  <c r="AC642" i="3"/>
  <c r="AC643" i="3"/>
  <c r="AC644" i="3"/>
  <c r="AC645" i="3"/>
  <c r="AC646" i="3"/>
  <c r="AC647" i="3"/>
  <c r="AC648" i="3"/>
  <c r="AC649" i="3"/>
  <c r="AC650" i="3"/>
  <c r="AC651" i="3"/>
  <c r="AC652" i="3"/>
  <c r="AC653" i="3"/>
  <c r="AC654" i="3"/>
  <c r="AC655" i="3"/>
  <c r="AC656" i="3"/>
  <c r="AC657" i="3"/>
  <c r="AC658" i="3"/>
  <c r="AC659" i="3"/>
  <c r="AC660" i="3"/>
  <c r="AC661" i="3"/>
  <c r="AC662" i="3"/>
  <c r="AC663" i="3"/>
  <c r="AC664" i="3"/>
  <c r="AC665" i="3"/>
  <c r="AC666" i="3"/>
  <c r="AC667" i="3"/>
  <c r="AC668" i="3"/>
  <c r="AC669" i="3"/>
  <c r="AC670" i="3"/>
  <c r="AC671" i="3"/>
  <c r="AC672" i="3"/>
  <c r="AC673" i="3"/>
  <c r="AC674" i="3"/>
  <c r="AC675" i="3"/>
  <c r="AC676" i="3"/>
  <c r="AC677" i="3"/>
  <c r="AC678" i="3"/>
  <c r="AC679" i="3"/>
  <c r="AC680" i="3"/>
  <c r="AC681" i="3"/>
  <c r="AC682" i="3"/>
  <c r="AC683" i="3"/>
  <c r="AC684" i="3"/>
  <c r="AC685" i="3"/>
  <c r="AC686" i="3"/>
  <c r="AC687" i="3"/>
  <c r="AC688" i="3"/>
  <c r="AC689" i="3"/>
  <c r="AC690" i="3"/>
  <c r="AC691" i="3"/>
  <c r="AC692" i="3"/>
  <c r="AC693" i="3"/>
  <c r="AC694" i="3"/>
  <c r="AC695" i="3"/>
  <c r="AC696" i="3"/>
  <c r="AC697" i="3"/>
  <c r="AC698" i="3"/>
  <c r="AC699" i="3"/>
  <c r="AC700" i="3"/>
  <c r="AC701" i="3"/>
  <c r="AC702" i="3"/>
  <c r="AC703" i="3"/>
  <c r="AC704" i="3"/>
  <c r="AC705" i="3"/>
  <c r="AC706" i="3"/>
  <c r="AC707" i="3"/>
  <c r="AC708" i="3"/>
  <c r="AC709" i="3"/>
  <c r="AC710" i="3"/>
  <c r="AC711" i="3"/>
  <c r="AC712" i="3"/>
  <c r="AC713" i="3"/>
  <c r="AC714" i="3"/>
  <c r="AC715" i="3"/>
  <c r="AC716" i="3"/>
  <c r="AC717" i="3"/>
  <c r="AC718" i="3"/>
  <c r="AC719" i="3"/>
  <c r="AC720" i="3"/>
  <c r="AC721" i="3"/>
  <c r="AC722" i="3"/>
  <c r="AC723" i="3"/>
  <c r="AC724" i="3"/>
  <c r="AC725" i="3"/>
  <c r="AC726" i="3"/>
  <c r="AC727" i="3"/>
  <c r="AC728" i="3"/>
  <c r="AC729" i="3"/>
  <c r="AC730" i="3"/>
  <c r="AC731" i="3"/>
  <c r="AC732" i="3"/>
  <c r="AC733" i="3"/>
  <c r="AC734" i="3"/>
  <c r="AC735" i="3"/>
  <c r="AC736" i="3"/>
  <c r="AC737" i="3"/>
  <c r="AC738" i="3"/>
  <c r="AC739" i="3"/>
  <c r="AC740" i="3"/>
  <c r="AC741" i="3"/>
  <c r="AC742" i="3"/>
  <c r="AC743" i="3"/>
  <c r="AC744" i="3"/>
  <c r="AC745" i="3"/>
  <c r="AC746" i="3"/>
  <c r="AC747" i="3"/>
  <c r="AC748" i="3"/>
  <c r="AC749" i="3"/>
  <c r="AC750" i="3"/>
  <c r="AC751" i="3"/>
  <c r="AC752" i="3"/>
  <c r="AC753" i="3"/>
  <c r="AC754" i="3"/>
  <c r="AC755" i="3"/>
  <c r="AC756" i="3"/>
  <c r="AC757" i="3"/>
  <c r="AC758" i="3"/>
  <c r="AC759" i="3"/>
  <c r="AC760" i="3"/>
  <c r="AC761" i="3"/>
  <c r="AC762" i="3"/>
  <c r="AC763" i="3"/>
  <c r="AC764" i="3"/>
  <c r="AC765" i="3"/>
  <c r="AC766" i="3"/>
  <c r="AC767" i="3"/>
  <c r="AC768" i="3"/>
  <c r="AC769" i="3"/>
  <c r="AC770" i="3"/>
  <c r="AC771" i="3"/>
  <c r="AC772" i="3"/>
  <c r="AC773" i="3"/>
  <c r="AC774" i="3"/>
  <c r="AC775" i="3"/>
  <c r="AC776" i="3"/>
  <c r="AC777" i="3"/>
  <c r="AC778" i="3"/>
  <c r="AC779" i="3"/>
  <c r="AC780" i="3"/>
  <c r="AC781" i="3"/>
  <c r="AC782" i="3"/>
  <c r="AC783" i="3"/>
  <c r="AC784" i="3"/>
  <c r="AC785" i="3"/>
  <c r="AC786" i="3"/>
  <c r="AC787" i="3"/>
  <c r="AC788" i="3"/>
  <c r="AC789" i="3"/>
  <c r="AC790" i="3"/>
  <c r="AC791" i="3"/>
  <c r="AC792" i="3"/>
  <c r="AC793" i="3"/>
  <c r="AC794" i="3"/>
  <c r="AC795" i="3"/>
  <c r="AC796" i="3"/>
  <c r="AC797" i="3"/>
  <c r="AC798" i="3"/>
  <c r="AC799" i="3"/>
  <c r="AC800" i="3"/>
  <c r="AC801" i="3"/>
  <c r="AC802" i="3"/>
  <c r="AC803" i="3"/>
  <c r="AC804" i="3"/>
  <c r="AC805" i="3"/>
  <c r="AC806" i="3"/>
  <c r="AC807" i="3"/>
  <c r="AC808" i="3"/>
  <c r="AC809" i="3"/>
  <c r="AC810" i="3"/>
  <c r="AC811" i="3"/>
  <c r="AC812" i="3"/>
  <c r="AC813" i="3"/>
  <c r="AC814" i="3"/>
  <c r="AC815" i="3"/>
  <c r="AC816" i="3"/>
  <c r="AC817" i="3"/>
  <c r="AC818" i="3"/>
  <c r="AC819" i="3"/>
  <c r="AC820" i="3"/>
  <c r="AC821" i="3"/>
  <c r="AC822" i="3"/>
  <c r="AC823" i="3"/>
  <c r="AC824" i="3"/>
  <c r="AC825" i="3"/>
  <c r="AC826" i="3"/>
  <c r="AC827" i="3"/>
  <c r="AC828" i="3"/>
  <c r="AC829" i="3"/>
  <c r="AC830" i="3"/>
  <c r="AC831" i="3"/>
  <c r="AC832" i="3"/>
  <c r="AC833" i="3"/>
  <c r="AC834" i="3"/>
  <c r="AC835" i="3"/>
  <c r="AC836" i="3"/>
  <c r="AC837" i="3"/>
  <c r="AC838" i="3"/>
  <c r="AC839" i="3"/>
  <c r="AC840" i="3"/>
  <c r="AC841" i="3"/>
  <c r="AC842" i="3"/>
  <c r="AC843" i="3"/>
  <c r="AC844" i="3"/>
  <c r="AC845" i="3"/>
  <c r="AC846" i="3"/>
  <c r="AC847" i="3"/>
  <c r="AC848" i="3"/>
  <c r="AC849" i="3"/>
  <c r="AC850" i="3"/>
  <c r="AC851" i="3"/>
  <c r="AC852" i="3"/>
  <c r="AC853" i="3"/>
  <c r="AC854" i="3"/>
  <c r="AC855" i="3"/>
  <c r="AC856" i="3"/>
  <c r="AC857" i="3"/>
  <c r="AC858" i="3"/>
  <c r="AC859" i="3"/>
  <c r="AC860" i="3"/>
  <c r="AC861" i="3"/>
  <c r="AC862" i="3"/>
  <c r="AC863" i="3"/>
  <c r="AC864" i="3"/>
  <c r="AC865" i="3"/>
  <c r="AC866" i="3"/>
  <c r="AC867" i="3"/>
  <c r="AC868" i="3"/>
  <c r="AC869" i="3"/>
  <c r="AC870" i="3"/>
  <c r="AC871" i="3"/>
  <c r="AC872" i="3"/>
  <c r="AC873" i="3"/>
  <c r="AC874" i="3"/>
  <c r="AC875" i="3"/>
  <c r="AC876" i="3"/>
  <c r="AC877" i="3"/>
  <c r="AC878" i="3"/>
  <c r="AC879" i="3"/>
  <c r="AC880" i="3"/>
  <c r="AC881" i="3"/>
  <c r="AC882" i="3"/>
  <c r="AC883" i="3"/>
  <c r="AC884" i="3"/>
  <c r="AC885" i="3"/>
  <c r="AC886" i="3"/>
  <c r="AC887" i="3"/>
  <c r="AC888" i="3"/>
  <c r="AC889" i="3"/>
  <c r="AC890" i="3"/>
  <c r="AC891" i="3"/>
  <c r="AC892" i="3"/>
  <c r="AC893" i="3"/>
  <c r="AC894" i="3"/>
  <c r="AC895" i="3"/>
  <c r="AC896" i="3"/>
  <c r="AC897" i="3"/>
  <c r="AC898" i="3"/>
  <c r="AC899" i="3"/>
  <c r="AC900" i="3"/>
  <c r="AC901" i="3"/>
  <c r="AC902" i="3"/>
  <c r="AC903" i="3"/>
  <c r="AC904" i="3"/>
  <c r="AC905" i="3"/>
  <c r="AC906" i="3"/>
  <c r="AC907" i="3"/>
  <c r="AC908" i="3"/>
  <c r="AC909" i="3"/>
  <c r="AC910" i="3"/>
  <c r="AC911" i="3"/>
  <c r="AC912" i="3"/>
  <c r="AC913" i="3"/>
  <c r="AC914" i="3"/>
  <c r="AC915" i="3"/>
  <c r="AC916" i="3"/>
  <c r="AC917" i="3"/>
  <c r="AC918" i="3"/>
  <c r="AC919" i="3"/>
  <c r="AC920" i="3"/>
  <c r="AC921" i="3"/>
  <c r="AC922" i="3"/>
  <c r="AC923" i="3"/>
  <c r="AC924" i="3"/>
  <c r="AC925" i="3"/>
  <c r="AC926" i="3"/>
  <c r="AC927" i="3"/>
  <c r="AC928" i="3"/>
  <c r="AC929" i="3"/>
  <c r="AC930" i="3"/>
  <c r="AC931" i="3"/>
  <c r="AC932" i="3"/>
  <c r="AC933" i="3"/>
  <c r="AC934" i="3"/>
  <c r="AC935" i="3"/>
  <c r="AC936" i="3"/>
  <c r="AC937" i="3"/>
  <c r="AC938" i="3"/>
  <c r="AC939" i="3"/>
  <c r="AC940" i="3"/>
  <c r="AC941" i="3"/>
  <c r="AC942" i="3"/>
  <c r="AC943" i="3"/>
  <c r="AC944" i="3"/>
  <c r="AC945" i="3"/>
  <c r="AC946" i="3"/>
  <c r="AC947" i="3"/>
  <c r="AC948" i="3"/>
  <c r="AC949" i="3"/>
  <c r="AC950" i="3"/>
  <c r="AC951" i="3"/>
  <c r="AC952" i="3"/>
  <c r="AC953" i="3"/>
  <c r="AC954" i="3"/>
  <c r="AC955" i="3"/>
  <c r="AC956" i="3"/>
  <c r="AC957" i="3"/>
  <c r="AC958" i="3"/>
  <c r="AC959" i="3"/>
  <c r="AC960" i="3"/>
  <c r="AC961" i="3"/>
  <c r="AC962" i="3"/>
  <c r="AC963" i="3"/>
  <c r="AC964" i="3"/>
  <c r="AC965" i="3"/>
  <c r="AC966" i="3"/>
  <c r="AC967" i="3"/>
  <c r="AC968" i="3"/>
  <c r="AC969" i="3"/>
  <c r="AC970" i="3"/>
  <c r="AC971" i="3"/>
  <c r="AC972" i="3"/>
  <c r="AC973" i="3"/>
  <c r="AC974" i="3"/>
  <c r="AC975" i="3"/>
  <c r="AC976" i="3"/>
  <c r="AC977" i="3"/>
  <c r="AC978" i="3"/>
  <c r="AC979" i="3"/>
  <c r="AC980" i="3"/>
  <c r="AC981" i="3"/>
  <c r="AC982" i="3"/>
  <c r="AC983" i="3"/>
  <c r="AC984" i="3"/>
  <c r="AC985" i="3"/>
  <c r="AC986" i="3"/>
  <c r="AC987" i="3"/>
  <c r="AC988" i="3"/>
  <c r="AC989" i="3"/>
  <c r="AC990" i="3"/>
  <c r="AC991" i="3"/>
  <c r="AC992" i="3"/>
  <c r="AC993" i="3"/>
  <c r="AC994" i="3"/>
  <c r="AC995" i="3"/>
  <c r="AC996" i="3"/>
  <c r="AC997" i="3"/>
  <c r="AC998" i="3"/>
  <c r="AC999" i="3"/>
  <c r="AC1000" i="3"/>
  <c r="AC1001" i="3"/>
  <c r="AC1002" i="3"/>
  <c r="AC1003" i="3"/>
  <c r="AC1004" i="3"/>
  <c r="AC1005" i="3"/>
  <c r="AC1006" i="3"/>
  <c r="AC1007" i="3"/>
  <c r="AC1008" i="3"/>
  <c r="AC1009" i="3"/>
  <c r="AC1010" i="3"/>
  <c r="AC1011" i="3"/>
  <c r="AC1012" i="3"/>
  <c r="AC1013" i="3"/>
  <c r="AC1014" i="3"/>
  <c r="AC1015" i="3"/>
  <c r="AC1016" i="3"/>
  <c r="AC1017" i="3"/>
  <c r="AC1018" i="3"/>
  <c r="AC1019" i="3"/>
  <c r="AC1020" i="3"/>
  <c r="AC1021" i="3"/>
  <c r="AC1022" i="3"/>
  <c r="AC1023" i="3"/>
  <c r="AC1024" i="3"/>
  <c r="AC1025" i="3"/>
  <c r="AC1026" i="3"/>
  <c r="AC1027" i="3"/>
  <c r="AC1028" i="3"/>
  <c r="AC1029" i="3"/>
  <c r="AC1030" i="3"/>
  <c r="AC1031" i="3"/>
  <c r="AC1032" i="3"/>
  <c r="AC1033" i="3"/>
  <c r="AC1034" i="3"/>
  <c r="AC1035" i="3"/>
  <c r="AC1036" i="3"/>
  <c r="AC1037" i="3"/>
  <c r="AC1038" i="3"/>
  <c r="AC1039" i="3"/>
  <c r="AC1040" i="3"/>
  <c r="AC1041" i="3"/>
  <c r="AC1042" i="3"/>
  <c r="AC1043" i="3"/>
  <c r="AC1044" i="3"/>
  <c r="AC1045" i="3"/>
  <c r="AC1046" i="3"/>
  <c r="AC1047" i="3"/>
  <c r="AC1048" i="3"/>
  <c r="AC1049" i="3"/>
  <c r="AC1050" i="3"/>
  <c r="AC1051" i="3"/>
  <c r="AC1052" i="3"/>
  <c r="AC1053" i="3"/>
  <c r="AC1054" i="3"/>
  <c r="AC1055" i="3"/>
  <c r="AC1056" i="3"/>
  <c r="AC1057" i="3"/>
  <c r="AC1058" i="3"/>
  <c r="AC1059" i="3"/>
  <c r="AC1060" i="3"/>
  <c r="AC1061" i="3"/>
  <c r="AC1062" i="3"/>
  <c r="AC1063" i="3"/>
  <c r="AC1064" i="3"/>
  <c r="AC1065" i="3"/>
  <c r="AC1066" i="3"/>
  <c r="AC1067" i="3"/>
  <c r="AC1068" i="3"/>
  <c r="AC1069" i="3"/>
  <c r="AC1070" i="3"/>
  <c r="AC1071" i="3"/>
  <c r="AC1072" i="3"/>
  <c r="AC1073" i="3"/>
  <c r="AC1074" i="3"/>
  <c r="AC1075" i="3"/>
  <c r="AC1076" i="3"/>
  <c r="AC1077" i="3"/>
  <c r="AC1078" i="3"/>
  <c r="AC1079" i="3"/>
  <c r="AC1080" i="3"/>
  <c r="AC1081" i="3"/>
  <c r="AC1082" i="3"/>
  <c r="AC1083" i="3"/>
  <c r="AC1084" i="3"/>
  <c r="AC1085" i="3"/>
  <c r="AC1086" i="3"/>
  <c r="AC1087" i="3"/>
  <c r="AC1088" i="3"/>
  <c r="AC1089" i="3"/>
  <c r="AC1090" i="3"/>
  <c r="AC1091" i="3"/>
  <c r="AC1092" i="3"/>
  <c r="AC1093" i="3"/>
  <c r="AC1094" i="3"/>
  <c r="AC1095" i="3"/>
  <c r="AC1096" i="3"/>
  <c r="AC1097" i="3"/>
  <c r="AC1098" i="3"/>
  <c r="AC1099" i="3"/>
  <c r="AC1100" i="3"/>
  <c r="AC1101" i="3"/>
  <c r="AC1102" i="3"/>
  <c r="AC1103" i="3"/>
  <c r="AC1104" i="3"/>
  <c r="AC1105" i="3"/>
  <c r="AC1106" i="3"/>
  <c r="AC1107" i="3"/>
  <c r="AC1108" i="3"/>
  <c r="AC1109" i="3"/>
  <c r="AC1110" i="3"/>
  <c r="AC1111" i="3"/>
  <c r="AC1112" i="3"/>
  <c r="AC1113" i="3"/>
  <c r="AC1114" i="3"/>
  <c r="AC1115" i="3"/>
  <c r="AC1116" i="3"/>
  <c r="AC1117" i="3"/>
  <c r="AC1118" i="3"/>
  <c r="AC1119" i="3"/>
  <c r="AC1120" i="3"/>
  <c r="AC1121" i="3"/>
  <c r="AC1122" i="3"/>
  <c r="AC1123" i="3"/>
  <c r="AC1124" i="3"/>
  <c r="AC1125" i="3"/>
  <c r="AC1126" i="3"/>
  <c r="AC1127" i="3"/>
  <c r="AC1128" i="3"/>
  <c r="AC1129" i="3"/>
  <c r="AC1130" i="3"/>
  <c r="AC1131" i="3"/>
  <c r="AC1132" i="3"/>
  <c r="AC1133" i="3"/>
  <c r="AC1134" i="3"/>
  <c r="AC1135" i="3"/>
  <c r="AC1136" i="3"/>
  <c r="AC1137" i="3"/>
  <c r="AC1138" i="3"/>
  <c r="AC1139" i="3"/>
  <c r="AC1140" i="3"/>
  <c r="AC1141" i="3"/>
  <c r="AC1142" i="3"/>
  <c r="AC1143" i="3"/>
  <c r="AC1144" i="3"/>
  <c r="AC1145" i="3"/>
  <c r="AC1146" i="3"/>
  <c r="AC1147" i="3"/>
  <c r="AC1148" i="3"/>
  <c r="AC1149" i="3"/>
  <c r="AC1150" i="3"/>
  <c r="AC1151" i="3"/>
  <c r="AC1152" i="3"/>
  <c r="AC1153" i="3"/>
  <c r="AC1154" i="3"/>
  <c r="AC1155" i="3"/>
  <c r="AC1156" i="3"/>
  <c r="AC1157" i="3"/>
  <c r="AC1158" i="3"/>
  <c r="AC1159" i="3"/>
  <c r="AC1160" i="3"/>
  <c r="AC1161" i="3"/>
  <c r="AC1162" i="3"/>
  <c r="AC1163" i="3"/>
  <c r="AC1164" i="3"/>
  <c r="AC1165" i="3"/>
  <c r="AC1166" i="3"/>
  <c r="AC1167" i="3"/>
  <c r="AC1168" i="3"/>
  <c r="AC1169" i="3"/>
  <c r="AC1170" i="3"/>
  <c r="AC24" i="3"/>
  <c r="AC25" i="3"/>
  <c r="AC26" i="3"/>
  <c r="AC27" i="3"/>
  <c r="AC28" i="3"/>
  <c r="AC29" i="3"/>
  <c r="AC30" i="3"/>
  <c r="AC31" i="3"/>
  <c r="AC32" i="3"/>
  <c r="AC33" i="3"/>
  <c r="AC34" i="3"/>
  <c r="AC35" i="3"/>
  <c r="AC36" i="3"/>
  <c r="AC37" i="3"/>
  <c r="AC38" i="3"/>
  <c r="AC39" i="3"/>
  <c r="AC40" i="3"/>
  <c r="AC41" i="3"/>
  <c r="AC42" i="3"/>
  <c r="AC43" i="3"/>
  <c r="AC44" i="3"/>
  <c r="AC45" i="3"/>
  <c r="AC46" i="3"/>
  <c r="AC47" i="3"/>
  <c r="AC48" i="3"/>
  <c r="AC49" i="3"/>
  <c r="AC50" i="3"/>
  <c r="AC51" i="3"/>
  <c r="AC52" i="3"/>
  <c r="AC53" i="3"/>
  <c r="AC54" i="3"/>
  <c r="AC55" i="3"/>
  <c r="AC56" i="3"/>
  <c r="AC57" i="3"/>
  <c r="AC58" i="3"/>
  <c r="AC59" i="3"/>
  <c r="AC60" i="3"/>
  <c r="AC61" i="3"/>
  <c r="AC62" i="3"/>
  <c r="AC63" i="3"/>
  <c r="AC64" i="3"/>
  <c r="AC65" i="3"/>
  <c r="AC66" i="3"/>
  <c r="AC67" i="3"/>
  <c r="AC3" i="3"/>
  <c r="AC4" i="3"/>
  <c r="AC5" i="3"/>
  <c r="AC6" i="3"/>
  <c r="AC7" i="3"/>
  <c r="AC8" i="3"/>
  <c r="AC9" i="3"/>
  <c r="AC10" i="3"/>
  <c r="AC11" i="3"/>
  <c r="AC12" i="3"/>
  <c r="AC13" i="3"/>
  <c r="AC14" i="3"/>
  <c r="AC15" i="3"/>
  <c r="AC16" i="3"/>
  <c r="AC17" i="3"/>
  <c r="AC18" i="3"/>
  <c r="AC19" i="3"/>
  <c r="AC20" i="3"/>
  <c r="AC21" i="3"/>
  <c r="AC22" i="3"/>
  <c r="AC23" i="3"/>
  <c r="AC2" i="3"/>
  <c r="AB3" i="3"/>
  <c r="AB4" i="3"/>
  <c r="AB5" i="3"/>
  <c r="AB6" i="3"/>
  <c r="AB7" i="3"/>
  <c r="AB8" i="3"/>
  <c r="AB9" i="3"/>
  <c r="AB10" i="3"/>
  <c r="AB11" i="3"/>
  <c r="AB12" i="3"/>
  <c r="AB13" i="3"/>
  <c r="AB14" i="3"/>
  <c r="AB15" i="3"/>
  <c r="AB16" i="3"/>
  <c r="AB17" i="3"/>
  <c r="AB18" i="3"/>
  <c r="AB19" i="3"/>
  <c r="AB20" i="3"/>
  <c r="AB21" i="3"/>
  <c r="AB22" i="3"/>
  <c r="AB23" i="3"/>
  <c r="AB24" i="3"/>
  <c r="AB25" i="3"/>
  <c r="AB26" i="3"/>
  <c r="AB27" i="3"/>
  <c r="AB28" i="3"/>
  <c r="AB29" i="3"/>
  <c r="AB30" i="3"/>
  <c r="AB31" i="3"/>
  <c r="AB32" i="3"/>
  <c r="AB33" i="3"/>
  <c r="AB34" i="3"/>
  <c r="AB35" i="3"/>
  <c r="AB36" i="3"/>
  <c r="AB37" i="3"/>
  <c r="AB38" i="3"/>
  <c r="AB39" i="3"/>
  <c r="AB40" i="3"/>
  <c r="AB41" i="3"/>
  <c r="AB42" i="3"/>
  <c r="AB43" i="3"/>
  <c r="AB44" i="3"/>
  <c r="AB45" i="3"/>
  <c r="AB46" i="3"/>
  <c r="AB47" i="3"/>
  <c r="AB48" i="3"/>
  <c r="AB49" i="3"/>
  <c r="AB50" i="3"/>
  <c r="AB51" i="3"/>
  <c r="AB52" i="3"/>
  <c r="AB53" i="3"/>
  <c r="AB54" i="3"/>
  <c r="AB55" i="3"/>
  <c r="AB56" i="3"/>
  <c r="AB57" i="3"/>
  <c r="AB58" i="3"/>
  <c r="AB59" i="3"/>
  <c r="AB60" i="3"/>
  <c r="AB61" i="3"/>
  <c r="AB62" i="3"/>
  <c r="AB63" i="3"/>
  <c r="AB64" i="3"/>
  <c r="AB65" i="3"/>
  <c r="AB66" i="3"/>
  <c r="AB67" i="3"/>
  <c r="AB68" i="3"/>
  <c r="AB69" i="3"/>
  <c r="AB70" i="3"/>
  <c r="AB71" i="3"/>
  <c r="AB72" i="3"/>
  <c r="AB73" i="3"/>
  <c r="AB74" i="3"/>
  <c r="AB75" i="3"/>
  <c r="AB76" i="3"/>
  <c r="AB77" i="3"/>
  <c r="AB78" i="3"/>
  <c r="AB79" i="3"/>
  <c r="AB80" i="3"/>
  <c r="AB81" i="3"/>
  <c r="AB82" i="3"/>
  <c r="AB83" i="3"/>
  <c r="AB84" i="3"/>
  <c r="AB85" i="3"/>
  <c r="AB86" i="3"/>
  <c r="AB87" i="3"/>
  <c r="AB88" i="3"/>
  <c r="AB89" i="3"/>
  <c r="AB90" i="3"/>
  <c r="AB91" i="3"/>
  <c r="AB92" i="3"/>
  <c r="AB93" i="3"/>
  <c r="AB94" i="3"/>
  <c r="AB95" i="3"/>
  <c r="AB96" i="3"/>
  <c r="AB97" i="3"/>
  <c r="AB98" i="3"/>
  <c r="AB99" i="3"/>
  <c r="AB100" i="3"/>
  <c r="AB101" i="3"/>
  <c r="AB102" i="3"/>
  <c r="AB103" i="3"/>
  <c r="AB104" i="3"/>
  <c r="AB105" i="3"/>
  <c r="AB106" i="3"/>
  <c r="AB107" i="3"/>
  <c r="AB108" i="3"/>
  <c r="AB109" i="3"/>
  <c r="AB110" i="3"/>
  <c r="AB111" i="3"/>
  <c r="AB112" i="3"/>
  <c r="AB113" i="3"/>
  <c r="AB114" i="3"/>
  <c r="AB115" i="3"/>
  <c r="AB116" i="3"/>
  <c r="AB117" i="3"/>
  <c r="AB118" i="3"/>
  <c r="AB119" i="3"/>
  <c r="AB120" i="3"/>
  <c r="AB121" i="3"/>
  <c r="AB122" i="3"/>
  <c r="AB123" i="3"/>
  <c r="AB124" i="3"/>
  <c r="AB125" i="3"/>
  <c r="AB126" i="3"/>
  <c r="AB127" i="3"/>
  <c r="AB128" i="3"/>
  <c r="AB129" i="3"/>
  <c r="AB130" i="3"/>
  <c r="AB131" i="3"/>
  <c r="AB132" i="3"/>
  <c r="AB133" i="3"/>
  <c r="AB134" i="3"/>
  <c r="AB135" i="3"/>
  <c r="AB136" i="3"/>
  <c r="AB137" i="3"/>
  <c r="AB138" i="3"/>
  <c r="AB139" i="3"/>
  <c r="AB140" i="3"/>
  <c r="AB141" i="3"/>
  <c r="AB142" i="3"/>
  <c r="AB143" i="3"/>
  <c r="AB144" i="3"/>
  <c r="AB145" i="3"/>
  <c r="AB146" i="3"/>
  <c r="AB147" i="3"/>
  <c r="AB148" i="3"/>
  <c r="AB149" i="3"/>
  <c r="AB150" i="3"/>
  <c r="AB151" i="3"/>
  <c r="AB152" i="3"/>
  <c r="AB153" i="3"/>
  <c r="AB154" i="3"/>
  <c r="AB155" i="3"/>
  <c r="AB156" i="3"/>
  <c r="AB157" i="3"/>
  <c r="AB158" i="3"/>
  <c r="AB159" i="3"/>
  <c r="AB160" i="3"/>
  <c r="AB161" i="3"/>
  <c r="AB162" i="3"/>
  <c r="AB163" i="3"/>
  <c r="AB164" i="3"/>
  <c r="AB165" i="3"/>
  <c r="AB166" i="3"/>
  <c r="AB167" i="3"/>
  <c r="AB168" i="3"/>
  <c r="AB169" i="3"/>
  <c r="AB170" i="3"/>
  <c r="AB171" i="3"/>
  <c r="AB172" i="3"/>
  <c r="AB173" i="3"/>
  <c r="AB174" i="3"/>
  <c r="AB175" i="3"/>
  <c r="AB176" i="3"/>
  <c r="AB177" i="3"/>
  <c r="AB178" i="3"/>
  <c r="AB179" i="3"/>
  <c r="AB180" i="3"/>
  <c r="AB181" i="3"/>
  <c r="AB182" i="3"/>
  <c r="AB183" i="3"/>
  <c r="AB184" i="3"/>
  <c r="AB185" i="3"/>
  <c r="AB186" i="3"/>
  <c r="AB187" i="3"/>
  <c r="AB188" i="3"/>
  <c r="AB189" i="3"/>
  <c r="AB190" i="3"/>
  <c r="AB191" i="3"/>
  <c r="AB192" i="3"/>
  <c r="AB193" i="3"/>
  <c r="AB194" i="3"/>
  <c r="AB195" i="3"/>
  <c r="AB196" i="3"/>
  <c r="AB197" i="3"/>
  <c r="AB198" i="3"/>
  <c r="AB199" i="3"/>
  <c r="AB200" i="3"/>
  <c r="AB201" i="3"/>
  <c r="AB202" i="3"/>
  <c r="AB203" i="3"/>
  <c r="AB204" i="3"/>
  <c r="AB205" i="3"/>
  <c r="AB206" i="3"/>
  <c r="AB207" i="3"/>
  <c r="AB208" i="3"/>
  <c r="AB209" i="3"/>
  <c r="AB210" i="3"/>
  <c r="AB211" i="3"/>
  <c r="AB212" i="3"/>
  <c r="AB213" i="3"/>
  <c r="AB214" i="3"/>
  <c r="AB215" i="3"/>
  <c r="AB216" i="3"/>
  <c r="AB217" i="3"/>
  <c r="AB218" i="3"/>
  <c r="AB219" i="3"/>
  <c r="AB220" i="3"/>
  <c r="AB221" i="3"/>
  <c r="AB222" i="3"/>
  <c r="AB223" i="3"/>
  <c r="AB224" i="3"/>
  <c r="AB225" i="3"/>
  <c r="AB226" i="3"/>
  <c r="AB227" i="3"/>
  <c r="AB228" i="3"/>
  <c r="AB229" i="3"/>
  <c r="AB230" i="3"/>
  <c r="AB231" i="3"/>
  <c r="AB232" i="3"/>
  <c r="AB233" i="3"/>
  <c r="AB234" i="3"/>
  <c r="AB235" i="3"/>
  <c r="AB236" i="3"/>
  <c r="AB237" i="3"/>
  <c r="AB238" i="3"/>
  <c r="AB239" i="3"/>
  <c r="AB240" i="3"/>
  <c r="AB241" i="3"/>
  <c r="AB242" i="3"/>
  <c r="AB243" i="3"/>
  <c r="AB244" i="3"/>
  <c r="AB245" i="3"/>
  <c r="AB246" i="3"/>
  <c r="AB247" i="3"/>
  <c r="AB248" i="3"/>
  <c r="AB249" i="3"/>
  <c r="AB250" i="3"/>
  <c r="AB251" i="3"/>
  <c r="AB252" i="3"/>
  <c r="AB253" i="3"/>
  <c r="AB254" i="3"/>
  <c r="AB255" i="3"/>
  <c r="AB256" i="3"/>
  <c r="AB257" i="3"/>
  <c r="AB258" i="3"/>
  <c r="AB259" i="3"/>
  <c r="AB260" i="3"/>
  <c r="AB261" i="3"/>
  <c r="AB262" i="3"/>
  <c r="AB263" i="3"/>
  <c r="AB264" i="3"/>
  <c r="AB265" i="3"/>
  <c r="AB266" i="3"/>
  <c r="AB267" i="3"/>
  <c r="AB268" i="3"/>
  <c r="AB269" i="3"/>
  <c r="AB270" i="3"/>
  <c r="AB271" i="3"/>
  <c r="AB272" i="3"/>
  <c r="AB273" i="3"/>
  <c r="AB274" i="3"/>
  <c r="AB275" i="3"/>
  <c r="AB276" i="3"/>
  <c r="AB277" i="3"/>
  <c r="AB278" i="3"/>
  <c r="AB279" i="3"/>
  <c r="AB280" i="3"/>
  <c r="AB281" i="3"/>
  <c r="AB282" i="3"/>
  <c r="AB283" i="3"/>
  <c r="AB284" i="3"/>
  <c r="AB285" i="3"/>
  <c r="AB286" i="3"/>
  <c r="AB287" i="3"/>
  <c r="AB288" i="3"/>
  <c r="AB289" i="3"/>
  <c r="AB290" i="3"/>
  <c r="AB291" i="3"/>
  <c r="AB292" i="3"/>
  <c r="AB293" i="3"/>
  <c r="AB294" i="3"/>
  <c r="AB295" i="3"/>
  <c r="AB296" i="3"/>
  <c r="AB297" i="3"/>
  <c r="AB298" i="3"/>
  <c r="AB299" i="3"/>
  <c r="AB300" i="3"/>
  <c r="AB301" i="3"/>
  <c r="AB302" i="3"/>
  <c r="AB303" i="3"/>
  <c r="AB304" i="3"/>
  <c r="AB305" i="3"/>
  <c r="AB306" i="3"/>
  <c r="AB307" i="3"/>
  <c r="AB308" i="3"/>
  <c r="AB309" i="3"/>
  <c r="AB310" i="3"/>
  <c r="AB311" i="3"/>
  <c r="AB312" i="3"/>
  <c r="AB313" i="3"/>
  <c r="AB314" i="3"/>
  <c r="AB315" i="3"/>
  <c r="AB316" i="3"/>
  <c r="AB317" i="3"/>
  <c r="AB318" i="3"/>
  <c r="AB319" i="3"/>
  <c r="AB320" i="3"/>
  <c r="AB321" i="3"/>
  <c r="AB322" i="3"/>
  <c r="AB323" i="3"/>
  <c r="AB324" i="3"/>
  <c r="AB325" i="3"/>
  <c r="AB326" i="3"/>
  <c r="AB327" i="3"/>
  <c r="AB328" i="3"/>
  <c r="AB329" i="3"/>
  <c r="AB330" i="3"/>
  <c r="AB331" i="3"/>
  <c r="AB332" i="3"/>
  <c r="AB333" i="3"/>
  <c r="AB334" i="3"/>
  <c r="AB335" i="3"/>
  <c r="AB336" i="3"/>
  <c r="AB337" i="3"/>
  <c r="AB338" i="3"/>
  <c r="AB339" i="3"/>
  <c r="AB340" i="3"/>
  <c r="AB341" i="3"/>
  <c r="AB342" i="3"/>
  <c r="AB343" i="3"/>
  <c r="AB344" i="3"/>
  <c r="AB345" i="3"/>
  <c r="AB346" i="3"/>
  <c r="AB347" i="3"/>
  <c r="AB348" i="3"/>
  <c r="AB349" i="3"/>
  <c r="AB350" i="3"/>
  <c r="AB351" i="3"/>
  <c r="AB352" i="3"/>
  <c r="AB353" i="3"/>
  <c r="AB354" i="3"/>
  <c r="AB355" i="3"/>
  <c r="AB356" i="3"/>
  <c r="AB357" i="3"/>
  <c r="AB358" i="3"/>
  <c r="AB359" i="3"/>
  <c r="AB360" i="3"/>
  <c r="AB361" i="3"/>
  <c r="AB362" i="3"/>
  <c r="AB363" i="3"/>
  <c r="AB364" i="3"/>
  <c r="AB365" i="3"/>
  <c r="AB366" i="3"/>
  <c r="AB367" i="3"/>
  <c r="AB368" i="3"/>
  <c r="AB369" i="3"/>
  <c r="AB370" i="3"/>
  <c r="AB371" i="3"/>
  <c r="AB372" i="3"/>
  <c r="AB373" i="3"/>
  <c r="AB374" i="3"/>
  <c r="AB375" i="3"/>
  <c r="AB376" i="3"/>
  <c r="AB377" i="3"/>
  <c r="AB378" i="3"/>
  <c r="AB379" i="3"/>
  <c r="AB380" i="3"/>
  <c r="AB381" i="3"/>
  <c r="AB382" i="3"/>
  <c r="AB383" i="3"/>
  <c r="AB384" i="3"/>
  <c r="AB385" i="3"/>
  <c r="AB386" i="3"/>
  <c r="AB387" i="3"/>
  <c r="AB388" i="3"/>
  <c r="AB389" i="3"/>
  <c r="AB390" i="3"/>
  <c r="AB391" i="3"/>
  <c r="AB392" i="3"/>
  <c r="AB393" i="3"/>
  <c r="AB394" i="3"/>
  <c r="AB395" i="3"/>
  <c r="AB396" i="3"/>
  <c r="AB397" i="3"/>
  <c r="AB398" i="3"/>
  <c r="AB399" i="3"/>
  <c r="AB400" i="3"/>
  <c r="AB401" i="3"/>
  <c r="AB402" i="3"/>
  <c r="AB403" i="3"/>
  <c r="AB404" i="3"/>
  <c r="AB405" i="3"/>
  <c r="AB406" i="3"/>
  <c r="AB407" i="3"/>
  <c r="AB408" i="3"/>
  <c r="AB409" i="3"/>
  <c r="AB410" i="3"/>
  <c r="AB411" i="3"/>
  <c r="AB412" i="3"/>
  <c r="AB413" i="3"/>
  <c r="AB414" i="3"/>
  <c r="AB415" i="3"/>
  <c r="AB416" i="3"/>
  <c r="AB417" i="3"/>
  <c r="AB418" i="3"/>
  <c r="AB419" i="3"/>
  <c r="AB420" i="3"/>
  <c r="AB421" i="3"/>
  <c r="AB422" i="3"/>
  <c r="AB423" i="3"/>
  <c r="AB424" i="3"/>
  <c r="AB425" i="3"/>
  <c r="AB426" i="3"/>
  <c r="AB427" i="3"/>
  <c r="AB428" i="3"/>
  <c r="AB429" i="3"/>
  <c r="AB430" i="3"/>
  <c r="AB431" i="3"/>
  <c r="AB432" i="3"/>
  <c r="AB433" i="3"/>
  <c r="AB434" i="3"/>
  <c r="AB435" i="3"/>
  <c r="AB436" i="3"/>
  <c r="AB437" i="3"/>
  <c r="AB438" i="3"/>
  <c r="AB439" i="3"/>
  <c r="AB440" i="3"/>
  <c r="AB441" i="3"/>
  <c r="AB442" i="3"/>
  <c r="AB443" i="3"/>
  <c r="AB444" i="3"/>
  <c r="AB445" i="3"/>
  <c r="AB446" i="3"/>
  <c r="AB447" i="3"/>
  <c r="AB448" i="3"/>
  <c r="AB449" i="3"/>
  <c r="AB450" i="3"/>
  <c r="AB451" i="3"/>
  <c r="AB452" i="3"/>
  <c r="AB453" i="3"/>
  <c r="AB454" i="3"/>
  <c r="AB455" i="3"/>
  <c r="AB456" i="3"/>
  <c r="AB457" i="3"/>
  <c r="AB458" i="3"/>
  <c r="AB459" i="3"/>
  <c r="AB460" i="3"/>
  <c r="AB461" i="3"/>
  <c r="AB462" i="3"/>
  <c r="AB463" i="3"/>
  <c r="AB464" i="3"/>
  <c r="AB465" i="3"/>
  <c r="AB466" i="3"/>
  <c r="AB467" i="3"/>
  <c r="AB468" i="3"/>
  <c r="AB469" i="3"/>
  <c r="AB470" i="3"/>
  <c r="AB471" i="3"/>
  <c r="AB472" i="3"/>
  <c r="AB473" i="3"/>
  <c r="AB474" i="3"/>
  <c r="AB475" i="3"/>
  <c r="AB476" i="3"/>
  <c r="AB477" i="3"/>
  <c r="AB478" i="3"/>
  <c r="AB479" i="3"/>
  <c r="AB480" i="3"/>
  <c r="AB481" i="3"/>
  <c r="AB482" i="3"/>
  <c r="AB483" i="3"/>
  <c r="AB484" i="3"/>
  <c r="AB485" i="3"/>
  <c r="AB486" i="3"/>
  <c r="AB487" i="3"/>
  <c r="AB488" i="3"/>
  <c r="AB489" i="3"/>
  <c r="AB490" i="3"/>
  <c r="AB491" i="3"/>
  <c r="AB492" i="3"/>
  <c r="AB493" i="3"/>
  <c r="AB494" i="3"/>
  <c r="AB495" i="3"/>
  <c r="AB496" i="3"/>
  <c r="AB497" i="3"/>
  <c r="AB498" i="3"/>
  <c r="AB499" i="3"/>
  <c r="AB500" i="3"/>
  <c r="AB501" i="3"/>
  <c r="AB502" i="3"/>
  <c r="AB503" i="3"/>
  <c r="AB504" i="3"/>
  <c r="AB505" i="3"/>
  <c r="AB506" i="3"/>
  <c r="AB507" i="3"/>
  <c r="AB508" i="3"/>
  <c r="AB509" i="3"/>
  <c r="AB510" i="3"/>
  <c r="AB511" i="3"/>
  <c r="AB512" i="3"/>
  <c r="AB513" i="3"/>
  <c r="AB514" i="3"/>
  <c r="AB515" i="3"/>
  <c r="AB516" i="3"/>
  <c r="AB517" i="3"/>
  <c r="AB518" i="3"/>
  <c r="AB519" i="3"/>
  <c r="AB520" i="3"/>
  <c r="AB521" i="3"/>
  <c r="AB522" i="3"/>
  <c r="AB523" i="3"/>
  <c r="AB524" i="3"/>
  <c r="AB525" i="3"/>
  <c r="AB526" i="3"/>
  <c r="AB527" i="3"/>
  <c r="AB528" i="3"/>
  <c r="AB529" i="3"/>
  <c r="AB530" i="3"/>
  <c r="AB531" i="3"/>
  <c r="AB532" i="3"/>
  <c r="AB533" i="3"/>
  <c r="AB534" i="3"/>
  <c r="AB535" i="3"/>
  <c r="AB536" i="3"/>
  <c r="AB537" i="3"/>
  <c r="AB538" i="3"/>
  <c r="AB539" i="3"/>
  <c r="AB540" i="3"/>
  <c r="AB541" i="3"/>
  <c r="AB542" i="3"/>
  <c r="AB543" i="3"/>
  <c r="AB544" i="3"/>
  <c r="AB545" i="3"/>
  <c r="AB546" i="3"/>
  <c r="AB547" i="3"/>
  <c r="AB548" i="3"/>
  <c r="AB549" i="3"/>
  <c r="AB550" i="3"/>
  <c r="AB551" i="3"/>
  <c r="AB552" i="3"/>
  <c r="AB553" i="3"/>
  <c r="AB554" i="3"/>
  <c r="AB555" i="3"/>
  <c r="AB556" i="3"/>
  <c r="AB557" i="3"/>
  <c r="AB558" i="3"/>
  <c r="AB559" i="3"/>
  <c r="AB560" i="3"/>
  <c r="AB561" i="3"/>
  <c r="AB562" i="3"/>
  <c r="AB563" i="3"/>
  <c r="AB564" i="3"/>
  <c r="AB565" i="3"/>
  <c r="AB566" i="3"/>
  <c r="AB567" i="3"/>
  <c r="AB568" i="3"/>
  <c r="AB569" i="3"/>
  <c r="AB570" i="3"/>
  <c r="AB571" i="3"/>
  <c r="AB572" i="3"/>
  <c r="AB573" i="3"/>
  <c r="AB574" i="3"/>
  <c r="AB575" i="3"/>
  <c r="AB576" i="3"/>
  <c r="AB577" i="3"/>
  <c r="AB578" i="3"/>
  <c r="AB579" i="3"/>
  <c r="AB580" i="3"/>
  <c r="AB581" i="3"/>
  <c r="AB582" i="3"/>
  <c r="AB583" i="3"/>
  <c r="AB584" i="3"/>
  <c r="AB585" i="3"/>
  <c r="AB586" i="3"/>
  <c r="AB587" i="3"/>
  <c r="AB588" i="3"/>
  <c r="AB589" i="3"/>
  <c r="AB590" i="3"/>
  <c r="AB591" i="3"/>
  <c r="AB592" i="3"/>
  <c r="AB593" i="3"/>
  <c r="AB594" i="3"/>
  <c r="AB595" i="3"/>
  <c r="AB596" i="3"/>
  <c r="AB597" i="3"/>
  <c r="AB598" i="3"/>
  <c r="AB599" i="3"/>
  <c r="AB600" i="3"/>
  <c r="AB601" i="3"/>
  <c r="AB602" i="3"/>
  <c r="AB603" i="3"/>
  <c r="AB604" i="3"/>
  <c r="AB605" i="3"/>
  <c r="AB606" i="3"/>
  <c r="AB607" i="3"/>
  <c r="AB608" i="3"/>
  <c r="AB609" i="3"/>
  <c r="AB610" i="3"/>
  <c r="AB611" i="3"/>
  <c r="AB612" i="3"/>
  <c r="AB613" i="3"/>
  <c r="AB614" i="3"/>
  <c r="AB615" i="3"/>
  <c r="AB616" i="3"/>
  <c r="AB617" i="3"/>
  <c r="AB618" i="3"/>
  <c r="AB619" i="3"/>
  <c r="AB620" i="3"/>
  <c r="AB621" i="3"/>
  <c r="AB622" i="3"/>
  <c r="AB623" i="3"/>
  <c r="AB624" i="3"/>
  <c r="AB625" i="3"/>
  <c r="AB626" i="3"/>
  <c r="AB627" i="3"/>
  <c r="AB628" i="3"/>
  <c r="AB629" i="3"/>
  <c r="AB630" i="3"/>
  <c r="AB631" i="3"/>
  <c r="AB632" i="3"/>
  <c r="AB633" i="3"/>
  <c r="AB634" i="3"/>
  <c r="AB635" i="3"/>
  <c r="AB636" i="3"/>
  <c r="AB637" i="3"/>
  <c r="AB638" i="3"/>
  <c r="AB639" i="3"/>
  <c r="AB640" i="3"/>
  <c r="AB641" i="3"/>
  <c r="AB642" i="3"/>
  <c r="AB643" i="3"/>
  <c r="AB644" i="3"/>
  <c r="AB645" i="3"/>
  <c r="AB646" i="3"/>
  <c r="AB647" i="3"/>
  <c r="AB648" i="3"/>
  <c r="AB649" i="3"/>
  <c r="AB650" i="3"/>
  <c r="AB651" i="3"/>
  <c r="AB652" i="3"/>
  <c r="AB653" i="3"/>
  <c r="AB654" i="3"/>
  <c r="AB655" i="3"/>
  <c r="AB656" i="3"/>
  <c r="AB657" i="3"/>
  <c r="AB658" i="3"/>
  <c r="AB659" i="3"/>
  <c r="AB660" i="3"/>
  <c r="AB661" i="3"/>
  <c r="AB662" i="3"/>
  <c r="AB663" i="3"/>
  <c r="AB664" i="3"/>
  <c r="AB665" i="3"/>
  <c r="AB666" i="3"/>
  <c r="AB667" i="3"/>
  <c r="AB668" i="3"/>
  <c r="AB669" i="3"/>
  <c r="AB670" i="3"/>
  <c r="AB671" i="3"/>
  <c r="AB672" i="3"/>
  <c r="AB673" i="3"/>
  <c r="AB674" i="3"/>
  <c r="AB675" i="3"/>
  <c r="AB676" i="3"/>
  <c r="AB677" i="3"/>
  <c r="AB678" i="3"/>
  <c r="AB679" i="3"/>
  <c r="AB680" i="3"/>
  <c r="AB681" i="3"/>
  <c r="AB682" i="3"/>
  <c r="AB683" i="3"/>
  <c r="AB684" i="3"/>
  <c r="AB685" i="3"/>
  <c r="AB686" i="3"/>
  <c r="AB687" i="3"/>
  <c r="AB688" i="3"/>
  <c r="AB689" i="3"/>
  <c r="AB690" i="3"/>
  <c r="AB691" i="3"/>
  <c r="AB692" i="3"/>
  <c r="AB693" i="3"/>
  <c r="AB694" i="3"/>
  <c r="AB695" i="3"/>
  <c r="AB696" i="3"/>
  <c r="AB697" i="3"/>
  <c r="AB698" i="3"/>
  <c r="AB699" i="3"/>
  <c r="AB700" i="3"/>
  <c r="AB701" i="3"/>
  <c r="AB702" i="3"/>
  <c r="AB703" i="3"/>
  <c r="AB704" i="3"/>
  <c r="AB705" i="3"/>
  <c r="AB706" i="3"/>
  <c r="AB707" i="3"/>
  <c r="AB708" i="3"/>
  <c r="AB709" i="3"/>
  <c r="AB710" i="3"/>
  <c r="AB711" i="3"/>
  <c r="AB712" i="3"/>
  <c r="AB713" i="3"/>
  <c r="AB714" i="3"/>
  <c r="AB715" i="3"/>
  <c r="AB716" i="3"/>
  <c r="AB717" i="3"/>
  <c r="AB718" i="3"/>
  <c r="AB719" i="3"/>
  <c r="AB720" i="3"/>
  <c r="AB721" i="3"/>
  <c r="AB722" i="3"/>
  <c r="AB723" i="3"/>
  <c r="AB724" i="3"/>
  <c r="AB725" i="3"/>
  <c r="AB726" i="3"/>
  <c r="AB727" i="3"/>
  <c r="AB728" i="3"/>
  <c r="AB729" i="3"/>
  <c r="AB730" i="3"/>
  <c r="AB731" i="3"/>
  <c r="AB732" i="3"/>
  <c r="AB733" i="3"/>
  <c r="AB734" i="3"/>
  <c r="AB735" i="3"/>
  <c r="AB736" i="3"/>
  <c r="AB737" i="3"/>
  <c r="AB738" i="3"/>
  <c r="AB739" i="3"/>
  <c r="AB740" i="3"/>
  <c r="AB741" i="3"/>
  <c r="AB742" i="3"/>
  <c r="AB743" i="3"/>
  <c r="AB744" i="3"/>
  <c r="AB745" i="3"/>
  <c r="AB746" i="3"/>
  <c r="AB747" i="3"/>
  <c r="AB748" i="3"/>
  <c r="AB749" i="3"/>
  <c r="AB750" i="3"/>
  <c r="AB751" i="3"/>
  <c r="AB752" i="3"/>
  <c r="AB753" i="3"/>
  <c r="AB754" i="3"/>
  <c r="AB755" i="3"/>
  <c r="AB756" i="3"/>
  <c r="AB757" i="3"/>
  <c r="AB758" i="3"/>
  <c r="AB759" i="3"/>
  <c r="AB760" i="3"/>
  <c r="AB761" i="3"/>
  <c r="AB762" i="3"/>
  <c r="AB763" i="3"/>
  <c r="AB764" i="3"/>
  <c r="AB765" i="3"/>
  <c r="AB766" i="3"/>
  <c r="AB767" i="3"/>
  <c r="AB768" i="3"/>
  <c r="AB769" i="3"/>
  <c r="AB770" i="3"/>
  <c r="AB771" i="3"/>
  <c r="AB772" i="3"/>
  <c r="AB773" i="3"/>
  <c r="AB774" i="3"/>
  <c r="AB775" i="3"/>
  <c r="AB776" i="3"/>
  <c r="AB777" i="3"/>
  <c r="AB778" i="3"/>
  <c r="AB779" i="3"/>
  <c r="AB780" i="3"/>
  <c r="AB781" i="3"/>
  <c r="AB782" i="3"/>
  <c r="AB783" i="3"/>
  <c r="AB784" i="3"/>
  <c r="AB785" i="3"/>
  <c r="AB786" i="3"/>
  <c r="AB787" i="3"/>
  <c r="AB788" i="3"/>
  <c r="AB789" i="3"/>
  <c r="AB790" i="3"/>
  <c r="AB791" i="3"/>
  <c r="AB792" i="3"/>
  <c r="AB793" i="3"/>
  <c r="AB794" i="3"/>
  <c r="AB795" i="3"/>
  <c r="AB796" i="3"/>
  <c r="AB797" i="3"/>
  <c r="AB798" i="3"/>
  <c r="AB799" i="3"/>
  <c r="AB800" i="3"/>
  <c r="AB801" i="3"/>
  <c r="AB802" i="3"/>
  <c r="AB803" i="3"/>
  <c r="AB804" i="3"/>
  <c r="AB805" i="3"/>
  <c r="AB806" i="3"/>
  <c r="AB807" i="3"/>
  <c r="AB808" i="3"/>
  <c r="AB809" i="3"/>
  <c r="AB810" i="3"/>
  <c r="AB811" i="3"/>
  <c r="AB812" i="3"/>
  <c r="AB813" i="3"/>
  <c r="AB814" i="3"/>
  <c r="AB815" i="3"/>
  <c r="AB816" i="3"/>
  <c r="AB817" i="3"/>
  <c r="AB818" i="3"/>
  <c r="AB819" i="3"/>
  <c r="AB820" i="3"/>
  <c r="AB821" i="3"/>
  <c r="AB822" i="3"/>
  <c r="AB823" i="3"/>
  <c r="AB824" i="3"/>
  <c r="AB825" i="3"/>
  <c r="AB826" i="3"/>
  <c r="AB827" i="3"/>
  <c r="AB828" i="3"/>
  <c r="AB829" i="3"/>
  <c r="AB830" i="3"/>
  <c r="AB831" i="3"/>
  <c r="AB832" i="3"/>
  <c r="AB833" i="3"/>
  <c r="AB834" i="3"/>
  <c r="AB835" i="3"/>
  <c r="AB836" i="3"/>
  <c r="AB837" i="3"/>
  <c r="AB838" i="3"/>
  <c r="AB839" i="3"/>
  <c r="AB840" i="3"/>
  <c r="AB841" i="3"/>
  <c r="AB842" i="3"/>
  <c r="AB843" i="3"/>
  <c r="AB844" i="3"/>
  <c r="AB845" i="3"/>
  <c r="AB846" i="3"/>
  <c r="AB847" i="3"/>
  <c r="AB848" i="3"/>
  <c r="AB849" i="3"/>
  <c r="AB850" i="3"/>
  <c r="AB851" i="3"/>
  <c r="AB852" i="3"/>
  <c r="AB853" i="3"/>
  <c r="AB854" i="3"/>
  <c r="AB855" i="3"/>
  <c r="AB856" i="3"/>
  <c r="AB857" i="3"/>
  <c r="AB858" i="3"/>
  <c r="AB859" i="3"/>
  <c r="AB860" i="3"/>
  <c r="AB861" i="3"/>
  <c r="AB862" i="3"/>
  <c r="AB863" i="3"/>
  <c r="AB864" i="3"/>
  <c r="AB865" i="3"/>
  <c r="AB866" i="3"/>
  <c r="AB867" i="3"/>
  <c r="AB868" i="3"/>
  <c r="AB869" i="3"/>
  <c r="AB870" i="3"/>
  <c r="AB871" i="3"/>
  <c r="AB872" i="3"/>
  <c r="AB873" i="3"/>
  <c r="AB874" i="3"/>
  <c r="AB875" i="3"/>
  <c r="AB876" i="3"/>
  <c r="AB877" i="3"/>
  <c r="AB878" i="3"/>
  <c r="AB879" i="3"/>
  <c r="AB880" i="3"/>
  <c r="AB881" i="3"/>
  <c r="AB882" i="3"/>
  <c r="AB883" i="3"/>
  <c r="AB884" i="3"/>
  <c r="AB885" i="3"/>
  <c r="AB886" i="3"/>
  <c r="AB887" i="3"/>
  <c r="AB888" i="3"/>
  <c r="AB889" i="3"/>
  <c r="AB890" i="3"/>
  <c r="AB891" i="3"/>
  <c r="AB892" i="3"/>
  <c r="AB893" i="3"/>
  <c r="AB894" i="3"/>
  <c r="AB895" i="3"/>
  <c r="AB896" i="3"/>
  <c r="AB897" i="3"/>
  <c r="AB898" i="3"/>
  <c r="AB899" i="3"/>
  <c r="AB900" i="3"/>
  <c r="AB901" i="3"/>
  <c r="AB902" i="3"/>
  <c r="AB903" i="3"/>
  <c r="AB904" i="3"/>
  <c r="AB905" i="3"/>
  <c r="AB906" i="3"/>
  <c r="AB907" i="3"/>
  <c r="AB908" i="3"/>
  <c r="AB909" i="3"/>
  <c r="AB910" i="3"/>
  <c r="AB911" i="3"/>
  <c r="AB912" i="3"/>
  <c r="AB913" i="3"/>
  <c r="AB914" i="3"/>
  <c r="AB915" i="3"/>
  <c r="AB916" i="3"/>
  <c r="AB917" i="3"/>
  <c r="AB918" i="3"/>
  <c r="AB919" i="3"/>
  <c r="AB920" i="3"/>
  <c r="AB921" i="3"/>
  <c r="AB922" i="3"/>
  <c r="AB923" i="3"/>
  <c r="AB924" i="3"/>
  <c r="AB925" i="3"/>
  <c r="AB926" i="3"/>
  <c r="AB927" i="3"/>
  <c r="AB928" i="3"/>
  <c r="AB929" i="3"/>
  <c r="AB930" i="3"/>
  <c r="AB931" i="3"/>
  <c r="AB932" i="3"/>
  <c r="AB933" i="3"/>
  <c r="AB934" i="3"/>
  <c r="AB935" i="3"/>
  <c r="AB936" i="3"/>
  <c r="AB937" i="3"/>
  <c r="AB938" i="3"/>
  <c r="AB939" i="3"/>
  <c r="AB940" i="3"/>
  <c r="AB941" i="3"/>
  <c r="AB942" i="3"/>
  <c r="AB943" i="3"/>
  <c r="AB944" i="3"/>
  <c r="AB945" i="3"/>
  <c r="AB946" i="3"/>
  <c r="AB947" i="3"/>
  <c r="AB948" i="3"/>
  <c r="AB949" i="3"/>
  <c r="AB950" i="3"/>
  <c r="AB951" i="3"/>
  <c r="AB952" i="3"/>
  <c r="AB953" i="3"/>
  <c r="AB954" i="3"/>
  <c r="AB955" i="3"/>
  <c r="AB956" i="3"/>
  <c r="AB957" i="3"/>
  <c r="AB958" i="3"/>
  <c r="AB959" i="3"/>
  <c r="AB960" i="3"/>
  <c r="AB961" i="3"/>
  <c r="AB962" i="3"/>
  <c r="AB963" i="3"/>
  <c r="AB964" i="3"/>
  <c r="AB965" i="3"/>
  <c r="AB966" i="3"/>
  <c r="AB967" i="3"/>
  <c r="AB968" i="3"/>
  <c r="AB969" i="3"/>
  <c r="AB970" i="3"/>
  <c r="AB971" i="3"/>
  <c r="AB972" i="3"/>
  <c r="AB973" i="3"/>
  <c r="AB974" i="3"/>
  <c r="AB975" i="3"/>
  <c r="AB976" i="3"/>
  <c r="AB977" i="3"/>
  <c r="AB978" i="3"/>
  <c r="AB979" i="3"/>
  <c r="AB980" i="3"/>
  <c r="AB981" i="3"/>
  <c r="AB982" i="3"/>
  <c r="AB983" i="3"/>
  <c r="AB984" i="3"/>
  <c r="AB985" i="3"/>
  <c r="AB986" i="3"/>
  <c r="AB987" i="3"/>
  <c r="AB988" i="3"/>
  <c r="AB989" i="3"/>
  <c r="AB990" i="3"/>
  <c r="AB991" i="3"/>
  <c r="AB992" i="3"/>
  <c r="AB993" i="3"/>
  <c r="AB994" i="3"/>
  <c r="AB995" i="3"/>
  <c r="AB996" i="3"/>
  <c r="AB997" i="3"/>
  <c r="AB998" i="3"/>
  <c r="AB999" i="3"/>
  <c r="AB1000" i="3"/>
  <c r="AB1001" i="3"/>
  <c r="AB1002" i="3"/>
  <c r="AB1003" i="3"/>
  <c r="AB1004" i="3"/>
  <c r="AB1005" i="3"/>
  <c r="AB1006" i="3"/>
  <c r="AB1007" i="3"/>
  <c r="AB1008" i="3"/>
  <c r="AB1009" i="3"/>
  <c r="AB1010" i="3"/>
  <c r="AB1011" i="3"/>
  <c r="AB1012" i="3"/>
  <c r="AB1013" i="3"/>
  <c r="AB1014" i="3"/>
  <c r="AB1015" i="3"/>
  <c r="AB1016" i="3"/>
  <c r="AB1017" i="3"/>
  <c r="AB1018" i="3"/>
  <c r="AB1019" i="3"/>
  <c r="AB1020" i="3"/>
  <c r="AB1021" i="3"/>
  <c r="AB1022" i="3"/>
  <c r="AB1023" i="3"/>
  <c r="AB1024" i="3"/>
  <c r="AB1025" i="3"/>
  <c r="AB1026" i="3"/>
  <c r="AB1027" i="3"/>
  <c r="AB1028" i="3"/>
  <c r="AB1029" i="3"/>
  <c r="AB1030" i="3"/>
  <c r="AB1031" i="3"/>
  <c r="AB1032" i="3"/>
  <c r="AB1033" i="3"/>
  <c r="AB1034" i="3"/>
  <c r="AB1035" i="3"/>
  <c r="AB1036" i="3"/>
  <c r="AB1037" i="3"/>
  <c r="AB1038" i="3"/>
  <c r="AB1039" i="3"/>
  <c r="AB1040" i="3"/>
  <c r="AB1041" i="3"/>
  <c r="AB1042" i="3"/>
  <c r="AB1043" i="3"/>
  <c r="AB1044" i="3"/>
  <c r="AB1045" i="3"/>
  <c r="AB1046" i="3"/>
  <c r="AB1047" i="3"/>
  <c r="AB1048" i="3"/>
  <c r="AB1049" i="3"/>
  <c r="AB1050" i="3"/>
  <c r="AB1051" i="3"/>
  <c r="AB1052" i="3"/>
  <c r="AB1053" i="3"/>
  <c r="AB1054" i="3"/>
  <c r="AB1055" i="3"/>
  <c r="AB1056" i="3"/>
  <c r="AB1057" i="3"/>
  <c r="AB1058" i="3"/>
  <c r="AB1059" i="3"/>
  <c r="AB1060" i="3"/>
  <c r="AB1061" i="3"/>
  <c r="AB1062" i="3"/>
  <c r="AB1063" i="3"/>
  <c r="AB1064" i="3"/>
  <c r="AB1065" i="3"/>
  <c r="AB1066" i="3"/>
  <c r="AB1067" i="3"/>
  <c r="AB1068" i="3"/>
  <c r="AB1069" i="3"/>
  <c r="AB1070" i="3"/>
  <c r="AB1071" i="3"/>
  <c r="AB1072" i="3"/>
  <c r="AB1073" i="3"/>
  <c r="AB1074" i="3"/>
  <c r="AB1075" i="3"/>
  <c r="AB1076" i="3"/>
  <c r="AB1077" i="3"/>
  <c r="AB1078" i="3"/>
  <c r="AB1079" i="3"/>
  <c r="AB1080" i="3"/>
  <c r="AB1081" i="3"/>
  <c r="AB1082" i="3"/>
  <c r="AB1083" i="3"/>
  <c r="AB1084" i="3"/>
  <c r="AB1085" i="3"/>
  <c r="AB1086" i="3"/>
  <c r="AB1087" i="3"/>
  <c r="AB1088" i="3"/>
  <c r="AB1089" i="3"/>
  <c r="AB1090" i="3"/>
  <c r="AB1091" i="3"/>
  <c r="AB1092" i="3"/>
  <c r="AB1093" i="3"/>
  <c r="AB1094" i="3"/>
  <c r="AB1095" i="3"/>
  <c r="AB1096" i="3"/>
  <c r="AB1097" i="3"/>
  <c r="AB1098" i="3"/>
  <c r="AB1099" i="3"/>
  <c r="AB1100" i="3"/>
  <c r="AB1101" i="3"/>
  <c r="AB1102" i="3"/>
  <c r="AB1103" i="3"/>
  <c r="AB1104" i="3"/>
  <c r="AB1105" i="3"/>
  <c r="AB1106" i="3"/>
  <c r="AB1107" i="3"/>
  <c r="AB1108" i="3"/>
  <c r="AB1109" i="3"/>
  <c r="AB1110" i="3"/>
  <c r="AB1111" i="3"/>
  <c r="AB1112" i="3"/>
  <c r="AB1113" i="3"/>
  <c r="AB1114" i="3"/>
  <c r="AB1115" i="3"/>
  <c r="AB1116" i="3"/>
  <c r="AB1117" i="3"/>
  <c r="AB1118" i="3"/>
  <c r="AB1119" i="3"/>
  <c r="AB1120" i="3"/>
  <c r="AB1121" i="3"/>
  <c r="AB1122" i="3"/>
  <c r="AB1123" i="3"/>
  <c r="AB1124" i="3"/>
  <c r="AB1125" i="3"/>
  <c r="AB1126" i="3"/>
  <c r="AB1127" i="3"/>
  <c r="AB1128" i="3"/>
  <c r="AB1129" i="3"/>
  <c r="AB1130" i="3"/>
  <c r="AB1131" i="3"/>
  <c r="AB1132" i="3"/>
  <c r="AB1133" i="3"/>
  <c r="AB1134" i="3"/>
  <c r="AB1135" i="3"/>
  <c r="AB1136" i="3"/>
  <c r="AB1137" i="3"/>
  <c r="AB1138" i="3"/>
  <c r="AB1139" i="3"/>
  <c r="AB1140" i="3"/>
  <c r="AB1141" i="3"/>
  <c r="AB1142" i="3"/>
  <c r="AB1143" i="3"/>
  <c r="AB1144" i="3"/>
  <c r="AB1145" i="3"/>
  <c r="AB1146" i="3"/>
  <c r="AB1147" i="3"/>
  <c r="AB1148" i="3"/>
  <c r="AB1149" i="3"/>
  <c r="AB1150" i="3"/>
  <c r="AB1151" i="3"/>
  <c r="AB1152" i="3"/>
  <c r="AB1153" i="3"/>
  <c r="AB1154" i="3"/>
  <c r="AB1155" i="3"/>
  <c r="AB1156" i="3"/>
  <c r="AB1157" i="3"/>
  <c r="AB1158" i="3"/>
  <c r="AB1159" i="3"/>
  <c r="AB1160" i="3"/>
  <c r="AB1161" i="3"/>
  <c r="AB1162" i="3"/>
  <c r="AB1163" i="3"/>
  <c r="AB1164" i="3"/>
  <c r="AB1165" i="3"/>
  <c r="AB1166" i="3"/>
  <c r="AB1167" i="3"/>
  <c r="AB1168" i="3"/>
  <c r="AB1169" i="3"/>
  <c r="AB1170" i="3"/>
  <c r="AB2" i="3"/>
  <c r="AA3" i="3"/>
  <c r="AA4" i="3"/>
  <c r="AA5" i="3"/>
  <c r="AA6" i="3"/>
  <c r="AA7" i="3"/>
  <c r="AA8" i="3"/>
  <c r="AA9" i="3"/>
  <c r="AA10" i="3"/>
  <c r="AA11" i="3"/>
  <c r="AA12" i="3"/>
  <c r="AA13" i="3"/>
  <c r="AA14" i="3"/>
  <c r="AA15" i="3"/>
  <c r="AA16" i="3"/>
  <c r="AA17" i="3"/>
  <c r="AA18" i="3"/>
  <c r="AA19" i="3"/>
  <c r="AA20" i="3"/>
  <c r="AA21" i="3"/>
  <c r="AA22" i="3"/>
  <c r="AA23" i="3"/>
  <c r="AA24" i="3"/>
  <c r="AA25" i="3"/>
  <c r="AA26" i="3"/>
  <c r="AA27" i="3"/>
  <c r="AA28" i="3"/>
  <c r="AA29" i="3"/>
  <c r="AA30" i="3"/>
  <c r="AA31" i="3"/>
  <c r="AA32" i="3"/>
  <c r="AA33" i="3"/>
  <c r="AA34" i="3"/>
  <c r="AA35" i="3"/>
  <c r="AA36" i="3"/>
  <c r="AA37" i="3"/>
  <c r="AA38" i="3"/>
  <c r="AA39" i="3"/>
  <c r="AA40" i="3"/>
  <c r="AA41" i="3"/>
  <c r="AA42" i="3"/>
  <c r="AA43" i="3"/>
  <c r="AA44" i="3"/>
  <c r="AA45" i="3"/>
  <c r="AA46" i="3"/>
  <c r="AA47" i="3"/>
  <c r="AA48" i="3"/>
  <c r="AA49" i="3"/>
  <c r="AA50" i="3"/>
  <c r="AA51" i="3"/>
  <c r="AA52" i="3"/>
  <c r="AA53" i="3"/>
  <c r="AA54" i="3"/>
  <c r="AA55" i="3"/>
  <c r="AA56" i="3"/>
  <c r="AA57" i="3"/>
  <c r="AA58" i="3"/>
  <c r="AA59" i="3"/>
  <c r="AA60" i="3"/>
  <c r="AA61" i="3"/>
  <c r="AA62" i="3"/>
  <c r="AA63" i="3"/>
  <c r="AA64" i="3"/>
  <c r="AA65" i="3"/>
  <c r="AA66" i="3"/>
  <c r="AA67" i="3"/>
  <c r="AA68" i="3"/>
  <c r="AA69" i="3"/>
  <c r="AA70" i="3"/>
  <c r="AA71" i="3"/>
  <c r="AA72" i="3"/>
  <c r="AA73" i="3"/>
  <c r="AA74" i="3"/>
  <c r="AA75" i="3"/>
  <c r="AA76" i="3"/>
  <c r="AA77" i="3"/>
  <c r="AA78" i="3"/>
  <c r="AA79" i="3"/>
  <c r="AA80" i="3"/>
  <c r="AA81" i="3"/>
  <c r="AA82" i="3"/>
  <c r="AA83" i="3"/>
  <c r="AA84" i="3"/>
  <c r="AA85" i="3"/>
  <c r="AA86" i="3"/>
  <c r="AA87" i="3"/>
  <c r="AA88" i="3"/>
  <c r="AA89" i="3"/>
  <c r="AA90" i="3"/>
  <c r="AA91" i="3"/>
  <c r="AA92" i="3"/>
  <c r="AA93" i="3"/>
  <c r="AA94" i="3"/>
  <c r="AA95" i="3"/>
  <c r="AA96" i="3"/>
  <c r="AA97" i="3"/>
  <c r="AA98" i="3"/>
  <c r="AA99" i="3"/>
  <c r="AA100" i="3"/>
  <c r="AA101" i="3"/>
  <c r="AA102" i="3"/>
  <c r="AA103" i="3"/>
  <c r="AA104" i="3"/>
  <c r="AA105" i="3"/>
  <c r="AA106" i="3"/>
  <c r="AA107" i="3"/>
  <c r="AA108" i="3"/>
  <c r="AA109" i="3"/>
  <c r="AA110" i="3"/>
  <c r="AA111" i="3"/>
  <c r="AA112" i="3"/>
  <c r="AA113" i="3"/>
  <c r="AA114" i="3"/>
  <c r="AA115" i="3"/>
  <c r="AA116" i="3"/>
  <c r="AA117" i="3"/>
  <c r="AA118" i="3"/>
  <c r="AA119" i="3"/>
  <c r="AA120" i="3"/>
  <c r="AA121" i="3"/>
  <c r="AA122" i="3"/>
  <c r="AA123" i="3"/>
  <c r="AA124" i="3"/>
  <c r="AA125" i="3"/>
  <c r="AA126" i="3"/>
  <c r="AA127" i="3"/>
  <c r="AA128" i="3"/>
  <c r="AA129" i="3"/>
  <c r="AA130" i="3"/>
  <c r="AA131" i="3"/>
  <c r="AA132" i="3"/>
  <c r="AA133" i="3"/>
  <c r="AA134" i="3"/>
  <c r="AA135" i="3"/>
  <c r="AA136" i="3"/>
  <c r="AA137" i="3"/>
  <c r="AA138" i="3"/>
  <c r="AA139" i="3"/>
  <c r="AA140" i="3"/>
  <c r="AA141" i="3"/>
  <c r="AA142" i="3"/>
  <c r="AA143" i="3"/>
  <c r="AA144" i="3"/>
  <c r="AA145" i="3"/>
  <c r="AA146" i="3"/>
  <c r="AA147" i="3"/>
  <c r="AA148" i="3"/>
  <c r="AA149" i="3"/>
  <c r="AA150" i="3"/>
  <c r="AA151" i="3"/>
  <c r="AA152" i="3"/>
  <c r="AA153" i="3"/>
  <c r="AA154" i="3"/>
  <c r="AA155" i="3"/>
  <c r="AA156" i="3"/>
  <c r="AA157" i="3"/>
  <c r="AA158" i="3"/>
  <c r="AA159" i="3"/>
  <c r="AA160" i="3"/>
  <c r="AA161" i="3"/>
  <c r="AA162" i="3"/>
  <c r="AA163" i="3"/>
  <c r="AA164" i="3"/>
  <c r="AA165" i="3"/>
  <c r="AA166" i="3"/>
  <c r="AA167" i="3"/>
  <c r="AA168" i="3"/>
  <c r="AA169" i="3"/>
  <c r="AA170" i="3"/>
  <c r="AA171" i="3"/>
  <c r="AA172" i="3"/>
  <c r="AA173" i="3"/>
  <c r="AA174" i="3"/>
  <c r="AA175" i="3"/>
  <c r="AA176" i="3"/>
  <c r="AA177" i="3"/>
  <c r="AA178" i="3"/>
  <c r="AA179" i="3"/>
  <c r="AA180" i="3"/>
  <c r="AA181" i="3"/>
  <c r="AA182" i="3"/>
  <c r="AA183" i="3"/>
  <c r="AA184" i="3"/>
  <c r="AA185" i="3"/>
  <c r="AA186" i="3"/>
  <c r="AA187" i="3"/>
  <c r="AA188" i="3"/>
  <c r="AA189" i="3"/>
  <c r="AA190" i="3"/>
  <c r="AA191" i="3"/>
  <c r="AA192" i="3"/>
  <c r="AA193" i="3"/>
  <c r="AA194" i="3"/>
  <c r="AA195" i="3"/>
  <c r="AA196" i="3"/>
  <c r="AA197" i="3"/>
  <c r="AA198" i="3"/>
  <c r="AA199" i="3"/>
  <c r="AA200" i="3"/>
  <c r="AA201" i="3"/>
  <c r="AA202" i="3"/>
  <c r="AA203" i="3"/>
  <c r="AA204" i="3"/>
  <c r="AA205" i="3"/>
  <c r="AA206" i="3"/>
  <c r="AA207" i="3"/>
  <c r="AA208" i="3"/>
  <c r="AA209" i="3"/>
  <c r="AA210" i="3"/>
  <c r="AA211" i="3"/>
  <c r="AA212" i="3"/>
  <c r="AA213" i="3"/>
  <c r="AA214" i="3"/>
  <c r="AA215" i="3"/>
  <c r="AA216" i="3"/>
  <c r="AA217" i="3"/>
  <c r="AA218" i="3"/>
  <c r="AA219" i="3"/>
  <c r="AA220" i="3"/>
  <c r="AA221" i="3"/>
  <c r="AA222" i="3"/>
  <c r="AA223" i="3"/>
  <c r="AA224" i="3"/>
  <c r="AA225" i="3"/>
  <c r="AA226" i="3"/>
  <c r="AA227" i="3"/>
  <c r="AA228" i="3"/>
  <c r="AA229" i="3"/>
  <c r="AA230" i="3"/>
  <c r="AA231" i="3"/>
  <c r="AA232" i="3"/>
  <c r="AA233" i="3"/>
  <c r="AA234" i="3"/>
  <c r="AA235" i="3"/>
  <c r="AA236" i="3"/>
  <c r="AA237" i="3"/>
  <c r="AA238" i="3"/>
  <c r="AA239" i="3"/>
  <c r="AA240" i="3"/>
  <c r="AA241" i="3"/>
  <c r="AA242" i="3"/>
  <c r="AA243" i="3"/>
  <c r="AA244" i="3"/>
  <c r="AA245" i="3"/>
  <c r="AA246" i="3"/>
  <c r="AA247" i="3"/>
  <c r="AA248" i="3"/>
  <c r="AA249" i="3"/>
  <c r="AA250" i="3"/>
  <c r="AA251" i="3"/>
  <c r="AA252" i="3"/>
  <c r="AA253" i="3"/>
  <c r="AA254" i="3"/>
  <c r="AA255" i="3"/>
  <c r="AA256" i="3"/>
  <c r="AA257" i="3"/>
  <c r="AA258" i="3"/>
  <c r="AA259" i="3"/>
  <c r="AA260" i="3"/>
  <c r="AA261" i="3"/>
  <c r="AA262" i="3"/>
  <c r="AA263" i="3"/>
  <c r="AA264" i="3"/>
  <c r="AA265" i="3"/>
  <c r="AA266" i="3"/>
  <c r="AA267" i="3"/>
  <c r="AA268" i="3"/>
  <c r="AA269" i="3"/>
  <c r="AA270" i="3"/>
  <c r="AA271" i="3"/>
  <c r="AA272" i="3"/>
  <c r="AA273" i="3"/>
  <c r="AA274" i="3"/>
  <c r="AA275" i="3"/>
  <c r="AA276" i="3"/>
  <c r="AA277" i="3"/>
  <c r="AA278" i="3"/>
  <c r="AA279" i="3"/>
  <c r="AA280" i="3"/>
  <c r="AA281" i="3"/>
  <c r="AA282" i="3"/>
  <c r="AA283" i="3"/>
  <c r="AA284" i="3"/>
  <c r="AA285" i="3"/>
  <c r="AA286" i="3"/>
  <c r="AA287" i="3"/>
  <c r="AA288" i="3"/>
  <c r="AA289" i="3"/>
  <c r="AA290" i="3"/>
  <c r="AA291" i="3"/>
  <c r="AA292" i="3"/>
  <c r="AA293" i="3"/>
  <c r="AA294" i="3"/>
  <c r="AA295" i="3"/>
  <c r="AA296" i="3"/>
  <c r="AA297" i="3"/>
  <c r="AA298" i="3"/>
  <c r="AA299" i="3"/>
  <c r="AA300" i="3"/>
  <c r="AA301" i="3"/>
  <c r="AA302" i="3"/>
  <c r="AA303" i="3"/>
  <c r="AA304" i="3"/>
  <c r="AA305" i="3"/>
  <c r="AA306" i="3"/>
  <c r="AA307" i="3"/>
  <c r="AA308" i="3"/>
  <c r="AA309" i="3"/>
  <c r="AA310" i="3"/>
  <c r="AA311" i="3"/>
  <c r="AA312" i="3"/>
  <c r="AA313" i="3"/>
  <c r="AA314" i="3"/>
  <c r="AA315" i="3"/>
  <c r="AA316" i="3"/>
  <c r="AA317" i="3"/>
  <c r="AA318" i="3"/>
  <c r="AA319" i="3"/>
  <c r="AA320" i="3"/>
  <c r="AA321" i="3"/>
  <c r="AA322" i="3"/>
  <c r="AA323" i="3"/>
  <c r="AA324" i="3"/>
  <c r="AA325" i="3"/>
  <c r="AA326" i="3"/>
  <c r="AA327" i="3"/>
  <c r="AA328" i="3"/>
  <c r="AA329" i="3"/>
  <c r="AA330" i="3"/>
  <c r="AA331" i="3"/>
  <c r="AA332" i="3"/>
  <c r="AA333" i="3"/>
  <c r="AA334" i="3"/>
  <c r="AA335" i="3"/>
  <c r="AA336" i="3"/>
  <c r="AA337" i="3"/>
  <c r="AA338" i="3"/>
  <c r="AA339" i="3"/>
  <c r="AA340" i="3"/>
  <c r="AA341" i="3"/>
  <c r="AA342" i="3"/>
  <c r="AA343" i="3"/>
  <c r="AA344" i="3"/>
  <c r="AA345" i="3"/>
  <c r="AA346" i="3"/>
  <c r="AA347" i="3"/>
  <c r="AA348" i="3"/>
  <c r="AA349" i="3"/>
  <c r="AA350" i="3"/>
  <c r="AA351" i="3"/>
  <c r="AA352" i="3"/>
  <c r="AA353" i="3"/>
  <c r="AA354" i="3"/>
  <c r="AA355" i="3"/>
  <c r="AA356" i="3"/>
  <c r="AA357" i="3"/>
  <c r="AA358" i="3"/>
  <c r="AA359" i="3"/>
  <c r="AA360" i="3"/>
  <c r="AA361" i="3"/>
  <c r="AA362" i="3"/>
  <c r="AA363" i="3"/>
  <c r="AA364" i="3"/>
  <c r="AA365" i="3"/>
  <c r="AA366" i="3"/>
  <c r="AA367" i="3"/>
  <c r="AA368" i="3"/>
  <c r="AA369" i="3"/>
  <c r="AA370" i="3"/>
  <c r="AA371" i="3"/>
  <c r="AA372" i="3"/>
  <c r="AA373" i="3"/>
  <c r="AA374" i="3"/>
  <c r="AA375" i="3"/>
  <c r="AA376" i="3"/>
  <c r="AA377" i="3"/>
  <c r="AA378" i="3"/>
  <c r="AA379" i="3"/>
  <c r="AA380" i="3"/>
  <c r="AA381" i="3"/>
  <c r="AA382" i="3"/>
  <c r="AA383" i="3"/>
  <c r="AA384" i="3"/>
  <c r="AA385" i="3"/>
  <c r="AA386" i="3"/>
  <c r="AA387" i="3"/>
  <c r="AA388" i="3"/>
  <c r="AA389" i="3"/>
  <c r="AA390" i="3"/>
  <c r="AA391" i="3"/>
  <c r="AA392" i="3"/>
  <c r="AA393" i="3"/>
  <c r="AA394" i="3"/>
  <c r="AA395" i="3"/>
  <c r="AA396" i="3"/>
  <c r="AA397" i="3"/>
  <c r="AA398" i="3"/>
  <c r="AA399" i="3"/>
  <c r="AA400" i="3"/>
  <c r="AA401" i="3"/>
  <c r="AA402" i="3"/>
  <c r="AA403" i="3"/>
  <c r="AA404" i="3"/>
  <c r="AA405" i="3"/>
  <c r="AA406" i="3"/>
  <c r="AA407" i="3"/>
  <c r="AA408" i="3"/>
  <c r="AA409" i="3"/>
  <c r="AA410" i="3"/>
  <c r="AA411" i="3"/>
  <c r="AA412" i="3"/>
  <c r="AA413" i="3"/>
  <c r="AA414" i="3"/>
  <c r="AA415" i="3"/>
  <c r="AA416" i="3"/>
  <c r="AA417" i="3"/>
  <c r="AA418" i="3"/>
  <c r="AA419" i="3"/>
  <c r="AA420" i="3"/>
  <c r="AA421" i="3"/>
  <c r="AA422" i="3"/>
  <c r="AA423" i="3"/>
  <c r="AA424" i="3"/>
  <c r="AA425" i="3"/>
  <c r="AA426" i="3"/>
  <c r="AA427" i="3"/>
  <c r="AA428" i="3"/>
  <c r="AA429" i="3"/>
  <c r="AA430" i="3"/>
  <c r="AA431" i="3"/>
  <c r="AA432" i="3"/>
  <c r="AA433" i="3"/>
  <c r="AA434" i="3"/>
  <c r="AA435" i="3"/>
  <c r="AA436" i="3"/>
  <c r="AA437" i="3"/>
  <c r="AA438" i="3"/>
  <c r="AA439" i="3"/>
  <c r="AA440" i="3"/>
  <c r="AA441" i="3"/>
  <c r="AA442" i="3"/>
  <c r="AA443" i="3"/>
  <c r="AA444" i="3"/>
  <c r="AA445" i="3"/>
  <c r="AA446" i="3"/>
  <c r="AA447" i="3"/>
  <c r="AA448" i="3"/>
  <c r="AA449" i="3"/>
  <c r="AA450" i="3"/>
  <c r="AA451" i="3"/>
  <c r="AA452" i="3"/>
  <c r="AA453" i="3"/>
  <c r="AA454" i="3"/>
  <c r="AA455" i="3"/>
  <c r="AA456" i="3"/>
  <c r="AA457" i="3"/>
  <c r="AA458" i="3"/>
  <c r="AA459" i="3"/>
  <c r="AA460" i="3"/>
  <c r="AA461" i="3"/>
  <c r="AA462" i="3"/>
  <c r="AA463" i="3"/>
  <c r="AA464" i="3"/>
  <c r="AA465" i="3"/>
  <c r="AA466" i="3"/>
  <c r="AA467" i="3"/>
  <c r="AA468" i="3"/>
  <c r="AA469" i="3"/>
  <c r="AA470" i="3"/>
  <c r="AA471" i="3"/>
  <c r="AA472" i="3"/>
  <c r="AA473" i="3"/>
  <c r="AA474" i="3"/>
  <c r="AA475" i="3"/>
  <c r="AA476" i="3"/>
  <c r="AA477" i="3"/>
  <c r="AA478" i="3"/>
  <c r="AA479" i="3"/>
  <c r="AA480" i="3"/>
  <c r="AA481" i="3"/>
  <c r="AA482" i="3"/>
  <c r="AA483" i="3"/>
  <c r="AA484" i="3"/>
  <c r="AA485" i="3"/>
  <c r="AA486" i="3"/>
  <c r="AA487" i="3"/>
  <c r="AA488" i="3"/>
  <c r="AA489" i="3"/>
  <c r="AA490" i="3"/>
  <c r="AA491" i="3"/>
  <c r="AA492" i="3"/>
  <c r="AA493" i="3"/>
  <c r="AA494" i="3"/>
  <c r="AA495" i="3"/>
  <c r="AA496" i="3"/>
  <c r="AA497" i="3"/>
  <c r="AA498" i="3"/>
  <c r="AA499" i="3"/>
  <c r="AA500" i="3"/>
  <c r="AA501" i="3"/>
  <c r="AA502" i="3"/>
  <c r="AA503" i="3"/>
  <c r="AA504" i="3"/>
  <c r="AA505" i="3"/>
  <c r="AA506" i="3"/>
  <c r="AA507" i="3"/>
  <c r="AA508" i="3"/>
  <c r="AA509" i="3"/>
  <c r="AA510" i="3"/>
  <c r="AA511" i="3"/>
  <c r="AA512" i="3"/>
  <c r="AA513" i="3"/>
  <c r="AA514" i="3"/>
  <c r="AA515" i="3"/>
  <c r="AA516" i="3"/>
  <c r="AA517" i="3"/>
  <c r="AA518" i="3"/>
  <c r="AA519" i="3"/>
  <c r="AA520" i="3"/>
  <c r="AA521" i="3"/>
  <c r="AA522" i="3"/>
  <c r="AA523" i="3"/>
  <c r="AA524" i="3"/>
  <c r="AA525" i="3"/>
  <c r="AA526" i="3"/>
  <c r="AA527" i="3"/>
  <c r="AA528" i="3"/>
  <c r="AA529" i="3"/>
  <c r="AA530" i="3"/>
  <c r="AA531" i="3"/>
  <c r="AA532" i="3"/>
  <c r="AA533" i="3"/>
  <c r="AA534" i="3"/>
  <c r="AA535" i="3"/>
  <c r="AA536" i="3"/>
  <c r="AA537" i="3"/>
  <c r="AA538" i="3"/>
  <c r="AA539" i="3"/>
  <c r="AA540" i="3"/>
  <c r="AA541" i="3"/>
  <c r="AA542" i="3"/>
  <c r="AA543" i="3"/>
  <c r="AA544" i="3"/>
  <c r="AA545" i="3"/>
  <c r="AA546" i="3"/>
  <c r="AA547" i="3"/>
  <c r="AA548" i="3"/>
  <c r="AA549" i="3"/>
  <c r="AA550" i="3"/>
  <c r="AA551" i="3"/>
  <c r="AA552" i="3"/>
  <c r="AA553" i="3"/>
  <c r="AA554" i="3"/>
  <c r="AA555" i="3"/>
  <c r="AA556" i="3"/>
  <c r="AA557" i="3"/>
  <c r="AA558" i="3"/>
  <c r="AA559" i="3"/>
  <c r="AA560" i="3"/>
  <c r="AA561" i="3"/>
  <c r="AA562" i="3"/>
  <c r="AA563" i="3"/>
  <c r="AA564" i="3"/>
  <c r="AA565" i="3"/>
  <c r="AA566" i="3"/>
  <c r="AA567" i="3"/>
  <c r="AA568" i="3"/>
  <c r="AA569" i="3"/>
  <c r="AA570" i="3"/>
  <c r="AA571" i="3"/>
  <c r="AA572" i="3"/>
  <c r="AA573" i="3"/>
  <c r="AA574" i="3"/>
  <c r="AA575" i="3"/>
  <c r="AA576" i="3"/>
  <c r="AA577" i="3"/>
  <c r="AA578" i="3"/>
  <c r="AA579" i="3"/>
  <c r="AA580" i="3"/>
  <c r="AA581" i="3"/>
  <c r="AA582" i="3"/>
  <c r="AA583" i="3"/>
  <c r="AA584" i="3"/>
  <c r="AA585" i="3"/>
  <c r="AA586" i="3"/>
  <c r="AA587" i="3"/>
  <c r="AA588" i="3"/>
  <c r="AA589" i="3"/>
  <c r="AA590" i="3"/>
  <c r="AA591" i="3"/>
  <c r="AA592" i="3"/>
  <c r="AA593" i="3"/>
  <c r="AA594" i="3"/>
  <c r="AA595" i="3"/>
  <c r="AA596" i="3"/>
  <c r="AA597" i="3"/>
  <c r="AA598" i="3"/>
  <c r="AA599" i="3"/>
  <c r="AA600" i="3"/>
  <c r="AA601" i="3"/>
  <c r="AA602" i="3"/>
  <c r="AA603" i="3"/>
  <c r="AA604" i="3"/>
  <c r="AA605" i="3"/>
  <c r="AA606" i="3"/>
  <c r="AA607" i="3"/>
  <c r="AA608" i="3"/>
  <c r="AA609" i="3"/>
  <c r="AA610" i="3"/>
  <c r="AA611" i="3"/>
  <c r="AA612" i="3"/>
  <c r="AA613" i="3"/>
  <c r="AA614" i="3"/>
  <c r="AA615" i="3"/>
  <c r="AA616" i="3"/>
  <c r="AA617" i="3"/>
  <c r="AA618" i="3"/>
  <c r="AA619" i="3"/>
  <c r="AA620" i="3"/>
  <c r="AA621" i="3"/>
  <c r="AA622" i="3"/>
  <c r="AA623" i="3"/>
  <c r="AA624" i="3"/>
  <c r="AA625" i="3"/>
  <c r="AA626" i="3"/>
  <c r="AA627" i="3"/>
  <c r="AA628" i="3"/>
  <c r="AA629" i="3"/>
  <c r="AA630" i="3"/>
  <c r="AA631" i="3"/>
  <c r="AA632" i="3"/>
  <c r="AA633" i="3"/>
  <c r="AA634" i="3"/>
  <c r="AA635" i="3"/>
  <c r="AA636" i="3"/>
  <c r="AA637" i="3"/>
  <c r="AA638" i="3"/>
  <c r="AA639" i="3"/>
  <c r="AA640" i="3"/>
  <c r="AA641" i="3"/>
  <c r="AA642" i="3"/>
  <c r="AA643" i="3"/>
  <c r="AA644" i="3"/>
  <c r="AA645" i="3"/>
  <c r="AA646" i="3"/>
  <c r="AA647" i="3"/>
  <c r="AA648" i="3"/>
  <c r="AA649" i="3"/>
  <c r="AA650" i="3"/>
  <c r="AA651" i="3"/>
  <c r="AA652" i="3"/>
  <c r="AA653" i="3"/>
  <c r="AA654" i="3"/>
  <c r="AA655" i="3"/>
  <c r="AA656" i="3"/>
  <c r="AA657" i="3"/>
  <c r="AA658" i="3"/>
  <c r="AA659" i="3"/>
  <c r="AA660" i="3"/>
  <c r="AA661" i="3"/>
  <c r="AA662" i="3"/>
  <c r="AA663" i="3"/>
  <c r="AA664" i="3"/>
  <c r="AA665" i="3"/>
  <c r="AA666" i="3"/>
  <c r="AA667" i="3"/>
  <c r="AA668" i="3"/>
  <c r="AA669" i="3"/>
  <c r="AA670" i="3"/>
  <c r="AA671" i="3"/>
  <c r="AA672" i="3"/>
  <c r="AA673" i="3"/>
  <c r="AA674" i="3"/>
  <c r="AA675" i="3"/>
  <c r="AA676" i="3"/>
  <c r="AA677" i="3"/>
  <c r="AA678" i="3"/>
  <c r="AA679" i="3"/>
  <c r="AA680" i="3"/>
  <c r="AA681" i="3"/>
  <c r="AA682" i="3"/>
  <c r="AA683" i="3"/>
  <c r="AA684" i="3"/>
  <c r="AA685" i="3"/>
  <c r="AA686" i="3"/>
  <c r="AA687" i="3"/>
  <c r="AA688" i="3"/>
  <c r="AA689" i="3"/>
  <c r="AA690" i="3"/>
  <c r="AA691" i="3"/>
  <c r="AA692" i="3"/>
  <c r="AA693" i="3"/>
  <c r="AA694" i="3"/>
  <c r="AA695" i="3"/>
  <c r="AA696" i="3"/>
  <c r="AA697" i="3"/>
  <c r="AA698" i="3"/>
  <c r="AA699" i="3"/>
  <c r="AA700" i="3"/>
  <c r="AA701" i="3"/>
  <c r="AA702" i="3"/>
  <c r="AA703" i="3"/>
  <c r="AA704" i="3"/>
  <c r="AA705" i="3"/>
  <c r="AA706" i="3"/>
  <c r="AA707" i="3"/>
  <c r="AA708" i="3"/>
  <c r="AA709" i="3"/>
  <c r="AA710" i="3"/>
  <c r="AA711" i="3"/>
  <c r="AA712" i="3"/>
  <c r="AA713" i="3"/>
  <c r="AA714" i="3"/>
  <c r="AA715" i="3"/>
  <c r="AA716" i="3"/>
  <c r="AA717" i="3"/>
  <c r="AA718" i="3"/>
  <c r="AA719" i="3"/>
  <c r="AA720" i="3"/>
  <c r="AA721" i="3"/>
  <c r="AA722" i="3"/>
  <c r="AA723" i="3"/>
  <c r="AA724" i="3"/>
  <c r="AA725" i="3"/>
  <c r="AA726" i="3"/>
  <c r="AA727" i="3"/>
  <c r="AA728" i="3"/>
  <c r="AA729" i="3"/>
  <c r="AA730" i="3"/>
  <c r="AA731" i="3"/>
  <c r="AA732" i="3"/>
  <c r="AA733" i="3"/>
  <c r="AA734" i="3"/>
  <c r="AA735" i="3"/>
  <c r="AA736" i="3"/>
  <c r="AA737" i="3"/>
  <c r="AA738" i="3"/>
  <c r="AA739" i="3"/>
  <c r="AA740" i="3"/>
  <c r="AA741" i="3"/>
  <c r="AA742" i="3"/>
  <c r="AA743" i="3"/>
  <c r="AA744" i="3"/>
  <c r="AA745" i="3"/>
  <c r="AA746" i="3"/>
  <c r="AA747" i="3"/>
  <c r="AA748" i="3"/>
  <c r="AA749" i="3"/>
  <c r="AA750" i="3"/>
  <c r="AA751" i="3"/>
  <c r="AA752" i="3"/>
  <c r="AA753" i="3"/>
  <c r="AA754" i="3"/>
  <c r="AA755" i="3"/>
  <c r="AA756" i="3"/>
  <c r="AA757" i="3"/>
  <c r="AA758" i="3"/>
  <c r="AA759" i="3"/>
  <c r="AA760" i="3"/>
  <c r="AA761" i="3"/>
  <c r="AA762" i="3"/>
  <c r="AA763" i="3"/>
  <c r="AA764" i="3"/>
  <c r="AA765" i="3"/>
  <c r="AA766" i="3"/>
  <c r="AA767" i="3"/>
  <c r="AA768" i="3"/>
  <c r="AA769" i="3"/>
  <c r="AA770" i="3"/>
  <c r="AA771" i="3"/>
  <c r="AA772" i="3"/>
  <c r="AA773" i="3"/>
  <c r="AA774" i="3"/>
  <c r="AA775" i="3"/>
  <c r="AA776" i="3"/>
  <c r="AA777" i="3"/>
  <c r="AA778" i="3"/>
  <c r="AA779" i="3"/>
  <c r="AA780" i="3"/>
  <c r="AA781" i="3"/>
  <c r="AA782" i="3"/>
  <c r="AA783" i="3"/>
  <c r="AA784" i="3"/>
  <c r="AA785" i="3"/>
  <c r="AA786" i="3"/>
  <c r="AA787" i="3"/>
  <c r="AA788" i="3"/>
  <c r="AA789" i="3"/>
  <c r="AA790" i="3"/>
  <c r="AA791" i="3"/>
  <c r="AA792" i="3"/>
  <c r="AA793" i="3"/>
  <c r="AA794" i="3"/>
  <c r="AA795" i="3"/>
  <c r="AA796" i="3"/>
  <c r="AA797" i="3"/>
  <c r="AA798" i="3"/>
  <c r="AA799" i="3"/>
  <c r="AA800" i="3"/>
  <c r="AA801" i="3"/>
  <c r="AA802" i="3"/>
  <c r="AA803" i="3"/>
  <c r="AA804" i="3"/>
  <c r="AA805" i="3"/>
  <c r="AA806" i="3"/>
  <c r="AA807" i="3"/>
  <c r="AA808" i="3"/>
  <c r="AA809" i="3"/>
  <c r="AA810" i="3"/>
  <c r="AA811" i="3"/>
  <c r="AA812" i="3"/>
  <c r="AA813" i="3"/>
  <c r="AA814" i="3"/>
  <c r="AA815" i="3"/>
  <c r="AA816" i="3"/>
  <c r="AA817" i="3"/>
  <c r="AA818" i="3"/>
  <c r="AA819" i="3"/>
  <c r="AA820" i="3"/>
  <c r="AA821" i="3"/>
  <c r="AA822" i="3"/>
  <c r="AA823" i="3"/>
  <c r="AA824" i="3"/>
  <c r="AA825" i="3"/>
  <c r="AA826" i="3"/>
  <c r="AA827" i="3"/>
  <c r="AA828" i="3"/>
  <c r="AA829" i="3"/>
  <c r="AA830" i="3"/>
  <c r="AA831" i="3"/>
  <c r="AA832" i="3"/>
  <c r="AA833" i="3"/>
  <c r="AA834" i="3"/>
  <c r="AA835" i="3"/>
  <c r="AA836" i="3"/>
  <c r="AA837" i="3"/>
  <c r="AA838" i="3"/>
  <c r="AA839" i="3"/>
  <c r="AA840" i="3"/>
  <c r="AA841" i="3"/>
  <c r="AA842" i="3"/>
  <c r="AA843" i="3"/>
  <c r="AA844" i="3"/>
  <c r="AA845" i="3"/>
  <c r="AA846" i="3"/>
  <c r="AA847" i="3"/>
  <c r="AA848" i="3"/>
  <c r="AA849" i="3"/>
  <c r="AA850" i="3"/>
  <c r="AA851" i="3"/>
  <c r="AA852" i="3"/>
  <c r="AA853" i="3"/>
  <c r="AA854" i="3"/>
  <c r="AA855" i="3"/>
  <c r="AA856" i="3"/>
  <c r="AA857" i="3"/>
  <c r="AA858" i="3"/>
  <c r="AA859" i="3"/>
  <c r="AA860" i="3"/>
  <c r="AA861" i="3"/>
  <c r="AA862" i="3"/>
  <c r="AA863" i="3"/>
  <c r="AA864" i="3"/>
  <c r="AA865" i="3"/>
  <c r="AA866" i="3"/>
  <c r="AA867" i="3"/>
  <c r="AA868" i="3"/>
  <c r="AA869" i="3"/>
  <c r="AA870" i="3"/>
  <c r="AA871" i="3"/>
  <c r="AA872" i="3"/>
  <c r="AA873" i="3"/>
  <c r="AA874" i="3"/>
  <c r="AA875" i="3"/>
  <c r="AA876" i="3"/>
  <c r="AA877" i="3"/>
  <c r="AA878" i="3"/>
  <c r="AA879" i="3"/>
  <c r="AA880" i="3"/>
  <c r="AA881" i="3"/>
  <c r="AA882" i="3"/>
  <c r="AA883" i="3"/>
  <c r="AA884" i="3"/>
  <c r="AA885" i="3"/>
  <c r="AA886" i="3"/>
  <c r="AA887" i="3"/>
  <c r="AA888" i="3"/>
  <c r="AA889" i="3"/>
  <c r="AA890" i="3"/>
  <c r="AA891" i="3"/>
  <c r="AA892" i="3"/>
  <c r="AA893" i="3"/>
  <c r="AA894" i="3"/>
  <c r="AA895" i="3"/>
  <c r="AA896" i="3"/>
  <c r="AA897" i="3"/>
  <c r="AA898" i="3"/>
  <c r="AA899" i="3"/>
  <c r="AA900" i="3"/>
  <c r="AA901" i="3"/>
  <c r="AA902" i="3"/>
  <c r="AA903" i="3"/>
  <c r="AA904" i="3"/>
  <c r="AA905" i="3"/>
  <c r="AA906" i="3"/>
  <c r="AA907" i="3"/>
  <c r="AA908" i="3"/>
  <c r="AA909" i="3"/>
  <c r="AA910" i="3"/>
  <c r="AA911" i="3"/>
  <c r="AA912" i="3"/>
  <c r="AA913" i="3"/>
  <c r="AA914" i="3"/>
  <c r="AA915" i="3"/>
  <c r="AA916" i="3"/>
  <c r="AA917" i="3"/>
  <c r="AA918" i="3"/>
  <c r="AA919" i="3"/>
  <c r="AA920" i="3"/>
  <c r="AA921" i="3"/>
  <c r="AA922" i="3"/>
  <c r="AA923" i="3"/>
  <c r="AA924" i="3"/>
  <c r="AA925" i="3"/>
  <c r="AA926" i="3"/>
  <c r="AA927" i="3"/>
  <c r="AA928" i="3"/>
  <c r="AA929" i="3"/>
  <c r="AA930" i="3"/>
  <c r="AA931" i="3"/>
  <c r="AA932" i="3"/>
  <c r="AA933" i="3"/>
  <c r="AA934" i="3"/>
  <c r="AA935" i="3"/>
  <c r="AA936" i="3"/>
  <c r="AA937" i="3"/>
  <c r="AA938" i="3"/>
  <c r="AA939" i="3"/>
  <c r="AA940" i="3"/>
  <c r="AA941" i="3"/>
  <c r="AA942" i="3"/>
  <c r="AA943" i="3"/>
  <c r="AA944" i="3"/>
  <c r="AA945" i="3"/>
  <c r="AA946" i="3"/>
  <c r="AA947" i="3"/>
  <c r="AA948" i="3"/>
  <c r="AA949" i="3"/>
  <c r="AA950" i="3"/>
  <c r="AA951" i="3"/>
  <c r="AA952" i="3"/>
  <c r="AA953" i="3"/>
  <c r="AA954" i="3"/>
  <c r="AA955" i="3"/>
  <c r="AA956" i="3"/>
  <c r="AA957" i="3"/>
  <c r="AA958" i="3"/>
  <c r="AA959" i="3"/>
  <c r="AA960" i="3"/>
  <c r="AA961" i="3"/>
  <c r="AA962" i="3"/>
  <c r="AA963" i="3"/>
  <c r="AA964" i="3"/>
  <c r="AA965" i="3"/>
  <c r="AA966" i="3"/>
  <c r="AA967" i="3"/>
  <c r="AA968" i="3"/>
  <c r="AA969" i="3"/>
  <c r="AA970" i="3"/>
  <c r="AA971" i="3"/>
  <c r="AA972" i="3"/>
  <c r="AA973" i="3"/>
  <c r="AA974" i="3"/>
  <c r="AA975" i="3"/>
  <c r="AA976" i="3"/>
  <c r="AA977" i="3"/>
  <c r="AA978" i="3"/>
  <c r="AA979" i="3"/>
  <c r="AA980" i="3"/>
  <c r="AA981" i="3"/>
  <c r="AA982" i="3"/>
  <c r="AA983" i="3"/>
  <c r="AA984" i="3"/>
  <c r="AA985" i="3"/>
  <c r="AA986" i="3"/>
  <c r="AA987" i="3"/>
  <c r="AA988" i="3"/>
  <c r="AA989" i="3"/>
  <c r="AA990" i="3"/>
  <c r="AA991" i="3"/>
  <c r="AA992" i="3"/>
  <c r="AA993" i="3"/>
  <c r="AA994" i="3"/>
  <c r="AA995" i="3"/>
  <c r="AA996" i="3"/>
  <c r="AA997" i="3"/>
  <c r="AA998" i="3"/>
  <c r="AA999" i="3"/>
  <c r="AA1000" i="3"/>
  <c r="AA1001" i="3"/>
  <c r="AA1002" i="3"/>
  <c r="AA1003" i="3"/>
  <c r="AA1004" i="3"/>
  <c r="AA1005" i="3"/>
  <c r="AA1006" i="3"/>
  <c r="AA1007" i="3"/>
  <c r="AA1008" i="3"/>
  <c r="AA1009" i="3"/>
  <c r="AA1010" i="3"/>
  <c r="AA1011" i="3"/>
  <c r="AA1012" i="3"/>
  <c r="AA1013" i="3"/>
  <c r="AA1014" i="3"/>
  <c r="AA1015" i="3"/>
  <c r="AA1016" i="3"/>
  <c r="AA1017" i="3"/>
  <c r="AA1018" i="3"/>
  <c r="AA1019" i="3"/>
  <c r="AA1020" i="3"/>
  <c r="AA1021" i="3"/>
  <c r="AA1022" i="3"/>
  <c r="AA1023" i="3"/>
  <c r="AA1024" i="3"/>
  <c r="AA1025" i="3"/>
  <c r="AA1026" i="3"/>
  <c r="AA1027" i="3"/>
  <c r="AA1028" i="3"/>
  <c r="AA1029" i="3"/>
  <c r="AA1030" i="3"/>
  <c r="AA1031" i="3"/>
  <c r="AA1032" i="3"/>
  <c r="AA1033" i="3"/>
  <c r="AA1034" i="3"/>
  <c r="AA1035" i="3"/>
  <c r="AA1036" i="3"/>
  <c r="AA1037" i="3"/>
  <c r="AA1038" i="3"/>
  <c r="AA1039" i="3"/>
  <c r="AA1040" i="3"/>
  <c r="AA1041" i="3"/>
  <c r="AA1042" i="3"/>
  <c r="AA1043" i="3"/>
  <c r="AA1044" i="3"/>
  <c r="AA1045" i="3"/>
  <c r="AA1046" i="3"/>
  <c r="AA1047" i="3"/>
  <c r="AA1048" i="3"/>
  <c r="AA1049" i="3"/>
  <c r="AA1050" i="3"/>
  <c r="AA1051" i="3"/>
  <c r="AA1052" i="3"/>
  <c r="AA1053" i="3"/>
  <c r="AA1054" i="3"/>
  <c r="AA1055" i="3"/>
  <c r="AA1056" i="3"/>
  <c r="AA1057" i="3"/>
  <c r="AA1058" i="3"/>
  <c r="AA1059" i="3"/>
  <c r="AA1060" i="3"/>
  <c r="AA1061" i="3"/>
  <c r="AA1062" i="3"/>
  <c r="AA1063" i="3"/>
  <c r="AA1064" i="3"/>
  <c r="AA1065" i="3"/>
  <c r="AA1066" i="3"/>
  <c r="AA1067" i="3"/>
  <c r="AA1068" i="3"/>
  <c r="AA1069" i="3"/>
  <c r="AA1070" i="3"/>
  <c r="AA1071" i="3"/>
  <c r="AA1072" i="3"/>
  <c r="AA1073" i="3"/>
  <c r="AA1074" i="3"/>
  <c r="AA1075" i="3"/>
  <c r="AA1076" i="3"/>
  <c r="AA1077" i="3"/>
  <c r="AA1078" i="3"/>
  <c r="AA1079" i="3"/>
  <c r="AA1080" i="3"/>
  <c r="AA1081" i="3"/>
  <c r="AA1082" i="3"/>
  <c r="AA1083" i="3"/>
  <c r="AA1084" i="3"/>
  <c r="AA1085" i="3"/>
  <c r="AA1086" i="3"/>
  <c r="AA1087" i="3"/>
  <c r="AA1088" i="3"/>
  <c r="AA1089" i="3"/>
  <c r="AA1090" i="3"/>
  <c r="AA1091" i="3"/>
  <c r="AA1092" i="3"/>
  <c r="AA1093" i="3"/>
  <c r="AA1094" i="3"/>
  <c r="AA1095" i="3"/>
  <c r="AA1096" i="3"/>
  <c r="AA1097" i="3"/>
  <c r="AA1098" i="3"/>
  <c r="AA1099" i="3"/>
  <c r="AA1100" i="3"/>
  <c r="AA1101" i="3"/>
  <c r="AA1102" i="3"/>
  <c r="AA1103" i="3"/>
  <c r="AA1104" i="3"/>
  <c r="AA1105" i="3"/>
  <c r="AA1106" i="3"/>
  <c r="AA1107" i="3"/>
  <c r="AA1108" i="3"/>
  <c r="AA1109" i="3"/>
  <c r="AA1110" i="3"/>
  <c r="AA1111" i="3"/>
  <c r="AA1112" i="3"/>
  <c r="AA1113" i="3"/>
  <c r="AA1114" i="3"/>
  <c r="AA1115" i="3"/>
  <c r="AA1116" i="3"/>
  <c r="AA1117" i="3"/>
  <c r="AA1118" i="3"/>
  <c r="AA1119" i="3"/>
  <c r="AA1120" i="3"/>
  <c r="AA1121" i="3"/>
  <c r="AA1122" i="3"/>
  <c r="AA1123" i="3"/>
  <c r="AA1124" i="3"/>
  <c r="AA1125" i="3"/>
  <c r="AA1126" i="3"/>
  <c r="AA1127" i="3"/>
  <c r="AA1128" i="3"/>
  <c r="AA1129" i="3"/>
  <c r="AA1130" i="3"/>
  <c r="AA1131" i="3"/>
  <c r="AA1132" i="3"/>
  <c r="AA1133" i="3"/>
  <c r="AA1134" i="3"/>
  <c r="AA1135" i="3"/>
  <c r="AA1136" i="3"/>
  <c r="AA1137" i="3"/>
  <c r="AA1138" i="3"/>
  <c r="AA1139" i="3"/>
  <c r="AA1140" i="3"/>
  <c r="AA1141" i="3"/>
  <c r="AA1142" i="3"/>
  <c r="AA1143" i="3"/>
  <c r="AA1144" i="3"/>
  <c r="AA1145" i="3"/>
  <c r="AA1146" i="3"/>
  <c r="AA1147" i="3"/>
  <c r="AA1148" i="3"/>
  <c r="AA1149" i="3"/>
  <c r="AA1150" i="3"/>
  <c r="AA1151" i="3"/>
  <c r="AA1152" i="3"/>
  <c r="AA1153" i="3"/>
  <c r="AA1154" i="3"/>
  <c r="AA1155" i="3"/>
  <c r="AA1156" i="3"/>
  <c r="AA1157" i="3"/>
  <c r="AA1158" i="3"/>
  <c r="AA1159" i="3"/>
  <c r="AA1160" i="3"/>
  <c r="AA1161" i="3"/>
  <c r="AA1162" i="3"/>
  <c r="AA1163" i="3"/>
  <c r="AA1164" i="3"/>
  <c r="AA1165" i="3"/>
  <c r="AA1166" i="3"/>
  <c r="AA1167" i="3"/>
  <c r="AA1168" i="3"/>
  <c r="AA1169" i="3"/>
  <c r="AA1170" i="3"/>
  <c r="AE2" i="3" l="1"/>
  <c r="AD2" i="3"/>
  <c r="AA2" i="3"/>
  <c r="X3" i="3"/>
  <c r="X4" i="3"/>
  <c r="X5" i="3"/>
  <c r="X6" i="3"/>
  <c r="X7" i="3"/>
  <c r="X8" i="3"/>
  <c r="X9" i="3"/>
  <c r="X10" i="3"/>
  <c r="X11" i="3"/>
  <c r="X12" i="3"/>
  <c r="X13" i="3"/>
  <c r="X14" i="3"/>
  <c r="X15" i="3"/>
  <c r="X16" i="3"/>
  <c r="X17" i="3"/>
  <c r="X18" i="3"/>
  <c r="X19" i="3"/>
  <c r="X20" i="3"/>
  <c r="X21" i="3"/>
  <c r="X22" i="3"/>
  <c r="X23" i="3"/>
  <c r="X24" i="3"/>
  <c r="X25" i="3"/>
  <c r="X26" i="3"/>
  <c r="X27" i="3"/>
  <c r="X28" i="3"/>
  <c r="X29" i="3"/>
  <c r="X30" i="3"/>
  <c r="X31" i="3"/>
  <c r="X32" i="3"/>
  <c r="X33" i="3"/>
  <c r="X34" i="3"/>
  <c r="X35" i="3"/>
  <c r="X36" i="3"/>
  <c r="X37" i="3"/>
  <c r="X38" i="3"/>
  <c r="X39" i="3"/>
  <c r="X40" i="3"/>
  <c r="X41" i="3"/>
  <c r="X42" i="3"/>
  <c r="X43" i="3"/>
  <c r="X44" i="3"/>
  <c r="X45" i="3"/>
  <c r="X46" i="3"/>
  <c r="X47" i="3"/>
  <c r="X48" i="3"/>
  <c r="X49" i="3"/>
  <c r="X50" i="3"/>
  <c r="X51" i="3"/>
  <c r="X52" i="3"/>
  <c r="X53" i="3"/>
  <c r="X54" i="3"/>
  <c r="X55" i="3"/>
  <c r="X56" i="3"/>
  <c r="X57" i="3"/>
  <c r="X58" i="3"/>
  <c r="X59" i="3"/>
  <c r="X60" i="3"/>
  <c r="X61" i="3"/>
  <c r="X62" i="3"/>
  <c r="X63" i="3"/>
  <c r="X64" i="3"/>
  <c r="X65" i="3"/>
  <c r="X66" i="3"/>
  <c r="X67" i="3"/>
  <c r="X68" i="3"/>
  <c r="X69" i="3"/>
  <c r="X70" i="3"/>
  <c r="X71" i="3"/>
  <c r="X72" i="3"/>
  <c r="X73" i="3"/>
  <c r="X74" i="3"/>
  <c r="X75" i="3"/>
  <c r="X76" i="3"/>
  <c r="X77" i="3"/>
  <c r="X78" i="3"/>
  <c r="X79" i="3"/>
  <c r="X80" i="3"/>
  <c r="X81" i="3"/>
  <c r="X82" i="3"/>
  <c r="X83" i="3"/>
  <c r="X84" i="3"/>
  <c r="X85" i="3"/>
  <c r="X86" i="3"/>
  <c r="X87" i="3"/>
  <c r="X88" i="3"/>
  <c r="X89" i="3"/>
  <c r="X90" i="3"/>
  <c r="X91" i="3"/>
  <c r="X92" i="3"/>
  <c r="X93" i="3"/>
  <c r="X94" i="3"/>
  <c r="X95" i="3"/>
  <c r="X96" i="3"/>
  <c r="X97" i="3"/>
  <c r="X98" i="3"/>
  <c r="X99" i="3"/>
  <c r="X100" i="3"/>
  <c r="X101" i="3"/>
  <c r="X102" i="3"/>
  <c r="X103" i="3"/>
  <c r="X104" i="3"/>
  <c r="X105" i="3"/>
  <c r="X106" i="3"/>
  <c r="X107" i="3"/>
  <c r="X108" i="3"/>
  <c r="X109" i="3"/>
  <c r="X110" i="3"/>
  <c r="X111" i="3"/>
  <c r="X112" i="3"/>
  <c r="X113" i="3"/>
  <c r="X114" i="3"/>
  <c r="X115" i="3"/>
  <c r="X116" i="3"/>
  <c r="X117" i="3"/>
  <c r="X118" i="3"/>
  <c r="X119" i="3"/>
  <c r="X120" i="3"/>
  <c r="X121" i="3"/>
  <c r="X122" i="3"/>
  <c r="X123" i="3"/>
  <c r="X124" i="3"/>
  <c r="X125" i="3"/>
  <c r="X126" i="3"/>
  <c r="X127" i="3"/>
  <c r="X128" i="3"/>
  <c r="X129" i="3"/>
  <c r="X130" i="3"/>
  <c r="X131" i="3"/>
  <c r="X132" i="3"/>
  <c r="X133" i="3"/>
  <c r="X134" i="3"/>
  <c r="X135" i="3"/>
  <c r="X136" i="3"/>
  <c r="X137" i="3"/>
  <c r="X138" i="3"/>
  <c r="X139" i="3"/>
  <c r="X140" i="3"/>
  <c r="X141" i="3"/>
  <c r="X142" i="3"/>
  <c r="X143" i="3"/>
  <c r="X144" i="3"/>
  <c r="X145" i="3"/>
  <c r="X146" i="3"/>
  <c r="X147" i="3"/>
  <c r="X148" i="3"/>
  <c r="X149" i="3"/>
  <c r="X150" i="3"/>
  <c r="X151" i="3"/>
  <c r="X152" i="3"/>
  <c r="X153" i="3"/>
  <c r="X154" i="3"/>
  <c r="X155" i="3"/>
  <c r="X156" i="3"/>
  <c r="X157" i="3"/>
  <c r="X158" i="3"/>
  <c r="X159" i="3"/>
  <c r="X160" i="3"/>
  <c r="X161" i="3"/>
  <c r="X162" i="3"/>
  <c r="X163" i="3"/>
  <c r="X164" i="3"/>
  <c r="X165" i="3"/>
  <c r="X166" i="3"/>
  <c r="X167" i="3"/>
  <c r="X168" i="3"/>
  <c r="X169" i="3"/>
  <c r="X170" i="3"/>
  <c r="X171" i="3"/>
  <c r="X172" i="3"/>
  <c r="X173" i="3"/>
  <c r="X174" i="3"/>
  <c r="X175" i="3"/>
  <c r="X176" i="3"/>
  <c r="X177" i="3"/>
  <c r="X178" i="3"/>
  <c r="X179" i="3"/>
  <c r="X180" i="3"/>
  <c r="X181" i="3"/>
  <c r="X182" i="3"/>
  <c r="X183" i="3"/>
  <c r="X184" i="3"/>
  <c r="X185" i="3"/>
  <c r="X186" i="3"/>
  <c r="X187" i="3"/>
  <c r="X188" i="3"/>
  <c r="X189" i="3"/>
  <c r="X190" i="3"/>
  <c r="X191" i="3"/>
  <c r="X192" i="3"/>
  <c r="X193" i="3"/>
  <c r="X194" i="3"/>
  <c r="X195" i="3"/>
  <c r="X196" i="3"/>
  <c r="X197" i="3"/>
  <c r="X198" i="3"/>
  <c r="X199" i="3"/>
  <c r="X200" i="3"/>
  <c r="X201" i="3"/>
  <c r="X202" i="3"/>
  <c r="X203" i="3"/>
  <c r="X204" i="3"/>
  <c r="X205" i="3"/>
  <c r="X206" i="3"/>
  <c r="X207" i="3"/>
  <c r="X208" i="3"/>
  <c r="X209" i="3"/>
  <c r="X210" i="3"/>
  <c r="X211" i="3"/>
  <c r="X212" i="3"/>
  <c r="X213" i="3"/>
  <c r="X214" i="3"/>
  <c r="X215" i="3"/>
  <c r="X216" i="3"/>
  <c r="X217" i="3"/>
  <c r="X218" i="3"/>
  <c r="X219" i="3"/>
  <c r="X220" i="3"/>
  <c r="X221" i="3"/>
  <c r="X222" i="3"/>
  <c r="X223" i="3"/>
  <c r="X224" i="3"/>
  <c r="X225" i="3"/>
  <c r="X226" i="3"/>
  <c r="X227" i="3"/>
  <c r="X228" i="3"/>
  <c r="X229" i="3"/>
  <c r="X230" i="3"/>
  <c r="X231" i="3"/>
  <c r="X232" i="3"/>
  <c r="X233" i="3"/>
  <c r="X234" i="3"/>
  <c r="X235" i="3"/>
  <c r="X236" i="3"/>
  <c r="X237" i="3"/>
  <c r="X238" i="3"/>
  <c r="X239" i="3"/>
  <c r="X240" i="3"/>
  <c r="X241" i="3"/>
  <c r="X242" i="3"/>
  <c r="X243" i="3"/>
  <c r="X244" i="3"/>
  <c r="X245" i="3"/>
  <c r="X246" i="3"/>
  <c r="X247" i="3"/>
  <c r="X248" i="3"/>
  <c r="X249" i="3"/>
  <c r="X250" i="3"/>
  <c r="X251" i="3"/>
  <c r="X252" i="3"/>
  <c r="X253" i="3"/>
  <c r="X254" i="3"/>
  <c r="X255" i="3"/>
  <c r="X256" i="3"/>
  <c r="X257" i="3"/>
  <c r="X258" i="3"/>
  <c r="X259" i="3"/>
  <c r="X260" i="3"/>
  <c r="X261" i="3"/>
  <c r="X262" i="3"/>
  <c r="X263" i="3"/>
  <c r="X264" i="3"/>
  <c r="X265" i="3"/>
  <c r="X266" i="3"/>
  <c r="X267" i="3"/>
  <c r="X268" i="3"/>
  <c r="X269" i="3"/>
  <c r="X270" i="3"/>
  <c r="X271" i="3"/>
  <c r="X272" i="3"/>
  <c r="X273" i="3"/>
  <c r="X274" i="3"/>
  <c r="X275" i="3"/>
  <c r="X276" i="3"/>
  <c r="X277" i="3"/>
  <c r="X278" i="3"/>
  <c r="X279" i="3"/>
  <c r="X280" i="3"/>
  <c r="X281" i="3"/>
  <c r="X282" i="3"/>
  <c r="X283" i="3"/>
  <c r="X284" i="3"/>
  <c r="X285" i="3"/>
  <c r="X286" i="3"/>
  <c r="X287" i="3"/>
  <c r="X288" i="3"/>
  <c r="X289" i="3"/>
  <c r="X290" i="3"/>
  <c r="X291" i="3"/>
  <c r="X292" i="3"/>
  <c r="X293" i="3"/>
  <c r="X294" i="3"/>
  <c r="X295" i="3"/>
  <c r="X296" i="3"/>
  <c r="X297" i="3"/>
  <c r="X298" i="3"/>
  <c r="X299" i="3"/>
  <c r="X300" i="3"/>
  <c r="X301" i="3"/>
  <c r="X302" i="3"/>
  <c r="X303" i="3"/>
  <c r="X304" i="3"/>
  <c r="X305" i="3"/>
  <c r="X306" i="3"/>
  <c r="X307" i="3"/>
  <c r="X308" i="3"/>
  <c r="X309" i="3"/>
  <c r="X310" i="3"/>
  <c r="X311" i="3"/>
  <c r="X312" i="3"/>
  <c r="X313" i="3"/>
  <c r="X314" i="3"/>
  <c r="X315" i="3"/>
  <c r="X316" i="3"/>
  <c r="X317" i="3"/>
  <c r="X318" i="3"/>
  <c r="X319" i="3"/>
  <c r="X320" i="3"/>
  <c r="X321" i="3"/>
  <c r="X322" i="3"/>
  <c r="X323" i="3"/>
  <c r="X324" i="3"/>
  <c r="X325" i="3"/>
  <c r="X326" i="3"/>
  <c r="X327" i="3"/>
  <c r="X328" i="3"/>
  <c r="X329" i="3"/>
  <c r="X330" i="3"/>
  <c r="X331" i="3"/>
  <c r="X332" i="3"/>
  <c r="X333" i="3"/>
  <c r="X334" i="3"/>
  <c r="X335" i="3"/>
  <c r="X336" i="3"/>
  <c r="X337" i="3"/>
  <c r="X338" i="3"/>
  <c r="X339" i="3"/>
  <c r="X340" i="3"/>
  <c r="X341" i="3"/>
  <c r="X342" i="3"/>
  <c r="X343" i="3"/>
  <c r="X344" i="3"/>
  <c r="X345" i="3"/>
  <c r="X346" i="3"/>
  <c r="X347" i="3"/>
  <c r="X348" i="3"/>
  <c r="X349" i="3"/>
  <c r="X350" i="3"/>
  <c r="X351" i="3"/>
  <c r="X352" i="3"/>
  <c r="X353" i="3"/>
  <c r="X354" i="3"/>
  <c r="X355" i="3"/>
  <c r="X356" i="3"/>
  <c r="X357" i="3"/>
  <c r="X358" i="3"/>
  <c r="X359" i="3"/>
  <c r="X360" i="3"/>
  <c r="X361" i="3"/>
  <c r="X362" i="3"/>
  <c r="X363" i="3"/>
  <c r="X364" i="3"/>
  <c r="X365" i="3"/>
  <c r="X366" i="3"/>
  <c r="X367" i="3"/>
  <c r="X368" i="3"/>
  <c r="X369" i="3"/>
  <c r="X370" i="3"/>
  <c r="X371" i="3"/>
  <c r="X372" i="3"/>
  <c r="X373" i="3"/>
  <c r="X374" i="3"/>
  <c r="X375" i="3"/>
  <c r="X376" i="3"/>
  <c r="X377" i="3"/>
  <c r="X378" i="3"/>
  <c r="X379" i="3"/>
  <c r="X380" i="3"/>
  <c r="X381" i="3"/>
  <c r="X382" i="3"/>
  <c r="X383" i="3"/>
  <c r="X384" i="3"/>
  <c r="X385" i="3"/>
  <c r="X386" i="3"/>
  <c r="X387" i="3"/>
  <c r="X388" i="3"/>
  <c r="X389" i="3"/>
  <c r="X390" i="3"/>
  <c r="X391" i="3"/>
  <c r="X392" i="3"/>
  <c r="X393" i="3"/>
  <c r="X394" i="3"/>
  <c r="X395" i="3"/>
  <c r="X396" i="3"/>
  <c r="X397" i="3"/>
  <c r="X398" i="3"/>
  <c r="X399" i="3"/>
  <c r="X400" i="3"/>
  <c r="X401" i="3"/>
  <c r="X402" i="3"/>
  <c r="X403" i="3"/>
  <c r="X404" i="3"/>
  <c r="X405" i="3"/>
  <c r="X406" i="3"/>
  <c r="X407" i="3"/>
  <c r="X408" i="3"/>
  <c r="X409" i="3"/>
  <c r="X410" i="3"/>
  <c r="X411" i="3"/>
  <c r="X412" i="3"/>
  <c r="X413" i="3"/>
  <c r="X414" i="3"/>
  <c r="X415" i="3"/>
  <c r="X416" i="3"/>
  <c r="X417" i="3"/>
  <c r="X418" i="3"/>
  <c r="X419" i="3"/>
  <c r="X420" i="3"/>
  <c r="X421" i="3"/>
  <c r="X422" i="3"/>
  <c r="X423" i="3"/>
  <c r="X424" i="3"/>
  <c r="X425" i="3"/>
  <c r="X426" i="3"/>
  <c r="X427" i="3"/>
  <c r="X428" i="3"/>
  <c r="X429" i="3"/>
  <c r="X430" i="3"/>
  <c r="X431" i="3"/>
  <c r="X432" i="3"/>
  <c r="X433" i="3"/>
  <c r="X434" i="3"/>
  <c r="X435" i="3"/>
  <c r="X436" i="3"/>
  <c r="X437" i="3"/>
  <c r="X438" i="3"/>
  <c r="X439" i="3"/>
  <c r="X440" i="3"/>
  <c r="X441" i="3"/>
  <c r="X442" i="3"/>
  <c r="X443" i="3"/>
  <c r="X444" i="3"/>
  <c r="X445" i="3"/>
  <c r="X446" i="3"/>
  <c r="X447" i="3"/>
  <c r="X448" i="3"/>
  <c r="X449" i="3"/>
  <c r="X450" i="3"/>
  <c r="X451" i="3"/>
  <c r="X452" i="3"/>
  <c r="X453" i="3"/>
  <c r="X454" i="3"/>
  <c r="X455" i="3"/>
  <c r="X456" i="3"/>
  <c r="X457" i="3"/>
  <c r="X458" i="3"/>
  <c r="X459" i="3"/>
  <c r="X460" i="3"/>
  <c r="X461" i="3"/>
  <c r="X462" i="3"/>
  <c r="X463" i="3"/>
  <c r="X464" i="3"/>
  <c r="X465" i="3"/>
  <c r="X466" i="3"/>
  <c r="X467" i="3"/>
  <c r="X468" i="3"/>
  <c r="X469" i="3"/>
  <c r="X470" i="3"/>
  <c r="X471" i="3"/>
  <c r="X472" i="3"/>
  <c r="X473" i="3"/>
  <c r="X474" i="3"/>
  <c r="X475" i="3"/>
  <c r="X476" i="3"/>
  <c r="X477" i="3"/>
  <c r="X478" i="3"/>
  <c r="X479" i="3"/>
  <c r="X480" i="3"/>
  <c r="X481" i="3"/>
  <c r="X482" i="3"/>
  <c r="X483" i="3"/>
  <c r="X484" i="3"/>
  <c r="X485" i="3"/>
  <c r="X486" i="3"/>
  <c r="X487" i="3"/>
  <c r="X488" i="3"/>
  <c r="X489" i="3"/>
  <c r="X490" i="3"/>
  <c r="X491" i="3"/>
  <c r="X492" i="3"/>
  <c r="X493" i="3"/>
  <c r="X494" i="3"/>
  <c r="X495" i="3"/>
  <c r="X496" i="3"/>
  <c r="X497" i="3"/>
  <c r="X498" i="3"/>
  <c r="X499" i="3"/>
  <c r="X500" i="3"/>
  <c r="X501" i="3"/>
  <c r="X502" i="3"/>
  <c r="X503" i="3"/>
  <c r="X504" i="3"/>
  <c r="X505" i="3"/>
  <c r="X506" i="3"/>
  <c r="X507" i="3"/>
  <c r="X508" i="3"/>
  <c r="X509" i="3"/>
  <c r="X510" i="3"/>
  <c r="X511" i="3"/>
  <c r="X512" i="3"/>
  <c r="X513" i="3"/>
  <c r="X514" i="3"/>
  <c r="X515" i="3"/>
  <c r="X516" i="3"/>
  <c r="X517" i="3"/>
  <c r="X518" i="3"/>
  <c r="X519" i="3"/>
  <c r="X520" i="3"/>
  <c r="X521" i="3"/>
  <c r="X522" i="3"/>
  <c r="X523" i="3"/>
  <c r="X524" i="3"/>
  <c r="X525" i="3"/>
  <c r="X526" i="3"/>
  <c r="X527" i="3"/>
  <c r="X528" i="3"/>
  <c r="X529" i="3"/>
  <c r="X530" i="3"/>
  <c r="X531" i="3"/>
  <c r="X532" i="3"/>
  <c r="X533" i="3"/>
  <c r="X534" i="3"/>
  <c r="X535" i="3"/>
  <c r="X536" i="3"/>
  <c r="X537" i="3"/>
  <c r="X538" i="3"/>
  <c r="X539" i="3"/>
  <c r="X540" i="3"/>
  <c r="X541" i="3"/>
  <c r="X542" i="3"/>
  <c r="X543" i="3"/>
  <c r="X544" i="3"/>
  <c r="X545" i="3"/>
  <c r="X546" i="3"/>
  <c r="X547" i="3"/>
  <c r="X548" i="3"/>
  <c r="X549" i="3"/>
  <c r="X550" i="3"/>
  <c r="X551" i="3"/>
  <c r="X552" i="3"/>
  <c r="X553" i="3"/>
  <c r="X554" i="3"/>
  <c r="X555" i="3"/>
  <c r="X556" i="3"/>
  <c r="X557" i="3"/>
  <c r="X558" i="3"/>
  <c r="X559" i="3"/>
  <c r="X560" i="3"/>
  <c r="X561" i="3"/>
  <c r="X562" i="3"/>
  <c r="X563" i="3"/>
  <c r="X564" i="3"/>
  <c r="X565" i="3"/>
  <c r="X566" i="3"/>
  <c r="X567" i="3"/>
  <c r="X568" i="3"/>
  <c r="X569" i="3"/>
  <c r="X570" i="3"/>
  <c r="X571" i="3"/>
  <c r="X572" i="3"/>
  <c r="X573" i="3"/>
  <c r="X574" i="3"/>
  <c r="X575" i="3"/>
  <c r="X576" i="3"/>
  <c r="X577" i="3"/>
  <c r="X578" i="3"/>
  <c r="X579" i="3"/>
  <c r="X580" i="3"/>
  <c r="X581" i="3"/>
  <c r="X582" i="3"/>
  <c r="X583" i="3"/>
  <c r="X584" i="3"/>
  <c r="X585" i="3"/>
  <c r="X586" i="3"/>
  <c r="X587" i="3"/>
  <c r="X588" i="3"/>
  <c r="X589" i="3"/>
  <c r="X590" i="3"/>
  <c r="X591" i="3"/>
  <c r="X592" i="3"/>
  <c r="X593" i="3"/>
  <c r="X594" i="3"/>
  <c r="X595" i="3"/>
  <c r="X596" i="3"/>
  <c r="X597" i="3"/>
  <c r="X598" i="3"/>
  <c r="X599" i="3"/>
  <c r="X600" i="3"/>
  <c r="X601" i="3"/>
  <c r="X602" i="3"/>
  <c r="X603" i="3"/>
  <c r="X604" i="3"/>
  <c r="X605" i="3"/>
  <c r="X606" i="3"/>
  <c r="X607" i="3"/>
  <c r="X608" i="3"/>
  <c r="X609" i="3"/>
  <c r="X610" i="3"/>
  <c r="X611" i="3"/>
  <c r="X612" i="3"/>
  <c r="X613" i="3"/>
  <c r="X614" i="3"/>
  <c r="X615" i="3"/>
  <c r="X616" i="3"/>
  <c r="X617" i="3"/>
  <c r="X618" i="3"/>
  <c r="X619" i="3"/>
  <c r="X620" i="3"/>
  <c r="X621" i="3"/>
  <c r="X622" i="3"/>
  <c r="X623" i="3"/>
  <c r="X624" i="3"/>
  <c r="X625" i="3"/>
  <c r="X626" i="3"/>
  <c r="X627" i="3"/>
  <c r="X628" i="3"/>
  <c r="X629" i="3"/>
  <c r="X630" i="3"/>
  <c r="X631" i="3"/>
  <c r="X632" i="3"/>
  <c r="X633" i="3"/>
  <c r="X634" i="3"/>
  <c r="X635" i="3"/>
  <c r="X636" i="3"/>
  <c r="X637" i="3"/>
  <c r="X638" i="3"/>
  <c r="X639" i="3"/>
  <c r="X640" i="3"/>
  <c r="X641" i="3"/>
  <c r="X642" i="3"/>
  <c r="X643" i="3"/>
  <c r="X644" i="3"/>
  <c r="X645" i="3"/>
  <c r="X646" i="3"/>
  <c r="X647" i="3"/>
  <c r="X648" i="3"/>
  <c r="X649" i="3"/>
  <c r="X650" i="3"/>
  <c r="X651" i="3"/>
  <c r="X652" i="3"/>
  <c r="X653" i="3"/>
  <c r="X654" i="3"/>
  <c r="X655" i="3"/>
  <c r="X656" i="3"/>
  <c r="X657" i="3"/>
  <c r="X658" i="3"/>
  <c r="X659" i="3"/>
  <c r="X660" i="3"/>
  <c r="X661" i="3"/>
  <c r="X662" i="3"/>
  <c r="X663" i="3"/>
  <c r="X664" i="3"/>
  <c r="X665" i="3"/>
  <c r="X666" i="3"/>
  <c r="X667" i="3"/>
  <c r="X668" i="3"/>
  <c r="X669" i="3"/>
  <c r="X670" i="3"/>
  <c r="X671" i="3"/>
  <c r="X672" i="3"/>
  <c r="X673" i="3"/>
  <c r="X674" i="3"/>
  <c r="X675" i="3"/>
  <c r="X676" i="3"/>
  <c r="X677" i="3"/>
  <c r="X678" i="3"/>
  <c r="X679" i="3"/>
  <c r="X680" i="3"/>
  <c r="X681" i="3"/>
  <c r="X682" i="3"/>
  <c r="X683" i="3"/>
  <c r="X684" i="3"/>
  <c r="X685" i="3"/>
  <c r="X686" i="3"/>
  <c r="X687" i="3"/>
  <c r="X688" i="3"/>
  <c r="X689" i="3"/>
  <c r="X690" i="3"/>
  <c r="X691" i="3"/>
  <c r="X692" i="3"/>
  <c r="X693" i="3"/>
  <c r="X694" i="3"/>
  <c r="X695" i="3"/>
  <c r="X696" i="3"/>
  <c r="X697" i="3"/>
  <c r="X698" i="3"/>
  <c r="X699" i="3"/>
  <c r="X700" i="3"/>
  <c r="X701" i="3"/>
  <c r="X702" i="3"/>
  <c r="X703" i="3"/>
  <c r="X704" i="3"/>
  <c r="X705" i="3"/>
  <c r="X706" i="3"/>
  <c r="X707" i="3"/>
  <c r="X708" i="3"/>
  <c r="X709" i="3"/>
  <c r="X710" i="3"/>
  <c r="X711" i="3"/>
  <c r="X712" i="3"/>
  <c r="X713" i="3"/>
  <c r="X714" i="3"/>
  <c r="X715" i="3"/>
  <c r="X716" i="3"/>
  <c r="X717" i="3"/>
  <c r="X718" i="3"/>
  <c r="X719" i="3"/>
  <c r="X720" i="3"/>
  <c r="X721" i="3"/>
  <c r="X722" i="3"/>
  <c r="X723" i="3"/>
  <c r="X724" i="3"/>
  <c r="X725" i="3"/>
  <c r="X726" i="3"/>
  <c r="X727" i="3"/>
  <c r="X728" i="3"/>
  <c r="X729" i="3"/>
  <c r="X730" i="3"/>
  <c r="X731" i="3"/>
  <c r="X732" i="3"/>
  <c r="X733" i="3"/>
  <c r="X734" i="3"/>
  <c r="X735" i="3"/>
  <c r="X736" i="3"/>
  <c r="X737" i="3"/>
  <c r="X738" i="3"/>
  <c r="X739" i="3"/>
  <c r="X740" i="3"/>
  <c r="X741" i="3"/>
  <c r="X742" i="3"/>
  <c r="X743" i="3"/>
  <c r="X744" i="3"/>
  <c r="X745" i="3"/>
  <c r="X746" i="3"/>
  <c r="X747" i="3"/>
  <c r="X748" i="3"/>
  <c r="X749" i="3"/>
  <c r="X750" i="3"/>
  <c r="X751" i="3"/>
  <c r="X752" i="3"/>
  <c r="X753" i="3"/>
  <c r="X754" i="3"/>
  <c r="X755" i="3"/>
  <c r="X756" i="3"/>
  <c r="X757" i="3"/>
  <c r="X758" i="3"/>
  <c r="X759" i="3"/>
  <c r="X760" i="3"/>
  <c r="X761" i="3"/>
  <c r="X762" i="3"/>
  <c r="X763" i="3"/>
  <c r="X764" i="3"/>
  <c r="X765" i="3"/>
  <c r="X766" i="3"/>
  <c r="X767" i="3"/>
  <c r="X768" i="3"/>
  <c r="X769" i="3"/>
  <c r="X770" i="3"/>
  <c r="X771" i="3"/>
  <c r="X772" i="3"/>
  <c r="X773" i="3"/>
  <c r="X774" i="3"/>
  <c r="X775" i="3"/>
  <c r="X776" i="3"/>
  <c r="X777" i="3"/>
  <c r="X778" i="3"/>
  <c r="X779" i="3"/>
  <c r="X780" i="3"/>
  <c r="X781" i="3"/>
  <c r="X782" i="3"/>
  <c r="X783" i="3"/>
  <c r="X784" i="3"/>
  <c r="X785" i="3"/>
  <c r="X786" i="3"/>
  <c r="X787" i="3"/>
  <c r="X788" i="3"/>
  <c r="X789" i="3"/>
  <c r="X790" i="3"/>
  <c r="X791" i="3"/>
  <c r="X792" i="3"/>
  <c r="X793" i="3"/>
  <c r="X794" i="3"/>
  <c r="X795" i="3"/>
  <c r="X796" i="3"/>
  <c r="X797" i="3"/>
  <c r="X798" i="3"/>
  <c r="X799" i="3"/>
  <c r="X800" i="3"/>
  <c r="X801" i="3"/>
  <c r="X802" i="3"/>
  <c r="X803" i="3"/>
  <c r="X804" i="3"/>
  <c r="X805" i="3"/>
  <c r="X806" i="3"/>
  <c r="X807" i="3"/>
  <c r="X808" i="3"/>
  <c r="X809" i="3"/>
  <c r="X810" i="3"/>
  <c r="X811" i="3"/>
  <c r="X812" i="3"/>
  <c r="X813" i="3"/>
  <c r="X814" i="3"/>
  <c r="X815" i="3"/>
  <c r="X816" i="3"/>
  <c r="X817" i="3"/>
  <c r="X818" i="3"/>
  <c r="X819" i="3"/>
  <c r="X820" i="3"/>
  <c r="X821" i="3"/>
  <c r="X822" i="3"/>
  <c r="X823" i="3"/>
  <c r="X824" i="3"/>
  <c r="X825" i="3"/>
  <c r="X826" i="3"/>
  <c r="X827" i="3"/>
  <c r="X828" i="3"/>
  <c r="X829" i="3"/>
  <c r="X830" i="3"/>
  <c r="X831" i="3"/>
  <c r="X832" i="3"/>
  <c r="X833" i="3"/>
  <c r="X834" i="3"/>
  <c r="X835" i="3"/>
  <c r="X836" i="3"/>
  <c r="X837" i="3"/>
  <c r="X838" i="3"/>
  <c r="X839" i="3"/>
  <c r="X840" i="3"/>
  <c r="X841" i="3"/>
  <c r="X842" i="3"/>
  <c r="X843" i="3"/>
  <c r="X844" i="3"/>
  <c r="X845" i="3"/>
  <c r="X846" i="3"/>
  <c r="X847" i="3"/>
  <c r="X848" i="3"/>
  <c r="X849" i="3"/>
  <c r="X850" i="3"/>
  <c r="X851" i="3"/>
  <c r="X852" i="3"/>
  <c r="X853" i="3"/>
  <c r="X854" i="3"/>
  <c r="X855" i="3"/>
  <c r="X856" i="3"/>
  <c r="X857" i="3"/>
  <c r="X858" i="3"/>
  <c r="X859" i="3"/>
  <c r="X860" i="3"/>
  <c r="X861" i="3"/>
  <c r="X862" i="3"/>
  <c r="X863" i="3"/>
  <c r="X864" i="3"/>
  <c r="X865" i="3"/>
  <c r="X866" i="3"/>
  <c r="X867" i="3"/>
  <c r="X868" i="3"/>
  <c r="X869" i="3"/>
  <c r="X870" i="3"/>
  <c r="X871" i="3"/>
  <c r="X872" i="3"/>
  <c r="X873" i="3"/>
  <c r="X874" i="3"/>
  <c r="X875" i="3"/>
  <c r="X876" i="3"/>
  <c r="X877" i="3"/>
  <c r="X878" i="3"/>
  <c r="X879" i="3"/>
  <c r="X880" i="3"/>
  <c r="X881" i="3"/>
  <c r="X882" i="3"/>
  <c r="X883" i="3"/>
  <c r="X884" i="3"/>
  <c r="X885" i="3"/>
  <c r="X886" i="3"/>
  <c r="X887" i="3"/>
  <c r="X888" i="3"/>
  <c r="X889" i="3"/>
  <c r="X890" i="3"/>
  <c r="X891" i="3"/>
  <c r="X892" i="3"/>
  <c r="X893" i="3"/>
  <c r="X894" i="3"/>
  <c r="X895" i="3"/>
  <c r="X896" i="3"/>
  <c r="X897" i="3"/>
  <c r="X898" i="3"/>
  <c r="X899" i="3"/>
  <c r="X900" i="3"/>
  <c r="X901" i="3"/>
  <c r="X902" i="3"/>
  <c r="X903" i="3"/>
  <c r="X904" i="3"/>
  <c r="X905" i="3"/>
  <c r="X906" i="3"/>
  <c r="X907" i="3"/>
  <c r="X908" i="3"/>
  <c r="X909" i="3"/>
  <c r="X910" i="3"/>
  <c r="X911" i="3"/>
  <c r="X912" i="3"/>
  <c r="X913" i="3"/>
  <c r="X914" i="3"/>
  <c r="X915" i="3"/>
  <c r="X916" i="3"/>
  <c r="X917" i="3"/>
  <c r="X918" i="3"/>
  <c r="X919" i="3"/>
  <c r="X920" i="3"/>
  <c r="X921" i="3"/>
  <c r="X922" i="3"/>
  <c r="X923" i="3"/>
  <c r="X924" i="3"/>
  <c r="X925" i="3"/>
  <c r="X926" i="3"/>
  <c r="X927" i="3"/>
  <c r="X928" i="3"/>
  <c r="X929" i="3"/>
  <c r="X930" i="3"/>
  <c r="X931" i="3"/>
  <c r="X932" i="3"/>
  <c r="X933" i="3"/>
  <c r="X934" i="3"/>
  <c r="X935" i="3"/>
  <c r="X936" i="3"/>
  <c r="X937" i="3"/>
  <c r="X938" i="3"/>
  <c r="X939" i="3"/>
  <c r="X940" i="3"/>
  <c r="X941" i="3"/>
  <c r="X942" i="3"/>
  <c r="X943" i="3"/>
  <c r="X944" i="3"/>
  <c r="X945" i="3"/>
  <c r="X946" i="3"/>
  <c r="X947" i="3"/>
  <c r="X948" i="3"/>
  <c r="X949" i="3"/>
  <c r="X950" i="3"/>
  <c r="X951" i="3"/>
  <c r="X952" i="3"/>
  <c r="X953" i="3"/>
  <c r="X954" i="3"/>
  <c r="X955" i="3"/>
  <c r="X956" i="3"/>
  <c r="X957" i="3"/>
  <c r="X958" i="3"/>
  <c r="X959" i="3"/>
  <c r="X960" i="3"/>
  <c r="X961" i="3"/>
  <c r="X962" i="3"/>
  <c r="X963" i="3"/>
  <c r="X964" i="3"/>
  <c r="X965" i="3"/>
  <c r="X966" i="3"/>
  <c r="X967" i="3"/>
  <c r="X968" i="3"/>
  <c r="X969" i="3"/>
  <c r="X970" i="3"/>
  <c r="X971" i="3"/>
  <c r="X972" i="3"/>
  <c r="X973" i="3"/>
  <c r="X974" i="3"/>
  <c r="X975" i="3"/>
  <c r="X976" i="3"/>
  <c r="X977" i="3"/>
  <c r="X978" i="3"/>
  <c r="X979" i="3"/>
  <c r="X980" i="3"/>
  <c r="X981" i="3"/>
  <c r="X982" i="3"/>
  <c r="X983" i="3"/>
  <c r="X984" i="3"/>
  <c r="X985" i="3"/>
  <c r="X986" i="3"/>
  <c r="X987" i="3"/>
  <c r="X988" i="3"/>
  <c r="X989" i="3"/>
  <c r="X990" i="3"/>
  <c r="X991" i="3"/>
  <c r="X992" i="3"/>
  <c r="X993" i="3"/>
  <c r="X994" i="3"/>
  <c r="X995" i="3"/>
  <c r="X996" i="3"/>
  <c r="X997" i="3"/>
  <c r="X998" i="3"/>
  <c r="X999" i="3"/>
  <c r="X1000" i="3"/>
  <c r="X1001" i="3"/>
  <c r="X1002" i="3"/>
  <c r="X1003" i="3"/>
  <c r="X1004" i="3"/>
  <c r="X1005" i="3"/>
  <c r="X1006" i="3"/>
  <c r="X1007" i="3"/>
  <c r="X1008" i="3"/>
  <c r="X1009" i="3"/>
  <c r="X1010" i="3"/>
  <c r="X1011" i="3"/>
  <c r="X1012" i="3"/>
  <c r="X1013" i="3"/>
  <c r="X1014" i="3"/>
  <c r="X1015" i="3"/>
  <c r="X1016" i="3"/>
  <c r="X1017" i="3"/>
  <c r="X1018" i="3"/>
  <c r="X1019" i="3"/>
  <c r="X1020" i="3"/>
  <c r="X1021" i="3"/>
  <c r="X1022" i="3"/>
  <c r="X1023" i="3"/>
  <c r="X1024" i="3"/>
  <c r="X1025" i="3"/>
  <c r="X1026" i="3"/>
  <c r="X1027" i="3"/>
  <c r="X1028" i="3"/>
  <c r="X1029" i="3"/>
  <c r="X1030" i="3"/>
  <c r="X1031" i="3"/>
  <c r="X1032" i="3"/>
  <c r="X1033" i="3"/>
  <c r="X1034" i="3"/>
  <c r="X1035" i="3"/>
  <c r="X1036" i="3"/>
  <c r="X1037" i="3"/>
  <c r="X1038" i="3"/>
  <c r="X1039" i="3"/>
  <c r="X1040" i="3"/>
  <c r="X1041" i="3"/>
  <c r="X1042" i="3"/>
  <c r="X1043" i="3"/>
  <c r="X1044" i="3"/>
  <c r="X1045" i="3"/>
  <c r="X1046" i="3"/>
  <c r="X1047" i="3"/>
  <c r="X1048" i="3"/>
  <c r="X1049" i="3"/>
  <c r="X1050" i="3"/>
  <c r="X1051" i="3"/>
  <c r="X1052" i="3"/>
  <c r="X1053" i="3"/>
  <c r="X1054" i="3"/>
  <c r="X1055" i="3"/>
  <c r="X1056" i="3"/>
  <c r="X1057" i="3"/>
  <c r="X1058" i="3"/>
  <c r="X1059" i="3"/>
  <c r="X1060" i="3"/>
  <c r="X1061" i="3"/>
  <c r="X1062" i="3"/>
  <c r="X1063" i="3"/>
  <c r="X1064" i="3"/>
  <c r="X1065" i="3"/>
  <c r="X1066" i="3"/>
  <c r="X1067" i="3"/>
  <c r="X1068" i="3"/>
  <c r="X1069" i="3"/>
  <c r="X1070" i="3"/>
  <c r="X1071" i="3"/>
  <c r="X1072" i="3"/>
  <c r="X1073" i="3"/>
  <c r="X1074" i="3"/>
  <c r="X1075" i="3"/>
  <c r="X1076" i="3"/>
  <c r="X1077" i="3"/>
  <c r="X1078" i="3"/>
  <c r="X1079" i="3"/>
  <c r="X1080" i="3"/>
  <c r="X1081" i="3"/>
  <c r="X1082" i="3"/>
  <c r="X1083" i="3"/>
  <c r="X1084" i="3"/>
  <c r="X1085" i="3"/>
  <c r="X1086" i="3"/>
  <c r="X1087" i="3"/>
  <c r="X1088" i="3"/>
  <c r="X1089" i="3"/>
  <c r="X1090" i="3"/>
  <c r="X1091" i="3"/>
  <c r="X1092" i="3"/>
  <c r="X1093" i="3"/>
  <c r="X1094" i="3"/>
  <c r="X1095" i="3"/>
  <c r="X1096" i="3"/>
  <c r="X1097" i="3"/>
  <c r="X1098" i="3"/>
  <c r="X1099" i="3"/>
  <c r="X1100" i="3"/>
  <c r="X1101" i="3"/>
  <c r="X1102" i="3"/>
  <c r="X1103" i="3"/>
  <c r="X1104" i="3"/>
  <c r="X1105" i="3"/>
  <c r="X1106" i="3"/>
  <c r="X1107" i="3"/>
  <c r="X1108" i="3"/>
  <c r="X1109" i="3"/>
  <c r="X1110" i="3"/>
  <c r="X1111" i="3"/>
  <c r="X1112" i="3"/>
  <c r="X1113" i="3"/>
  <c r="X1114" i="3"/>
  <c r="X1115" i="3"/>
  <c r="X1116" i="3"/>
  <c r="X1117" i="3"/>
  <c r="X1118" i="3"/>
  <c r="X1119" i="3"/>
  <c r="X1120" i="3"/>
  <c r="X1121" i="3"/>
  <c r="X1122" i="3"/>
  <c r="X1123" i="3"/>
  <c r="X1124" i="3"/>
  <c r="X1125" i="3"/>
  <c r="X1126" i="3"/>
  <c r="X1127" i="3"/>
  <c r="X1128" i="3"/>
  <c r="X1129" i="3"/>
  <c r="X1130" i="3"/>
  <c r="X1131" i="3"/>
  <c r="X1132" i="3"/>
  <c r="X1133" i="3"/>
  <c r="X1134" i="3"/>
  <c r="X1135" i="3"/>
  <c r="X1136" i="3"/>
  <c r="X1137" i="3"/>
  <c r="X1138" i="3"/>
  <c r="X1139" i="3"/>
  <c r="X1140" i="3"/>
  <c r="X1141" i="3"/>
  <c r="X1142" i="3"/>
  <c r="X1143" i="3"/>
  <c r="X1144" i="3"/>
  <c r="X1145" i="3"/>
  <c r="X1146" i="3"/>
  <c r="X1147" i="3"/>
  <c r="X1148" i="3"/>
  <c r="X1149" i="3"/>
  <c r="X1150" i="3"/>
  <c r="X1151" i="3"/>
  <c r="X1152" i="3"/>
  <c r="X1153" i="3"/>
  <c r="X1154" i="3"/>
  <c r="X1155" i="3"/>
  <c r="X1156" i="3"/>
  <c r="X1157" i="3"/>
  <c r="X1158" i="3"/>
  <c r="X1159" i="3"/>
  <c r="X1160" i="3"/>
  <c r="X1161" i="3"/>
  <c r="X1162" i="3"/>
  <c r="X1163" i="3"/>
  <c r="X1164" i="3"/>
  <c r="X1165" i="3"/>
  <c r="X1166" i="3"/>
  <c r="X1167" i="3"/>
  <c r="X1168" i="3"/>
  <c r="X1169" i="3"/>
  <c r="X1170" i="3"/>
  <c r="X2" i="3"/>
  <c r="W3" i="3"/>
  <c r="W4" i="3"/>
  <c r="W5" i="3"/>
  <c r="W6" i="3"/>
  <c r="W7" i="3"/>
  <c r="W8" i="3"/>
  <c r="W9" i="3"/>
  <c r="W10" i="3"/>
  <c r="W11" i="3"/>
  <c r="W12" i="3"/>
  <c r="W13" i="3"/>
  <c r="W14" i="3"/>
  <c r="W15" i="3"/>
  <c r="W16" i="3"/>
  <c r="W17" i="3"/>
  <c r="W18" i="3"/>
  <c r="W19" i="3"/>
  <c r="W20" i="3"/>
  <c r="W21" i="3"/>
  <c r="W22" i="3"/>
  <c r="W23" i="3"/>
  <c r="W24" i="3"/>
  <c r="W25" i="3"/>
  <c r="W26" i="3"/>
  <c r="W27" i="3"/>
  <c r="W28" i="3"/>
  <c r="W29" i="3"/>
  <c r="W30" i="3"/>
  <c r="W31" i="3"/>
  <c r="W32" i="3"/>
  <c r="W33" i="3"/>
  <c r="W34" i="3"/>
  <c r="W35" i="3"/>
  <c r="W36" i="3"/>
  <c r="W37" i="3"/>
  <c r="W38" i="3"/>
  <c r="W39" i="3"/>
  <c r="W40" i="3"/>
  <c r="W41" i="3"/>
  <c r="W42" i="3"/>
  <c r="W43" i="3"/>
  <c r="W44" i="3"/>
  <c r="W45" i="3"/>
  <c r="W46" i="3"/>
  <c r="W47" i="3"/>
  <c r="W48" i="3"/>
  <c r="W49" i="3"/>
  <c r="W50" i="3"/>
  <c r="W51" i="3"/>
  <c r="W52" i="3"/>
  <c r="W53" i="3"/>
  <c r="W54" i="3"/>
  <c r="W55" i="3"/>
  <c r="W56" i="3"/>
  <c r="W57" i="3"/>
  <c r="W58" i="3"/>
  <c r="W59" i="3"/>
  <c r="W60" i="3"/>
  <c r="W61" i="3"/>
  <c r="W62" i="3"/>
  <c r="W63" i="3"/>
  <c r="W64" i="3"/>
  <c r="W65" i="3"/>
  <c r="W66" i="3"/>
  <c r="W67" i="3"/>
  <c r="W68" i="3"/>
  <c r="W69" i="3"/>
  <c r="W70" i="3"/>
  <c r="W71" i="3"/>
  <c r="W72" i="3"/>
  <c r="W73" i="3"/>
  <c r="W74" i="3"/>
  <c r="W75" i="3"/>
  <c r="W76" i="3"/>
  <c r="W77" i="3"/>
  <c r="W78" i="3"/>
  <c r="W79" i="3"/>
  <c r="W80" i="3"/>
  <c r="W81" i="3"/>
  <c r="W82" i="3"/>
  <c r="W83" i="3"/>
  <c r="W84" i="3"/>
  <c r="W85" i="3"/>
  <c r="W86" i="3"/>
  <c r="W87" i="3"/>
  <c r="W88" i="3"/>
  <c r="W89" i="3"/>
  <c r="W90" i="3"/>
  <c r="W91" i="3"/>
  <c r="W92" i="3"/>
  <c r="W93" i="3"/>
  <c r="W94" i="3"/>
  <c r="W95" i="3"/>
  <c r="W96" i="3"/>
  <c r="W97" i="3"/>
  <c r="W98" i="3"/>
  <c r="W99" i="3"/>
  <c r="W100" i="3"/>
  <c r="W101" i="3"/>
  <c r="W102" i="3"/>
  <c r="W103" i="3"/>
  <c r="W104" i="3"/>
  <c r="W105" i="3"/>
  <c r="W106" i="3"/>
  <c r="W107" i="3"/>
  <c r="W108" i="3"/>
  <c r="W109" i="3"/>
  <c r="W110" i="3"/>
  <c r="W111" i="3"/>
  <c r="W112" i="3"/>
  <c r="W113" i="3"/>
  <c r="W114" i="3"/>
  <c r="W115" i="3"/>
  <c r="W116" i="3"/>
  <c r="W117" i="3"/>
  <c r="W118" i="3"/>
  <c r="W119" i="3"/>
  <c r="W120" i="3"/>
  <c r="W121" i="3"/>
  <c r="W122" i="3"/>
  <c r="W123" i="3"/>
  <c r="W124" i="3"/>
  <c r="W125" i="3"/>
  <c r="W126" i="3"/>
  <c r="W127" i="3"/>
  <c r="W128" i="3"/>
  <c r="W129" i="3"/>
  <c r="W130" i="3"/>
  <c r="W131" i="3"/>
  <c r="W132" i="3"/>
  <c r="W133" i="3"/>
  <c r="W134" i="3"/>
  <c r="W135" i="3"/>
  <c r="W136" i="3"/>
  <c r="W137" i="3"/>
  <c r="W138" i="3"/>
  <c r="W139" i="3"/>
  <c r="W140" i="3"/>
  <c r="W141" i="3"/>
  <c r="W142" i="3"/>
  <c r="W143" i="3"/>
  <c r="W144" i="3"/>
  <c r="W145" i="3"/>
  <c r="W146" i="3"/>
  <c r="W147" i="3"/>
  <c r="W148" i="3"/>
  <c r="W149" i="3"/>
  <c r="W150" i="3"/>
  <c r="W151" i="3"/>
  <c r="W152" i="3"/>
  <c r="W153" i="3"/>
  <c r="W154" i="3"/>
  <c r="W155" i="3"/>
  <c r="W156" i="3"/>
  <c r="W157" i="3"/>
  <c r="W158" i="3"/>
  <c r="W159" i="3"/>
  <c r="W160" i="3"/>
  <c r="W161" i="3"/>
  <c r="W162" i="3"/>
  <c r="W163" i="3"/>
  <c r="W164" i="3"/>
  <c r="W165" i="3"/>
  <c r="W166" i="3"/>
  <c r="W167" i="3"/>
  <c r="W168" i="3"/>
  <c r="W169" i="3"/>
  <c r="W170" i="3"/>
  <c r="W171" i="3"/>
  <c r="W172" i="3"/>
  <c r="W173" i="3"/>
  <c r="W174" i="3"/>
  <c r="W175" i="3"/>
  <c r="W176" i="3"/>
  <c r="W177" i="3"/>
  <c r="W178" i="3"/>
  <c r="W179" i="3"/>
  <c r="W180" i="3"/>
  <c r="W181" i="3"/>
  <c r="W182" i="3"/>
  <c r="W183" i="3"/>
  <c r="W184" i="3"/>
  <c r="W185" i="3"/>
  <c r="W186" i="3"/>
  <c r="W187" i="3"/>
  <c r="W188" i="3"/>
  <c r="W189" i="3"/>
  <c r="W190" i="3"/>
  <c r="W191" i="3"/>
  <c r="W192" i="3"/>
  <c r="W193" i="3"/>
  <c r="W194" i="3"/>
  <c r="W195" i="3"/>
  <c r="W196" i="3"/>
  <c r="W197" i="3"/>
  <c r="W198" i="3"/>
  <c r="W199" i="3"/>
  <c r="W200" i="3"/>
  <c r="W201" i="3"/>
  <c r="W202" i="3"/>
  <c r="W203" i="3"/>
  <c r="W204" i="3"/>
  <c r="W205" i="3"/>
  <c r="W206" i="3"/>
  <c r="W207" i="3"/>
  <c r="W208" i="3"/>
  <c r="W209" i="3"/>
  <c r="W210" i="3"/>
  <c r="W211" i="3"/>
  <c r="W212" i="3"/>
  <c r="W213" i="3"/>
  <c r="W214" i="3"/>
  <c r="W215" i="3"/>
  <c r="W216" i="3"/>
  <c r="W217" i="3"/>
  <c r="W218" i="3"/>
  <c r="W219" i="3"/>
  <c r="W220" i="3"/>
  <c r="W221" i="3"/>
  <c r="W222" i="3"/>
  <c r="W223" i="3"/>
  <c r="W224" i="3"/>
  <c r="W225" i="3"/>
  <c r="W226" i="3"/>
  <c r="W227" i="3"/>
  <c r="W228" i="3"/>
  <c r="W229" i="3"/>
  <c r="W230" i="3"/>
  <c r="W231" i="3"/>
  <c r="W232" i="3"/>
  <c r="W233" i="3"/>
  <c r="W234" i="3"/>
  <c r="W235" i="3"/>
  <c r="W236" i="3"/>
  <c r="W237" i="3"/>
  <c r="W238" i="3"/>
  <c r="W239" i="3"/>
  <c r="W240" i="3"/>
  <c r="W241" i="3"/>
  <c r="W242" i="3"/>
  <c r="W243" i="3"/>
  <c r="W244" i="3"/>
  <c r="W245" i="3"/>
  <c r="W246" i="3"/>
  <c r="W247" i="3"/>
  <c r="W248" i="3"/>
  <c r="W249" i="3"/>
  <c r="W250" i="3"/>
  <c r="W251" i="3"/>
  <c r="W252" i="3"/>
  <c r="W253" i="3"/>
  <c r="W254" i="3"/>
  <c r="W255" i="3"/>
  <c r="W256" i="3"/>
  <c r="W257" i="3"/>
  <c r="W258" i="3"/>
  <c r="W259" i="3"/>
  <c r="W260" i="3"/>
  <c r="W261" i="3"/>
  <c r="W262" i="3"/>
  <c r="W263" i="3"/>
  <c r="W264" i="3"/>
  <c r="W265" i="3"/>
  <c r="W266" i="3"/>
  <c r="W267" i="3"/>
  <c r="W268" i="3"/>
  <c r="W269" i="3"/>
  <c r="W270" i="3"/>
  <c r="W271" i="3"/>
  <c r="W272" i="3"/>
  <c r="W273" i="3"/>
  <c r="W274" i="3"/>
  <c r="W275" i="3"/>
  <c r="W276" i="3"/>
  <c r="W277" i="3"/>
  <c r="W278" i="3"/>
  <c r="W279" i="3"/>
  <c r="W280" i="3"/>
  <c r="W281" i="3"/>
  <c r="W282" i="3"/>
  <c r="W283" i="3"/>
  <c r="W284" i="3"/>
  <c r="W285" i="3"/>
  <c r="W286" i="3"/>
  <c r="W287" i="3"/>
  <c r="W288" i="3"/>
  <c r="W289" i="3"/>
  <c r="W290" i="3"/>
  <c r="W291" i="3"/>
  <c r="W292" i="3"/>
  <c r="W293" i="3"/>
  <c r="W294" i="3"/>
  <c r="W295" i="3"/>
  <c r="W296" i="3"/>
  <c r="W297" i="3"/>
  <c r="W298" i="3"/>
  <c r="W299" i="3"/>
  <c r="W300" i="3"/>
  <c r="W301" i="3"/>
  <c r="W302" i="3"/>
  <c r="W303" i="3"/>
  <c r="W304" i="3"/>
  <c r="W305" i="3"/>
  <c r="W306" i="3"/>
  <c r="W307" i="3"/>
  <c r="W308" i="3"/>
  <c r="W309" i="3"/>
  <c r="W310" i="3"/>
  <c r="W311" i="3"/>
  <c r="W312" i="3"/>
  <c r="W313" i="3"/>
  <c r="W314" i="3"/>
  <c r="W315" i="3"/>
  <c r="W316" i="3"/>
  <c r="W317" i="3"/>
  <c r="W318" i="3"/>
  <c r="W319" i="3"/>
  <c r="W320" i="3"/>
  <c r="W321" i="3"/>
  <c r="W322" i="3"/>
  <c r="W323" i="3"/>
  <c r="W324" i="3"/>
  <c r="W325" i="3"/>
  <c r="W326" i="3"/>
  <c r="W327" i="3"/>
  <c r="W328" i="3"/>
  <c r="W329" i="3"/>
  <c r="W330" i="3"/>
  <c r="W331" i="3"/>
  <c r="W332" i="3"/>
  <c r="W333" i="3"/>
  <c r="W334" i="3"/>
  <c r="W335" i="3"/>
  <c r="W336" i="3"/>
  <c r="W337" i="3"/>
  <c r="W338" i="3"/>
  <c r="W339" i="3"/>
  <c r="W340" i="3"/>
  <c r="W341" i="3"/>
  <c r="W342" i="3"/>
  <c r="W343" i="3"/>
  <c r="W344" i="3"/>
  <c r="W345" i="3"/>
  <c r="W346" i="3"/>
  <c r="W347" i="3"/>
  <c r="W348" i="3"/>
  <c r="W349" i="3"/>
  <c r="W350" i="3"/>
  <c r="W351" i="3"/>
  <c r="W352" i="3"/>
  <c r="W353" i="3"/>
  <c r="W354" i="3"/>
  <c r="W355" i="3"/>
  <c r="W356" i="3"/>
  <c r="W357" i="3"/>
  <c r="W358" i="3"/>
  <c r="W359" i="3"/>
  <c r="W360" i="3"/>
  <c r="W361" i="3"/>
  <c r="W362" i="3"/>
  <c r="W363" i="3"/>
  <c r="W364" i="3"/>
  <c r="W365" i="3"/>
  <c r="W366" i="3"/>
  <c r="W367" i="3"/>
  <c r="W368" i="3"/>
  <c r="W369" i="3"/>
  <c r="W370" i="3"/>
  <c r="W371" i="3"/>
  <c r="W372" i="3"/>
  <c r="W373" i="3"/>
  <c r="W374" i="3"/>
  <c r="W375" i="3"/>
  <c r="W376" i="3"/>
  <c r="W377" i="3"/>
  <c r="W378" i="3"/>
  <c r="W379" i="3"/>
  <c r="W380" i="3"/>
  <c r="W381" i="3"/>
  <c r="W382" i="3"/>
  <c r="W383" i="3"/>
  <c r="W384" i="3"/>
  <c r="W385" i="3"/>
  <c r="W386" i="3"/>
  <c r="W387" i="3"/>
  <c r="W388" i="3"/>
  <c r="W389" i="3"/>
  <c r="W390" i="3"/>
  <c r="W391" i="3"/>
  <c r="W392" i="3"/>
  <c r="W393" i="3"/>
  <c r="W394" i="3"/>
  <c r="W395" i="3"/>
  <c r="W396" i="3"/>
  <c r="W397" i="3"/>
  <c r="W398" i="3"/>
  <c r="W399" i="3"/>
  <c r="W400" i="3"/>
  <c r="W401" i="3"/>
  <c r="W402" i="3"/>
  <c r="W403" i="3"/>
  <c r="W404" i="3"/>
  <c r="W405" i="3"/>
  <c r="W406" i="3"/>
  <c r="W407" i="3"/>
  <c r="W408" i="3"/>
  <c r="W409" i="3"/>
  <c r="W410" i="3"/>
  <c r="W411" i="3"/>
  <c r="W412" i="3"/>
  <c r="W413" i="3"/>
  <c r="W414" i="3"/>
  <c r="W415" i="3"/>
  <c r="W416" i="3"/>
  <c r="W417" i="3"/>
  <c r="W418" i="3"/>
  <c r="W419" i="3"/>
  <c r="W420" i="3"/>
  <c r="W421" i="3"/>
  <c r="W422" i="3"/>
  <c r="W423" i="3"/>
  <c r="W424" i="3"/>
  <c r="W425" i="3"/>
  <c r="W426" i="3"/>
  <c r="W427" i="3"/>
  <c r="W428" i="3"/>
  <c r="W429" i="3"/>
  <c r="W430" i="3"/>
  <c r="W431" i="3"/>
  <c r="W432" i="3"/>
  <c r="W433" i="3"/>
  <c r="W434" i="3"/>
  <c r="W435" i="3"/>
  <c r="W436" i="3"/>
  <c r="W437" i="3"/>
  <c r="W438" i="3"/>
  <c r="W439" i="3"/>
  <c r="W440" i="3"/>
  <c r="W441" i="3"/>
  <c r="W442" i="3"/>
  <c r="W443" i="3"/>
  <c r="W444" i="3"/>
  <c r="W445" i="3"/>
  <c r="W446" i="3"/>
  <c r="W447" i="3"/>
  <c r="W448" i="3"/>
  <c r="W449" i="3"/>
  <c r="W450" i="3"/>
  <c r="W451" i="3"/>
  <c r="W452" i="3"/>
  <c r="W453" i="3"/>
  <c r="W454" i="3"/>
  <c r="W455" i="3"/>
  <c r="W456" i="3"/>
  <c r="W457" i="3"/>
  <c r="W458" i="3"/>
  <c r="W459" i="3"/>
  <c r="W460" i="3"/>
  <c r="W461" i="3"/>
  <c r="W462" i="3"/>
  <c r="W463" i="3"/>
  <c r="W464" i="3"/>
  <c r="W465" i="3"/>
  <c r="W466" i="3"/>
  <c r="W467" i="3"/>
  <c r="W468" i="3"/>
  <c r="W469" i="3"/>
  <c r="W470" i="3"/>
  <c r="W471" i="3"/>
  <c r="W472" i="3"/>
  <c r="W473" i="3"/>
  <c r="W474" i="3"/>
  <c r="W475" i="3"/>
  <c r="W476" i="3"/>
  <c r="W477" i="3"/>
  <c r="W478" i="3"/>
  <c r="W479" i="3"/>
  <c r="W480" i="3"/>
  <c r="W481" i="3"/>
  <c r="W482" i="3"/>
  <c r="W483" i="3"/>
  <c r="W484" i="3"/>
  <c r="W485" i="3"/>
  <c r="W486" i="3"/>
  <c r="W487" i="3"/>
  <c r="W488" i="3"/>
  <c r="W489" i="3"/>
  <c r="W490" i="3"/>
  <c r="W491" i="3"/>
  <c r="W492" i="3"/>
  <c r="W493" i="3"/>
  <c r="W494" i="3"/>
  <c r="W495" i="3"/>
  <c r="W496" i="3"/>
  <c r="W497" i="3"/>
  <c r="W498" i="3"/>
  <c r="W499" i="3"/>
  <c r="W500" i="3"/>
  <c r="W501" i="3"/>
  <c r="W502" i="3"/>
  <c r="W503" i="3"/>
  <c r="W504" i="3"/>
  <c r="W505" i="3"/>
  <c r="W506" i="3"/>
  <c r="W507" i="3"/>
  <c r="W508" i="3"/>
  <c r="W509" i="3"/>
  <c r="W510" i="3"/>
  <c r="W511" i="3"/>
  <c r="W512" i="3"/>
  <c r="W513" i="3"/>
  <c r="W514" i="3"/>
  <c r="W515" i="3"/>
  <c r="W516" i="3"/>
  <c r="W517" i="3"/>
  <c r="W518" i="3"/>
  <c r="W519" i="3"/>
  <c r="W520" i="3"/>
  <c r="W521" i="3"/>
  <c r="W522" i="3"/>
  <c r="W523" i="3"/>
  <c r="W524" i="3"/>
  <c r="W525" i="3"/>
  <c r="W526" i="3"/>
  <c r="W527" i="3"/>
  <c r="W528" i="3"/>
  <c r="W529" i="3"/>
  <c r="W530" i="3"/>
  <c r="W531" i="3"/>
  <c r="W532" i="3"/>
  <c r="W533" i="3"/>
  <c r="W534" i="3"/>
  <c r="W535" i="3"/>
  <c r="W536" i="3"/>
  <c r="W537" i="3"/>
  <c r="W538" i="3"/>
  <c r="W539" i="3"/>
  <c r="W540" i="3"/>
  <c r="W541" i="3"/>
  <c r="W542" i="3"/>
  <c r="W543" i="3"/>
  <c r="W544" i="3"/>
  <c r="W545" i="3"/>
  <c r="W546" i="3"/>
  <c r="W547" i="3"/>
  <c r="W548" i="3"/>
  <c r="W549" i="3"/>
  <c r="W550" i="3"/>
  <c r="W551" i="3"/>
  <c r="W552" i="3"/>
  <c r="W553" i="3"/>
  <c r="W554" i="3"/>
  <c r="W555" i="3"/>
  <c r="W556" i="3"/>
  <c r="W557" i="3"/>
  <c r="W558" i="3"/>
  <c r="W559" i="3"/>
  <c r="W560" i="3"/>
  <c r="W561" i="3"/>
  <c r="W562" i="3"/>
  <c r="W563" i="3"/>
  <c r="W564" i="3"/>
  <c r="W565" i="3"/>
  <c r="W566" i="3"/>
  <c r="W567" i="3"/>
  <c r="W568" i="3"/>
  <c r="W569" i="3"/>
  <c r="W570" i="3"/>
  <c r="W571" i="3"/>
  <c r="W572" i="3"/>
  <c r="W573" i="3"/>
  <c r="W574" i="3"/>
  <c r="W575" i="3"/>
  <c r="W576" i="3"/>
  <c r="W577" i="3"/>
  <c r="W578" i="3"/>
  <c r="W579" i="3"/>
  <c r="W580" i="3"/>
  <c r="W581" i="3"/>
  <c r="W582" i="3"/>
  <c r="W583" i="3"/>
  <c r="W584" i="3"/>
  <c r="W585" i="3"/>
  <c r="W586" i="3"/>
  <c r="W587" i="3"/>
  <c r="W588" i="3"/>
  <c r="W589" i="3"/>
  <c r="W590" i="3"/>
  <c r="W591" i="3"/>
  <c r="W592" i="3"/>
  <c r="W593" i="3"/>
  <c r="W594" i="3"/>
  <c r="W595" i="3"/>
  <c r="W596" i="3"/>
  <c r="W597" i="3"/>
  <c r="W598" i="3"/>
  <c r="W599" i="3"/>
  <c r="W600" i="3"/>
  <c r="W601" i="3"/>
  <c r="W602" i="3"/>
  <c r="W603" i="3"/>
  <c r="W604" i="3"/>
  <c r="W605" i="3"/>
  <c r="W606" i="3"/>
  <c r="W607" i="3"/>
  <c r="W608" i="3"/>
  <c r="W609" i="3"/>
  <c r="W610" i="3"/>
  <c r="W611" i="3"/>
  <c r="W612" i="3"/>
  <c r="W613" i="3"/>
  <c r="W614" i="3"/>
  <c r="W615" i="3"/>
  <c r="W616" i="3"/>
  <c r="W617" i="3"/>
  <c r="W618" i="3"/>
  <c r="W619" i="3"/>
  <c r="W620" i="3"/>
  <c r="W621" i="3"/>
  <c r="W622" i="3"/>
  <c r="W623" i="3"/>
  <c r="W624" i="3"/>
  <c r="W625" i="3"/>
  <c r="W626" i="3"/>
  <c r="W627" i="3"/>
  <c r="W628" i="3"/>
  <c r="W629" i="3"/>
  <c r="W630" i="3"/>
  <c r="W631" i="3"/>
  <c r="W632" i="3"/>
  <c r="W633" i="3"/>
  <c r="W634" i="3"/>
  <c r="W635" i="3"/>
  <c r="W636" i="3"/>
  <c r="W637" i="3"/>
  <c r="W638" i="3"/>
  <c r="W639" i="3"/>
  <c r="W640" i="3"/>
  <c r="W641" i="3"/>
  <c r="W642" i="3"/>
  <c r="W643" i="3"/>
  <c r="W644" i="3"/>
  <c r="W645" i="3"/>
  <c r="W646" i="3"/>
  <c r="W647" i="3"/>
  <c r="W648" i="3"/>
  <c r="W649" i="3"/>
  <c r="W650" i="3"/>
  <c r="W651" i="3"/>
  <c r="W652" i="3"/>
  <c r="W653" i="3"/>
  <c r="W654" i="3"/>
  <c r="W655" i="3"/>
  <c r="W656" i="3"/>
  <c r="W657" i="3"/>
  <c r="W658" i="3"/>
  <c r="W659" i="3"/>
  <c r="W660" i="3"/>
  <c r="W661" i="3"/>
  <c r="W662" i="3"/>
  <c r="W663" i="3"/>
  <c r="W664" i="3"/>
  <c r="W665" i="3"/>
  <c r="W666" i="3"/>
  <c r="W667" i="3"/>
  <c r="W668" i="3"/>
  <c r="W669" i="3"/>
  <c r="W670" i="3"/>
  <c r="W671" i="3"/>
  <c r="W672" i="3"/>
  <c r="W673" i="3"/>
  <c r="W674" i="3"/>
  <c r="W675" i="3"/>
  <c r="W676" i="3"/>
  <c r="W677" i="3"/>
  <c r="W678" i="3"/>
  <c r="W679" i="3"/>
  <c r="W680" i="3"/>
  <c r="W681" i="3"/>
  <c r="W682" i="3"/>
  <c r="W683" i="3"/>
  <c r="W684" i="3"/>
  <c r="W685" i="3"/>
  <c r="W686" i="3"/>
  <c r="W687" i="3"/>
  <c r="W688" i="3"/>
  <c r="W689" i="3"/>
  <c r="W690" i="3"/>
  <c r="W691" i="3"/>
  <c r="W692" i="3"/>
  <c r="W693" i="3"/>
  <c r="W694" i="3"/>
  <c r="W695" i="3"/>
  <c r="W696" i="3"/>
  <c r="W697" i="3"/>
  <c r="W698" i="3"/>
  <c r="W699" i="3"/>
  <c r="W700" i="3"/>
  <c r="W701" i="3"/>
  <c r="W702" i="3"/>
  <c r="W703" i="3"/>
  <c r="W704" i="3"/>
  <c r="W705" i="3"/>
  <c r="W706" i="3"/>
  <c r="W707" i="3"/>
  <c r="W708" i="3"/>
  <c r="W709" i="3"/>
  <c r="W710" i="3"/>
  <c r="W711" i="3"/>
  <c r="W712" i="3"/>
  <c r="W713" i="3"/>
  <c r="W714" i="3"/>
  <c r="W715" i="3"/>
  <c r="W716" i="3"/>
  <c r="W717" i="3"/>
  <c r="W718" i="3"/>
  <c r="W719" i="3"/>
  <c r="W720" i="3"/>
  <c r="W721" i="3"/>
  <c r="W722" i="3"/>
  <c r="W723" i="3"/>
  <c r="W724" i="3"/>
  <c r="W725" i="3"/>
  <c r="W726" i="3"/>
  <c r="W727" i="3"/>
  <c r="W728" i="3"/>
  <c r="W729" i="3"/>
  <c r="W730" i="3"/>
  <c r="W731" i="3"/>
  <c r="W732" i="3"/>
  <c r="W733" i="3"/>
  <c r="W734" i="3"/>
  <c r="W735" i="3"/>
  <c r="W736" i="3"/>
  <c r="W737" i="3"/>
  <c r="W738" i="3"/>
  <c r="W739" i="3"/>
  <c r="W740" i="3"/>
  <c r="W741" i="3"/>
  <c r="W742" i="3"/>
  <c r="W743" i="3"/>
  <c r="W744" i="3"/>
  <c r="W745" i="3"/>
  <c r="W746" i="3"/>
  <c r="W747" i="3"/>
  <c r="W748" i="3"/>
  <c r="W749" i="3"/>
  <c r="W750" i="3"/>
  <c r="W751" i="3"/>
  <c r="W752" i="3"/>
  <c r="W753" i="3"/>
  <c r="W754" i="3"/>
  <c r="W755" i="3"/>
  <c r="W756" i="3"/>
  <c r="W757" i="3"/>
  <c r="W758" i="3"/>
  <c r="W759" i="3"/>
  <c r="W760" i="3"/>
  <c r="W761" i="3"/>
  <c r="W762" i="3"/>
  <c r="W763" i="3"/>
  <c r="W764" i="3"/>
  <c r="W765" i="3"/>
  <c r="W766" i="3"/>
  <c r="W767" i="3"/>
  <c r="W768" i="3"/>
  <c r="W769" i="3"/>
  <c r="W770" i="3"/>
  <c r="W771" i="3"/>
  <c r="W772" i="3"/>
  <c r="W773" i="3"/>
  <c r="W774" i="3"/>
  <c r="W775" i="3"/>
  <c r="W776" i="3"/>
  <c r="W777" i="3"/>
  <c r="W778" i="3"/>
  <c r="W779" i="3"/>
  <c r="W780" i="3"/>
  <c r="W781" i="3"/>
  <c r="W782" i="3"/>
  <c r="W783" i="3"/>
  <c r="W784" i="3"/>
  <c r="W785" i="3"/>
  <c r="W786" i="3"/>
  <c r="W787" i="3"/>
  <c r="W788" i="3"/>
  <c r="W789" i="3"/>
  <c r="W790" i="3"/>
  <c r="W791" i="3"/>
  <c r="W792" i="3"/>
  <c r="W793" i="3"/>
  <c r="W794" i="3"/>
  <c r="W795" i="3"/>
  <c r="W796" i="3"/>
  <c r="W797" i="3"/>
  <c r="W798" i="3"/>
  <c r="W799" i="3"/>
  <c r="W800" i="3"/>
  <c r="W801" i="3"/>
  <c r="W802" i="3"/>
  <c r="W803" i="3"/>
  <c r="W804" i="3"/>
  <c r="W805" i="3"/>
  <c r="W806" i="3"/>
  <c r="W807" i="3"/>
  <c r="W808" i="3"/>
  <c r="W809" i="3"/>
  <c r="W810" i="3"/>
  <c r="W811" i="3"/>
  <c r="W812" i="3"/>
  <c r="W813" i="3"/>
  <c r="W814" i="3"/>
  <c r="W815" i="3"/>
  <c r="W816" i="3"/>
  <c r="W817" i="3"/>
  <c r="W818" i="3"/>
  <c r="W819" i="3"/>
  <c r="W820" i="3"/>
  <c r="W821" i="3"/>
  <c r="W822" i="3"/>
  <c r="W823" i="3"/>
  <c r="W824" i="3"/>
  <c r="W825" i="3"/>
  <c r="W826" i="3"/>
  <c r="W827" i="3"/>
  <c r="W828" i="3"/>
  <c r="W829" i="3"/>
  <c r="W830" i="3"/>
  <c r="W831" i="3"/>
  <c r="W832" i="3"/>
  <c r="W833" i="3"/>
  <c r="W834" i="3"/>
  <c r="W835" i="3"/>
  <c r="W836" i="3"/>
  <c r="W837" i="3"/>
  <c r="W838" i="3"/>
  <c r="W839" i="3"/>
  <c r="W840" i="3"/>
  <c r="W841" i="3"/>
  <c r="W842" i="3"/>
  <c r="W843" i="3"/>
  <c r="W844" i="3"/>
  <c r="W845" i="3"/>
  <c r="W846" i="3"/>
  <c r="W847" i="3"/>
  <c r="W848" i="3"/>
  <c r="W849" i="3"/>
  <c r="W850" i="3"/>
  <c r="W851" i="3"/>
  <c r="W852" i="3"/>
  <c r="W853" i="3"/>
  <c r="W854" i="3"/>
  <c r="W855" i="3"/>
  <c r="W856" i="3"/>
  <c r="W857" i="3"/>
  <c r="W858" i="3"/>
  <c r="W859" i="3"/>
  <c r="W860" i="3"/>
  <c r="W861" i="3"/>
  <c r="W862" i="3"/>
  <c r="W863" i="3"/>
  <c r="W864" i="3"/>
  <c r="W865" i="3"/>
  <c r="W866" i="3"/>
  <c r="W867" i="3"/>
  <c r="W868" i="3"/>
  <c r="W869" i="3"/>
  <c r="W870" i="3"/>
  <c r="W871" i="3"/>
  <c r="W872" i="3"/>
  <c r="W873" i="3"/>
  <c r="W874" i="3"/>
  <c r="W875" i="3"/>
  <c r="W876" i="3"/>
  <c r="W877" i="3"/>
  <c r="W878" i="3"/>
  <c r="W879" i="3"/>
  <c r="W880" i="3"/>
  <c r="W881" i="3"/>
  <c r="W882" i="3"/>
  <c r="W883" i="3"/>
  <c r="W884" i="3"/>
  <c r="W885" i="3"/>
  <c r="W886" i="3"/>
  <c r="W887" i="3"/>
  <c r="W888" i="3"/>
  <c r="W889" i="3"/>
  <c r="W890" i="3"/>
  <c r="W891" i="3"/>
  <c r="W892" i="3"/>
  <c r="W893" i="3"/>
  <c r="W894" i="3"/>
  <c r="W895" i="3"/>
  <c r="W896" i="3"/>
  <c r="W897" i="3"/>
  <c r="W898" i="3"/>
  <c r="W899" i="3"/>
  <c r="W900" i="3"/>
  <c r="W901" i="3"/>
  <c r="W902" i="3"/>
  <c r="W903" i="3"/>
  <c r="W904" i="3"/>
  <c r="W905" i="3"/>
  <c r="W906" i="3"/>
  <c r="W907" i="3"/>
  <c r="W908" i="3"/>
  <c r="W909" i="3"/>
  <c r="W910" i="3"/>
  <c r="W911" i="3"/>
  <c r="W912" i="3"/>
  <c r="W913" i="3"/>
  <c r="W914" i="3"/>
  <c r="W915" i="3"/>
  <c r="W916" i="3"/>
  <c r="W917" i="3"/>
  <c r="W918" i="3"/>
  <c r="W919" i="3"/>
  <c r="W920" i="3"/>
  <c r="W921" i="3"/>
  <c r="W922" i="3"/>
  <c r="W923" i="3"/>
  <c r="W924" i="3"/>
  <c r="W925" i="3"/>
  <c r="W926" i="3"/>
  <c r="W927" i="3"/>
  <c r="W928" i="3"/>
  <c r="W929" i="3"/>
  <c r="W930" i="3"/>
  <c r="W931" i="3"/>
  <c r="W932" i="3"/>
  <c r="W933" i="3"/>
  <c r="W934" i="3"/>
  <c r="W935" i="3"/>
  <c r="W936" i="3"/>
  <c r="W937" i="3"/>
  <c r="W938" i="3"/>
  <c r="W939" i="3"/>
  <c r="W940" i="3"/>
  <c r="W941" i="3"/>
  <c r="W942" i="3"/>
  <c r="W943" i="3"/>
  <c r="W944" i="3"/>
  <c r="W945" i="3"/>
  <c r="W946" i="3"/>
  <c r="W947" i="3"/>
  <c r="W948" i="3"/>
  <c r="W949" i="3"/>
  <c r="W950" i="3"/>
  <c r="W951" i="3"/>
  <c r="W952" i="3"/>
  <c r="W953" i="3"/>
  <c r="W954" i="3"/>
  <c r="W955" i="3"/>
  <c r="W956" i="3"/>
  <c r="W957" i="3"/>
  <c r="W958" i="3"/>
  <c r="W959" i="3"/>
  <c r="W960" i="3"/>
  <c r="W961" i="3"/>
  <c r="W962" i="3"/>
  <c r="W963" i="3"/>
  <c r="W964" i="3"/>
  <c r="W965" i="3"/>
  <c r="W966" i="3"/>
  <c r="W967" i="3"/>
  <c r="W968" i="3"/>
  <c r="W969" i="3"/>
  <c r="W970" i="3"/>
  <c r="W971" i="3"/>
  <c r="W972" i="3"/>
  <c r="W973" i="3"/>
  <c r="W974" i="3"/>
  <c r="W975" i="3"/>
  <c r="W976" i="3"/>
  <c r="W977" i="3"/>
  <c r="W978" i="3"/>
  <c r="W979" i="3"/>
  <c r="W980" i="3"/>
  <c r="W981" i="3"/>
  <c r="W982" i="3"/>
  <c r="W983" i="3"/>
  <c r="W984" i="3"/>
  <c r="W985" i="3"/>
  <c r="W986" i="3"/>
  <c r="W987" i="3"/>
  <c r="W988" i="3"/>
  <c r="W989" i="3"/>
  <c r="W990" i="3"/>
  <c r="W991" i="3"/>
  <c r="W992" i="3"/>
  <c r="W993" i="3"/>
  <c r="W994" i="3"/>
  <c r="W995" i="3"/>
  <c r="W996" i="3"/>
  <c r="W997" i="3"/>
  <c r="W998" i="3"/>
  <c r="W999" i="3"/>
  <c r="W1000" i="3"/>
  <c r="W1001" i="3"/>
  <c r="W1002" i="3"/>
  <c r="W1003" i="3"/>
  <c r="W1004" i="3"/>
  <c r="W1005" i="3"/>
  <c r="W1006" i="3"/>
  <c r="W1007" i="3"/>
  <c r="W1008" i="3"/>
  <c r="W1009" i="3"/>
  <c r="W1010" i="3"/>
  <c r="W1011" i="3"/>
  <c r="W1012" i="3"/>
  <c r="W1013" i="3"/>
  <c r="W1014" i="3"/>
  <c r="W1015" i="3"/>
  <c r="W1016" i="3"/>
  <c r="W1017" i="3"/>
  <c r="W1018" i="3"/>
  <c r="W1019" i="3"/>
  <c r="W1020" i="3"/>
  <c r="W1021" i="3"/>
  <c r="W1022" i="3"/>
  <c r="W1023" i="3"/>
  <c r="W1024" i="3"/>
  <c r="W1025" i="3"/>
  <c r="W1026" i="3"/>
  <c r="W1027" i="3"/>
  <c r="W1028" i="3"/>
  <c r="W1029" i="3"/>
  <c r="W1030" i="3"/>
  <c r="W1031" i="3"/>
  <c r="W1032" i="3"/>
  <c r="W1033" i="3"/>
  <c r="W1034" i="3"/>
  <c r="W1035" i="3"/>
  <c r="W1036" i="3"/>
  <c r="W1037" i="3"/>
  <c r="W1038" i="3"/>
  <c r="W1039" i="3"/>
  <c r="W1040" i="3"/>
  <c r="W1041" i="3"/>
  <c r="W1042" i="3"/>
  <c r="W1043" i="3"/>
  <c r="W1044" i="3"/>
  <c r="W1045" i="3"/>
  <c r="W1046" i="3"/>
  <c r="W1047" i="3"/>
  <c r="W1048" i="3"/>
  <c r="W1049" i="3"/>
  <c r="W1050" i="3"/>
  <c r="W1051" i="3"/>
  <c r="W1052" i="3"/>
  <c r="W1053" i="3"/>
  <c r="W1054" i="3"/>
  <c r="W1055" i="3"/>
  <c r="W1056" i="3"/>
  <c r="W1057" i="3"/>
  <c r="W1058" i="3"/>
  <c r="W1059" i="3"/>
  <c r="W1060" i="3"/>
  <c r="W1061" i="3"/>
  <c r="W1062" i="3"/>
  <c r="W1063" i="3"/>
  <c r="W1064" i="3"/>
  <c r="W1065" i="3"/>
  <c r="W1066" i="3"/>
  <c r="W1067" i="3"/>
  <c r="W1068" i="3"/>
  <c r="W1069" i="3"/>
  <c r="W1070" i="3"/>
  <c r="W1071" i="3"/>
  <c r="W1072" i="3"/>
  <c r="W1073" i="3"/>
  <c r="W1074" i="3"/>
  <c r="W1075" i="3"/>
  <c r="W1076" i="3"/>
  <c r="W1077" i="3"/>
  <c r="W1078" i="3"/>
  <c r="W1079" i="3"/>
  <c r="W1080" i="3"/>
  <c r="W1081" i="3"/>
  <c r="W1082" i="3"/>
  <c r="W1083" i="3"/>
  <c r="W1084" i="3"/>
  <c r="W1085" i="3"/>
  <c r="W1086" i="3"/>
  <c r="W1087" i="3"/>
  <c r="W1088" i="3"/>
  <c r="W1089" i="3"/>
  <c r="W1090" i="3"/>
  <c r="W1091" i="3"/>
  <c r="W1092" i="3"/>
  <c r="W1093" i="3"/>
  <c r="W1094" i="3"/>
  <c r="W1095" i="3"/>
  <c r="W1096" i="3"/>
  <c r="W1097" i="3"/>
  <c r="W1098" i="3"/>
  <c r="W1099" i="3"/>
  <c r="W1100" i="3"/>
  <c r="W1101" i="3"/>
  <c r="W1102" i="3"/>
  <c r="W1103" i="3"/>
  <c r="W1104" i="3"/>
  <c r="W1105" i="3"/>
  <c r="W1106" i="3"/>
  <c r="W1107" i="3"/>
  <c r="W1108" i="3"/>
  <c r="W1109" i="3"/>
  <c r="W1110" i="3"/>
  <c r="W1111" i="3"/>
  <c r="W1112" i="3"/>
  <c r="W1113" i="3"/>
  <c r="W1114" i="3"/>
  <c r="W1115" i="3"/>
  <c r="W1116" i="3"/>
  <c r="W1117" i="3"/>
  <c r="W1118" i="3"/>
  <c r="W1119" i="3"/>
  <c r="W1120" i="3"/>
  <c r="W1121" i="3"/>
  <c r="W1122" i="3"/>
  <c r="W1123" i="3"/>
  <c r="W1124" i="3"/>
  <c r="W1125" i="3"/>
  <c r="W1126" i="3"/>
  <c r="W1127" i="3"/>
  <c r="W1128" i="3"/>
  <c r="W1129" i="3"/>
  <c r="W1130" i="3"/>
  <c r="W1131" i="3"/>
  <c r="W1132" i="3"/>
  <c r="W1133" i="3"/>
  <c r="W1134" i="3"/>
  <c r="W1135" i="3"/>
  <c r="W1136" i="3"/>
  <c r="W1137" i="3"/>
  <c r="W1138" i="3"/>
  <c r="W1139" i="3"/>
  <c r="W1140" i="3"/>
  <c r="W1141" i="3"/>
  <c r="W1142" i="3"/>
  <c r="W1143" i="3"/>
  <c r="W1144" i="3"/>
  <c r="W1145" i="3"/>
  <c r="W1146" i="3"/>
  <c r="W1147" i="3"/>
  <c r="W1148" i="3"/>
  <c r="W1149" i="3"/>
  <c r="W1150" i="3"/>
  <c r="W1151" i="3"/>
  <c r="W1152" i="3"/>
  <c r="W1153" i="3"/>
  <c r="W1154" i="3"/>
  <c r="W1155" i="3"/>
  <c r="W1156" i="3"/>
  <c r="W1157" i="3"/>
  <c r="W1158" i="3"/>
  <c r="W1159" i="3"/>
  <c r="W1160" i="3"/>
  <c r="W1161" i="3"/>
  <c r="W1162" i="3"/>
  <c r="W1163" i="3"/>
  <c r="W1164" i="3"/>
  <c r="W1165" i="3"/>
  <c r="W1166" i="3"/>
  <c r="W1167" i="3"/>
  <c r="W1168" i="3"/>
  <c r="W1169" i="3"/>
  <c r="W1170" i="3"/>
  <c r="W2" i="3"/>
  <c r="V3" i="3"/>
  <c r="V4" i="3"/>
  <c r="V5" i="3"/>
  <c r="V6" i="3"/>
  <c r="V7" i="3"/>
  <c r="V8" i="3"/>
  <c r="V9" i="3"/>
  <c r="V10" i="3"/>
  <c r="V11" i="3"/>
  <c r="V12" i="3"/>
  <c r="V13" i="3"/>
  <c r="V14" i="3"/>
  <c r="V15" i="3"/>
  <c r="V16" i="3"/>
  <c r="V17" i="3"/>
  <c r="V18" i="3"/>
  <c r="V19" i="3"/>
  <c r="V20" i="3"/>
  <c r="V21" i="3"/>
  <c r="V22" i="3"/>
  <c r="V23" i="3"/>
  <c r="V24" i="3"/>
  <c r="V25" i="3"/>
  <c r="V26" i="3"/>
  <c r="V27" i="3"/>
  <c r="V28" i="3"/>
  <c r="V29" i="3"/>
  <c r="V30" i="3"/>
  <c r="V31" i="3"/>
  <c r="V32" i="3"/>
  <c r="V33" i="3"/>
  <c r="V34" i="3"/>
  <c r="V35" i="3"/>
  <c r="V36" i="3"/>
  <c r="V37" i="3"/>
  <c r="V38" i="3"/>
  <c r="V39" i="3"/>
  <c r="V40" i="3"/>
  <c r="V41" i="3"/>
  <c r="V42" i="3"/>
  <c r="V43" i="3"/>
  <c r="V44" i="3"/>
  <c r="V45" i="3"/>
  <c r="V46" i="3"/>
  <c r="V47" i="3"/>
  <c r="V48" i="3"/>
  <c r="V49" i="3"/>
  <c r="V50" i="3"/>
  <c r="V51" i="3"/>
  <c r="V52" i="3"/>
  <c r="V53" i="3"/>
  <c r="V54" i="3"/>
  <c r="V55" i="3"/>
  <c r="V56" i="3"/>
  <c r="V57" i="3"/>
  <c r="V58" i="3"/>
  <c r="V59" i="3"/>
  <c r="V60" i="3"/>
  <c r="V61" i="3"/>
  <c r="V62" i="3"/>
  <c r="V63" i="3"/>
  <c r="V64" i="3"/>
  <c r="V65" i="3"/>
  <c r="V66" i="3"/>
  <c r="V67" i="3"/>
  <c r="V68" i="3"/>
  <c r="V69" i="3"/>
  <c r="V70" i="3"/>
  <c r="V71" i="3"/>
  <c r="V72" i="3"/>
  <c r="V73" i="3"/>
  <c r="V74" i="3"/>
  <c r="V75" i="3"/>
  <c r="V76" i="3"/>
  <c r="V77" i="3"/>
  <c r="V78" i="3"/>
  <c r="V79" i="3"/>
  <c r="V80" i="3"/>
  <c r="V81" i="3"/>
  <c r="V82" i="3"/>
  <c r="V83" i="3"/>
  <c r="V84" i="3"/>
  <c r="V85" i="3"/>
  <c r="V86" i="3"/>
  <c r="V87" i="3"/>
  <c r="V88" i="3"/>
  <c r="V89" i="3"/>
  <c r="V90" i="3"/>
  <c r="V91" i="3"/>
  <c r="V92" i="3"/>
  <c r="V93" i="3"/>
  <c r="V94" i="3"/>
  <c r="V95" i="3"/>
  <c r="V96" i="3"/>
  <c r="V97" i="3"/>
  <c r="V98" i="3"/>
  <c r="V99" i="3"/>
  <c r="V100" i="3"/>
  <c r="V101" i="3"/>
  <c r="V102" i="3"/>
  <c r="V103" i="3"/>
  <c r="V104" i="3"/>
  <c r="V105" i="3"/>
  <c r="V106" i="3"/>
  <c r="V107" i="3"/>
  <c r="V108" i="3"/>
  <c r="V109" i="3"/>
  <c r="V110" i="3"/>
  <c r="V111" i="3"/>
  <c r="V112" i="3"/>
  <c r="V113" i="3"/>
  <c r="V114" i="3"/>
  <c r="V115" i="3"/>
  <c r="V116" i="3"/>
  <c r="V117" i="3"/>
  <c r="V118" i="3"/>
  <c r="V119" i="3"/>
  <c r="V120" i="3"/>
  <c r="V121" i="3"/>
  <c r="V122" i="3"/>
  <c r="V123" i="3"/>
  <c r="V124" i="3"/>
  <c r="V125" i="3"/>
  <c r="V126" i="3"/>
  <c r="V127" i="3"/>
  <c r="V128" i="3"/>
  <c r="V129" i="3"/>
  <c r="V130" i="3"/>
  <c r="V131" i="3"/>
  <c r="V132" i="3"/>
  <c r="V133" i="3"/>
  <c r="V134" i="3"/>
  <c r="V135" i="3"/>
  <c r="V136" i="3"/>
  <c r="V137" i="3"/>
  <c r="V138" i="3"/>
  <c r="V139" i="3"/>
  <c r="V140" i="3"/>
  <c r="V141" i="3"/>
  <c r="V142" i="3"/>
  <c r="V143" i="3"/>
  <c r="V144" i="3"/>
  <c r="V145" i="3"/>
  <c r="V146" i="3"/>
  <c r="V147" i="3"/>
  <c r="V148" i="3"/>
  <c r="V149" i="3"/>
  <c r="V150" i="3"/>
  <c r="V151" i="3"/>
  <c r="V152" i="3"/>
  <c r="V153" i="3"/>
  <c r="V154" i="3"/>
  <c r="V155" i="3"/>
  <c r="V156" i="3"/>
  <c r="V157" i="3"/>
  <c r="V158" i="3"/>
  <c r="V159" i="3"/>
  <c r="V160" i="3"/>
  <c r="V161" i="3"/>
  <c r="V162" i="3"/>
  <c r="V163" i="3"/>
  <c r="V164" i="3"/>
  <c r="V165" i="3"/>
  <c r="V166" i="3"/>
  <c r="V167" i="3"/>
  <c r="V168" i="3"/>
  <c r="V169" i="3"/>
  <c r="V170" i="3"/>
  <c r="V171" i="3"/>
  <c r="V172" i="3"/>
  <c r="V173" i="3"/>
  <c r="V174" i="3"/>
  <c r="V175" i="3"/>
  <c r="V176" i="3"/>
  <c r="V177" i="3"/>
  <c r="V178" i="3"/>
  <c r="V179" i="3"/>
  <c r="V180" i="3"/>
  <c r="V181" i="3"/>
  <c r="V182" i="3"/>
  <c r="V183" i="3"/>
  <c r="V184" i="3"/>
  <c r="V185" i="3"/>
  <c r="V186" i="3"/>
  <c r="V187" i="3"/>
  <c r="V188" i="3"/>
  <c r="V189" i="3"/>
  <c r="V190" i="3"/>
  <c r="V191" i="3"/>
  <c r="V192" i="3"/>
  <c r="V193" i="3"/>
  <c r="V194" i="3"/>
  <c r="V195" i="3"/>
  <c r="V196" i="3"/>
  <c r="V197" i="3"/>
  <c r="V198" i="3"/>
  <c r="V199" i="3"/>
  <c r="V200" i="3"/>
  <c r="V201" i="3"/>
  <c r="V202" i="3"/>
  <c r="V203" i="3"/>
  <c r="V204" i="3"/>
  <c r="V205" i="3"/>
  <c r="V206" i="3"/>
  <c r="V207" i="3"/>
  <c r="V208" i="3"/>
  <c r="V209" i="3"/>
  <c r="V210" i="3"/>
  <c r="V211" i="3"/>
  <c r="V212" i="3"/>
  <c r="V213" i="3"/>
  <c r="V214" i="3"/>
  <c r="V215" i="3"/>
  <c r="V216" i="3"/>
  <c r="V217" i="3"/>
  <c r="V218" i="3"/>
  <c r="V219" i="3"/>
  <c r="V220" i="3"/>
  <c r="V221" i="3"/>
  <c r="V222" i="3"/>
  <c r="V223" i="3"/>
  <c r="V224" i="3"/>
  <c r="V225" i="3"/>
  <c r="V226" i="3"/>
  <c r="V227" i="3"/>
  <c r="V228" i="3"/>
  <c r="V229" i="3"/>
  <c r="V230" i="3"/>
  <c r="V231" i="3"/>
  <c r="V232" i="3"/>
  <c r="V233" i="3"/>
  <c r="V234" i="3"/>
  <c r="V235" i="3"/>
  <c r="V236" i="3"/>
  <c r="V237" i="3"/>
  <c r="V238" i="3"/>
  <c r="V239" i="3"/>
  <c r="V240" i="3"/>
  <c r="V241" i="3"/>
  <c r="V242" i="3"/>
  <c r="V243" i="3"/>
  <c r="V244" i="3"/>
  <c r="V245" i="3"/>
  <c r="V246" i="3"/>
  <c r="V247" i="3"/>
  <c r="V248" i="3"/>
  <c r="V249" i="3"/>
  <c r="V250" i="3"/>
  <c r="V251" i="3"/>
  <c r="V252" i="3"/>
  <c r="V253" i="3"/>
  <c r="V254" i="3"/>
  <c r="V255" i="3"/>
  <c r="V256" i="3"/>
  <c r="V257" i="3"/>
  <c r="V258" i="3"/>
  <c r="V259" i="3"/>
  <c r="V260" i="3"/>
  <c r="V261" i="3"/>
  <c r="V262" i="3"/>
  <c r="V263" i="3"/>
  <c r="V264" i="3"/>
  <c r="V265" i="3"/>
  <c r="V266" i="3"/>
  <c r="V267" i="3"/>
  <c r="V268" i="3"/>
  <c r="V269" i="3"/>
  <c r="V270" i="3"/>
  <c r="V271" i="3"/>
  <c r="V272" i="3"/>
  <c r="V273" i="3"/>
  <c r="V274" i="3"/>
  <c r="V275" i="3"/>
  <c r="V276" i="3"/>
  <c r="V277" i="3"/>
  <c r="V278" i="3"/>
  <c r="V279" i="3"/>
  <c r="V280" i="3"/>
  <c r="V281" i="3"/>
  <c r="V282" i="3"/>
  <c r="V283" i="3"/>
  <c r="V284" i="3"/>
  <c r="V285" i="3"/>
  <c r="V286" i="3"/>
  <c r="V287" i="3"/>
  <c r="V288" i="3"/>
  <c r="V289" i="3"/>
  <c r="V290" i="3"/>
  <c r="V291" i="3"/>
  <c r="V292" i="3"/>
  <c r="V293" i="3"/>
  <c r="V294" i="3"/>
  <c r="V295" i="3"/>
  <c r="V296" i="3"/>
  <c r="V297" i="3"/>
  <c r="V298" i="3"/>
  <c r="V299" i="3"/>
  <c r="V300" i="3"/>
  <c r="V301" i="3"/>
  <c r="V302" i="3"/>
  <c r="V303" i="3"/>
  <c r="V304" i="3"/>
  <c r="V305" i="3"/>
  <c r="V306" i="3"/>
  <c r="V307" i="3"/>
  <c r="V308" i="3"/>
  <c r="V309" i="3"/>
  <c r="V310" i="3"/>
  <c r="V311" i="3"/>
  <c r="V312" i="3"/>
  <c r="V313" i="3"/>
  <c r="V314" i="3"/>
  <c r="V315" i="3"/>
  <c r="V316" i="3"/>
  <c r="V317" i="3"/>
  <c r="V318" i="3"/>
  <c r="V319" i="3"/>
  <c r="V320" i="3"/>
  <c r="V321" i="3"/>
  <c r="V322" i="3"/>
  <c r="V323" i="3"/>
  <c r="V324" i="3"/>
  <c r="V325" i="3"/>
  <c r="V326" i="3"/>
  <c r="V327" i="3"/>
  <c r="V328" i="3"/>
  <c r="V329" i="3"/>
  <c r="V330" i="3"/>
  <c r="V331" i="3"/>
  <c r="V332" i="3"/>
  <c r="V333" i="3"/>
  <c r="V334" i="3"/>
  <c r="V335" i="3"/>
  <c r="V336" i="3"/>
  <c r="V337" i="3"/>
  <c r="V338" i="3"/>
  <c r="V339" i="3"/>
  <c r="V340" i="3"/>
  <c r="V341" i="3"/>
  <c r="V342" i="3"/>
  <c r="V343" i="3"/>
  <c r="V344" i="3"/>
  <c r="V345" i="3"/>
  <c r="V346" i="3"/>
  <c r="V347" i="3"/>
  <c r="V348" i="3"/>
  <c r="V349" i="3"/>
  <c r="V350" i="3"/>
  <c r="V351" i="3"/>
  <c r="V352" i="3"/>
  <c r="V353" i="3"/>
  <c r="V354" i="3"/>
  <c r="V355" i="3"/>
  <c r="V356" i="3"/>
  <c r="V357" i="3"/>
  <c r="V358" i="3"/>
  <c r="V359" i="3"/>
  <c r="V360" i="3"/>
  <c r="V361" i="3"/>
  <c r="V362" i="3"/>
  <c r="V363" i="3"/>
  <c r="V364" i="3"/>
  <c r="V365" i="3"/>
  <c r="V366" i="3"/>
  <c r="V367" i="3"/>
  <c r="V368" i="3"/>
  <c r="V369" i="3"/>
  <c r="V370" i="3"/>
  <c r="V371" i="3"/>
  <c r="V372" i="3"/>
  <c r="V373" i="3"/>
  <c r="V374" i="3"/>
  <c r="V375" i="3"/>
  <c r="V376" i="3"/>
  <c r="V377" i="3"/>
  <c r="V378" i="3"/>
  <c r="V379" i="3"/>
  <c r="V380" i="3"/>
  <c r="V381" i="3"/>
  <c r="V382" i="3"/>
  <c r="V383" i="3"/>
  <c r="V384" i="3"/>
  <c r="V385" i="3"/>
  <c r="V386" i="3"/>
  <c r="V387" i="3"/>
  <c r="V388" i="3"/>
  <c r="V389" i="3"/>
  <c r="V390" i="3"/>
  <c r="V391" i="3"/>
  <c r="V392" i="3"/>
  <c r="V393" i="3"/>
  <c r="V394" i="3"/>
  <c r="V395" i="3"/>
  <c r="V396" i="3"/>
  <c r="V397" i="3"/>
  <c r="V398" i="3"/>
  <c r="V399" i="3"/>
  <c r="V400" i="3"/>
  <c r="V401" i="3"/>
  <c r="V402" i="3"/>
  <c r="V403" i="3"/>
  <c r="V404" i="3"/>
  <c r="V405" i="3"/>
  <c r="V406" i="3"/>
  <c r="V407" i="3"/>
  <c r="V408" i="3"/>
  <c r="V409" i="3"/>
  <c r="V410" i="3"/>
  <c r="V411" i="3"/>
  <c r="V412" i="3"/>
  <c r="V413" i="3"/>
  <c r="V414" i="3"/>
  <c r="V415" i="3"/>
  <c r="V416" i="3"/>
  <c r="V417" i="3"/>
  <c r="V418" i="3"/>
  <c r="V419" i="3"/>
  <c r="V420" i="3"/>
  <c r="V421" i="3"/>
  <c r="V422" i="3"/>
  <c r="V423" i="3"/>
  <c r="V424" i="3"/>
  <c r="V425" i="3"/>
  <c r="V426" i="3"/>
  <c r="V427" i="3"/>
  <c r="V428" i="3"/>
  <c r="V429" i="3"/>
  <c r="V430" i="3"/>
  <c r="V431" i="3"/>
  <c r="V432" i="3"/>
  <c r="V433" i="3"/>
  <c r="V434" i="3"/>
  <c r="V435" i="3"/>
  <c r="V436" i="3"/>
  <c r="V437" i="3"/>
  <c r="V438" i="3"/>
  <c r="V439" i="3"/>
  <c r="V440" i="3"/>
  <c r="V441" i="3"/>
  <c r="V442" i="3"/>
  <c r="V443" i="3"/>
  <c r="V444" i="3"/>
  <c r="V445" i="3"/>
  <c r="V446" i="3"/>
  <c r="V447" i="3"/>
  <c r="V448" i="3"/>
  <c r="V449" i="3"/>
  <c r="V450" i="3"/>
  <c r="V451" i="3"/>
  <c r="V452" i="3"/>
  <c r="V453" i="3"/>
  <c r="V454" i="3"/>
  <c r="V455" i="3"/>
  <c r="V456" i="3"/>
  <c r="V457" i="3"/>
  <c r="V458" i="3"/>
  <c r="V459" i="3"/>
  <c r="V460" i="3"/>
  <c r="V461" i="3"/>
  <c r="V462" i="3"/>
  <c r="V463" i="3"/>
  <c r="V464" i="3"/>
  <c r="V465" i="3"/>
  <c r="V466" i="3"/>
  <c r="V467" i="3"/>
  <c r="V468" i="3"/>
  <c r="V469" i="3"/>
  <c r="V470" i="3"/>
  <c r="V471" i="3"/>
  <c r="V472" i="3"/>
  <c r="V473" i="3"/>
  <c r="V474" i="3"/>
  <c r="V475" i="3"/>
  <c r="V476" i="3"/>
  <c r="V477" i="3"/>
  <c r="V478" i="3"/>
  <c r="V479" i="3"/>
  <c r="V480" i="3"/>
  <c r="V481" i="3"/>
  <c r="V482" i="3"/>
  <c r="V483" i="3"/>
  <c r="V484" i="3"/>
  <c r="V485" i="3"/>
  <c r="V486" i="3"/>
  <c r="V487" i="3"/>
  <c r="V488" i="3"/>
  <c r="V489" i="3"/>
  <c r="V490" i="3"/>
  <c r="V491" i="3"/>
  <c r="V492" i="3"/>
  <c r="V493" i="3"/>
  <c r="V494" i="3"/>
  <c r="V495" i="3"/>
  <c r="V496" i="3"/>
  <c r="V497" i="3"/>
  <c r="V498" i="3"/>
  <c r="V499" i="3"/>
  <c r="V500" i="3"/>
  <c r="V501" i="3"/>
  <c r="V502" i="3"/>
  <c r="V503" i="3"/>
  <c r="V504" i="3"/>
  <c r="V505" i="3"/>
  <c r="V506" i="3"/>
  <c r="V507" i="3"/>
  <c r="V508" i="3"/>
  <c r="V509" i="3"/>
  <c r="V510" i="3"/>
  <c r="V511" i="3"/>
  <c r="V512" i="3"/>
  <c r="V513" i="3"/>
  <c r="V514" i="3"/>
  <c r="V515" i="3"/>
  <c r="V516" i="3"/>
  <c r="V517" i="3"/>
  <c r="V518" i="3"/>
  <c r="V519" i="3"/>
  <c r="V520" i="3"/>
  <c r="V521" i="3"/>
  <c r="V522" i="3"/>
  <c r="V523" i="3"/>
  <c r="V524" i="3"/>
  <c r="V525" i="3"/>
  <c r="V526" i="3"/>
  <c r="V527" i="3"/>
  <c r="V528" i="3"/>
  <c r="V529" i="3"/>
  <c r="V530" i="3"/>
  <c r="V531" i="3"/>
  <c r="V532" i="3"/>
  <c r="V533" i="3"/>
  <c r="V534" i="3"/>
  <c r="V535" i="3"/>
  <c r="V536" i="3"/>
  <c r="V537" i="3"/>
  <c r="V538" i="3"/>
  <c r="V539" i="3"/>
  <c r="V540" i="3"/>
  <c r="V541" i="3"/>
  <c r="V542" i="3"/>
  <c r="V543" i="3"/>
  <c r="V544" i="3"/>
  <c r="V545" i="3"/>
  <c r="V546" i="3"/>
  <c r="V547" i="3"/>
  <c r="V548" i="3"/>
  <c r="V549" i="3"/>
  <c r="V550" i="3"/>
  <c r="V551" i="3"/>
  <c r="V552" i="3"/>
  <c r="V553" i="3"/>
  <c r="V554" i="3"/>
  <c r="V555" i="3"/>
  <c r="V556" i="3"/>
  <c r="V557" i="3"/>
  <c r="V558" i="3"/>
  <c r="V559" i="3"/>
  <c r="V560" i="3"/>
  <c r="V561" i="3"/>
  <c r="V562" i="3"/>
  <c r="V563" i="3"/>
  <c r="V564" i="3"/>
  <c r="V565" i="3"/>
  <c r="V566" i="3"/>
  <c r="V567" i="3"/>
  <c r="V568" i="3"/>
  <c r="V569" i="3"/>
  <c r="V570" i="3"/>
  <c r="V571" i="3"/>
  <c r="V572" i="3"/>
  <c r="V573" i="3"/>
  <c r="V574" i="3"/>
  <c r="V575" i="3"/>
  <c r="V576" i="3"/>
  <c r="V577" i="3"/>
  <c r="V578" i="3"/>
  <c r="V579" i="3"/>
  <c r="V580" i="3"/>
  <c r="V581" i="3"/>
  <c r="V582" i="3"/>
  <c r="V583" i="3"/>
  <c r="V584" i="3"/>
  <c r="V585" i="3"/>
  <c r="V586" i="3"/>
  <c r="V587" i="3"/>
  <c r="V588" i="3"/>
  <c r="V589" i="3"/>
  <c r="V590" i="3"/>
  <c r="V591" i="3"/>
  <c r="V592" i="3"/>
  <c r="V593" i="3"/>
  <c r="V594" i="3"/>
  <c r="V595" i="3"/>
  <c r="V596" i="3"/>
  <c r="V597" i="3"/>
  <c r="V598" i="3"/>
  <c r="V599" i="3"/>
  <c r="V600" i="3"/>
  <c r="V601" i="3"/>
  <c r="V602" i="3"/>
  <c r="V603" i="3"/>
  <c r="V604" i="3"/>
  <c r="V605" i="3"/>
  <c r="V606" i="3"/>
  <c r="V607" i="3"/>
  <c r="V608" i="3"/>
  <c r="V609" i="3"/>
  <c r="V610" i="3"/>
  <c r="V611" i="3"/>
  <c r="V612" i="3"/>
  <c r="V613" i="3"/>
  <c r="V614" i="3"/>
  <c r="V615" i="3"/>
  <c r="V616" i="3"/>
  <c r="V617" i="3"/>
  <c r="V618" i="3"/>
  <c r="V619" i="3"/>
  <c r="V620" i="3"/>
  <c r="V621" i="3"/>
  <c r="V622" i="3"/>
  <c r="V623" i="3"/>
  <c r="V624" i="3"/>
  <c r="V625" i="3"/>
  <c r="V626" i="3"/>
  <c r="V627" i="3"/>
  <c r="V628" i="3"/>
  <c r="V629" i="3"/>
  <c r="V630" i="3"/>
  <c r="V631" i="3"/>
  <c r="V632" i="3"/>
  <c r="V633" i="3"/>
  <c r="V634" i="3"/>
  <c r="V635" i="3"/>
  <c r="V636" i="3"/>
  <c r="V637" i="3"/>
  <c r="V638" i="3"/>
  <c r="V639" i="3"/>
  <c r="V640" i="3"/>
  <c r="V641" i="3"/>
  <c r="V642" i="3"/>
  <c r="V643" i="3"/>
  <c r="V644" i="3"/>
  <c r="V645" i="3"/>
  <c r="V646" i="3"/>
  <c r="V647" i="3"/>
  <c r="V648" i="3"/>
  <c r="V649" i="3"/>
  <c r="V650" i="3"/>
  <c r="V651" i="3"/>
  <c r="V652" i="3"/>
  <c r="V653" i="3"/>
  <c r="V654" i="3"/>
  <c r="V655" i="3"/>
  <c r="V656" i="3"/>
  <c r="V657" i="3"/>
  <c r="V658" i="3"/>
  <c r="V659" i="3"/>
  <c r="V660" i="3"/>
  <c r="V661" i="3"/>
  <c r="V662" i="3"/>
  <c r="V663" i="3"/>
  <c r="V664" i="3"/>
  <c r="V665" i="3"/>
  <c r="V666" i="3"/>
  <c r="V667" i="3"/>
  <c r="V668" i="3"/>
  <c r="V669" i="3"/>
  <c r="V670" i="3"/>
  <c r="V671" i="3"/>
  <c r="V672" i="3"/>
  <c r="V673" i="3"/>
  <c r="V674" i="3"/>
  <c r="V675" i="3"/>
  <c r="V676" i="3"/>
  <c r="V677" i="3"/>
  <c r="V678" i="3"/>
  <c r="V679" i="3"/>
  <c r="V680" i="3"/>
  <c r="V681" i="3"/>
  <c r="V682" i="3"/>
  <c r="V683" i="3"/>
  <c r="V684" i="3"/>
  <c r="V685" i="3"/>
  <c r="V686" i="3"/>
  <c r="V687" i="3"/>
  <c r="V688" i="3"/>
  <c r="V689" i="3"/>
  <c r="V690" i="3"/>
  <c r="V691" i="3"/>
  <c r="V692" i="3"/>
  <c r="V693" i="3"/>
  <c r="V694" i="3"/>
  <c r="V695" i="3"/>
  <c r="V696" i="3"/>
  <c r="V697" i="3"/>
  <c r="V698" i="3"/>
  <c r="V699" i="3"/>
  <c r="V700" i="3"/>
  <c r="V701" i="3"/>
  <c r="V702" i="3"/>
  <c r="V703" i="3"/>
  <c r="V704" i="3"/>
  <c r="V705" i="3"/>
  <c r="V706" i="3"/>
  <c r="V707" i="3"/>
  <c r="V708" i="3"/>
  <c r="V709" i="3"/>
  <c r="V710" i="3"/>
  <c r="V711" i="3"/>
  <c r="V712" i="3"/>
  <c r="V713" i="3"/>
  <c r="V714" i="3"/>
  <c r="V715" i="3"/>
  <c r="V716" i="3"/>
  <c r="V717" i="3"/>
  <c r="V718" i="3"/>
  <c r="V719" i="3"/>
  <c r="V720" i="3"/>
  <c r="V721" i="3"/>
  <c r="V722" i="3"/>
  <c r="V723" i="3"/>
  <c r="V724" i="3"/>
  <c r="V725" i="3"/>
  <c r="V726" i="3"/>
  <c r="V727" i="3"/>
  <c r="V728" i="3"/>
  <c r="V729" i="3"/>
  <c r="V730" i="3"/>
  <c r="V731" i="3"/>
  <c r="V732" i="3"/>
  <c r="V733" i="3"/>
  <c r="V734" i="3"/>
  <c r="V735" i="3"/>
  <c r="V736" i="3"/>
  <c r="V737" i="3"/>
  <c r="V738" i="3"/>
  <c r="V739" i="3"/>
  <c r="V740" i="3"/>
  <c r="V741" i="3"/>
  <c r="V742" i="3"/>
  <c r="V743" i="3"/>
  <c r="V744" i="3"/>
  <c r="V745" i="3"/>
  <c r="V746" i="3"/>
  <c r="V747" i="3"/>
  <c r="V748" i="3"/>
  <c r="V749" i="3"/>
  <c r="V750" i="3"/>
  <c r="V751" i="3"/>
  <c r="V752" i="3"/>
  <c r="V753" i="3"/>
  <c r="V754" i="3"/>
  <c r="V755" i="3"/>
  <c r="V756" i="3"/>
  <c r="V757" i="3"/>
  <c r="V758" i="3"/>
  <c r="V759" i="3"/>
  <c r="V760" i="3"/>
  <c r="V761" i="3"/>
  <c r="V762" i="3"/>
  <c r="V763" i="3"/>
  <c r="V764" i="3"/>
  <c r="V765" i="3"/>
  <c r="V766" i="3"/>
  <c r="V767" i="3"/>
  <c r="V768" i="3"/>
  <c r="V769" i="3"/>
  <c r="V770" i="3"/>
  <c r="V771" i="3"/>
  <c r="V772" i="3"/>
  <c r="V773" i="3"/>
  <c r="V774" i="3"/>
  <c r="V775" i="3"/>
  <c r="V776" i="3"/>
  <c r="V777" i="3"/>
  <c r="V778" i="3"/>
  <c r="V779" i="3"/>
  <c r="V780" i="3"/>
  <c r="V781" i="3"/>
  <c r="V782" i="3"/>
  <c r="V783" i="3"/>
  <c r="V784" i="3"/>
  <c r="V785" i="3"/>
  <c r="V786" i="3"/>
  <c r="V787" i="3"/>
  <c r="V788" i="3"/>
  <c r="V789" i="3"/>
  <c r="V790" i="3"/>
  <c r="V791" i="3"/>
  <c r="V792" i="3"/>
  <c r="V793" i="3"/>
  <c r="V794" i="3"/>
  <c r="V795" i="3"/>
  <c r="V796" i="3"/>
  <c r="V797" i="3"/>
  <c r="V798" i="3"/>
  <c r="V799" i="3"/>
  <c r="V800" i="3"/>
  <c r="V801" i="3"/>
  <c r="V802" i="3"/>
  <c r="V803" i="3"/>
  <c r="V804" i="3"/>
  <c r="V805" i="3"/>
  <c r="V806" i="3"/>
  <c r="V807" i="3"/>
  <c r="V808" i="3"/>
  <c r="V809" i="3"/>
  <c r="V810" i="3"/>
  <c r="V811" i="3"/>
  <c r="V812" i="3"/>
  <c r="V813" i="3"/>
  <c r="V814" i="3"/>
  <c r="V815" i="3"/>
  <c r="V816" i="3"/>
  <c r="V817" i="3"/>
  <c r="V818" i="3"/>
  <c r="V819" i="3"/>
  <c r="V820" i="3"/>
  <c r="V821" i="3"/>
  <c r="V822" i="3"/>
  <c r="V823" i="3"/>
  <c r="V824" i="3"/>
  <c r="V825" i="3"/>
  <c r="V826" i="3"/>
  <c r="V827" i="3"/>
  <c r="V828" i="3"/>
  <c r="V829" i="3"/>
  <c r="V830" i="3"/>
  <c r="V831" i="3"/>
  <c r="V832" i="3"/>
  <c r="V833" i="3"/>
  <c r="V834" i="3"/>
  <c r="V835" i="3"/>
  <c r="V836" i="3"/>
  <c r="V837" i="3"/>
  <c r="V838" i="3"/>
  <c r="V839" i="3"/>
  <c r="V840" i="3"/>
  <c r="V841" i="3"/>
  <c r="V842" i="3"/>
  <c r="V843" i="3"/>
  <c r="V844" i="3"/>
  <c r="V845" i="3"/>
  <c r="V846" i="3"/>
  <c r="V847" i="3"/>
  <c r="V848" i="3"/>
  <c r="V849" i="3"/>
  <c r="V850" i="3"/>
  <c r="V851" i="3"/>
  <c r="V852" i="3"/>
  <c r="V853" i="3"/>
  <c r="V854" i="3"/>
  <c r="V855" i="3"/>
  <c r="V856" i="3"/>
  <c r="V857" i="3"/>
  <c r="V858" i="3"/>
  <c r="V859" i="3"/>
  <c r="V860" i="3"/>
  <c r="V861" i="3"/>
  <c r="V862" i="3"/>
  <c r="V863" i="3"/>
  <c r="V864" i="3"/>
  <c r="V865" i="3"/>
  <c r="V866" i="3"/>
  <c r="V867" i="3"/>
  <c r="V868" i="3"/>
  <c r="V869" i="3"/>
  <c r="V870" i="3"/>
  <c r="V871" i="3"/>
  <c r="V872" i="3"/>
  <c r="V873" i="3"/>
  <c r="V874" i="3"/>
  <c r="V875" i="3"/>
  <c r="V876" i="3"/>
  <c r="V877" i="3"/>
  <c r="V878" i="3"/>
  <c r="V879" i="3"/>
  <c r="V880" i="3"/>
  <c r="V881" i="3"/>
  <c r="V882" i="3"/>
  <c r="V883" i="3"/>
  <c r="V884" i="3"/>
  <c r="V885" i="3"/>
  <c r="V886" i="3"/>
  <c r="V887" i="3"/>
  <c r="V888" i="3"/>
  <c r="V889" i="3"/>
  <c r="V890" i="3"/>
  <c r="V891" i="3"/>
  <c r="V892" i="3"/>
  <c r="V893" i="3"/>
  <c r="V894" i="3"/>
  <c r="V895" i="3"/>
  <c r="V896" i="3"/>
  <c r="V897" i="3"/>
  <c r="V898" i="3"/>
  <c r="V899" i="3"/>
  <c r="V900" i="3"/>
  <c r="V901" i="3"/>
  <c r="V902" i="3"/>
  <c r="V903" i="3"/>
  <c r="V904" i="3"/>
  <c r="V905" i="3"/>
  <c r="V906" i="3"/>
  <c r="V907" i="3"/>
  <c r="V908" i="3"/>
  <c r="V909" i="3"/>
  <c r="V910" i="3"/>
  <c r="V911" i="3"/>
  <c r="V912" i="3"/>
  <c r="V913" i="3"/>
  <c r="V914" i="3"/>
  <c r="V915" i="3"/>
  <c r="V916" i="3"/>
  <c r="V917" i="3"/>
  <c r="V918" i="3"/>
  <c r="V919" i="3"/>
  <c r="V920" i="3"/>
  <c r="V921" i="3"/>
  <c r="V922" i="3"/>
  <c r="V923" i="3"/>
  <c r="V924" i="3"/>
  <c r="V925" i="3"/>
  <c r="V926" i="3"/>
  <c r="V927" i="3"/>
  <c r="V928" i="3"/>
  <c r="V929" i="3"/>
  <c r="V930" i="3"/>
  <c r="V931" i="3"/>
  <c r="V932" i="3"/>
  <c r="V933" i="3"/>
  <c r="V934" i="3"/>
  <c r="V935" i="3"/>
  <c r="V936" i="3"/>
  <c r="V937" i="3"/>
  <c r="V938" i="3"/>
  <c r="V939" i="3"/>
  <c r="V940" i="3"/>
  <c r="V941" i="3"/>
  <c r="V942" i="3"/>
  <c r="V943" i="3"/>
  <c r="V944" i="3"/>
  <c r="V945" i="3"/>
  <c r="V946" i="3"/>
  <c r="V947" i="3"/>
  <c r="V948" i="3"/>
  <c r="V949" i="3"/>
  <c r="V950" i="3"/>
  <c r="V951" i="3"/>
  <c r="V952" i="3"/>
  <c r="V953" i="3"/>
  <c r="V954" i="3"/>
  <c r="V955" i="3"/>
  <c r="V956" i="3"/>
  <c r="V957" i="3"/>
  <c r="V958" i="3"/>
  <c r="V959" i="3"/>
  <c r="V960" i="3"/>
  <c r="V961" i="3"/>
  <c r="V962" i="3"/>
  <c r="V963" i="3"/>
  <c r="V964" i="3"/>
  <c r="V965" i="3"/>
  <c r="V966" i="3"/>
  <c r="V967" i="3"/>
  <c r="V968" i="3"/>
  <c r="V969" i="3"/>
  <c r="V970" i="3"/>
  <c r="V971" i="3"/>
  <c r="V972" i="3"/>
  <c r="V973" i="3"/>
  <c r="V974" i="3"/>
  <c r="V975" i="3"/>
  <c r="V976" i="3"/>
  <c r="V977" i="3"/>
  <c r="V978" i="3"/>
  <c r="V979" i="3"/>
  <c r="V980" i="3"/>
  <c r="V981" i="3"/>
  <c r="V982" i="3"/>
  <c r="V983" i="3"/>
  <c r="V984" i="3"/>
  <c r="V985" i="3"/>
  <c r="V986" i="3"/>
  <c r="V987" i="3"/>
  <c r="V988" i="3"/>
  <c r="V989" i="3"/>
  <c r="V990" i="3"/>
  <c r="V991" i="3"/>
  <c r="V992" i="3"/>
  <c r="V993" i="3"/>
  <c r="V994" i="3"/>
  <c r="V995" i="3"/>
  <c r="V996" i="3"/>
  <c r="V997" i="3"/>
  <c r="V998" i="3"/>
  <c r="V999" i="3"/>
  <c r="V1000" i="3"/>
  <c r="V1001" i="3"/>
  <c r="V1002" i="3"/>
  <c r="V1003" i="3"/>
  <c r="V1004" i="3"/>
  <c r="V1005" i="3"/>
  <c r="V1006" i="3"/>
  <c r="V1007" i="3"/>
  <c r="V1008" i="3"/>
  <c r="V1009" i="3"/>
  <c r="V1010" i="3"/>
  <c r="V1011" i="3"/>
  <c r="V1012" i="3"/>
  <c r="V1013" i="3"/>
  <c r="V1014" i="3"/>
  <c r="V1015" i="3"/>
  <c r="V1016" i="3"/>
  <c r="V1017" i="3"/>
  <c r="V1018" i="3"/>
  <c r="V1019" i="3"/>
  <c r="V1020" i="3"/>
  <c r="V1021" i="3"/>
  <c r="V1022" i="3"/>
  <c r="V1023" i="3"/>
  <c r="V1024" i="3"/>
  <c r="V1025" i="3"/>
  <c r="V1026" i="3"/>
  <c r="V1027" i="3"/>
  <c r="V1028" i="3"/>
  <c r="V1029" i="3"/>
  <c r="V1030" i="3"/>
  <c r="V1031" i="3"/>
  <c r="V1032" i="3"/>
  <c r="V1033" i="3"/>
  <c r="V1034" i="3"/>
  <c r="V1035" i="3"/>
  <c r="V1036" i="3"/>
  <c r="V1037" i="3"/>
  <c r="V1038" i="3"/>
  <c r="V1039" i="3"/>
  <c r="V1040" i="3"/>
  <c r="V1041" i="3"/>
  <c r="V1042" i="3"/>
  <c r="V1043" i="3"/>
  <c r="V1044" i="3"/>
  <c r="V1045" i="3"/>
  <c r="V1046" i="3"/>
  <c r="V1047" i="3"/>
  <c r="V1048" i="3"/>
  <c r="V1049" i="3"/>
  <c r="V1050" i="3"/>
  <c r="V1051" i="3"/>
  <c r="V1052" i="3"/>
  <c r="V1053" i="3"/>
  <c r="V1054" i="3"/>
  <c r="V1055" i="3"/>
  <c r="V1056" i="3"/>
  <c r="V1057" i="3"/>
  <c r="V1058" i="3"/>
  <c r="V1059" i="3"/>
  <c r="V1060" i="3"/>
  <c r="V1061" i="3"/>
  <c r="V1062" i="3"/>
  <c r="V1063" i="3"/>
  <c r="V1064" i="3"/>
  <c r="V1065" i="3"/>
  <c r="V1066" i="3"/>
  <c r="V1067" i="3"/>
  <c r="V1068" i="3"/>
  <c r="V1069" i="3"/>
  <c r="V1070" i="3"/>
  <c r="V1071" i="3"/>
  <c r="V1072" i="3"/>
  <c r="V1073" i="3"/>
  <c r="V1074" i="3"/>
  <c r="V1075" i="3"/>
  <c r="V1076" i="3"/>
  <c r="V1077" i="3"/>
  <c r="V1078" i="3"/>
  <c r="V1079" i="3"/>
  <c r="V1080" i="3"/>
  <c r="V1081" i="3"/>
  <c r="V1082" i="3"/>
  <c r="V1083" i="3"/>
  <c r="V1084" i="3"/>
  <c r="V1085" i="3"/>
  <c r="V1086" i="3"/>
  <c r="V1087" i="3"/>
  <c r="V1088" i="3"/>
  <c r="V1089" i="3"/>
  <c r="V1090" i="3"/>
  <c r="V1091" i="3"/>
  <c r="V1092" i="3"/>
  <c r="V1093" i="3"/>
  <c r="V1094" i="3"/>
  <c r="V1095" i="3"/>
  <c r="V1096" i="3"/>
  <c r="V1097" i="3"/>
  <c r="V1098" i="3"/>
  <c r="V1099" i="3"/>
  <c r="V1100" i="3"/>
  <c r="V1101" i="3"/>
  <c r="V1102" i="3"/>
  <c r="V1103" i="3"/>
  <c r="V1104" i="3"/>
  <c r="V1105" i="3"/>
  <c r="V1106" i="3"/>
  <c r="V1107" i="3"/>
  <c r="V1108" i="3"/>
  <c r="V1109" i="3"/>
  <c r="V1110" i="3"/>
  <c r="V1111" i="3"/>
  <c r="V1112" i="3"/>
  <c r="V1113" i="3"/>
  <c r="V1114" i="3"/>
  <c r="V1115" i="3"/>
  <c r="V1116" i="3"/>
  <c r="V1117" i="3"/>
  <c r="V1118" i="3"/>
  <c r="V1119" i="3"/>
  <c r="V1120" i="3"/>
  <c r="V1121" i="3"/>
  <c r="V1122" i="3"/>
  <c r="V1123" i="3"/>
  <c r="V1124" i="3"/>
  <c r="V1125" i="3"/>
  <c r="V1126" i="3"/>
  <c r="V1127" i="3"/>
  <c r="V1128" i="3"/>
  <c r="V1129" i="3"/>
  <c r="V1130" i="3"/>
  <c r="V1131" i="3"/>
  <c r="V1132" i="3"/>
  <c r="V1133" i="3"/>
  <c r="V1134" i="3"/>
  <c r="V1135" i="3"/>
  <c r="V1136" i="3"/>
  <c r="V1137" i="3"/>
  <c r="V1138" i="3"/>
  <c r="V1139" i="3"/>
  <c r="V1140" i="3"/>
  <c r="V1141" i="3"/>
  <c r="V1142" i="3"/>
  <c r="V1143" i="3"/>
  <c r="V1144" i="3"/>
  <c r="V1145" i="3"/>
  <c r="V1146" i="3"/>
  <c r="V1147" i="3"/>
  <c r="V1148" i="3"/>
  <c r="V1149" i="3"/>
  <c r="V1150" i="3"/>
  <c r="V1151" i="3"/>
  <c r="V1152" i="3"/>
  <c r="V1153" i="3"/>
  <c r="V1154" i="3"/>
  <c r="V1155" i="3"/>
  <c r="V1156" i="3"/>
  <c r="V1157" i="3"/>
  <c r="V1158" i="3"/>
  <c r="V1159" i="3"/>
  <c r="V1160" i="3"/>
  <c r="V1161" i="3"/>
  <c r="V1162" i="3"/>
  <c r="V1163" i="3"/>
  <c r="V1164" i="3"/>
  <c r="V1165" i="3"/>
  <c r="V1166" i="3"/>
  <c r="V1167" i="3"/>
  <c r="V1168" i="3"/>
  <c r="V1169" i="3"/>
  <c r="V1170" i="3"/>
  <c r="V2" i="3"/>
  <c r="U3" i="3"/>
  <c r="U4" i="3"/>
  <c r="U5" i="3"/>
  <c r="U6" i="3"/>
  <c r="U7" i="3"/>
  <c r="U8" i="3"/>
  <c r="U9" i="3"/>
  <c r="U10" i="3"/>
  <c r="U11" i="3"/>
  <c r="U12" i="3"/>
  <c r="U13" i="3"/>
  <c r="U14" i="3"/>
  <c r="U15" i="3"/>
  <c r="U16" i="3"/>
  <c r="U17" i="3"/>
  <c r="U18" i="3"/>
  <c r="U19" i="3"/>
  <c r="U20" i="3"/>
  <c r="U21" i="3"/>
  <c r="U22" i="3"/>
  <c r="U23" i="3"/>
  <c r="U24" i="3"/>
  <c r="U25" i="3"/>
  <c r="U26" i="3"/>
  <c r="U27" i="3"/>
  <c r="U28" i="3"/>
  <c r="U29" i="3"/>
  <c r="U30" i="3"/>
  <c r="U31" i="3"/>
  <c r="U32" i="3"/>
  <c r="U33" i="3"/>
  <c r="U34" i="3"/>
  <c r="U35" i="3"/>
  <c r="U36" i="3"/>
  <c r="U37" i="3"/>
  <c r="U38" i="3"/>
  <c r="U39" i="3"/>
  <c r="U40" i="3"/>
  <c r="U41" i="3"/>
  <c r="U42" i="3"/>
  <c r="U43" i="3"/>
  <c r="U44" i="3"/>
  <c r="U45" i="3"/>
  <c r="U46" i="3"/>
  <c r="U47" i="3"/>
  <c r="U48" i="3"/>
  <c r="U49" i="3"/>
  <c r="U50" i="3"/>
  <c r="U51" i="3"/>
  <c r="U52" i="3"/>
  <c r="U53" i="3"/>
  <c r="U54" i="3"/>
  <c r="U55" i="3"/>
  <c r="U56" i="3"/>
  <c r="U57" i="3"/>
  <c r="U58" i="3"/>
  <c r="U59" i="3"/>
  <c r="U60" i="3"/>
  <c r="U61" i="3"/>
  <c r="U62" i="3"/>
  <c r="U63" i="3"/>
  <c r="U64" i="3"/>
  <c r="U65" i="3"/>
  <c r="U66" i="3"/>
  <c r="U67" i="3"/>
  <c r="U68" i="3"/>
  <c r="U69" i="3"/>
  <c r="U70" i="3"/>
  <c r="U71" i="3"/>
  <c r="U72" i="3"/>
  <c r="U73" i="3"/>
  <c r="U74" i="3"/>
  <c r="U75" i="3"/>
  <c r="U76" i="3"/>
  <c r="U77" i="3"/>
  <c r="U78" i="3"/>
  <c r="U79" i="3"/>
  <c r="U80" i="3"/>
  <c r="U81" i="3"/>
  <c r="U82" i="3"/>
  <c r="U83" i="3"/>
  <c r="U84" i="3"/>
  <c r="U85" i="3"/>
  <c r="U86" i="3"/>
  <c r="U87" i="3"/>
  <c r="U88" i="3"/>
  <c r="U89" i="3"/>
  <c r="U90" i="3"/>
  <c r="U91" i="3"/>
  <c r="U92" i="3"/>
  <c r="U93" i="3"/>
  <c r="U94" i="3"/>
  <c r="U95" i="3"/>
  <c r="U96" i="3"/>
  <c r="U97" i="3"/>
  <c r="U98" i="3"/>
  <c r="U99" i="3"/>
  <c r="U100" i="3"/>
  <c r="U101" i="3"/>
  <c r="U102" i="3"/>
  <c r="U103" i="3"/>
  <c r="U104" i="3"/>
  <c r="U105" i="3"/>
  <c r="U106" i="3"/>
  <c r="U107" i="3"/>
  <c r="U108" i="3"/>
  <c r="U109" i="3"/>
  <c r="U110" i="3"/>
  <c r="U111" i="3"/>
  <c r="U112" i="3"/>
  <c r="U113" i="3"/>
  <c r="U114" i="3"/>
  <c r="U115" i="3"/>
  <c r="U116" i="3"/>
  <c r="U117" i="3"/>
  <c r="U118" i="3"/>
  <c r="U119" i="3"/>
  <c r="U120" i="3"/>
  <c r="U121" i="3"/>
  <c r="U122" i="3"/>
  <c r="U123" i="3"/>
  <c r="U124" i="3"/>
  <c r="U125" i="3"/>
  <c r="U126" i="3"/>
  <c r="U127" i="3"/>
  <c r="U128" i="3"/>
  <c r="U129" i="3"/>
  <c r="U130" i="3"/>
  <c r="U131" i="3"/>
  <c r="U132" i="3"/>
  <c r="U133" i="3"/>
  <c r="U134" i="3"/>
  <c r="U135" i="3"/>
  <c r="U136" i="3"/>
  <c r="U137" i="3"/>
  <c r="U138" i="3"/>
  <c r="U139" i="3"/>
  <c r="U140" i="3"/>
  <c r="U141" i="3"/>
  <c r="U142" i="3"/>
  <c r="U143" i="3"/>
  <c r="U144" i="3"/>
  <c r="U145" i="3"/>
  <c r="U146" i="3"/>
  <c r="U147" i="3"/>
  <c r="U148" i="3"/>
  <c r="U149" i="3"/>
  <c r="U150" i="3"/>
  <c r="U151" i="3"/>
  <c r="U152" i="3"/>
  <c r="U153" i="3"/>
  <c r="U154" i="3"/>
  <c r="U155" i="3"/>
  <c r="U156" i="3"/>
  <c r="U157" i="3"/>
  <c r="U158" i="3"/>
  <c r="U159" i="3"/>
  <c r="U160" i="3"/>
  <c r="U161" i="3"/>
  <c r="U162" i="3"/>
  <c r="U163" i="3"/>
  <c r="U164" i="3"/>
  <c r="U165" i="3"/>
  <c r="U166" i="3"/>
  <c r="U167" i="3"/>
  <c r="U168" i="3"/>
  <c r="U169" i="3"/>
  <c r="U170" i="3"/>
  <c r="U171" i="3"/>
  <c r="U172" i="3"/>
  <c r="U173" i="3"/>
  <c r="U174" i="3"/>
  <c r="U175" i="3"/>
  <c r="U176" i="3"/>
  <c r="U177" i="3"/>
  <c r="U178" i="3"/>
  <c r="U179" i="3"/>
  <c r="U180" i="3"/>
  <c r="U181" i="3"/>
  <c r="U182" i="3"/>
  <c r="U183" i="3"/>
  <c r="U184" i="3"/>
  <c r="U185" i="3"/>
  <c r="U186" i="3"/>
  <c r="U187" i="3"/>
  <c r="U188" i="3"/>
  <c r="U189" i="3"/>
  <c r="U190" i="3"/>
  <c r="U191" i="3"/>
  <c r="U192" i="3"/>
  <c r="U193" i="3"/>
  <c r="U194" i="3"/>
  <c r="U195" i="3"/>
  <c r="U196" i="3"/>
  <c r="U197" i="3"/>
  <c r="U198" i="3"/>
  <c r="U199" i="3"/>
  <c r="U200" i="3"/>
  <c r="U201" i="3"/>
  <c r="U202" i="3"/>
  <c r="U203" i="3"/>
  <c r="U204" i="3"/>
  <c r="U205" i="3"/>
  <c r="U206" i="3"/>
  <c r="U207" i="3"/>
  <c r="U208" i="3"/>
  <c r="U209" i="3"/>
  <c r="U210" i="3"/>
  <c r="U211" i="3"/>
  <c r="U212" i="3"/>
  <c r="U213" i="3"/>
  <c r="U214" i="3"/>
  <c r="U215" i="3"/>
  <c r="U216" i="3"/>
  <c r="U217" i="3"/>
  <c r="U218" i="3"/>
  <c r="U219" i="3"/>
  <c r="U220" i="3"/>
  <c r="U221" i="3"/>
  <c r="U222" i="3"/>
  <c r="U223" i="3"/>
  <c r="U224" i="3"/>
  <c r="U225" i="3"/>
  <c r="U226" i="3"/>
  <c r="U227" i="3"/>
  <c r="U228" i="3"/>
  <c r="U229" i="3"/>
  <c r="U230" i="3"/>
  <c r="U231" i="3"/>
  <c r="U232" i="3"/>
  <c r="U233" i="3"/>
  <c r="U234" i="3"/>
  <c r="U235" i="3"/>
  <c r="U236" i="3"/>
  <c r="U237" i="3"/>
  <c r="U238" i="3"/>
  <c r="U239" i="3"/>
  <c r="U240" i="3"/>
  <c r="U241" i="3"/>
  <c r="U242" i="3"/>
  <c r="U243" i="3"/>
  <c r="U244" i="3"/>
  <c r="U245" i="3"/>
  <c r="U246" i="3"/>
  <c r="U247" i="3"/>
  <c r="U248" i="3"/>
  <c r="U249" i="3"/>
  <c r="U250" i="3"/>
  <c r="U251" i="3"/>
  <c r="U252" i="3"/>
  <c r="U253" i="3"/>
  <c r="U254" i="3"/>
  <c r="U255" i="3"/>
  <c r="U256" i="3"/>
  <c r="U257" i="3"/>
  <c r="U258" i="3"/>
  <c r="U259" i="3"/>
  <c r="U260" i="3"/>
  <c r="U261" i="3"/>
  <c r="U262" i="3"/>
  <c r="U263" i="3"/>
  <c r="U264" i="3"/>
  <c r="U265" i="3"/>
  <c r="U266" i="3"/>
  <c r="U267" i="3"/>
  <c r="U268" i="3"/>
  <c r="U269" i="3"/>
  <c r="U270" i="3"/>
  <c r="U271" i="3"/>
  <c r="U272" i="3"/>
  <c r="U273" i="3"/>
  <c r="U274" i="3"/>
  <c r="U275" i="3"/>
  <c r="U276" i="3"/>
  <c r="U277" i="3"/>
  <c r="U278" i="3"/>
  <c r="U279" i="3"/>
  <c r="U280" i="3"/>
  <c r="U281" i="3"/>
  <c r="U282" i="3"/>
  <c r="U283" i="3"/>
  <c r="U284" i="3"/>
  <c r="U285" i="3"/>
  <c r="U286" i="3"/>
  <c r="U287" i="3"/>
  <c r="U288" i="3"/>
  <c r="U289" i="3"/>
  <c r="U290" i="3"/>
  <c r="U291" i="3"/>
  <c r="U292" i="3"/>
  <c r="U293" i="3"/>
  <c r="U294" i="3"/>
  <c r="U295" i="3"/>
  <c r="U296" i="3"/>
  <c r="U297" i="3"/>
  <c r="U298" i="3"/>
  <c r="U299" i="3"/>
  <c r="U300" i="3"/>
  <c r="U301" i="3"/>
  <c r="U302" i="3"/>
  <c r="U303" i="3"/>
  <c r="U304" i="3"/>
  <c r="U305" i="3"/>
  <c r="U306" i="3"/>
  <c r="U307" i="3"/>
  <c r="U308" i="3"/>
  <c r="U309" i="3"/>
  <c r="U310" i="3"/>
  <c r="U311" i="3"/>
  <c r="U312" i="3"/>
  <c r="U313" i="3"/>
  <c r="U314" i="3"/>
  <c r="U315" i="3"/>
  <c r="U316" i="3"/>
  <c r="U317" i="3"/>
  <c r="U318" i="3"/>
  <c r="U319" i="3"/>
  <c r="U320" i="3"/>
  <c r="U321" i="3"/>
  <c r="U322" i="3"/>
  <c r="U323" i="3"/>
  <c r="U324" i="3"/>
  <c r="U325" i="3"/>
  <c r="U326" i="3"/>
  <c r="U327" i="3"/>
  <c r="U328" i="3"/>
  <c r="U329" i="3"/>
  <c r="U330" i="3"/>
  <c r="U331" i="3"/>
  <c r="U332" i="3"/>
  <c r="U333" i="3"/>
  <c r="U334" i="3"/>
  <c r="U335" i="3"/>
  <c r="U336" i="3"/>
  <c r="U337" i="3"/>
  <c r="U338" i="3"/>
  <c r="U339" i="3"/>
  <c r="U340" i="3"/>
  <c r="U341" i="3"/>
  <c r="U342" i="3"/>
  <c r="U343" i="3"/>
  <c r="U344" i="3"/>
  <c r="U345" i="3"/>
  <c r="U346" i="3"/>
  <c r="U347" i="3"/>
  <c r="U348" i="3"/>
  <c r="U349" i="3"/>
  <c r="U350" i="3"/>
  <c r="U351" i="3"/>
  <c r="U352" i="3"/>
  <c r="U353" i="3"/>
  <c r="U354" i="3"/>
  <c r="U355" i="3"/>
  <c r="U356" i="3"/>
  <c r="U357" i="3"/>
  <c r="U358" i="3"/>
  <c r="U359" i="3"/>
  <c r="U360" i="3"/>
  <c r="U361" i="3"/>
  <c r="U362" i="3"/>
  <c r="U363" i="3"/>
  <c r="U364" i="3"/>
  <c r="U365" i="3"/>
  <c r="U366" i="3"/>
  <c r="U367" i="3"/>
  <c r="U368" i="3"/>
  <c r="U369" i="3"/>
  <c r="U370" i="3"/>
  <c r="U371" i="3"/>
  <c r="U372" i="3"/>
  <c r="U373" i="3"/>
  <c r="U374" i="3"/>
  <c r="U375" i="3"/>
  <c r="U376" i="3"/>
  <c r="U377" i="3"/>
  <c r="U378" i="3"/>
  <c r="U379" i="3"/>
  <c r="U380" i="3"/>
  <c r="U381" i="3"/>
  <c r="U382" i="3"/>
  <c r="U383" i="3"/>
  <c r="U384" i="3"/>
  <c r="U385" i="3"/>
  <c r="U386" i="3"/>
  <c r="U387" i="3"/>
  <c r="U388" i="3"/>
  <c r="U389" i="3"/>
  <c r="U390" i="3"/>
  <c r="U391" i="3"/>
  <c r="U392" i="3"/>
  <c r="U393" i="3"/>
  <c r="U394" i="3"/>
  <c r="U395" i="3"/>
  <c r="U396" i="3"/>
  <c r="U397" i="3"/>
  <c r="U398" i="3"/>
  <c r="U399" i="3"/>
  <c r="U400" i="3"/>
  <c r="U401" i="3"/>
  <c r="U402" i="3"/>
  <c r="U403" i="3"/>
  <c r="U404" i="3"/>
  <c r="U405" i="3"/>
  <c r="U406" i="3"/>
  <c r="U407" i="3"/>
  <c r="U408" i="3"/>
  <c r="U409" i="3"/>
  <c r="U410" i="3"/>
  <c r="U411" i="3"/>
  <c r="U412" i="3"/>
  <c r="U413" i="3"/>
  <c r="U414" i="3"/>
  <c r="U415" i="3"/>
  <c r="U416" i="3"/>
  <c r="U417" i="3"/>
  <c r="U418" i="3"/>
  <c r="U419" i="3"/>
  <c r="U420" i="3"/>
  <c r="U421" i="3"/>
  <c r="U422" i="3"/>
  <c r="U423" i="3"/>
  <c r="U424" i="3"/>
  <c r="U425" i="3"/>
  <c r="U426" i="3"/>
  <c r="U427" i="3"/>
  <c r="U428" i="3"/>
  <c r="U429" i="3"/>
  <c r="U430" i="3"/>
  <c r="U431" i="3"/>
  <c r="U432" i="3"/>
  <c r="U433" i="3"/>
  <c r="U434" i="3"/>
  <c r="U435" i="3"/>
  <c r="U436" i="3"/>
  <c r="U437" i="3"/>
  <c r="U438" i="3"/>
  <c r="U439" i="3"/>
  <c r="U440" i="3"/>
  <c r="U441" i="3"/>
  <c r="U442" i="3"/>
  <c r="U443" i="3"/>
  <c r="U444" i="3"/>
  <c r="U445" i="3"/>
  <c r="U446" i="3"/>
  <c r="U447" i="3"/>
  <c r="U448" i="3"/>
  <c r="U449" i="3"/>
  <c r="U450" i="3"/>
  <c r="U451" i="3"/>
  <c r="U452" i="3"/>
  <c r="U453" i="3"/>
  <c r="U454" i="3"/>
  <c r="U455" i="3"/>
  <c r="U456" i="3"/>
  <c r="U457" i="3"/>
  <c r="U458" i="3"/>
  <c r="U459" i="3"/>
  <c r="U460" i="3"/>
  <c r="U461" i="3"/>
  <c r="U462" i="3"/>
  <c r="U463" i="3"/>
  <c r="U464" i="3"/>
  <c r="U465" i="3"/>
  <c r="U466" i="3"/>
  <c r="U467" i="3"/>
  <c r="U468" i="3"/>
  <c r="U469" i="3"/>
  <c r="U470" i="3"/>
  <c r="U471" i="3"/>
  <c r="U472" i="3"/>
  <c r="U473" i="3"/>
  <c r="U474" i="3"/>
  <c r="U475" i="3"/>
  <c r="U476" i="3"/>
  <c r="U477" i="3"/>
  <c r="U478" i="3"/>
  <c r="U479" i="3"/>
  <c r="U480" i="3"/>
  <c r="U481" i="3"/>
  <c r="U482" i="3"/>
  <c r="U483" i="3"/>
  <c r="U484" i="3"/>
  <c r="U485" i="3"/>
  <c r="U486" i="3"/>
  <c r="U487" i="3"/>
  <c r="U488" i="3"/>
  <c r="U489" i="3"/>
  <c r="U490" i="3"/>
  <c r="U491" i="3"/>
  <c r="U492" i="3"/>
  <c r="U493" i="3"/>
  <c r="U494" i="3"/>
  <c r="U495" i="3"/>
  <c r="U496" i="3"/>
  <c r="U497" i="3"/>
  <c r="U498" i="3"/>
  <c r="U499" i="3"/>
  <c r="U500" i="3"/>
  <c r="U501" i="3"/>
  <c r="U502" i="3"/>
  <c r="U503" i="3"/>
  <c r="U504" i="3"/>
  <c r="U505" i="3"/>
  <c r="U506" i="3"/>
  <c r="U507" i="3"/>
  <c r="U508" i="3"/>
  <c r="U509" i="3"/>
  <c r="U510" i="3"/>
  <c r="U511" i="3"/>
  <c r="U512" i="3"/>
  <c r="U513" i="3"/>
  <c r="U514" i="3"/>
  <c r="U515" i="3"/>
  <c r="U516" i="3"/>
  <c r="U517" i="3"/>
  <c r="U518" i="3"/>
  <c r="U519" i="3"/>
  <c r="U520" i="3"/>
  <c r="U521" i="3"/>
  <c r="U522" i="3"/>
  <c r="U523" i="3"/>
  <c r="U524" i="3"/>
  <c r="U525" i="3"/>
  <c r="U526" i="3"/>
  <c r="U527" i="3"/>
  <c r="U528" i="3"/>
  <c r="U529" i="3"/>
  <c r="U530" i="3"/>
  <c r="U531" i="3"/>
  <c r="U532" i="3"/>
  <c r="U533" i="3"/>
  <c r="U534" i="3"/>
  <c r="U535" i="3"/>
  <c r="U536" i="3"/>
  <c r="U537" i="3"/>
  <c r="U538" i="3"/>
  <c r="U539" i="3"/>
  <c r="U540" i="3"/>
  <c r="U541" i="3"/>
  <c r="U542" i="3"/>
  <c r="U543" i="3"/>
  <c r="U544" i="3"/>
  <c r="U545" i="3"/>
  <c r="U546" i="3"/>
  <c r="U547" i="3"/>
  <c r="U548" i="3"/>
  <c r="U549" i="3"/>
  <c r="U550" i="3"/>
  <c r="U551" i="3"/>
  <c r="U552" i="3"/>
  <c r="U553" i="3"/>
  <c r="U554" i="3"/>
  <c r="U555" i="3"/>
  <c r="U556" i="3"/>
  <c r="U557" i="3"/>
  <c r="U558" i="3"/>
  <c r="U559" i="3"/>
  <c r="U560" i="3"/>
  <c r="U561" i="3"/>
  <c r="U562" i="3"/>
  <c r="U563" i="3"/>
  <c r="U564" i="3"/>
  <c r="U565" i="3"/>
  <c r="U566" i="3"/>
  <c r="U567" i="3"/>
  <c r="U568" i="3"/>
  <c r="U569" i="3"/>
  <c r="U570" i="3"/>
  <c r="U571" i="3"/>
  <c r="U572" i="3"/>
  <c r="U573" i="3"/>
  <c r="U574" i="3"/>
  <c r="U575" i="3"/>
  <c r="U576" i="3"/>
  <c r="U577" i="3"/>
  <c r="U578" i="3"/>
  <c r="U579" i="3"/>
  <c r="U580" i="3"/>
  <c r="U581" i="3"/>
  <c r="U582" i="3"/>
  <c r="U583" i="3"/>
  <c r="U584" i="3"/>
  <c r="U585" i="3"/>
  <c r="U586" i="3"/>
  <c r="U587" i="3"/>
  <c r="U588" i="3"/>
  <c r="U589" i="3"/>
  <c r="U590" i="3"/>
  <c r="U591" i="3"/>
  <c r="U592" i="3"/>
  <c r="U593" i="3"/>
  <c r="U594" i="3"/>
  <c r="U595" i="3"/>
  <c r="U596" i="3"/>
  <c r="U597" i="3"/>
  <c r="U598" i="3"/>
  <c r="U599" i="3"/>
  <c r="U600" i="3"/>
  <c r="U601" i="3"/>
  <c r="U602" i="3"/>
  <c r="U603" i="3"/>
  <c r="U604" i="3"/>
  <c r="U605" i="3"/>
  <c r="U606" i="3"/>
  <c r="U607" i="3"/>
  <c r="U608" i="3"/>
  <c r="U609" i="3"/>
  <c r="U610" i="3"/>
  <c r="U611" i="3"/>
  <c r="U612" i="3"/>
  <c r="U613" i="3"/>
  <c r="U614" i="3"/>
  <c r="U615" i="3"/>
  <c r="U616" i="3"/>
  <c r="U617" i="3"/>
  <c r="U618" i="3"/>
  <c r="U619" i="3"/>
  <c r="U620" i="3"/>
  <c r="U621" i="3"/>
  <c r="U622" i="3"/>
  <c r="U623" i="3"/>
  <c r="U624" i="3"/>
  <c r="U625" i="3"/>
  <c r="U626" i="3"/>
  <c r="U627" i="3"/>
  <c r="U628" i="3"/>
  <c r="U629" i="3"/>
  <c r="U630" i="3"/>
  <c r="U631" i="3"/>
  <c r="U632" i="3"/>
  <c r="U633" i="3"/>
  <c r="U634" i="3"/>
  <c r="U635" i="3"/>
  <c r="U636" i="3"/>
  <c r="U637" i="3"/>
  <c r="U638" i="3"/>
  <c r="U639" i="3"/>
  <c r="U640" i="3"/>
  <c r="U641" i="3"/>
  <c r="U642" i="3"/>
  <c r="U643" i="3"/>
  <c r="U644" i="3"/>
  <c r="U645" i="3"/>
  <c r="U646" i="3"/>
  <c r="U647" i="3"/>
  <c r="U648" i="3"/>
  <c r="U649" i="3"/>
  <c r="U650" i="3"/>
  <c r="U651" i="3"/>
  <c r="U652" i="3"/>
  <c r="U653" i="3"/>
  <c r="U654" i="3"/>
  <c r="U655" i="3"/>
  <c r="U656" i="3"/>
  <c r="U657" i="3"/>
  <c r="U658" i="3"/>
  <c r="U659" i="3"/>
  <c r="U660" i="3"/>
  <c r="U661" i="3"/>
  <c r="U662" i="3"/>
  <c r="U663" i="3"/>
  <c r="U664" i="3"/>
  <c r="U665" i="3"/>
  <c r="U666" i="3"/>
  <c r="U667" i="3"/>
  <c r="U668" i="3"/>
  <c r="U669" i="3"/>
  <c r="U670" i="3"/>
  <c r="U671" i="3"/>
  <c r="U672" i="3"/>
  <c r="U673" i="3"/>
  <c r="U674" i="3"/>
  <c r="U675" i="3"/>
  <c r="U676" i="3"/>
  <c r="U677" i="3"/>
  <c r="U678" i="3"/>
  <c r="U679" i="3"/>
  <c r="U680" i="3"/>
  <c r="U681" i="3"/>
  <c r="U682" i="3"/>
  <c r="U683" i="3"/>
  <c r="U684" i="3"/>
  <c r="U685" i="3"/>
  <c r="U686" i="3"/>
  <c r="U687" i="3"/>
  <c r="U688" i="3"/>
  <c r="U689" i="3"/>
  <c r="U690" i="3"/>
  <c r="U691" i="3"/>
  <c r="U692" i="3"/>
  <c r="U693" i="3"/>
  <c r="U694" i="3"/>
  <c r="U695" i="3"/>
  <c r="U696" i="3"/>
  <c r="U697" i="3"/>
  <c r="U698" i="3"/>
  <c r="U699" i="3"/>
  <c r="U700" i="3"/>
  <c r="U701" i="3"/>
  <c r="U702" i="3"/>
  <c r="U703" i="3"/>
  <c r="U704" i="3"/>
  <c r="U705" i="3"/>
  <c r="U706" i="3"/>
  <c r="U707" i="3"/>
  <c r="U708" i="3"/>
  <c r="U709" i="3"/>
  <c r="U710" i="3"/>
  <c r="U711" i="3"/>
  <c r="U712" i="3"/>
  <c r="U713" i="3"/>
  <c r="U714" i="3"/>
  <c r="U715" i="3"/>
  <c r="U716" i="3"/>
  <c r="U717" i="3"/>
  <c r="U718" i="3"/>
  <c r="U719" i="3"/>
  <c r="U720" i="3"/>
  <c r="U721" i="3"/>
  <c r="U722" i="3"/>
  <c r="U723" i="3"/>
  <c r="U724" i="3"/>
  <c r="U725" i="3"/>
  <c r="U726" i="3"/>
  <c r="U727" i="3"/>
  <c r="U728" i="3"/>
  <c r="U729" i="3"/>
  <c r="U730" i="3"/>
  <c r="U731" i="3"/>
  <c r="U732" i="3"/>
  <c r="U733" i="3"/>
  <c r="U734" i="3"/>
  <c r="U735" i="3"/>
  <c r="U736" i="3"/>
  <c r="U737" i="3"/>
  <c r="U738" i="3"/>
  <c r="U739" i="3"/>
  <c r="U740" i="3"/>
  <c r="U741" i="3"/>
  <c r="U742" i="3"/>
  <c r="U743" i="3"/>
  <c r="U744" i="3"/>
  <c r="U745" i="3"/>
  <c r="U746" i="3"/>
  <c r="U747" i="3"/>
  <c r="U748" i="3"/>
  <c r="U749" i="3"/>
  <c r="U750" i="3"/>
  <c r="U751" i="3"/>
  <c r="U752" i="3"/>
  <c r="U753" i="3"/>
  <c r="U754" i="3"/>
  <c r="U755" i="3"/>
  <c r="U756" i="3"/>
  <c r="U757" i="3"/>
  <c r="U758" i="3"/>
  <c r="U759" i="3"/>
  <c r="U760" i="3"/>
  <c r="U761" i="3"/>
  <c r="U762" i="3"/>
  <c r="U763" i="3"/>
  <c r="U764" i="3"/>
  <c r="U765" i="3"/>
  <c r="U766" i="3"/>
  <c r="U767" i="3"/>
  <c r="U768" i="3"/>
  <c r="U769" i="3"/>
  <c r="U770" i="3"/>
  <c r="U771" i="3"/>
  <c r="U772" i="3"/>
  <c r="U773" i="3"/>
  <c r="U774" i="3"/>
  <c r="U775" i="3"/>
  <c r="U776" i="3"/>
  <c r="U777" i="3"/>
  <c r="U778" i="3"/>
  <c r="U779" i="3"/>
  <c r="U780" i="3"/>
  <c r="U781" i="3"/>
  <c r="U782" i="3"/>
  <c r="U783" i="3"/>
  <c r="U784" i="3"/>
  <c r="U785" i="3"/>
  <c r="U786" i="3"/>
  <c r="U787" i="3"/>
  <c r="U788" i="3"/>
  <c r="U789" i="3"/>
  <c r="U790" i="3"/>
  <c r="U791" i="3"/>
  <c r="U792" i="3"/>
  <c r="U793" i="3"/>
  <c r="U794" i="3"/>
  <c r="U795" i="3"/>
  <c r="U796" i="3"/>
  <c r="U797" i="3"/>
  <c r="U798" i="3"/>
  <c r="U799" i="3"/>
  <c r="U800" i="3"/>
  <c r="U801" i="3"/>
  <c r="U802" i="3"/>
  <c r="U803" i="3"/>
  <c r="U804" i="3"/>
  <c r="U805" i="3"/>
  <c r="U806" i="3"/>
  <c r="U807" i="3"/>
  <c r="U808" i="3"/>
  <c r="U809" i="3"/>
  <c r="U810" i="3"/>
  <c r="U811" i="3"/>
  <c r="U812" i="3"/>
  <c r="U813" i="3"/>
  <c r="U814" i="3"/>
  <c r="U815" i="3"/>
  <c r="U816" i="3"/>
  <c r="U817" i="3"/>
  <c r="U818" i="3"/>
  <c r="U819" i="3"/>
  <c r="U820" i="3"/>
  <c r="U821" i="3"/>
  <c r="U822" i="3"/>
  <c r="U823" i="3"/>
  <c r="U824" i="3"/>
  <c r="U825" i="3"/>
  <c r="U826" i="3"/>
  <c r="U827" i="3"/>
  <c r="U828" i="3"/>
  <c r="U829" i="3"/>
  <c r="U830" i="3"/>
  <c r="U831" i="3"/>
  <c r="U832" i="3"/>
  <c r="U833" i="3"/>
  <c r="U834" i="3"/>
  <c r="U835" i="3"/>
  <c r="U836" i="3"/>
  <c r="U837" i="3"/>
  <c r="U838" i="3"/>
  <c r="U839" i="3"/>
  <c r="U840" i="3"/>
  <c r="U841" i="3"/>
  <c r="U842" i="3"/>
  <c r="U843" i="3"/>
  <c r="U844" i="3"/>
  <c r="U845" i="3"/>
  <c r="U846" i="3"/>
  <c r="U847" i="3"/>
  <c r="U848" i="3"/>
  <c r="U849" i="3"/>
  <c r="U850" i="3"/>
  <c r="U851" i="3"/>
  <c r="U852" i="3"/>
  <c r="U853" i="3"/>
  <c r="U854" i="3"/>
  <c r="U855" i="3"/>
  <c r="U856" i="3"/>
  <c r="U857" i="3"/>
  <c r="U858" i="3"/>
  <c r="U859" i="3"/>
  <c r="U860" i="3"/>
  <c r="U861" i="3"/>
  <c r="U862" i="3"/>
  <c r="U863" i="3"/>
  <c r="U864" i="3"/>
  <c r="U865" i="3"/>
  <c r="U866" i="3"/>
  <c r="U867" i="3"/>
  <c r="U868" i="3"/>
  <c r="U869" i="3"/>
  <c r="U870" i="3"/>
  <c r="U871" i="3"/>
  <c r="U872" i="3"/>
  <c r="U873" i="3"/>
  <c r="U874" i="3"/>
  <c r="U875" i="3"/>
  <c r="U876" i="3"/>
  <c r="U877" i="3"/>
  <c r="U878" i="3"/>
  <c r="U879" i="3"/>
  <c r="U880" i="3"/>
  <c r="U881" i="3"/>
  <c r="U882" i="3"/>
  <c r="U883" i="3"/>
  <c r="U884" i="3"/>
  <c r="U885" i="3"/>
  <c r="U886" i="3"/>
  <c r="U887" i="3"/>
  <c r="U888" i="3"/>
  <c r="U889" i="3"/>
  <c r="U890" i="3"/>
  <c r="U891" i="3"/>
  <c r="U892" i="3"/>
  <c r="U893" i="3"/>
  <c r="U894" i="3"/>
  <c r="U895" i="3"/>
  <c r="U896" i="3"/>
  <c r="U897" i="3"/>
  <c r="U898" i="3"/>
  <c r="U899" i="3"/>
  <c r="U900" i="3"/>
  <c r="U901" i="3"/>
  <c r="U902" i="3"/>
  <c r="U903" i="3"/>
  <c r="U904" i="3"/>
  <c r="U905" i="3"/>
  <c r="U906" i="3"/>
  <c r="U907" i="3"/>
  <c r="U908" i="3"/>
  <c r="U909" i="3"/>
  <c r="U910" i="3"/>
  <c r="U911" i="3"/>
  <c r="U912" i="3"/>
  <c r="U913" i="3"/>
  <c r="U914" i="3"/>
  <c r="U915" i="3"/>
  <c r="U916" i="3"/>
  <c r="U917" i="3"/>
  <c r="U918" i="3"/>
  <c r="U919" i="3"/>
  <c r="U920" i="3"/>
  <c r="U921" i="3"/>
  <c r="U922" i="3"/>
  <c r="U923" i="3"/>
  <c r="U924" i="3"/>
  <c r="U925" i="3"/>
  <c r="U926" i="3"/>
  <c r="U927" i="3"/>
  <c r="U928" i="3"/>
  <c r="U929" i="3"/>
  <c r="U930" i="3"/>
  <c r="U931" i="3"/>
  <c r="U932" i="3"/>
  <c r="U933" i="3"/>
  <c r="U934" i="3"/>
  <c r="U935" i="3"/>
  <c r="U936" i="3"/>
  <c r="U937" i="3"/>
  <c r="U938" i="3"/>
  <c r="U939" i="3"/>
  <c r="U940" i="3"/>
  <c r="U941" i="3"/>
  <c r="U942" i="3"/>
  <c r="U943" i="3"/>
  <c r="U944" i="3"/>
  <c r="U945" i="3"/>
  <c r="U946" i="3"/>
  <c r="U947" i="3"/>
  <c r="U948" i="3"/>
  <c r="U949" i="3"/>
  <c r="U950" i="3"/>
  <c r="U951" i="3"/>
  <c r="U952" i="3"/>
  <c r="U953" i="3"/>
  <c r="U954" i="3"/>
  <c r="U955" i="3"/>
  <c r="U956" i="3"/>
  <c r="U957" i="3"/>
  <c r="U958" i="3"/>
  <c r="U959" i="3"/>
  <c r="U960" i="3"/>
  <c r="U961" i="3"/>
  <c r="U962" i="3"/>
  <c r="U963" i="3"/>
  <c r="U964" i="3"/>
  <c r="U965" i="3"/>
  <c r="U966" i="3"/>
  <c r="U967" i="3"/>
  <c r="U968" i="3"/>
  <c r="U969" i="3"/>
  <c r="U970" i="3"/>
  <c r="U971" i="3"/>
  <c r="U972" i="3"/>
  <c r="U973" i="3"/>
  <c r="U974" i="3"/>
  <c r="U975" i="3"/>
  <c r="U976" i="3"/>
  <c r="U977" i="3"/>
  <c r="U978" i="3"/>
  <c r="U979" i="3"/>
  <c r="U980" i="3"/>
  <c r="U981" i="3"/>
  <c r="U982" i="3"/>
  <c r="U983" i="3"/>
  <c r="U984" i="3"/>
  <c r="U985" i="3"/>
  <c r="U986" i="3"/>
  <c r="U987" i="3"/>
  <c r="U988" i="3"/>
  <c r="U989" i="3"/>
  <c r="U990" i="3"/>
  <c r="U991" i="3"/>
  <c r="U992" i="3"/>
  <c r="U993" i="3"/>
  <c r="U994" i="3"/>
  <c r="U995" i="3"/>
  <c r="U996" i="3"/>
  <c r="U997" i="3"/>
  <c r="U998" i="3"/>
  <c r="U999" i="3"/>
  <c r="U1000" i="3"/>
  <c r="U1001" i="3"/>
  <c r="U1002" i="3"/>
  <c r="U1003" i="3"/>
  <c r="U1004" i="3"/>
  <c r="U1005" i="3"/>
  <c r="U1006" i="3"/>
  <c r="U1007" i="3"/>
  <c r="U1008" i="3"/>
  <c r="U1009" i="3"/>
  <c r="U1010" i="3"/>
  <c r="U1011" i="3"/>
  <c r="U1012" i="3"/>
  <c r="U1013" i="3"/>
  <c r="U1014" i="3"/>
  <c r="U1015" i="3"/>
  <c r="U1016" i="3"/>
  <c r="U1017" i="3"/>
  <c r="U1018" i="3"/>
  <c r="U1019" i="3"/>
  <c r="U1020" i="3"/>
  <c r="U1021" i="3"/>
  <c r="U1022" i="3"/>
  <c r="U1023" i="3"/>
  <c r="U1024" i="3"/>
  <c r="U1025" i="3"/>
  <c r="U1026" i="3"/>
  <c r="U1027" i="3"/>
  <c r="U1028" i="3"/>
  <c r="U1029" i="3"/>
  <c r="U1030" i="3"/>
  <c r="U1031" i="3"/>
  <c r="U1032" i="3"/>
  <c r="U1033" i="3"/>
  <c r="U1034" i="3"/>
  <c r="U1035" i="3"/>
  <c r="U1036" i="3"/>
  <c r="U1037" i="3"/>
  <c r="U1038" i="3"/>
  <c r="U1039" i="3"/>
  <c r="U1040" i="3"/>
  <c r="U1041" i="3"/>
  <c r="U1042" i="3"/>
  <c r="U1043" i="3"/>
  <c r="U1044" i="3"/>
  <c r="U1045" i="3"/>
  <c r="U1046" i="3"/>
  <c r="U1047" i="3"/>
  <c r="U1048" i="3"/>
  <c r="U1049" i="3"/>
  <c r="U1050" i="3"/>
  <c r="U1051" i="3"/>
  <c r="U1052" i="3"/>
  <c r="U1053" i="3"/>
  <c r="U1054" i="3"/>
  <c r="U1055" i="3"/>
  <c r="U1056" i="3"/>
  <c r="U1057" i="3"/>
  <c r="U1058" i="3"/>
  <c r="U1059" i="3"/>
  <c r="U1060" i="3"/>
  <c r="U1061" i="3"/>
  <c r="U1062" i="3"/>
  <c r="U1063" i="3"/>
  <c r="U1064" i="3"/>
  <c r="U1065" i="3"/>
  <c r="U1066" i="3"/>
  <c r="U1067" i="3"/>
  <c r="U1068" i="3"/>
  <c r="U1069" i="3"/>
  <c r="U1070" i="3"/>
  <c r="U1071" i="3"/>
  <c r="U1072" i="3"/>
  <c r="U1073" i="3"/>
  <c r="U1074" i="3"/>
  <c r="U1075" i="3"/>
  <c r="U1076" i="3"/>
  <c r="U1077" i="3"/>
  <c r="U1078" i="3"/>
  <c r="U1079" i="3"/>
  <c r="U1080" i="3"/>
  <c r="U1081" i="3"/>
  <c r="U1082" i="3"/>
  <c r="U1083" i="3"/>
  <c r="U1084" i="3"/>
  <c r="U1085" i="3"/>
  <c r="U1086" i="3"/>
  <c r="U1087" i="3"/>
  <c r="U1088" i="3"/>
  <c r="U1089" i="3"/>
  <c r="U1090" i="3"/>
  <c r="U1091" i="3"/>
  <c r="U1092" i="3"/>
  <c r="U1093" i="3"/>
  <c r="U1094" i="3"/>
  <c r="U1095" i="3"/>
  <c r="U1096" i="3"/>
  <c r="U1097" i="3"/>
  <c r="U1098" i="3"/>
  <c r="U1099" i="3"/>
  <c r="U1100" i="3"/>
  <c r="U1101" i="3"/>
  <c r="U1102" i="3"/>
  <c r="U1103" i="3"/>
  <c r="U1104" i="3"/>
  <c r="U1105" i="3"/>
  <c r="U1106" i="3"/>
  <c r="U1107" i="3"/>
  <c r="U1108" i="3"/>
  <c r="U1109" i="3"/>
  <c r="U1110" i="3"/>
  <c r="U1111" i="3"/>
  <c r="U1112" i="3"/>
  <c r="U1113" i="3"/>
  <c r="U1114" i="3"/>
  <c r="U1115" i="3"/>
  <c r="U1116" i="3"/>
  <c r="U1117" i="3"/>
  <c r="U1118" i="3"/>
  <c r="U1119" i="3"/>
  <c r="U1120" i="3"/>
  <c r="U1121" i="3"/>
  <c r="U1122" i="3"/>
  <c r="U1123" i="3"/>
  <c r="U1124" i="3"/>
  <c r="U1125" i="3"/>
  <c r="U1126" i="3"/>
  <c r="U1127" i="3"/>
  <c r="U1128" i="3"/>
  <c r="U1129" i="3"/>
  <c r="U1130" i="3"/>
  <c r="U1131" i="3"/>
  <c r="U1132" i="3"/>
  <c r="U1133" i="3"/>
  <c r="U1134" i="3"/>
  <c r="U1135" i="3"/>
  <c r="U1136" i="3"/>
  <c r="U1137" i="3"/>
  <c r="U1138" i="3"/>
  <c r="U1139" i="3"/>
  <c r="U1140" i="3"/>
  <c r="U1141" i="3"/>
  <c r="U1142" i="3"/>
  <c r="U1143" i="3"/>
  <c r="U1144" i="3"/>
  <c r="U1145" i="3"/>
  <c r="U1146" i="3"/>
  <c r="U1147" i="3"/>
  <c r="U1148" i="3"/>
  <c r="U1149" i="3"/>
  <c r="U1150" i="3"/>
  <c r="U1151" i="3"/>
  <c r="U1152" i="3"/>
  <c r="U1153" i="3"/>
  <c r="U1154" i="3"/>
  <c r="U1155" i="3"/>
  <c r="U1156" i="3"/>
  <c r="U1157" i="3"/>
  <c r="U1158" i="3"/>
  <c r="U1159" i="3"/>
  <c r="U1160" i="3"/>
  <c r="U1161" i="3"/>
  <c r="U1162" i="3"/>
  <c r="U1163" i="3"/>
  <c r="U1164" i="3"/>
  <c r="U1165" i="3"/>
  <c r="U1166" i="3"/>
  <c r="U1167" i="3"/>
  <c r="U1168" i="3"/>
  <c r="U1169" i="3"/>
  <c r="U1170" i="3"/>
  <c r="U2" i="3"/>
  <c r="T3" i="3"/>
  <c r="T4" i="3"/>
  <c r="T5" i="3"/>
  <c r="T6" i="3"/>
  <c r="T7" i="3"/>
  <c r="T8" i="3"/>
  <c r="T9" i="3"/>
  <c r="T10" i="3"/>
  <c r="T11" i="3"/>
  <c r="T12" i="3"/>
  <c r="T13" i="3"/>
  <c r="T14" i="3"/>
  <c r="T15" i="3"/>
  <c r="T16" i="3"/>
  <c r="T17" i="3"/>
  <c r="T18" i="3"/>
  <c r="T19" i="3"/>
  <c r="T20" i="3"/>
  <c r="T21" i="3"/>
  <c r="T22" i="3"/>
  <c r="T23" i="3"/>
  <c r="T24" i="3"/>
  <c r="T25" i="3"/>
  <c r="T26" i="3"/>
  <c r="T27" i="3"/>
  <c r="T28" i="3"/>
  <c r="T29" i="3"/>
  <c r="T30" i="3"/>
  <c r="T31" i="3"/>
  <c r="T32" i="3"/>
  <c r="T33" i="3"/>
  <c r="T34" i="3"/>
  <c r="T35" i="3"/>
  <c r="T36" i="3"/>
  <c r="T37" i="3"/>
  <c r="T38" i="3"/>
  <c r="T39" i="3"/>
  <c r="T40" i="3"/>
  <c r="T41" i="3"/>
  <c r="T42" i="3"/>
  <c r="T43" i="3"/>
  <c r="T44" i="3"/>
  <c r="T45" i="3"/>
  <c r="T46" i="3"/>
  <c r="T47" i="3"/>
  <c r="T48" i="3"/>
  <c r="T49" i="3"/>
  <c r="T50" i="3"/>
  <c r="T51" i="3"/>
  <c r="T52" i="3"/>
  <c r="T53" i="3"/>
  <c r="T54" i="3"/>
  <c r="T55" i="3"/>
  <c r="T56" i="3"/>
  <c r="T57" i="3"/>
  <c r="T58" i="3"/>
  <c r="T59" i="3"/>
  <c r="T60" i="3"/>
  <c r="T61" i="3"/>
  <c r="T62" i="3"/>
  <c r="T63" i="3"/>
  <c r="T64" i="3"/>
  <c r="T65" i="3"/>
  <c r="T66" i="3"/>
  <c r="T67" i="3"/>
  <c r="T68" i="3"/>
  <c r="T69" i="3"/>
  <c r="T70" i="3"/>
  <c r="T71" i="3"/>
  <c r="T72" i="3"/>
  <c r="T73" i="3"/>
  <c r="T74" i="3"/>
  <c r="T75" i="3"/>
  <c r="T76" i="3"/>
  <c r="T77" i="3"/>
  <c r="T78" i="3"/>
  <c r="T79" i="3"/>
  <c r="T80" i="3"/>
  <c r="T81" i="3"/>
  <c r="T82" i="3"/>
  <c r="T83" i="3"/>
  <c r="T84" i="3"/>
  <c r="T85" i="3"/>
  <c r="T86" i="3"/>
  <c r="T87" i="3"/>
  <c r="T88" i="3"/>
  <c r="T89" i="3"/>
  <c r="T90" i="3"/>
  <c r="T91" i="3"/>
  <c r="T92" i="3"/>
  <c r="T93" i="3"/>
  <c r="T94" i="3"/>
  <c r="T95" i="3"/>
  <c r="T96" i="3"/>
  <c r="T97" i="3"/>
  <c r="T98" i="3"/>
  <c r="T99" i="3"/>
  <c r="T100" i="3"/>
  <c r="T101" i="3"/>
  <c r="T102" i="3"/>
  <c r="T103" i="3"/>
  <c r="T104" i="3"/>
  <c r="T105" i="3"/>
  <c r="T106" i="3"/>
  <c r="T107" i="3"/>
  <c r="T108" i="3"/>
  <c r="T109" i="3"/>
  <c r="T110" i="3"/>
  <c r="T111" i="3"/>
  <c r="T112" i="3"/>
  <c r="T113" i="3"/>
  <c r="T114" i="3"/>
  <c r="T115" i="3"/>
  <c r="T116" i="3"/>
  <c r="T117" i="3"/>
  <c r="T118" i="3"/>
  <c r="T119" i="3"/>
  <c r="T120" i="3"/>
  <c r="T121" i="3"/>
  <c r="T122" i="3"/>
  <c r="T123" i="3"/>
  <c r="T124" i="3"/>
  <c r="T125" i="3"/>
  <c r="T126" i="3"/>
  <c r="T127" i="3"/>
  <c r="T128" i="3"/>
  <c r="T129" i="3"/>
  <c r="T130" i="3"/>
  <c r="T131" i="3"/>
  <c r="T132" i="3"/>
  <c r="T133" i="3"/>
  <c r="T134" i="3"/>
  <c r="T135" i="3"/>
  <c r="T136" i="3"/>
  <c r="T137" i="3"/>
  <c r="T138" i="3"/>
  <c r="T139" i="3"/>
  <c r="T140" i="3"/>
  <c r="T141" i="3"/>
  <c r="T142" i="3"/>
  <c r="T143" i="3"/>
  <c r="T144" i="3"/>
  <c r="T145" i="3"/>
  <c r="T146" i="3"/>
  <c r="T147" i="3"/>
  <c r="T148" i="3"/>
  <c r="T149" i="3"/>
  <c r="T150" i="3"/>
  <c r="T151" i="3"/>
  <c r="T152" i="3"/>
  <c r="T153" i="3"/>
  <c r="T154" i="3"/>
  <c r="T155" i="3"/>
  <c r="T156" i="3"/>
  <c r="T157" i="3"/>
  <c r="T158" i="3"/>
  <c r="T159" i="3"/>
  <c r="T160" i="3"/>
  <c r="T161" i="3"/>
  <c r="T162" i="3"/>
  <c r="T163" i="3"/>
  <c r="T164" i="3"/>
  <c r="T165" i="3"/>
  <c r="T166" i="3"/>
  <c r="T167" i="3"/>
  <c r="T168" i="3"/>
  <c r="T169" i="3"/>
  <c r="T170" i="3"/>
  <c r="T171" i="3"/>
  <c r="T172" i="3"/>
  <c r="T173" i="3"/>
  <c r="T174" i="3"/>
  <c r="T175" i="3"/>
  <c r="T176" i="3"/>
  <c r="T177" i="3"/>
  <c r="T178" i="3"/>
  <c r="T179" i="3"/>
  <c r="T180" i="3"/>
  <c r="T181" i="3"/>
  <c r="T182" i="3"/>
  <c r="T183" i="3"/>
  <c r="T184" i="3"/>
  <c r="T185" i="3"/>
  <c r="T186" i="3"/>
  <c r="T187" i="3"/>
  <c r="T188" i="3"/>
  <c r="T189" i="3"/>
  <c r="T190" i="3"/>
  <c r="T191" i="3"/>
  <c r="T192" i="3"/>
  <c r="T193" i="3"/>
  <c r="T194" i="3"/>
  <c r="T195" i="3"/>
  <c r="T196" i="3"/>
  <c r="T197" i="3"/>
  <c r="T198" i="3"/>
  <c r="T199" i="3"/>
  <c r="T200" i="3"/>
  <c r="T201" i="3"/>
  <c r="T202" i="3"/>
  <c r="T203" i="3"/>
  <c r="T204" i="3"/>
  <c r="T205" i="3"/>
  <c r="T206" i="3"/>
  <c r="T207" i="3"/>
  <c r="T208" i="3"/>
  <c r="T209" i="3"/>
  <c r="T210" i="3"/>
  <c r="T211" i="3"/>
  <c r="T212" i="3"/>
  <c r="T213" i="3"/>
  <c r="T214" i="3"/>
  <c r="T215" i="3"/>
  <c r="T216" i="3"/>
  <c r="T217" i="3"/>
  <c r="T218" i="3"/>
  <c r="T219" i="3"/>
  <c r="T220" i="3"/>
  <c r="T221" i="3"/>
  <c r="T222" i="3"/>
  <c r="T223" i="3"/>
  <c r="T224" i="3"/>
  <c r="T225" i="3"/>
  <c r="T226" i="3"/>
  <c r="T227" i="3"/>
  <c r="T228" i="3"/>
  <c r="T229" i="3"/>
  <c r="T230" i="3"/>
  <c r="T231" i="3"/>
  <c r="T232" i="3"/>
  <c r="T233" i="3"/>
  <c r="T234" i="3"/>
  <c r="T235" i="3"/>
  <c r="T236" i="3"/>
  <c r="T237" i="3"/>
  <c r="T238" i="3"/>
  <c r="T239" i="3"/>
  <c r="T240" i="3"/>
  <c r="T241" i="3"/>
  <c r="T242" i="3"/>
  <c r="T243" i="3"/>
  <c r="T244" i="3"/>
  <c r="T245" i="3"/>
  <c r="T246" i="3"/>
  <c r="T247" i="3"/>
  <c r="T248" i="3"/>
  <c r="T249" i="3"/>
  <c r="T250" i="3"/>
  <c r="T251" i="3"/>
  <c r="T252" i="3"/>
  <c r="T253" i="3"/>
  <c r="T254" i="3"/>
  <c r="T255" i="3"/>
  <c r="T256" i="3"/>
  <c r="T257" i="3"/>
  <c r="T258" i="3"/>
  <c r="T259" i="3"/>
  <c r="T260" i="3"/>
  <c r="T261" i="3"/>
  <c r="T262" i="3"/>
  <c r="T263" i="3"/>
  <c r="T264" i="3"/>
  <c r="T265" i="3"/>
  <c r="T266" i="3"/>
  <c r="T267" i="3"/>
  <c r="T268" i="3"/>
  <c r="T269" i="3"/>
  <c r="T270" i="3"/>
  <c r="T271" i="3"/>
  <c r="T272" i="3"/>
  <c r="T273" i="3"/>
  <c r="T274" i="3"/>
  <c r="T275" i="3"/>
  <c r="T276" i="3"/>
  <c r="T277" i="3"/>
  <c r="T278" i="3"/>
  <c r="T279" i="3"/>
  <c r="T280" i="3"/>
  <c r="T281" i="3"/>
  <c r="T282" i="3"/>
  <c r="T283" i="3"/>
  <c r="T284" i="3"/>
  <c r="T285" i="3"/>
  <c r="T286" i="3"/>
  <c r="T287" i="3"/>
  <c r="T288" i="3"/>
  <c r="T289" i="3"/>
  <c r="T290" i="3"/>
  <c r="T291" i="3"/>
  <c r="T292" i="3"/>
  <c r="T293" i="3"/>
  <c r="T294" i="3"/>
  <c r="T295" i="3"/>
  <c r="T296" i="3"/>
  <c r="T297" i="3"/>
  <c r="T298" i="3"/>
  <c r="T299" i="3"/>
  <c r="T300" i="3"/>
  <c r="T301" i="3"/>
  <c r="T302" i="3"/>
  <c r="T303" i="3"/>
  <c r="T304" i="3"/>
  <c r="T305" i="3"/>
  <c r="T306" i="3"/>
  <c r="T307" i="3"/>
  <c r="T308" i="3"/>
  <c r="T309" i="3"/>
  <c r="T310" i="3"/>
  <c r="T311" i="3"/>
  <c r="T312" i="3"/>
  <c r="T313" i="3"/>
  <c r="T314" i="3"/>
  <c r="T315" i="3"/>
  <c r="T316" i="3"/>
  <c r="T317" i="3"/>
  <c r="T318" i="3"/>
  <c r="T319" i="3"/>
  <c r="T320" i="3"/>
  <c r="T321" i="3"/>
  <c r="T322" i="3"/>
  <c r="T323" i="3"/>
  <c r="T324" i="3"/>
  <c r="T325" i="3"/>
  <c r="T326" i="3"/>
  <c r="T327" i="3"/>
  <c r="T328" i="3"/>
  <c r="T329" i="3"/>
  <c r="T330" i="3"/>
  <c r="T331" i="3"/>
  <c r="T332" i="3"/>
  <c r="T333" i="3"/>
  <c r="T334" i="3"/>
  <c r="T335" i="3"/>
  <c r="T336" i="3"/>
  <c r="T337" i="3"/>
  <c r="T338" i="3"/>
  <c r="T339" i="3"/>
  <c r="T340" i="3"/>
  <c r="T341" i="3"/>
  <c r="T342" i="3"/>
  <c r="T343" i="3"/>
  <c r="T344" i="3"/>
  <c r="T345" i="3"/>
  <c r="T346" i="3"/>
  <c r="T347" i="3"/>
  <c r="T348" i="3"/>
  <c r="T349" i="3"/>
  <c r="T350" i="3"/>
  <c r="T351" i="3"/>
  <c r="T352" i="3"/>
  <c r="T353" i="3"/>
  <c r="T354" i="3"/>
  <c r="T355" i="3"/>
  <c r="T356" i="3"/>
  <c r="T357" i="3"/>
  <c r="T358" i="3"/>
  <c r="T359" i="3"/>
  <c r="T360" i="3"/>
  <c r="T361" i="3"/>
  <c r="T362" i="3"/>
  <c r="T363" i="3"/>
  <c r="T364" i="3"/>
  <c r="T365" i="3"/>
  <c r="T366" i="3"/>
  <c r="T367" i="3"/>
  <c r="T368" i="3"/>
  <c r="T369" i="3"/>
  <c r="T370" i="3"/>
  <c r="T371" i="3"/>
  <c r="T372" i="3"/>
  <c r="T373" i="3"/>
  <c r="T374" i="3"/>
  <c r="T375" i="3"/>
  <c r="T376" i="3"/>
  <c r="T377" i="3"/>
  <c r="T378" i="3"/>
  <c r="T379" i="3"/>
  <c r="T380" i="3"/>
  <c r="T381" i="3"/>
  <c r="T382" i="3"/>
  <c r="T383" i="3"/>
  <c r="T384" i="3"/>
  <c r="T385" i="3"/>
  <c r="T386" i="3"/>
  <c r="T387" i="3"/>
  <c r="T388" i="3"/>
  <c r="T389" i="3"/>
  <c r="T390" i="3"/>
  <c r="T391" i="3"/>
  <c r="T392" i="3"/>
  <c r="T393" i="3"/>
  <c r="T394" i="3"/>
  <c r="T395" i="3"/>
  <c r="T396" i="3"/>
  <c r="T397" i="3"/>
  <c r="T398" i="3"/>
  <c r="T399" i="3"/>
  <c r="T400" i="3"/>
  <c r="T401" i="3"/>
  <c r="T402" i="3"/>
  <c r="T403" i="3"/>
  <c r="T404" i="3"/>
  <c r="T405" i="3"/>
  <c r="T406" i="3"/>
  <c r="T407" i="3"/>
  <c r="T408" i="3"/>
  <c r="T409" i="3"/>
  <c r="T410" i="3"/>
  <c r="T411" i="3"/>
  <c r="T412" i="3"/>
  <c r="T413" i="3"/>
  <c r="T414" i="3"/>
  <c r="T415" i="3"/>
  <c r="T416" i="3"/>
  <c r="T417" i="3"/>
  <c r="T418" i="3"/>
  <c r="T419" i="3"/>
  <c r="T420" i="3"/>
  <c r="T421" i="3"/>
  <c r="T422" i="3"/>
  <c r="T423" i="3"/>
  <c r="T424" i="3"/>
  <c r="T425" i="3"/>
  <c r="T426" i="3"/>
  <c r="T427" i="3"/>
  <c r="T428" i="3"/>
  <c r="T429" i="3"/>
  <c r="T430" i="3"/>
  <c r="T431" i="3"/>
  <c r="T432" i="3"/>
  <c r="T433" i="3"/>
  <c r="T434" i="3"/>
  <c r="T435" i="3"/>
  <c r="T436" i="3"/>
  <c r="T437" i="3"/>
  <c r="T438" i="3"/>
  <c r="T439" i="3"/>
  <c r="T440" i="3"/>
  <c r="T441" i="3"/>
  <c r="T442" i="3"/>
  <c r="T443" i="3"/>
  <c r="T444" i="3"/>
  <c r="T445" i="3"/>
  <c r="T446" i="3"/>
  <c r="T447" i="3"/>
  <c r="T448" i="3"/>
  <c r="T449" i="3"/>
  <c r="T450" i="3"/>
  <c r="T451" i="3"/>
  <c r="T452" i="3"/>
  <c r="T453" i="3"/>
  <c r="T454" i="3"/>
  <c r="T455" i="3"/>
  <c r="T456" i="3"/>
  <c r="T457" i="3"/>
  <c r="T458" i="3"/>
  <c r="T459" i="3"/>
  <c r="T460" i="3"/>
  <c r="T461" i="3"/>
  <c r="T462" i="3"/>
  <c r="T463" i="3"/>
  <c r="T464" i="3"/>
  <c r="T465" i="3"/>
  <c r="T466" i="3"/>
  <c r="T467" i="3"/>
  <c r="T468" i="3"/>
  <c r="T469" i="3"/>
  <c r="T470" i="3"/>
  <c r="T471" i="3"/>
  <c r="T472" i="3"/>
  <c r="T473" i="3"/>
  <c r="T474" i="3"/>
  <c r="T475" i="3"/>
  <c r="T476" i="3"/>
  <c r="T477" i="3"/>
  <c r="T478" i="3"/>
  <c r="T479" i="3"/>
  <c r="T480" i="3"/>
  <c r="T481" i="3"/>
  <c r="T482" i="3"/>
  <c r="T483" i="3"/>
  <c r="T484" i="3"/>
  <c r="T485" i="3"/>
  <c r="T486" i="3"/>
  <c r="T487" i="3"/>
  <c r="T488" i="3"/>
  <c r="T489" i="3"/>
  <c r="T490" i="3"/>
  <c r="T491" i="3"/>
  <c r="T492" i="3"/>
  <c r="T493" i="3"/>
  <c r="T494" i="3"/>
  <c r="T495" i="3"/>
  <c r="T496" i="3"/>
  <c r="T497" i="3"/>
  <c r="T498" i="3"/>
  <c r="T499" i="3"/>
  <c r="T500" i="3"/>
  <c r="T501" i="3"/>
  <c r="T502" i="3"/>
  <c r="T503" i="3"/>
  <c r="T504" i="3"/>
  <c r="T505" i="3"/>
  <c r="T506" i="3"/>
  <c r="T507" i="3"/>
  <c r="T508" i="3"/>
  <c r="T509" i="3"/>
  <c r="T510" i="3"/>
  <c r="T511" i="3"/>
  <c r="T512" i="3"/>
  <c r="T513" i="3"/>
  <c r="T514" i="3"/>
  <c r="T515" i="3"/>
  <c r="T516" i="3"/>
  <c r="T517" i="3"/>
  <c r="T518" i="3"/>
  <c r="T519" i="3"/>
  <c r="T520" i="3"/>
  <c r="T521" i="3"/>
  <c r="T522" i="3"/>
  <c r="T523" i="3"/>
  <c r="T524" i="3"/>
  <c r="T525" i="3"/>
  <c r="T526" i="3"/>
  <c r="T527" i="3"/>
  <c r="T528" i="3"/>
  <c r="T529" i="3"/>
  <c r="T530" i="3"/>
  <c r="T531" i="3"/>
  <c r="T532" i="3"/>
  <c r="T533" i="3"/>
  <c r="T534" i="3"/>
  <c r="T535" i="3"/>
  <c r="T536" i="3"/>
  <c r="T537" i="3"/>
  <c r="T538" i="3"/>
  <c r="T539" i="3"/>
  <c r="T540" i="3"/>
  <c r="T541" i="3"/>
  <c r="T542" i="3"/>
  <c r="T543" i="3"/>
  <c r="T544" i="3"/>
  <c r="T545" i="3"/>
  <c r="T546" i="3"/>
  <c r="T547" i="3"/>
  <c r="T548" i="3"/>
  <c r="T549" i="3"/>
  <c r="T550" i="3"/>
  <c r="T551" i="3"/>
  <c r="T552" i="3"/>
  <c r="T553" i="3"/>
  <c r="T554" i="3"/>
  <c r="T555" i="3"/>
  <c r="T556" i="3"/>
  <c r="T557" i="3"/>
  <c r="T558" i="3"/>
  <c r="T559" i="3"/>
  <c r="T560" i="3"/>
  <c r="T561" i="3"/>
  <c r="T562" i="3"/>
  <c r="T563" i="3"/>
  <c r="T564" i="3"/>
  <c r="T565" i="3"/>
  <c r="T566" i="3"/>
  <c r="T567" i="3"/>
  <c r="T568" i="3"/>
  <c r="T569" i="3"/>
  <c r="T570" i="3"/>
  <c r="T571" i="3"/>
  <c r="T572" i="3"/>
  <c r="T573" i="3"/>
  <c r="T574" i="3"/>
  <c r="T575" i="3"/>
  <c r="T576" i="3"/>
  <c r="T577" i="3"/>
  <c r="T578" i="3"/>
  <c r="T579" i="3"/>
  <c r="T580" i="3"/>
  <c r="T581" i="3"/>
  <c r="T582" i="3"/>
  <c r="T583" i="3"/>
  <c r="T584" i="3"/>
  <c r="T585" i="3"/>
  <c r="T586" i="3"/>
  <c r="T587" i="3"/>
  <c r="T588" i="3"/>
  <c r="T589" i="3"/>
  <c r="T590" i="3"/>
  <c r="T591" i="3"/>
  <c r="T592" i="3"/>
  <c r="T593" i="3"/>
  <c r="T594" i="3"/>
  <c r="T595" i="3"/>
  <c r="T596" i="3"/>
  <c r="T597" i="3"/>
  <c r="T598" i="3"/>
  <c r="T599" i="3"/>
  <c r="T600" i="3"/>
  <c r="T601" i="3"/>
  <c r="T602" i="3"/>
  <c r="T603" i="3"/>
  <c r="T604" i="3"/>
  <c r="T605" i="3"/>
  <c r="T606" i="3"/>
  <c r="T607" i="3"/>
  <c r="T608" i="3"/>
  <c r="T609" i="3"/>
  <c r="T610" i="3"/>
  <c r="T611" i="3"/>
  <c r="T612" i="3"/>
  <c r="T613" i="3"/>
  <c r="T614" i="3"/>
  <c r="T615" i="3"/>
  <c r="T616" i="3"/>
  <c r="T617" i="3"/>
  <c r="T618" i="3"/>
  <c r="T619" i="3"/>
  <c r="T620" i="3"/>
  <c r="T621" i="3"/>
  <c r="T622" i="3"/>
  <c r="T623" i="3"/>
  <c r="T624" i="3"/>
  <c r="T625" i="3"/>
  <c r="T626" i="3"/>
  <c r="T627" i="3"/>
  <c r="T628" i="3"/>
  <c r="T629" i="3"/>
  <c r="T630" i="3"/>
  <c r="T631" i="3"/>
  <c r="T632" i="3"/>
  <c r="T633" i="3"/>
  <c r="T634" i="3"/>
  <c r="T635" i="3"/>
  <c r="T636" i="3"/>
  <c r="T637" i="3"/>
  <c r="T638" i="3"/>
  <c r="T639" i="3"/>
  <c r="T640" i="3"/>
  <c r="T641" i="3"/>
  <c r="T642" i="3"/>
  <c r="T643" i="3"/>
  <c r="T644" i="3"/>
  <c r="T645" i="3"/>
  <c r="T646" i="3"/>
  <c r="T647" i="3"/>
  <c r="T648" i="3"/>
  <c r="T649" i="3"/>
  <c r="T650" i="3"/>
  <c r="T651" i="3"/>
  <c r="T652" i="3"/>
  <c r="T653" i="3"/>
  <c r="T654" i="3"/>
  <c r="T655" i="3"/>
  <c r="T656" i="3"/>
  <c r="T657" i="3"/>
  <c r="T658" i="3"/>
  <c r="T659" i="3"/>
  <c r="T660" i="3"/>
  <c r="T661" i="3"/>
  <c r="T662" i="3"/>
  <c r="T663" i="3"/>
  <c r="T664" i="3"/>
  <c r="T665" i="3"/>
  <c r="T666" i="3"/>
  <c r="T667" i="3"/>
  <c r="T668" i="3"/>
  <c r="T669" i="3"/>
  <c r="T670" i="3"/>
  <c r="T671" i="3"/>
  <c r="T672" i="3"/>
  <c r="T673" i="3"/>
  <c r="T674" i="3"/>
  <c r="T675" i="3"/>
  <c r="T676" i="3"/>
  <c r="T677" i="3"/>
  <c r="T678" i="3"/>
  <c r="T679" i="3"/>
  <c r="T680" i="3"/>
  <c r="T681" i="3"/>
  <c r="T682" i="3"/>
  <c r="T683" i="3"/>
  <c r="T684" i="3"/>
  <c r="T685" i="3"/>
  <c r="T686" i="3"/>
  <c r="T687" i="3"/>
  <c r="T688" i="3"/>
  <c r="T689" i="3"/>
  <c r="T690" i="3"/>
  <c r="T691" i="3"/>
  <c r="T692" i="3"/>
  <c r="T693" i="3"/>
  <c r="T694" i="3"/>
  <c r="T695" i="3"/>
  <c r="T696" i="3"/>
  <c r="T697" i="3"/>
  <c r="T698" i="3"/>
  <c r="T699" i="3"/>
  <c r="T700" i="3"/>
  <c r="T701" i="3"/>
  <c r="T702" i="3"/>
  <c r="T703" i="3"/>
  <c r="T704" i="3"/>
  <c r="T705" i="3"/>
  <c r="T706" i="3"/>
  <c r="T707" i="3"/>
  <c r="T708" i="3"/>
  <c r="T709" i="3"/>
  <c r="T710" i="3"/>
  <c r="T711" i="3"/>
  <c r="T712" i="3"/>
  <c r="T713" i="3"/>
  <c r="T714" i="3"/>
  <c r="T715" i="3"/>
  <c r="T716" i="3"/>
  <c r="T717" i="3"/>
  <c r="T718" i="3"/>
  <c r="T719" i="3"/>
  <c r="T720" i="3"/>
  <c r="T721" i="3"/>
  <c r="T722" i="3"/>
  <c r="T723" i="3"/>
  <c r="T724" i="3"/>
  <c r="T725" i="3"/>
  <c r="T726" i="3"/>
  <c r="T727" i="3"/>
  <c r="T728" i="3"/>
  <c r="T729" i="3"/>
  <c r="T730" i="3"/>
  <c r="T731" i="3"/>
  <c r="T732" i="3"/>
  <c r="T733" i="3"/>
  <c r="T734" i="3"/>
  <c r="T735" i="3"/>
  <c r="T736" i="3"/>
  <c r="T737" i="3"/>
  <c r="T738" i="3"/>
  <c r="T739" i="3"/>
  <c r="T740" i="3"/>
  <c r="T741" i="3"/>
  <c r="T742" i="3"/>
  <c r="T743" i="3"/>
  <c r="T744" i="3"/>
  <c r="T745" i="3"/>
  <c r="T746" i="3"/>
  <c r="T747" i="3"/>
  <c r="T748" i="3"/>
  <c r="T749" i="3"/>
  <c r="T750" i="3"/>
  <c r="T751" i="3"/>
  <c r="T752" i="3"/>
  <c r="T753" i="3"/>
  <c r="T754" i="3"/>
  <c r="T755" i="3"/>
  <c r="T756" i="3"/>
  <c r="T757" i="3"/>
  <c r="T758" i="3"/>
  <c r="T759" i="3"/>
  <c r="T760" i="3"/>
  <c r="T761" i="3"/>
  <c r="T762" i="3"/>
  <c r="T763" i="3"/>
  <c r="T764" i="3"/>
  <c r="T765" i="3"/>
  <c r="T766" i="3"/>
  <c r="T767" i="3"/>
  <c r="T768" i="3"/>
  <c r="T769" i="3"/>
  <c r="T770" i="3"/>
  <c r="T771" i="3"/>
  <c r="T772" i="3"/>
  <c r="T773" i="3"/>
  <c r="T774" i="3"/>
  <c r="T775" i="3"/>
  <c r="T776" i="3"/>
  <c r="T777" i="3"/>
  <c r="T778" i="3"/>
  <c r="T779" i="3"/>
  <c r="T780" i="3"/>
  <c r="T781" i="3"/>
  <c r="T782" i="3"/>
  <c r="T783" i="3"/>
  <c r="T784" i="3"/>
  <c r="T785" i="3"/>
  <c r="T786" i="3"/>
  <c r="T787" i="3"/>
  <c r="T788" i="3"/>
  <c r="T789" i="3"/>
  <c r="T790" i="3"/>
  <c r="T791" i="3"/>
  <c r="T792" i="3"/>
  <c r="T793" i="3"/>
  <c r="T794" i="3"/>
  <c r="T795" i="3"/>
  <c r="T796" i="3"/>
  <c r="T797" i="3"/>
  <c r="T798" i="3"/>
  <c r="T799" i="3"/>
  <c r="T800" i="3"/>
  <c r="T801" i="3"/>
  <c r="T802" i="3"/>
  <c r="T803" i="3"/>
  <c r="T804" i="3"/>
  <c r="T805" i="3"/>
  <c r="T806" i="3"/>
  <c r="T807" i="3"/>
  <c r="T808" i="3"/>
  <c r="T809" i="3"/>
  <c r="T810" i="3"/>
  <c r="T811" i="3"/>
  <c r="T812" i="3"/>
  <c r="T813" i="3"/>
  <c r="T814" i="3"/>
  <c r="T815" i="3"/>
  <c r="T816" i="3"/>
  <c r="T817" i="3"/>
  <c r="T818" i="3"/>
  <c r="T819" i="3"/>
  <c r="T820" i="3"/>
  <c r="T821" i="3"/>
  <c r="T822" i="3"/>
  <c r="T823" i="3"/>
  <c r="T824" i="3"/>
  <c r="T825" i="3"/>
  <c r="T826" i="3"/>
  <c r="T827" i="3"/>
  <c r="T828" i="3"/>
  <c r="T829" i="3"/>
  <c r="T830" i="3"/>
  <c r="T831" i="3"/>
  <c r="T832" i="3"/>
  <c r="T833" i="3"/>
  <c r="T834" i="3"/>
  <c r="T835" i="3"/>
  <c r="T836" i="3"/>
  <c r="T837" i="3"/>
  <c r="T838" i="3"/>
  <c r="T839" i="3"/>
  <c r="T840" i="3"/>
  <c r="T841" i="3"/>
  <c r="T842" i="3"/>
  <c r="T843" i="3"/>
  <c r="T844" i="3"/>
  <c r="T845" i="3"/>
  <c r="T846" i="3"/>
  <c r="T847" i="3"/>
  <c r="T848" i="3"/>
  <c r="T849" i="3"/>
  <c r="T850" i="3"/>
  <c r="T851" i="3"/>
  <c r="T852" i="3"/>
  <c r="T853" i="3"/>
  <c r="T854" i="3"/>
  <c r="T855" i="3"/>
  <c r="T856" i="3"/>
  <c r="T857" i="3"/>
  <c r="T858" i="3"/>
  <c r="T859" i="3"/>
  <c r="T860" i="3"/>
  <c r="T861" i="3"/>
  <c r="T862" i="3"/>
  <c r="T863" i="3"/>
  <c r="T864" i="3"/>
  <c r="T865" i="3"/>
  <c r="T866" i="3"/>
  <c r="T867" i="3"/>
  <c r="T868" i="3"/>
  <c r="T869" i="3"/>
  <c r="T870" i="3"/>
  <c r="T871" i="3"/>
  <c r="T872" i="3"/>
  <c r="T873" i="3"/>
  <c r="T874" i="3"/>
  <c r="T875" i="3"/>
  <c r="T876" i="3"/>
  <c r="T877" i="3"/>
  <c r="T878" i="3"/>
  <c r="T879" i="3"/>
  <c r="T880" i="3"/>
  <c r="T881" i="3"/>
  <c r="T882" i="3"/>
  <c r="T883" i="3"/>
  <c r="T884" i="3"/>
  <c r="T885" i="3"/>
  <c r="T886" i="3"/>
  <c r="T887" i="3"/>
  <c r="T888" i="3"/>
  <c r="T889" i="3"/>
  <c r="T890" i="3"/>
  <c r="T891" i="3"/>
  <c r="T892" i="3"/>
  <c r="T893" i="3"/>
  <c r="T894" i="3"/>
  <c r="T895" i="3"/>
  <c r="T896" i="3"/>
  <c r="T897" i="3"/>
  <c r="T898" i="3"/>
  <c r="T899" i="3"/>
  <c r="T900" i="3"/>
  <c r="T901" i="3"/>
  <c r="T902" i="3"/>
  <c r="T903" i="3"/>
  <c r="T904" i="3"/>
  <c r="T905" i="3"/>
  <c r="T906" i="3"/>
  <c r="T907" i="3"/>
  <c r="T908" i="3"/>
  <c r="T909" i="3"/>
  <c r="T910" i="3"/>
  <c r="T911" i="3"/>
  <c r="T912" i="3"/>
  <c r="T913" i="3"/>
  <c r="T914" i="3"/>
  <c r="T915" i="3"/>
  <c r="T916" i="3"/>
  <c r="T917" i="3"/>
  <c r="T918" i="3"/>
  <c r="T919" i="3"/>
  <c r="T920" i="3"/>
  <c r="T921" i="3"/>
  <c r="T922" i="3"/>
  <c r="T923" i="3"/>
  <c r="T924" i="3"/>
  <c r="T925" i="3"/>
  <c r="T926" i="3"/>
  <c r="T927" i="3"/>
  <c r="T928" i="3"/>
  <c r="T929" i="3"/>
  <c r="T930" i="3"/>
  <c r="T931" i="3"/>
  <c r="T932" i="3"/>
  <c r="T933" i="3"/>
  <c r="T934" i="3"/>
  <c r="T935" i="3"/>
  <c r="T936" i="3"/>
  <c r="T937" i="3"/>
  <c r="T938" i="3"/>
  <c r="T939" i="3"/>
  <c r="T940" i="3"/>
  <c r="T941" i="3"/>
  <c r="T942" i="3"/>
  <c r="T943" i="3"/>
  <c r="T944" i="3"/>
  <c r="T945" i="3"/>
  <c r="T946" i="3"/>
  <c r="T947" i="3"/>
  <c r="T948" i="3"/>
  <c r="T949" i="3"/>
  <c r="T950" i="3"/>
  <c r="T951" i="3"/>
  <c r="T952" i="3"/>
  <c r="T953" i="3"/>
  <c r="T954" i="3"/>
  <c r="T955" i="3"/>
  <c r="T956" i="3"/>
  <c r="T957" i="3"/>
  <c r="T958" i="3"/>
  <c r="T959" i="3"/>
  <c r="T960" i="3"/>
  <c r="T961" i="3"/>
  <c r="T962" i="3"/>
  <c r="T963" i="3"/>
  <c r="T964" i="3"/>
  <c r="T965" i="3"/>
  <c r="T966" i="3"/>
  <c r="T967" i="3"/>
  <c r="T968" i="3"/>
  <c r="T969" i="3"/>
  <c r="T970" i="3"/>
  <c r="T971" i="3"/>
  <c r="T972" i="3"/>
  <c r="T973" i="3"/>
  <c r="T974" i="3"/>
  <c r="T975" i="3"/>
  <c r="T976" i="3"/>
  <c r="T977" i="3"/>
  <c r="T978" i="3"/>
  <c r="T979" i="3"/>
  <c r="T980" i="3"/>
  <c r="T981" i="3"/>
  <c r="T982" i="3"/>
  <c r="T983" i="3"/>
  <c r="T984" i="3"/>
  <c r="T985" i="3"/>
  <c r="T986" i="3"/>
  <c r="T987" i="3"/>
  <c r="T988" i="3"/>
  <c r="T989" i="3"/>
  <c r="T990" i="3"/>
  <c r="T991" i="3"/>
  <c r="T992" i="3"/>
  <c r="T993" i="3"/>
  <c r="T994" i="3"/>
  <c r="T995" i="3"/>
  <c r="T996" i="3"/>
  <c r="T997" i="3"/>
  <c r="T998" i="3"/>
  <c r="T999" i="3"/>
  <c r="T1000" i="3"/>
  <c r="T1001" i="3"/>
  <c r="T1002" i="3"/>
  <c r="T1003" i="3"/>
  <c r="T1004" i="3"/>
  <c r="T1005" i="3"/>
  <c r="T1006" i="3"/>
  <c r="T1007" i="3"/>
  <c r="T1008" i="3"/>
  <c r="T1009" i="3"/>
  <c r="T1010" i="3"/>
  <c r="T1011" i="3"/>
  <c r="T1012" i="3"/>
  <c r="T1013" i="3"/>
  <c r="T1014" i="3"/>
  <c r="T1015" i="3"/>
  <c r="T1016" i="3"/>
  <c r="T1017" i="3"/>
  <c r="T1018" i="3"/>
  <c r="T1019" i="3"/>
  <c r="T1020" i="3"/>
  <c r="T1021" i="3"/>
  <c r="T1022" i="3"/>
  <c r="T1023" i="3"/>
  <c r="T1024" i="3"/>
  <c r="T1025" i="3"/>
  <c r="T1026" i="3"/>
  <c r="T1027" i="3"/>
  <c r="T1028" i="3"/>
  <c r="T1029" i="3"/>
  <c r="T1030" i="3"/>
  <c r="T1031" i="3"/>
  <c r="T1032" i="3"/>
  <c r="T1033" i="3"/>
  <c r="T1034" i="3"/>
  <c r="T1035" i="3"/>
  <c r="T1036" i="3"/>
  <c r="T1037" i="3"/>
  <c r="T1038" i="3"/>
  <c r="T1039" i="3"/>
  <c r="T1040" i="3"/>
  <c r="T1041" i="3"/>
  <c r="T1042" i="3"/>
  <c r="T1043" i="3"/>
  <c r="T1044" i="3"/>
  <c r="T1045" i="3"/>
  <c r="T1046" i="3"/>
  <c r="T1047" i="3"/>
  <c r="T1048" i="3"/>
  <c r="T1049" i="3"/>
  <c r="T1050" i="3"/>
  <c r="T1051" i="3"/>
  <c r="T1052" i="3"/>
  <c r="T1053" i="3"/>
  <c r="T1054" i="3"/>
  <c r="T1055" i="3"/>
  <c r="T1056" i="3"/>
  <c r="T1057" i="3"/>
  <c r="T1058" i="3"/>
  <c r="T1059" i="3"/>
  <c r="T1060" i="3"/>
  <c r="T1061" i="3"/>
  <c r="T1062" i="3"/>
  <c r="T1063" i="3"/>
  <c r="T1064" i="3"/>
  <c r="T1065" i="3"/>
  <c r="T1066" i="3"/>
  <c r="T1067" i="3"/>
  <c r="T1068" i="3"/>
  <c r="T1069" i="3"/>
  <c r="T1070" i="3"/>
  <c r="T1071" i="3"/>
  <c r="T1072" i="3"/>
  <c r="T1073" i="3"/>
  <c r="T1074" i="3"/>
  <c r="T1075" i="3"/>
  <c r="T1076" i="3"/>
  <c r="T1077" i="3"/>
  <c r="T1078" i="3"/>
  <c r="T1079" i="3"/>
  <c r="T1080" i="3"/>
  <c r="T1081" i="3"/>
  <c r="T1082" i="3"/>
  <c r="T1083" i="3"/>
  <c r="T1084" i="3"/>
  <c r="T1085" i="3"/>
  <c r="T1086" i="3"/>
  <c r="T1087" i="3"/>
  <c r="T1088" i="3"/>
  <c r="T1089" i="3"/>
  <c r="T1090" i="3"/>
  <c r="T1091" i="3"/>
  <c r="T1092" i="3"/>
  <c r="T1093" i="3"/>
  <c r="T1094" i="3"/>
  <c r="T1095" i="3"/>
  <c r="T1096" i="3"/>
  <c r="T1097" i="3"/>
  <c r="T1098" i="3"/>
  <c r="T1099" i="3"/>
  <c r="T1100" i="3"/>
  <c r="T1101" i="3"/>
  <c r="T1102" i="3"/>
  <c r="T1103" i="3"/>
  <c r="T1104" i="3"/>
  <c r="T1105" i="3"/>
  <c r="T1106" i="3"/>
  <c r="T1107" i="3"/>
  <c r="T1108" i="3"/>
  <c r="T1109" i="3"/>
  <c r="T1110" i="3"/>
  <c r="T1111" i="3"/>
  <c r="T1112" i="3"/>
  <c r="T1113" i="3"/>
  <c r="T1114" i="3"/>
  <c r="T1115" i="3"/>
  <c r="T1116" i="3"/>
  <c r="T1117" i="3"/>
  <c r="T1118" i="3"/>
  <c r="T1119" i="3"/>
  <c r="T1120" i="3"/>
  <c r="T1121" i="3"/>
  <c r="T1122" i="3"/>
  <c r="T1123" i="3"/>
  <c r="T1124" i="3"/>
  <c r="T1125" i="3"/>
  <c r="T1126" i="3"/>
  <c r="T1127" i="3"/>
  <c r="T1128" i="3"/>
  <c r="T1129" i="3"/>
  <c r="T1130" i="3"/>
  <c r="T1131" i="3"/>
  <c r="T1132" i="3"/>
  <c r="T1133" i="3"/>
  <c r="T1134" i="3"/>
  <c r="T1135" i="3"/>
  <c r="T1136" i="3"/>
  <c r="T1137" i="3"/>
  <c r="T1138" i="3"/>
  <c r="T1139" i="3"/>
  <c r="T1140" i="3"/>
  <c r="T1141" i="3"/>
  <c r="T1142" i="3"/>
  <c r="T1143" i="3"/>
  <c r="T1144" i="3"/>
  <c r="T1145" i="3"/>
  <c r="T1146" i="3"/>
  <c r="T1147" i="3"/>
  <c r="T1148" i="3"/>
  <c r="T1149" i="3"/>
  <c r="T1150" i="3"/>
  <c r="T1151" i="3"/>
  <c r="T1152" i="3"/>
  <c r="T1153" i="3"/>
  <c r="T1154" i="3"/>
  <c r="T1155" i="3"/>
  <c r="T1156" i="3"/>
  <c r="T1157" i="3"/>
  <c r="T1158" i="3"/>
  <c r="T1159" i="3"/>
  <c r="T1160" i="3"/>
  <c r="T1161" i="3"/>
  <c r="T1162" i="3"/>
  <c r="T1163" i="3"/>
  <c r="T1164" i="3"/>
  <c r="T1165" i="3"/>
  <c r="T1166" i="3"/>
  <c r="T1167" i="3"/>
  <c r="T1168" i="3"/>
  <c r="T1169" i="3"/>
  <c r="T1170" i="3"/>
  <c r="T2" i="3"/>
  <c r="S3" i="3"/>
  <c r="S4" i="3"/>
  <c r="S5" i="3"/>
  <c r="S6" i="3"/>
  <c r="S7" i="3"/>
  <c r="S8" i="3"/>
  <c r="S9" i="3"/>
  <c r="S10" i="3"/>
  <c r="S11" i="3"/>
  <c r="S12" i="3"/>
  <c r="S13" i="3"/>
  <c r="S14" i="3"/>
  <c r="S15" i="3"/>
  <c r="S16" i="3"/>
  <c r="S17" i="3"/>
  <c r="S18" i="3"/>
  <c r="S19" i="3"/>
  <c r="S20" i="3"/>
  <c r="S21" i="3"/>
  <c r="S22" i="3"/>
  <c r="S23" i="3"/>
  <c r="S24" i="3"/>
  <c r="S25" i="3"/>
  <c r="S26" i="3"/>
  <c r="S27" i="3"/>
  <c r="S28" i="3"/>
  <c r="S29" i="3"/>
  <c r="S30" i="3"/>
  <c r="S31" i="3"/>
  <c r="S32" i="3"/>
  <c r="S33" i="3"/>
  <c r="S34" i="3"/>
  <c r="S35" i="3"/>
  <c r="S36" i="3"/>
  <c r="S37" i="3"/>
  <c r="S38" i="3"/>
  <c r="S39" i="3"/>
  <c r="S40" i="3"/>
  <c r="S41" i="3"/>
  <c r="S42" i="3"/>
  <c r="S43" i="3"/>
  <c r="S44" i="3"/>
  <c r="S45" i="3"/>
  <c r="S46" i="3"/>
  <c r="S47" i="3"/>
  <c r="S48" i="3"/>
  <c r="S49" i="3"/>
  <c r="S50" i="3"/>
  <c r="S51" i="3"/>
  <c r="S52" i="3"/>
  <c r="S53" i="3"/>
  <c r="S54" i="3"/>
  <c r="S55" i="3"/>
  <c r="S56" i="3"/>
  <c r="S57" i="3"/>
  <c r="S58" i="3"/>
  <c r="S59" i="3"/>
  <c r="S60" i="3"/>
  <c r="S61" i="3"/>
  <c r="S62" i="3"/>
  <c r="S63" i="3"/>
  <c r="S64" i="3"/>
  <c r="S65" i="3"/>
  <c r="S66" i="3"/>
  <c r="S67" i="3"/>
  <c r="S68" i="3"/>
  <c r="S69" i="3"/>
  <c r="S70" i="3"/>
  <c r="S71" i="3"/>
  <c r="S72" i="3"/>
  <c r="S73" i="3"/>
  <c r="S74" i="3"/>
  <c r="S75" i="3"/>
  <c r="S76" i="3"/>
  <c r="S77" i="3"/>
  <c r="S78" i="3"/>
  <c r="S79" i="3"/>
  <c r="S80" i="3"/>
  <c r="S81" i="3"/>
  <c r="S82" i="3"/>
  <c r="S83" i="3"/>
  <c r="S84" i="3"/>
  <c r="S85" i="3"/>
  <c r="S86" i="3"/>
  <c r="S87" i="3"/>
  <c r="S88" i="3"/>
  <c r="S89" i="3"/>
  <c r="S90" i="3"/>
  <c r="S91" i="3"/>
  <c r="S92" i="3"/>
  <c r="S93" i="3"/>
  <c r="S94" i="3"/>
  <c r="S95" i="3"/>
  <c r="S96" i="3"/>
  <c r="S97" i="3"/>
  <c r="S98" i="3"/>
  <c r="S99" i="3"/>
  <c r="S100" i="3"/>
  <c r="S101" i="3"/>
  <c r="S102" i="3"/>
  <c r="S103" i="3"/>
  <c r="S104" i="3"/>
  <c r="S105" i="3"/>
  <c r="S106" i="3"/>
  <c r="S107" i="3"/>
  <c r="S108" i="3"/>
  <c r="S109" i="3"/>
  <c r="S110" i="3"/>
  <c r="S111" i="3"/>
  <c r="S112" i="3"/>
  <c r="S113" i="3"/>
  <c r="S114" i="3"/>
  <c r="S115" i="3"/>
  <c r="S116" i="3"/>
  <c r="S117" i="3"/>
  <c r="S118" i="3"/>
  <c r="S119" i="3"/>
  <c r="S120" i="3"/>
  <c r="S121" i="3"/>
  <c r="S122" i="3"/>
  <c r="S123" i="3"/>
  <c r="S124" i="3"/>
  <c r="S125" i="3"/>
  <c r="S126" i="3"/>
  <c r="S127" i="3"/>
  <c r="S128" i="3"/>
  <c r="S129" i="3"/>
  <c r="S130" i="3"/>
  <c r="S131" i="3"/>
  <c r="S132" i="3"/>
  <c r="S133" i="3"/>
  <c r="S134" i="3"/>
  <c r="S135" i="3"/>
  <c r="S136" i="3"/>
  <c r="S137" i="3"/>
  <c r="S138" i="3"/>
  <c r="S139" i="3"/>
  <c r="S140" i="3"/>
  <c r="S141" i="3"/>
  <c r="S142" i="3"/>
  <c r="S143" i="3"/>
  <c r="S144" i="3"/>
  <c r="S145" i="3"/>
  <c r="S146" i="3"/>
  <c r="S147" i="3"/>
  <c r="S148" i="3"/>
  <c r="S149" i="3"/>
  <c r="S150" i="3"/>
  <c r="S151" i="3"/>
  <c r="S152" i="3"/>
  <c r="S153" i="3"/>
  <c r="S154" i="3"/>
  <c r="S155" i="3"/>
  <c r="S156" i="3"/>
  <c r="S157" i="3"/>
  <c r="S158" i="3"/>
  <c r="S159" i="3"/>
  <c r="S160" i="3"/>
  <c r="S161" i="3"/>
  <c r="S162" i="3"/>
  <c r="S163" i="3"/>
  <c r="S164" i="3"/>
  <c r="S165" i="3"/>
  <c r="S166" i="3"/>
  <c r="S167" i="3"/>
  <c r="S168" i="3"/>
  <c r="S169" i="3"/>
  <c r="S170" i="3"/>
  <c r="S171" i="3"/>
  <c r="S172" i="3"/>
  <c r="S173" i="3"/>
  <c r="S174" i="3"/>
  <c r="S175" i="3"/>
  <c r="S176" i="3"/>
  <c r="S177" i="3"/>
  <c r="S178" i="3"/>
  <c r="S179" i="3"/>
  <c r="S180" i="3"/>
  <c r="S181" i="3"/>
  <c r="S182" i="3"/>
  <c r="S183" i="3"/>
  <c r="S184" i="3"/>
  <c r="S185" i="3"/>
  <c r="S186" i="3"/>
  <c r="S187" i="3"/>
  <c r="S188" i="3"/>
  <c r="S189" i="3"/>
  <c r="S190" i="3"/>
  <c r="S191" i="3"/>
  <c r="S192" i="3"/>
  <c r="S193" i="3"/>
  <c r="S194" i="3"/>
  <c r="S195" i="3"/>
  <c r="S196" i="3"/>
  <c r="S197" i="3"/>
  <c r="S198" i="3"/>
  <c r="S199" i="3"/>
  <c r="S200" i="3"/>
  <c r="S201" i="3"/>
  <c r="S202" i="3"/>
  <c r="S203" i="3"/>
  <c r="S204" i="3"/>
  <c r="S205" i="3"/>
  <c r="S206" i="3"/>
  <c r="S207" i="3"/>
  <c r="S208" i="3"/>
  <c r="S209" i="3"/>
  <c r="S210" i="3"/>
  <c r="S211" i="3"/>
  <c r="S212" i="3"/>
  <c r="S213" i="3"/>
  <c r="S214" i="3"/>
  <c r="S215" i="3"/>
  <c r="S216" i="3"/>
  <c r="S217" i="3"/>
  <c r="S218" i="3"/>
  <c r="S219" i="3"/>
  <c r="S220" i="3"/>
  <c r="S221" i="3"/>
  <c r="S222" i="3"/>
  <c r="S223" i="3"/>
  <c r="S224" i="3"/>
  <c r="S225" i="3"/>
  <c r="S226" i="3"/>
  <c r="S227" i="3"/>
  <c r="S228" i="3"/>
  <c r="S229" i="3"/>
  <c r="S230" i="3"/>
  <c r="S231" i="3"/>
  <c r="S232" i="3"/>
  <c r="S233" i="3"/>
  <c r="S234" i="3"/>
  <c r="S235" i="3"/>
  <c r="S236" i="3"/>
  <c r="S237" i="3"/>
  <c r="S238" i="3"/>
  <c r="S239" i="3"/>
  <c r="S240" i="3"/>
  <c r="S241" i="3"/>
  <c r="S242" i="3"/>
  <c r="S243" i="3"/>
  <c r="S244" i="3"/>
  <c r="S245" i="3"/>
  <c r="S246" i="3"/>
  <c r="S247" i="3"/>
  <c r="S248" i="3"/>
  <c r="S249" i="3"/>
  <c r="S250" i="3"/>
  <c r="S251" i="3"/>
  <c r="S252" i="3"/>
  <c r="S253" i="3"/>
  <c r="S254" i="3"/>
  <c r="S255" i="3"/>
  <c r="S256" i="3"/>
  <c r="S257" i="3"/>
  <c r="S258" i="3"/>
  <c r="S259" i="3"/>
  <c r="S260" i="3"/>
  <c r="S261" i="3"/>
  <c r="S262" i="3"/>
  <c r="S263" i="3"/>
  <c r="S264" i="3"/>
  <c r="S265" i="3"/>
  <c r="S266" i="3"/>
  <c r="S267" i="3"/>
  <c r="S268" i="3"/>
  <c r="S269" i="3"/>
  <c r="S270" i="3"/>
  <c r="S271" i="3"/>
  <c r="S272" i="3"/>
  <c r="S273" i="3"/>
  <c r="S274" i="3"/>
  <c r="S275" i="3"/>
  <c r="S276" i="3"/>
  <c r="S277" i="3"/>
  <c r="S278" i="3"/>
  <c r="S279" i="3"/>
  <c r="S280" i="3"/>
  <c r="S281" i="3"/>
  <c r="S282" i="3"/>
  <c r="S283" i="3"/>
  <c r="S284" i="3"/>
  <c r="S285" i="3"/>
  <c r="S286" i="3"/>
  <c r="S287" i="3"/>
  <c r="S288" i="3"/>
  <c r="S289" i="3"/>
  <c r="S290" i="3"/>
  <c r="S291" i="3"/>
  <c r="S292" i="3"/>
  <c r="S293" i="3"/>
  <c r="S294" i="3"/>
  <c r="S295" i="3"/>
  <c r="S296" i="3"/>
  <c r="S297" i="3"/>
  <c r="S298" i="3"/>
  <c r="S299" i="3"/>
  <c r="S300" i="3"/>
  <c r="S301" i="3"/>
  <c r="S302" i="3"/>
  <c r="S303" i="3"/>
  <c r="S304" i="3"/>
  <c r="S305" i="3"/>
  <c r="S306" i="3"/>
  <c r="S307" i="3"/>
  <c r="S308" i="3"/>
  <c r="S309" i="3"/>
  <c r="S310" i="3"/>
  <c r="S311" i="3"/>
  <c r="S312" i="3"/>
  <c r="S313" i="3"/>
  <c r="S314" i="3"/>
  <c r="S315" i="3"/>
  <c r="S316" i="3"/>
  <c r="S317" i="3"/>
  <c r="S318" i="3"/>
  <c r="S319" i="3"/>
  <c r="S320" i="3"/>
  <c r="S321" i="3"/>
  <c r="S322" i="3"/>
  <c r="S323" i="3"/>
  <c r="S324" i="3"/>
  <c r="S325" i="3"/>
  <c r="S326" i="3"/>
  <c r="S327" i="3"/>
  <c r="S328" i="3"/>
  <c r="S329" i="3"/>
  <c r="S330" i="3"/>
  <c r="S331" i="3"/>
  <c r="S332" i="3"/>
  <c r="S333" i="3"/>
  <c r="S334" i="3"/>
  <c r="S335" i="3"/>
  <c r="S336" i="3"/>
  <c r="S337" i="3"/>
  <c r="S338" i="3"/>
  <c r="S339" i="3"/>
  <c r="S340" i="3"/>
  <c r="S341" i="3"/>
  <c r="S342" i="3"/>
  <c r="S343" i="3"/>
  <c r="S344" i="3"/>
  <c r="S345" i="3"/>
  <c r="S346" i="3"/>
  <c r="S347" i="3"/>
  <c r="S348" i="3"/>
  <c r="S349" i="3"/>
  <c r="S350" i="3"/>
  <c r="S351" i="3"/>
  <c r="S352" i="3"/>
  <c r="S353" i="3"/>
  <c r="S354" i="3"/>
  <c r="S355" i="3"/>
  <c r="S356" i="3"/>
  <c r="S357" i="3"/>
  <c r="S358" i="3"/>
  <c r="S359" i="3"/>
  <c r="S360" i="3"/>
  <c r="S361" i="3"/>
  <c r="S362" i="3"/>
  <c r="S363" i="3"/>
  <c r="S364" i="3"/>
  <c r="S365" i="3"/>
  <c r="S366" i="3"/>
  <c r="S367" i="3"/>
  <c r="S368" i="3"/>
  <c r="S369" i="3"/>
  <c r="S370" i="3"/>
  <c r="S371" i="3"/>
  <c r="S372" i="3"/>
  <c r="S373" i="3"/>
  <c r="S374" i="3"/>
  <c r="S375" i="3"/>
  <c r="S376" i="3"/>
  <c r="S377" i="3"/>
  <c r="S378" i="3"/>
  <c r="S379" i="3"/>
  <c r="S380" i="3"/>
  <c r="S381" i="3"/>
  <c r="S382" i="3"/>
  <c r="S383" i="3"/>
  <c r="S384" i="3"/>
  <c r="S385" i="3"/>
  <c r="S386" i="3"/>
  <c r="S387" i="3"/>
  <c r="S388" i="3"/>
  <c r="S389" i="3"/>
  <c r="S390" i="3"/>
  <c r="S391" i="3"/>
  <c r="S392" i="3"/>
  <c r="S393" i="3"/>
  <c r="S394" i="3"/>
  <c r="S395" i="3"/>
  <c r="S396" i="3"/>
  <c r="S397" i="3"/>
  <c r="S398" i="3"/>
  <c r="S399" i="3"/>
  <c r="S400" i="3"/>
  <c r="S401" i="3"/>
  <c r="S402" i="3"/>
  <c r="S403" i="3"/>
  <c r="S404" i="3"/>
  <c r="S405" i="3"/>
  <c r="S406" i="3"/>
  <c r="S407" i="3"/>
  <c r="S408" i="3"/>
  <c r="S409" i="3"/>
  <c r="S410" i="3"/>
  <c r="S411" i="3"/>
  <c r="S412" i="3"/>
  <c r="S413" i="3"/>
  <c r="S414" i="3"/>
  <c r="S415" i="3"/>
  <c r="S416" i="3"/>
  <c r="S417" i="3"/>
  <c r="S418" i="3"/>
  <c r="S419" i="3"/>
  <c r="S420" i="3"/>
  <c r="S421" i="3"/>
  <c r="S422" i="3"/>
  <c r="S423" i="3"/>
  <c r="S424" i="3"/>
  <c r="S425" i="3"/>
  <c r="S426" i="3"/>
  <c r="S427" i="3"/>
  <c r="S428" i="3"/>
  <c r="S429" i="3"/>
  <c r="S430" i="3"/>
  <c r="S431" i="3"/>
  <c r="S432" i="3"/>
  <c r="S433" i="3"/>
  <c r="S434" i="3"/>
  <c r="S435" i="3"/>
  <c r="S436" i="3"/>
  <c r="S437" i="3"/>
  <c r="S438" i="3"/>
  <c r="S439" i="3"/>
  <c r="S440" i="3"/>
  <c r="S441" i="3"/>
  <c r="S442" i="3"/>
  <c r="S443" i="3"/>
  <c r="S444" i="3"/>
  <c r="S445" i="3"/>
  <c r="S446" i="3"/>
  <c r="S447" i="3"/>
  <c r="S448" i="3"/>
  <c r="S449" i="3"/>
  <c r="S450" i="3"/>
  <c r="S451" i="3"/>
  <c r="S452" i="3"/>
  <c r="S453" i="3"/>
  <c r="S454" i="3"/>
  <c r="S455" i="3"/>
  <c r="S456" i="3"/>
  <c r="S457" i="3"/>
  <c r="S458" i="3"/>
  <c r="S459" i="3"/>
  <c r="S460" i="3"/>
  <c r="S461" i="3"/>
  <c r="S462" i="3"/>
  <c r="S463" i="3"/>
  <c r="S464" i="3"/>
  <c r="S465" i="3"/>
  <c r="S466" i="3"/>
  <c r="S467" i="3"/>
  <c r="S468" i="3"/>
  <c r="S469" i="3"/>
  <c r="S470" i="3"/>
  <c r="S471" i="3"/>
  <c r="S472" i="3"/>
  <c r="S473" i="3"/>
  <c r="S474" i="3"/>
  <c r="S475" i="3"/>
  <c r="S476" i="3"/>
  <c r="S477" i="3"/>
  <c r="S478" i="3"/>
  <c r="S479" i="3"/>
  <c r="S480" i="3"/>
  <c r="S481" i="3"/>
  <c r="S482" i="3"/>
  <c r="S483" i="3"/>
  <c r="S484" i="3"/>
  <c r="S485" i="3"/>
  <c r="S486" i="3"/>
  <c r="S487" i="3"/>
  <c r="S488" i="3"/>
  <c r="S489" i="3"/>
  <c r="S490" i="3"/>
  <c r="S491" i="3"/>
  <c r="S492" i="3"/>
  <c r="S493" i="3"/>
  <c r="S494" i="3"/>
  <c r="S495" i="3"/>
  <c r="S496" i="3"/>
  <c r="S497" i="3"/>
  <c r="S498" i="3"/>
  <c r="S499" i="3"/>
  <c r="S500" i="3"/>
  <c r="S501" i="3"/>
  <c r="S502" i="3"/>
  <c r="S503" i="3"/>
  <c r="S504" i="3"/>
  <c r="S505" i="3"/>
  <c r="S506" i="3"/>
  <c r="S507" i="3"/>
  <c r="S508" i="3"/>
  <c r="S509" i="3"/>
  <c r="S510" i="3"/>
  <c r="S511" i="3"/>
  <c r="S512" i="3"/>
  <c r="S513" i="3"/>
  <c r="S514" i="3"/>
  <c r="S515" i="3"/>
  <c r="S516" i="3"/>
  <c r="S517" i="3"/>
  <c r="S518" i="3"/>
  <c r="S519" i="3"/>
  <c r="S520" i="3"/>
  <c r="S521" i="3"/>
  <c r="S522" i="3"/>
  <c r="S523" i="3"/>
  <c r="S524" i="3"/>
  <c r="S525" i="3"/>
  <c r="S526" i="3"/>
  <c r="S527" i="3"/>
  <c r="S528" i="3"/>
  <c r="S529" i="3"/>
  <c r="S530" i="3"/>
  <c r="S531" i="3"/>
  <c r="S532" i="3"/>
  <c r="S533" i="3"/>
  <c r="S534" i="3"/>
  <c r="S535" i="3"/>
  <c r="S536" i="3"/>
  <c r="S537" i="3"/>
  <c r="S538" i="3"/>
  <c r="S539" i="3"/>
  <c r="S540" i="3"/>
  <c r="S541" i="3"/>
  <c r="S542" i="3"/>
  <c r="S543" i="3"/>
  <c r="S544" i="3"/>
  <c r="S545" i="3"/>
  <c r="S546" i="3"/>
  <c r="S547" i="3"/>
  <c r="S548" i="3"/>
  <c r="S549" i="3"/>
  <c r="S550" i="3"/>
  <c r="S551" i="3"/>
  <c r="S552" i="3"/>
  <c r="S553" i="3"/>
  <c r="S554" i="3"/>
  <c r="S555" i="3"/>
  <c r="S556" i="3"/>
  <c r="S557" i="3"/>
  <c r="S558" i="3"/>
  <c r="S559" i="3"/>
  <c r="S560" i="3"/>
  <c r="S561" i="3"/>
  <c r="S562" i="3"/>
  <c r="S563" i="3"/>
  <c r="S564" i="3"/>
  <c r="S565" i="3"/>
  <c r="S566" i="3"/>
  <c r="S567" i="3"/>
  <c r="S568" i="3"/>
  <c r="S569" i="3"/>
  <c r="S570" i="3"/>
  <c r="S571" i="3"/>
  <c r="S572" i="3"/>
  <c r="S573" i="3"/>
  <c r="S574" i="3"/>
  <c r="S575" i="3"/>
  <c r="S576" i="3"/>
  <c r="S577" i="3"/>
  <c r="S578" i="3"/>
  <c r="S579" i="3"/>
  <c r="S580" i="3"/>
  <c r="S581" i="3"/>
  <c r="S582" i="3"/>
  <c r="S583" i="3"/>
  <c r="S584" i="3"/>
  <c r="S585" i="3"/>
  <c r="S586" i="3"/>
  <c r="S587" i="3"/>
  <c r="S588" i="3"/>
  <c r="S589" i="3"/>
  <c r="S590" i="3"/>
  <c r="S591" i="3"/>
  <c r="S592" i="3"/>
  <c r="S593" i="3"/>
  <c r="S594" i="3"/>
  <c r="S595" i="3"/>
  <c r="S596" i="3"/>
  <c r="S597" i="3"/>
  <c r="S598" i="3"/>
  <c r="S599" i="3"/>
  <c r="S600" i="3"/>
  <c r="S601" i="3"/>
  <c r="S602" i="3"/>
  <c r="S603" i="3"/>
  <c r="S604" i="3"/>
  <c r="S605" i="3"/>
  <c r="S606" i="3"/>
  <c r="S607" i="3"/>
  <c r="S608" i="3"/>
  <c r="S609" i="3"/>
  <c r="S610" i="3"/>
  <c r="S611" i="3"/>
  <c r="S612" i="3"/>
  <c r="S613" i="3"/>
  <c r="S614" i="3"/>
  <c r="S615" i="3"/>
  <c r="S616" i="3"/>
  <c r="S617" i="3"/>
  <c r="S618" i="3"/>
  <c r="S619" i="3"/>
  <c r="S620" i="3"/>
  <c r="S621" i="3"/>
  <c r="S622" i="3"/>
  <c r="S623" i="3"/>
  <c r="S624" i="3"/>
  <c r="S625" i="3"/>
  <c r="S626" i="3"/>
  <c r="S627" i="3"/>
  <c r="S628" i="3"/>
  <c r="S629" i="3"/>
  <c r="S630" i="3"/>
  <c r="S631" i="3"/>
  <c r="S632" i="3"/>
  <c r="S633" i="3"/>
  <c r="S634" i="3"/>
  <c r="S635" i="3"/>
  <c r="S636" i="3"/>
  <c r="S637" i="3"/>
  <c r="S638" i="3"/>
  <c r="S639" i="3"/>
  <c r="S640" i="3"/>
  <c r="S641" i="3"/>
  <c r="S642" i="3"/>
  <c r="S643" i="3"/>
  <c r="S644" i="3"/>
  <c r="S645" i="3"/>
  <c r="S646" i="3"/>
  <c r="S647" i="3"/>
  <c r="S648" i="3"/>
  <c r="S649" i="3"/>
  <c r="S650" i="3"/>
  <c r="S651" i="3"/>
  <c r="S652" i="3"/>
  <c r="S653" i="3"/>
  <c r="S654" i="3"/>
  <c r="S655" i="3"/>
  <c r="S656" i="3"/>
  <c r="S657" i="3"/>
  <c r="S658" i="3"/>
  <c r="S659" i="3"/>
  <c r="S660" i="3"/>
  <c r="S661" i="3"/>
  <c r="S662" i="3"/>
  <c r="S663" i="3"/>
  <c r="S664" i="3"/>
  <c r="S665" i="3"/>
  <c r="S666" i="3"/>
  <c r="S667" i="3"/>
  <c r="S668" i="3"/>
  <c r="S669" i="3"/>
  <c r="S670" i="3"/>
  <c r="S671" i="3"/>
  <c r="S672" i="3"/>
  <c r="S673" i="3"/>
  <c r="S674" i="3"/>
  <c r="S675" i="3"/>
  <c r="S676" i="3"/>
  <c r="S677" i="3"/>
  <c r="S678" i="3"/>
  <c r="S679" i="3"/>
  <c r="S680" i="3"/>
  <c r="S681" i="3"/>
  <c r="S682" i="3"/>
  <c r="S683" i="3"/>
  <c r="S684" i="3"/>
  <c r="S685" i="3"/>
  <c r="S686" i="3"/>
  <c r="S687" i="3"/>
  <c r="S688" i="3"/>
  <c r="S689" i="3"/>
  <c r="S690" i="3"/>
  <c r="S691" i="3"/>
  <c r="S692" i="3"/>
  <c r="S693" i="3"/>
  <c r="S694" i="3"/>
  <c r="S695" i="3"/>
  <c r="S696" i="3"/>
  <c r="S697" i="3"/>
  <c r="S698" i="3"/>
  <c r="S699" i="3"/>
  <c r="S700" i="3"/>
  <c r="S701" i="3"/>
  <c r="S702" i="3"/>
  <c r="S703" i="3"/>
  <c r="S704" i="3"/>
  <c r="S705" i="3"/>
  <c r="S706" i="3"/>
  <c r="S707" i="3"/>
  <c r="S708" i="3"/>
  <c r="S709" i="3"/>
  <c r="S710" i="3"/>
  <c r="S711" i="3"/>
  <c r="S712" i="3"/>
  <c r="S713" i="3"/>
  <c r="S714" i="3"/>
  <c r="S715" i="3"/>
  <c r="S716" i="3"/>
  <c r="S717" i="3"/>
  <c r="S718" i="3"/>
  <c r="S719" i="3"/>
  <c r="S720" i="3"/>
  <c r="S721" i="3"/>
  <c r="S722" i="3"/>
  <c r="S723" i="3"/>
  <c r="S724" i="3"/>
  <c r="S725" i="3"/>
  <c r="S726" i="3"/>
  <c r="S727" i="3"/>
  <c r="S728" i="3"/>
  <c r="S729" i="3"/>
  <c r="S730" i="3"/>
  <c r="S731" i="3"/>
  <c r="S732" i="3"/>
  <c r="S733" i="3"/>
  <c r="S734" i="3"/>
  <c r="S735" i="3"/>
  <c r="S736" i="3"/>
  <c r="S737" i="3"/>
  <c r="S738" i="3"/>
  <c r="S739" i="3"/>
  <c r="S740" i="3"/>
  <c r="S741" i="3"/>
  <c r="S742" i="3"/>
  <c r="S743" i="3"/>
  <c r="S744" i="3"/>
  <c r="S745" i="3"/>
  <c r="S746" i="3"/>
  <c r="S747" i="3"/>
  <c r="S748" i="3"/>
  <c r="S749" i="3"/>
  <c r="S750" i="3"/>
  <c r="S751" i="3"/>
  <c r="S752" i="3"/>
  <c r="S753" i="3"/>
  <c r="S754" i="3"/>
  <c r="S755" i="3"/>
  <c r="S756" i="3"/>
  <c r="S757" i="3"/>
  <c r="S758" i="3"/>
  <c r="S759" i="3"/>
  <c r="S760" i="3"/>
  <c r="S761" i="3"/>
  <c r="S762" i="3"/>
  <c r="S763" i="3"/>
  <c r="S764" i="3"/>
  <c r="S765" i="3"/>
  <c r="S766" i="3"/>
  <c r="S767" i="3"/>
  <c r="S768" i="3"/>
  <c r="S769" i="3"/>
  <c r="S770" i="3"/>
  <c r="S771" i="3"/>
  <c r="S772" i="3"/>
  <c r="S773" i="3"/>
  <c r="S774" i="3"/>
  <c r="S775" i="3"/>
  <c r="S776" i="3"/>
  <c r="S777" i="3"/>
  <c r="S778" i="3"/>
  <c r="S779" i="3"/>
  <c r="S780" i="3"/>
  <c r="S781" i="3"/>
  <c r="S782" i="3"/>
  <c r="S783" i="3"/>
  <c r="S784" i="3"/>
  <c r="S785" i="3"/>
  <c r="S786" i="3"/>
  <c r="S787" i="3"/>
  <c r="S788" i="3"/>
  <c r="S789" i="3"/>
  <c r="S790" i="3"/>
  <c r="S791" i="3"/>
  <c r="S792" i="3"/>
  <c r="S793" i="3"/>
  <c r="S794" i="3"/>
  <c r="S795" i="3"/>
  <c r="S796" i="3"/>
  <c r="S797" i="3"/>
  <c r="S798" i="3"/>
  <c r="S799" i="3"/>
  <c r="S800" i="3"/>
  <c r="S801" i="3"/>
  <c r="S802" i="3"/>
  <c r="S803" i="3"/>
  <c r="S804" i="3"/>
  <c r="S805" i="3"/>
  <c r="S806" i="3"/>
  <c r="S807" i="3"/>
  <c r="S808" i="3"/>
  <c r="S809" i="3"/>
  <c r="S810" i="3"/>
  <c r="S811" i="3"/>
  <c r="S812" i="3"/>
  <c r="S813" i="3"/>
  <c r="S814" i="3"/>
  <c r="S815" i="3"/>
  <c r="S816" i="3"/>
  <c r="S817" i="3"/>
  <c r="S818" i="3"/>
  <c r="S819" i="3"/>
  <c r="S820" i="3"/>
  <c r="S821" i="3"/>
  <c r="S822" i="3"/>
  <c r="S823" i="3"/>
  <c r="S824" i="3"/>
  <c r="S825" i="3"/>
  <c r="S826" i="3"/>
  <c r="S827" i="3"/>
  <c r="S828" i="3"/>
  <c r="S829" i="3"/>
  <c r="S830" i="3"/>
  <c r="S831" i="3"/>
  <c r="S832" i="3"/>
  <c r="S833" i="3"/>
  <c r="S834" i="3"/>
  <c r="S835" i="3"/>
  <c r="S836" i="3"/>
  <c r="S837" i="3"/>
  <c r="S838" i="3"/>
  <c r="S839" i="3"/>
  <c r="S840" i="3"/>
  <c r="S841" i="3"/>
  <c r="S842" i="3"/>
  <c r="S843" i="3"/>
  <c r="S844" i="3"/>
  <c r="S845" i="3"/>
  <c r="S846" i="3"/>
  <c r="S847" i="3"/>
  <c r="S848" i="3"/>
  <c r="S849" i="3"/>
  <c r="S850" i="3"/>
  <c r="S851" i="3"/>
  <c r="S852" i="3"/>
  <c r="S853" i="3"/>
  <c r="S854" i="3"/>
  <c r="S855" i="3"/>
  <c r="S856" i="3"/>
  <c r="S857" i="3"/>
  <c r="S858" i="3"/>
  <c r="S859" i="3"/>
  <c r="S860" i="3"/>
  <c r="S861" i="3"/>
  <c r="S862" i="3"/>
  <c r="S863" i="3"/>
  <c r="S864" i="3"/>
  <c r="S865" i="3"/>
  <c r="S866" i="3"/>
  <c r="S867" i="3"/>
  <c r="S868" i="3"/>
  <c r="S869" i="3"/>
  <c r="S870" i="3"/>
  <c r="S871" i="3"/>
  <c r="S872" i="3"/>
  <c r="S873" i="3"/>
  <c r="S874" i="3"/>
  <c r="S875" i="3"/>
  <c r="S876" i="3"/>
  <c r="S877" i="3"/>
  <c r="S878" i="3"/>
  <c r="S879" i="3"/>
  <c r="S880" i="3"/>
  <c r="S881" i="3"/>
  <c r="S882" i="3"/>
  <c r="S883" i="3"/>
  <c r="S884" i="3"/>
  <c r="S885" i="3"/>
  <c r="S886" i="3"/>
  <c r="S887" i="3"/>
  <c r="S888" i="3"/>
  <c r="S889" i="3"/>
  <c r="S890" i="3"/>
  <c r="S891" i="3"/>
  <c r="S892" i="3"/>
  <c r="S893" i="3"/>
  <c r="S894" i="3"/>
  <c r="S895" i="3"/>
  <c r="S896" i="3"/>
  <c r="S897" i="3"/>
  <c r="S898" i="3"/>
  <c r="S899" i="3"/>
  <c r="S900" i="3"/>
  <c r="S901" i="3"/>
  <c r="S902" i="3"/>
  <c r="S903" i="3"/>
  <c r="S904" i="3"/>
  <c r="S905" i="3"/>
  <c r="S906" i="3"/>
  <c r="S907" i="3"/>
  <c r="S908" i="3"/>
  <c r="S909" i="3"/>
  <c r="S910" i="3"/>
  <c r="S911" i="3"/>
  <c r="S912" i="3"/>
  <c r="S913" i="3"/>
  <c r="S914" i="3"/>
  <c r="S915" i="3"/>
  <c r="S916" i="3"/>
  <c r="S917" i="3"/>
  <c r="S918" i="3"/>
  <c r="S919" i="3"/>
  <c r="S920" i="3"/>
  <c r="S921" i="3"/>
  <c r="S922" i="3"/>
  <c r="S923" i="3"/>
  <c r="S924" i="3"/>
  <c r="S925" i="3"/>
  <c r="S926" i="3"/>
  <c r="S927" i="3"/>
  <c r="S928" i="3"/>
  <c r="S929" i="3"/>
  <c r="S930" i="3"/>
  <c r="S931" i="3"/>
  <c r="S932" i="3"/>
  <c r="S933" i="3"/>
  <c r="S934" i="3"/>
  <c r="S935" i="3"/>
  <c r="S936" i="3"/>
  <c r="S937" i="3"/>
  <c r="S938" i="3"/>
  <c r="S939" i="3"/>
  <c r="S940" i="3"/>
  <c r="S941" i="3"/>
  <c r="S942" i="3"/>
  <c r="S943" i="3"/>
  <c r="S944" i="3"/>
  <c r="S945" i="3"/>
  <c r="S946" i="3"/>
  <c r="S947" i="3"/>
  <c r="S948" i="3"/>
  <c r="S949" i="3"/>
  <c r="S950" i="3"/>
  <c r="S951" i="3"/>
  <c r="S952" i="3"/>
  <c r="S953" i="3"/>
  <c r="S954" i="3"/>
  <c r="S955" i="3"/>
  <c r="S956" i="3"/>
  <c r="S957" i="3"/>
  <c r="S958" i="3"/>
  <c r="S959" i="3"/>
  <c r="S960" i="3"/>
  <c r="S961" i="3"/>
  <c r="S962" i="3"/>
  <c r="S963" i="3"/>
  <c r="S964" i="3"/>
  <c r="S965" i="3"/>
  <c r="S966" i="3"/>
  <c r="S967" i="3"/>
  <c r="S968" i="3"/>
  <c r="S969" i="3"/>
  <c r="S970" i="3"/>
  <c r="S971" i="3"/>
  <c r="S972" i="3"/>
  <c r="S973" i="3"/>
  <c r="S974" i="3"/>
  <c r="S975" i="3"/>
  <c r="S976" i="3"/>
  <c r="S977" i="3"/>
  <c r="S978" i="3"/>
  <c r="S979" i="3"/>
  <c r="S980" i="3"/>
  <c r="S981" i="3"/>
  <c r="S982" i="3"/>
  <c r="S983" i="3"/>
  <c r="S984" i="3"/>
  <c r="S985" i="3"/>
  <c r="S986" i="3"/>
  <c r="S987" i="3"/>
  <c r="S988" i="3"/>
  <c r="S989" i="3"/>
  <c r="S990" i="3"/>
  <c r="S991" i="3"/>
  <c r="S992" i="3"/>
  <c r="S993" i="3"/>
  <c r="S994" i="3"/>
  <c r="S995" i="3"/>
  <c r="S996" i="3"/>
  <c r="S997" i="3"/>
  <c r="S998" i="3"/>
  <c r="S999" i="3"/>
  <c r="S1000" i="3"/>
  <c r="S1001" i="3"/>
  <c r="S1002" i="3"/>
  <c r="S1003" i="3"/>
  <c r="S1004" i="3"/>
  <c r="S1005" i="3"/>
  <c r="S1006" i="3"/>
  <c r="S1007" i="3"/>
  <c r="S1008" i="3"/>
  <c r="S1009" i="3"/>
  <c r="S1010" i="3"/>
  <c r="S1011" i="3"/>
  <c r="S1012" i="3"/>
  <c r="S1013" i="3"/>
  <c r="S1014" i="3"/>
  <c r="S1015" i="3"/>
  <c r="S1016" i="3"/>
  <c r="S1017" i="3"/>
  <c r="S1018" i="3"/>
  <c r="S1019" i="3"/>
  <c r="S1020" i="3"/>
  <c r="S1021" i="3"/>
  <c r="S1022" i="3"/>
  <c r="S1023" i="3"/>
  <c r="S1024" i="3"/>
  <c r="S1025" i="3"/>
  <c r="S1026" i="3"/>
  <c r="S1027" i="3"/>
  <c r="S1028" i="3"/>
  <c r="S1029" i="3"/>
  <c r="S1030" i="3"/>
  <c r="S1031" i="3"/>
  <c r="S1032" i="3"/>
  <c r="S1033" i="3"/>
  <c r="S1034" i="3"/>
  <c r="S1035" i="3"/>
  <c r="S1036" i="3"/>
  <c r="S1037" i="3"/>
  <c r="S1038" i="3"/>
  <c r="S1039" i="3"/>
  <c r="S1040" i="3"/>
  <c r="S1041" i="3"/>
  <c r="S1042" i="3"/>
  <c r="S1043" i="3"/>
  <c r="S1044" i="3"/>
  <c r="S1045" i="3"/>
  <c r="S1046" i="3"/>
  <c r="S1047" i="3"/>
  <c r="S1048" i="3"/>
  <c r="S1049" i="3"/>
  <c r="S1050" i="3"/>
  <c r="S1051" i="3"/>
  <c r="S1052" i="3"/>
  <c r="S1053" i="3"/>
  <c r="S1054" i="3"/>
  <c r="S1055" i="3"/>
  <c r="S1056" i="3"/>
  <c r="S1057" i="3"/>
  <c r="S1058" i="3"/>
  <c r="S1059" i="3"/>
  <c r="S1060" i="3"/>
  <c r="S1061" i="3"/>
  <c r="S1062" i="3"/>
  <c r="S1063" i="3"/>
  <c r="S1064" i="3"/>
  <c r="S1065" i="3"/>
  <c r="S1066" i="3"/>
  <c r="S1067" i="3"/>
  <c r="S1068" i="3"/>
  <c r="S1069" i="3"/>
  <c r="S1070" i="3"/>
  <c r="S1071" i="3"/>
  <c r="S1072" i="3"/>
  <c r="S1073" i="3"/>
  <c r="S1074" i="3"/>
  <c r="S1075" i="3"/>
  <c r="S1076" i="3"/>
  <c r="S1077" i="3"/>
  <c r="S1078" i="3"/>
  <c r="S1079" i="3"/>
  <c r="S1080" i="3"/>
  <c r="S1081" i="3"/>
  <c r="S1082" i="3"/>
  <c r="S1083" i="3"/>
  <c r="S1084" i="3"/>
  <c r="S1085" i="3"/>
  <c r="S1086" i="3"/>
  <c r="S1087" i="3"/>
  <c r="S1088" i="3"/>
  <c r="S1089" i="3"/>
  <c r="S1090" i="3"/>
  <c r="S1091" i="3"/>
  <c r="S1092" i="3"/>
  <c r="S1093" i="3"/>
  <c r="S1094" i="3"/>
  <c r="S1095" i="3"/>
  <c r="S1096" i="3"/>
  <c r="S1097" i="3"/>
  <c r="S1098" i="3"/>
  <c r="S1099" i="3"/>
  <c r="S1100" i="3"/>
  <c r="S1101" i="3"/>
  <c r="S1102" i="3"/>
  <c r="S1103" i="3"/>
  <c r="S1104" i="3"/>
  <c r="S1105" i="3"/>
  <c r="S1106" i="3"/>
  <c r="S1107" i="3"/>
  <c r="S1108" i="3"/>
  <c r="S1109" i="3"/>
  <c r="S1110" i="3"/>
  <c r="S1111" i="3"/>
  <c r="S1112" i="3"/>
  <c r="S1113" i="3"/>
  <c r="S1114" i="3"/>
  <c r="S1115" i="3"/>
  <c r="S1116" i="3"/>
  <c r="S1117" i="3"/>
  <c r="S1118" i="3"/>
  <c r="S1119" i="3"/>
  <c r="S1120" i="3"/>
  <c r="S1121" i="3"/>
  <c r="S1122" i="3"/>
  <c r="S1123" i="3"/>
  <c r="S1124" i="3"/>
  <c r="S1125" i="3"/>
  <c r="S1126" i="3"/>
  <c r="S1127" i="3"/>
  <c r="S1128" i="3"/>
  <c r="S1129" i="3"/>
  <c r="S1130" i="3"/>
  <c r="S1131" i="3"/>
  <c r="S1132" i="3"/>
  <c r="S1133" i="3"/>
  <c r="S1134" i="3"/>
  <c r="S1135" i="3"/>
  <c r="S1136" i="3"/>
  <c r="S1137" i="3"/>
  <c r="S1138" i="3"/>
  <c r="S1139" i="3"/>
  <c r="S1140" i="3"/>
  <c r="S1141" i="3"/>
  <c r="S1142" i="3"/>
  <c r="S1143" i="3"/>
  <c r="S1144" i="3"/>
  <c r="S1145" i="3"/>
  <c r="S1146" i="3"/>
  <c r="S1147" i="3"/>
  <c r="S1148" i="3"/>
  <c r="S1149" i="3"/>
  <c r="S1150" i="3"/>
  <c r="S1151" i="3"/>
  <c r="S1152" i="3"/>
  <c r="S1153" i="3"/>
  <c r="S1154" i="3"/>
  <c r="S1155" i="3"/>
  <c r="S1156" i="3"/>
  <c r="S1157" i="3"/>
  <c r="S1158" i="3"/>
  <c r="S1159" i="3"/>
  <c r="S1160" i="3"/>
  <c r="S1161" i="3"/>
  <c r="S1162" i="3"/>
  <c r="S1163" i="3"/>
  <c r="S1164" i="3"/>
  <c r="S1165" i="3"/>
  <c r="S1166" i="3"/>
  <c r="S1167" i="3"/>
  <c r="S1168" i="3"/>
  <c r="S1169" i="3"/>
  <c r="S1170" i="3"/>
  <c r="S2" i="3"/>
  <c r="R3" i="3"/>
  <c r="R2" i="3"/>
  <c r="R4" i="3"/>
  <c r="R5" i="3"/>
  <c r="R6" i="3"/>
  <c r="R7" i="3"/>
  <c r="R8" i="3"/>
  <c r="R9" i="3"/>
  <c r="R10" i="3"/>
  <c r="R11" i="3"/>
  <c r="R12" i="3"/>
  <c r="R13" i="3"/>
  <c r="R14" i="3"/>
  <c r="R15" i="3"/>
  <c r="R16" i="3"/>
  <c r="R17" i="3"/>
  <c r="R18" i="3"/>
  <c r="R19" i="3"/>
  <c r="R20" i="3"/>
  <c r="R21" i="3"/>
  <c r="R22" i="3"/>
  <c r="R23" i="3"/>
  <c r="R24" i="3"/>
  <c r="R25" i="3"/>
  <c r="R26" i="3"/>
  <c r="R27" i="3"/>
  <c r="R28" i="3"/>
  <c r="R29" i="3"/>
  <c r="R30" i="3"/>
  <c r="R31" i="3"/>
  <c r="R32" i="3"/>
  <c r="R33" i="3"/>
  <c r="R34" i="3"/>
  <c r="R35" i="3"/>
  <c r="R36" i="3"/>
  <c r="R37" i="3"/>
  <c r="R38" i="3"/>
  <c r="R39" i="3"/>
  <c r="R40" i="3"/>
  <c r="R41" i="3"/>
  <c r="R42" i="3"/>
  <c r="R43" i="3"/>
  <c r="R44" i="3"/>
  <c r="R45" i="3"/>
  <c r="R46" i="3"/>
  <c r="R47" i="3"/>
  <c r="R48" i="3"/>
  <c r="R49" i="3"/>
  <c r="R50" i="3"/>
  <c r="R51" i="3"/>
  <c r="R52" i="3"/>
  <c r="R53" i="3"/>
  <c r="R54" i="3"/>
  <c r="R55" i="3"/>
  <c r="R56" i="3"/>
  <c r="R57" i="3"/>
  <c r="R58" i="3"/>
  <c r="R59" i="3"/>
  <c r="R60" i="3"/>
  <c r="R61" i="3"/>
  <c r="R62" i="3"/>
  <c r="R63" i="3"/>
  <c r="R64" i="3"/>
  <c r="R65" i="3"/>
  <c r="R66" i="3"/>
  <c r="R67" i="3"/>
  <c r="R68" i="3"/>
  <c r="R69" i="3"/>
  <c r="R70" i="3"/>
  <c r="R71" i="3"/>
  <c r="R72" i="3"/>
  <c r="R73" i="3"/>
  <c r="R74" i="3"/>
  <c r="R75" i="3"/>
  <c r="R76" i="3"/>
  <c r="R77" i="3"/>
  <c r="R78" i="3"/>
  <c r="R79" i="3"/>
  <c r="R80" i="3"/>
  <c r="R81" i="3"/>
  <c r="R82" i="3"/>
  <c r="R83" i="3"/>
  <c r="R84" i="3"/>
  <c r="R85" i="3"/>
  <c r="R86" i="3"/>
  <c r="R87" i="3"/>
  <c r="R88" i="3"/>
  <c r="R89" i="3"/>
  <c r="R90" i="3"/>
  <c r="R91" i="3"/>
  <c r="R92" i="3"/>
  <c r="R93" i="3"/>
  <c r="R94" i="3"/>
  <c r="R95" i="3"/>
  <c r="R96" i="3"/>
  <c r="R97" i="3"/>
  <c r="R98" i="3"/>
  <c r="R99" i="3"/>
  <c r="R100" i="3"/>
  <c r="R101" i="3"/>
  <c r="R102" i="3"/>
  <c r="R103" i="3"/>
  <c r="R104" i="3"/>
  <c r="R105" i="3"/>
  <c r="R106" i="3"/>
  <c r="R107" i="3"/>
  <c r="R108" i="3"/>
  <c r="R109" i="3"/>
  <c r="R110" i="3"/>
  <c r="R111" i="3"/>
  <c r="R112" i="3"/>
  <c r="R113" i="3"/>
  <c r="R114" i="3"/>
  <c r="R115" i="3"/>
  <c r="R116" i="3"/>
  <c r="R117" i="3"/>
  <c r="R118" i="3"/>
  <c r="R119" i="3"/>
  <c r="R120" i="3"/>
  <c r="R121" i="3"/>
  <c r="R122" i="3"/>
  <c r="R123" i="3"/>
  <c r="R124" i="3"/>
  <c r="R125" i="3"/>
  <c r="R126" i="3"/>
  <c r="R127" i="3"/>
  <c r="R128" i="3"/>
  <c r="R129" i="3"/>
  <c r="R130" i="3"/>
  <c r="R131" i="3"/>
  <c r="R132" i="3"/>
  <c r="R133" i="3"/>
  <c r="R134" i="3"/>
  <c r="R135" i="3"/>
  <c r="R136" i="3"/>
  <c r="R137" i="3"/>
  <c r="R138" i="3"/>
  <c r="R139" i="3"/>
  <c r="R140" i="3"/>
  <c r="R141" i="3"/>
  <c r="R142" i="3"/>
  <c r="R143" i="3"/>
  <c r="R144" i="3"/>
  <c r="R145" i="3"/>
  <c r="R146" i="3"/>
  <c r="R147" i="3"/>
  <c r="R148" i="3"/>
  <c r="R149" i="3"/>
  <c r="R150" i="3"/>
  <c r="R151" i="3"/>
  <c r="R152" i="3"/>
  <c r="R153" i="3"/>
  <c r="R154" i="3"/>
  <c r="R155" i="3"/>
  <c r="R156" i="3"/>
  <c r="R157" i="3"/>
  <c r="R158" i="3"/>
  <c r="R159" i="3"/>
  <c r="R160" i="3"/>
  <c r="R161" i="3"/>
  <c r="R162" i="3"/>
  <c r="R163" i="3"/>
  <c r="R164" i="3"/>
  <c r="R165" i="3"/>
  <c r="R166" i="3"/>
  <c r="R167" i="3"/>
  <c r="R168" i="3"/>
  <c r="R169" i="3"/>
  <c r="R170" i="3"/>
  <c r="R171" i="3"/>
  <c r="R172" i="3"/>
  <c r="R173" i="3"/>
  <c r="R174" i="3"/>
  <c r="R175" i="3"/>
  <c r="R176" i="3"/>
  <c r="R177" i="3"/>
  <c r="R178" i="3"/>
  <c r="R179" i="3"/>
  <c r="R180" i="3"/>
  <c r="R181" i="3"/>
  <c r="R182" i="3"/>
  <c r="R183" i="3"/>
  <c r="R184" i="3"/>
  <c r="R185" i="3"/>
  <c r="R186" i="3"/>
  <c r="R187" i="3"/>
  <c r="R188" i="3"/>
  <c r="R189" i="3"/>
  <c r="R190" i="3"/>
  <c r="R191" i="3"/>
  <c r="R192" i="3"/>
  <c r="R193" i="3"/>
  <c r="R194" i="3"/>
  <c r="R195" i="3"/>
  <c r="R196" i="3"/>
  <c r="R197" i="3"/>
  <c r="R198" i="3"/>
  <c r="R199" i="3"/>
  <c r="R200" i="3"/>
  <c r="R201" i="3"/>
  <c r="R202" i="3"/>
  <c r="R203" i="3"/>
  <c r="R204" i="3"/>
  <c r="R205" i="3"/>
  <c r="R206" i="3"/>
  <c r="R207" i="3"/>
  <c r="R208" i="3"/>
  <c r="R209" i="3"/>
  <c r="R210" i="3"/>
  <c r="R211" i="3"/>
  <c r="R212" i="3"/>
  <c r="R213" i="3"/>
  <c r="R214" i="3"/>
  <c r="R215" i="3"/>
  <c r="R216" i="3"/>
  <c r="R217" i="3"/>
  <c r="R218" i="3"/>
  <c r="R219" i="3"/>
  <c r="R220" i="3"/>
  <c r="R221" i="3"/>
  <c r="R222" i="3"/>
  <c r="R223" i="3"/>
  <c r="R224" i="3"/>
  <c r="R225" i="3"/>
  <c r="R226" i="3"/>
  <c r="R227" i="3"/>
  <c r="R228" i="3"/>
  <c r="R229" i="3"/>
  <c r="R230" i="3"/>
  <c r="R231" i="3"/>
  <c r="R232" i="3"/>
  <c r="R233" i="3"/>
  <c r="R234" i="3"/>
  <c r="R235" i="3"/>
  <c r="R236" i="3"/>
  <c r="R237" i="3"/>
  <c r="R238" i="3"/>
  <c r="R239" i="3"/>
  <c r="R240" i="3"/>
  <c r="R241" i="3"/>
  <c r="R242" i="3"/>
  <c r="R243" i="3"/>
  <c r="R244" i="3"/>
  <c r="R245" i="3"/>
  <c r="R246" i="3"/>
  <c r="R247" i="3"/>
  <c r="R248" i="3"/>
  <c r="R249" i="3"/>
  <c r="R250" i="3"/>
  <c r="R251" i="3"/>
  <c r="R252" i="3"/>
  <c r="R253" i="3"/>
  <c r="R254" i="3"/>
  <c r="R255" i="3"/>
  <c r="R256" i="3"/>
  <c r="R257" i="3"/>
  <c r="R258" i="3"/>
  <c r="R259" i="3"/>
  <c r="R260" i="3"/>
  <c r="R261" i="3"/>
  <c r="R262" i="3"/>
  <c r="R263" i="3"/>
  <c r="R264" i="3"/>
  <c r="R265" i="3"/>
  <c r="R266" i="3"/>
  <c r="R267" i="3"/>
  <c r="R268" i="3"/>
  <c r="R269" i="3"/>
  <c r="R270" i="3"/>
  <c r="R271" i="3"/>
  <c r="R272" i="3"/>
  <c r="R273" i="3"/>
  <c r="R274" i="3"/>
  <c r="R275" i="3"/>
  <c r="R276" i="3"/>
  <c r="R277" i="3"/>
  <c r="R278" i="3"/>
  <c r="R279" i="3"/>
  <c r="R280" i="3"/>
  <c r="R281" i="3"/>
  <c r="R282" i="3"/>
  <c r="R283" i="3"/>
  <c r="R284" i="3"/>
  <c r="R285" i="3"/>
  <c r="R286" i="3"/>
  <c r="R287" i="3"/>
  <c r="R288" i="3"/>
  <c r="R289" i="3"/>
  <c r="R290" i="3"/>
  <c r="R291" i="3"/>
  <c r="R292" i="3"/>
  <c r="R293" i="3"/>
  <c r="R294" i="3"/>
  <c r="R295" i="3"/>
  <c r="R296" i="3"/>
  <c r="R297" i="3"/>
  <c r="R298" i="3"/>
  <c r="R299" i="3"/>
  <c r="R300" i="3"/>
  <c r="R301" i="3"/>
  <c r="R302" i="3"/>
  <c r="R303" i="3"/>
  <c r="R304" i="3"/>
  <c r="R305" i="3"/>
  <c r="R306" i="3"/>
  <c r="R307" i="3"/>
  <c r="R308" i="3"/>
  <c r="R309" i="3"/>
  <c r="R310" i="3"/>
  <c r="R311" i="3"/>
  <c r="R312" i="3"/>
  <c r="R313" i="3"/>
  <c r="R314" i="3"/>
  <c r="R315" i="3"/>
  <c r="R316" i="3"/>
  <c r="R317" i="3"/>
  <c r="R318" i="3"/>
  <c r="R319" i="3"/>
  <c r="R320" i="3"/>
  <c r="R321" i="3"/>
  <c r="R322" i="3"/>
  <c r="R323" i="3"/>
  <c r="R324" i="3"/>
  <c r="R325" i="3"/>
  <c r="R326" i="3"/>
  <c r="R327" i="3"/>
  <c r="R328" i="3"/>
  <c r="R329" i="3"/>
  <c r="R330" i="3"/>
  <c r="R331" i="3"/>
  <c r="R332" i="3"/>
  <c r="R333" i="3"/>
  <c r="R334" i="3"/>
  <c r="R335" i="3"/>
  <c r="R336" i="3"/>
  <c r="R337" i="3"/>
  <c r="R338" i="3"/>
  <c r="R339" i="3"/>
  <c r="R340" i="3"/>
  <c r="R341" i="3"/>
  <c r="R342" i="3"/>
  <c r="R343" i="3"/>
  <c r="R344" i="3"/>
  <c r="R345" i="3"/>
  <c r="R346" i="3"/>
  <c r="R347" i="3"/>
  <c r="R348" i="3"/>
  <c r="R349" i="3"/>
  <c r="R350" i="3"/>
  <c r="R351" i="3"/>
  <c r="R352" i="3"/>
  <c r="R353" i="3"/>
  <c r="R354" i="3"/>
  <c r="R355" i="3"/>
  <c r="R356" i="3"/>
  <c r="R357" i="3"/>
  <c r="R358" i="3"/>
  <c r="R359" i="3"/>
  <c r="R360" i="3"/>
  <c r="R361" i="3"/>
  <c r="R362" i="3"/>
  <c r="R363" i="3"/>
  <c r="R364" i="3"/>
  <c r="R365" i="3"/>
  <c r="R366" i="3"/>
  <c r="R367" i="3"/>
  <c r="R368" i="3"/>
  <c r="R369" i="3"/>
  <c r="R370" i="3"/>
  <c r="R371" i="3"/>
  <c r="R372" i="3"/>
  <c r="R373" i="3"/>
  <c r="R374" i="3"/>
  <c r="R375" i="3"/>
  <c r="R376" i="3"/>
  <c r="R377" i="3"/>
  <c r="R378" i="3"/>
  <c r="R379" i="3"/>
  <c r="R380" i="3"/>
  <c r="R381" i="3"/>
  <c r="R382" i="3"/>
  <c r="R383" i="3"/>
  <c r="R384" i="3"/>
  <c r="R385" i="3"/>
  <c r="R386" i="3"/>
  <c r="R387" i="3"/>
  <c r="R388" i="3"/>
  <c r="R389" i="3"/>
  <c r="R390" i="3"/>
  <c r="R391" i="3"/>
  <c r="R392" i="3"/>
  <c r="R393" i="3"/>
  <c r="R394" i="3"/>
  <c r="R395" i="3"/>
  <c r="R396" i="3"/>
  <c r="R397" i="3"/>
  <c r="R398" i="3"/>
  <c r="R399" i="3"/>
  <c r="R400" i="3"/>
  <c r="R401" i="3"/>
  <c r="R402" i="3"/>
  <c r="R403" i="3"/>
  <c r="R404" i="3"/>
  <c r="R405" i="3"/>
  <c r="R406" i="3"/>
  <c r="R407" i="3"/>
  <c r="R408" i="3"/>
  <c r="R409" i="3"/>
  <c r="R410" i="3"/>
  <c r="R411" i="3"/>
  <c r="R412" i="3"/>
  <c r="R413" i="3"/>
  <c r="R414" i="3"/>
  <c r="R415" i="3"/>
  <c r="R416" i="3"/>
  <c r="R417" i="3"/>
  <c r="R418" i="3"/>
  <c r="R419" i="3"/>
  <c r="R420" i="3"/>
  <c r="R421" i="3"/>
  <c r="R422" i="3"/>
  <c r="R423" i="3"/>
  <c r="R424" i="3"/>
  <c r="R425" i="3"/>
  <c r="R426" i="3"/>
  <c r="R427" i="3"/>
  <c r="R428" i="3"/>
  <c r="R429" i="3"/>
  <c r="R430" i="3"/>
  <c r="R431" i="3"/>
  <c r="R432" i="3"/>
  <c r="R433" i="3"/>
  <c r="R434" i="3"/>
  <c r="R435" i="3"/>
  <c r="R436" i="3"/>
  <c r="R437" i="3"/>
  <c r="R438" i="3"/>
  <c r="R439" i="3"/>
  <c r="R440" i="3"/>
  <c r="R441" i="3"/>
  <c r="R442" i="3"/>
  <c r="R443" i="3"/>
  <c r="R444" i="3"/>
  <c r="R445" i="3"/>
  <c r="R446" i="3"/>
  <c r="R447" i="3"/>
  <c r="R448" i="3"/>
  <c r="R449" i="3"/>
  <c r="R450" i="3"/>
  <c r="R451" i="3"/>
  <c r="R452" i="3"/>
  <c r="R453" i="3"/>
  <c r="R454" i="3"/>
  <c r="R455" i="3"/>
  <c r="R456" i="3"/>
  <c r="R457" i="3"/>
  <c r="R458" i="3"/>
  <c r="R459" i="3"/>
  <c r="R460" i="3"/>
  <c r="R461" i="3"/>
  <c r="R462" i="3"/>
  <c r="R463" i="3"/>
  <c r="R464" i="3"/>
  <c r="R465" i="3"/>
  <c r="R466" i="3"/>
  <c r="R467" i="3"/>
  <c r="R468" i="3"/>
  <c r="R469" i="3"/>
  <c r="R470" i="3"/>
  <c r="R471" i="3"/>
  <c r="R472" i="3"/>
  <c r="R473" i="3"/>
  <c r="R474" i="3"/>
  <c r="R475" i="3"/>
  <c r="R476" i="3"/>
  <c r="R477" i="3"/>
  <c r="R478" i="3"/>
  <c r="R479" i="3"/>
  <c r="R480" i="3"/>
  <c r="R481" i="3"/>
  <c r="R482" i="3"/>
  <c r="R483" i="3"/>
  <c r="R484" i="3"/>
  <c r="R485" i="3"/>
  <c r="R486" i="3"/>
  <c r="R487" i="3"/>
  <c r="R488" i="3"/>
  <c r="R489" i="3"/>
  <c r="R490" i="3"/>
  <c r="R491" i="3"/>
  <c r="R492" i="3"/>
  <c r="R493" i="3"/>
  <c r="R494" i="3"/>
  <c r="R495" i="3"/>
  <c r="R496" i="3"/>
  <c r="R497" i="3"/>
  <c r="R498" i="3"/>
  <c r="R499" i="3"/>
  <c r="R500" i="3"/>
  <c r="R501" i="3"/>
  <c r="R502" i="3"/>
  <c r="R503" i="3"/>
  <c r="R504" i="3"/>
  <c r="R505" i="3"/>
  <c r="R506" i="3"/>
  <c r="R507" i="3"/>
  <c r="R508" i="3"/>
  <c r="R509" i="3"/>
  <c r="R510" i="3"/>
  <c r="R511" i="3"/>
  <c r="R512" i="3"/>
  <c r="R513" i="3"/>
  <c r="R514" i="3"/>
  <c r="R515" i="3"/>
  <c r="R516" i="3"/>
  <c r="R517" i="3"/>
  <c r="R518" i="3"/>
  <c r="R519" i="3"/>
  <c r="R520" i="3"/>
  <c r="R521" i="3"/>
  <c r="R522" i="3"/>
  <c r="R523" i="3"/>
  <c r="R524" i="3"/>
  <c r="R525" i="3"/>
  <c r="R526" i="3"/>
  <c r="R527" i="3"/>
  <c r="R528" i="3"/>
  <c r="R529" i="3"/>
  <c r="R530" i="3"/>
  <c r="R531" i="3"/>
  <c r="R532" i="3"/>
  <c r="R533" i="3"/>
  <c r="R534" i="3"/>
  <c r="R535" i="3"/>
  <c r="R536" i="3"/>
  <c r="R537" i="3"/>
  <c r="R538" i="3"/>
  <c r="R539" i="3"/>
  <c r="R540" i="3"/>
  <c r="R541" i="3"/>
  <c r="R542" i="3"/>
  <c r="R543" i="3"/>
  <c r="R544" i="3"/>
  <c r="R545" i="3"/>
  <c r="R546" i="3"/>
  <c r="R547" i="3"/>
  <c r="R548" i="3"/>
  <c r="R549" i="3"/>
  <c r="R550" i="3"/>
  <c r="R551" i="3"/>
  <c r="R552" i="3"/>
  <c r="R553" i="3"/>
  <c r="R554" i="3"/>
  <c r="R555" i="3"/>
  <c r="R556" i="3"/>
  <c r="R557" i="3"/>
  <c r="R558" i="3"/>
  <c r="R559" i="3"/>
  <c r="R560" i="3"/>
  <c r="R561" i="3"/>
  <c r="R562" i="3"/>
  <c r="R563" i="3"/>
  <c r="R564" i="3"/>
  <c r="R565" i="3"/>
  <c r="R566" i="3"/>
  <c r="R567" i="3"/>
  <c r="R568" i="3"/>
  <c r="R569" i="3"/>
  <c r="R570" i="3"/>
  <c r="R571" i="3"/>
  <c r="R572" i="3"/>
  <c r="R573" i="3"/>
  <c r="R574" i="3"/>
  <c r="R575" i="3"/>
  <c r="R576" i="3"/>
  <c r="R577" i="3"/>
  <c r="R578" i="3"/>
  <c r="R579" i="3"/>
  <c r="R580" i="3"/>
  <c r="R581" i="3"/>
  <c r="R582" i="3"/>
  <c r="R583" i="3"/>
  <c r="R584" i="3"/>
  <c r="R585" i="3"/>
  <c r="R586" i="3"/>
  <c r="R587" i="3"/>
  <c r="R588" i="3"/>
  <c r="R589" i="3"/>
  <c r="R590" i="3"/>
  <c r="R591" i="3"/>
  <c r="R592" i="3"/>
  <c r="R593" i="3"/>
  <c r="R594" i="3"/>
  <c r="R595" i="3"/>
  <c r="R596" i="3"/>
  <c r="R597" i="3"/>
  <c r="R598" i="3"/>
  <c r="R599" i="3"/>
  <c r="R600" i="3"/>
  <c r="R601" i="3"/>
  <c r="R602" i="3"/>
  <c r="R603" i="3"/>
  <c r="R604" i="3"/>
  <c r="R605" i="3"/>
  <c r="R606" i="3"/>
  <c r="R607" i="3"/>
  <c r="R608" i="3"/>
  <c r="R609" i="3"/>
  <c r="R610" i="3"/>
  <c r="R611" i="3"/>
  <c r="R612" i="3"/>
  <c r="R613" i="3"/>
  <c r="R614" i="3"/>
  <c r="R615" i="3"/>
  <c r="R616" i="3"/>
  <c r="R617" i="3"/>
  <c r="R618" i="3"/>
  <c r="R619" i="3"/>
  <c r="R620" i="3"/>
  <c r="R621" i="3"/>
  <c r="R622" i="3"/>
  <c r="R623" i="3"/>
  <c r="R624" i="3"/>
  <c r="R625" i="3"/>
  <c r="R626" i="3"/>
  <c r="R627" i="3"/>
  <c r="R628" i="3"/>
  <c r="R629" i="3"/>
  <c r="R630" i="3"/>
  <c r="R631" i="3"/>
  <c r="R632" i="3"/>
  <c r="R633" i="3"/>
  <c r="R634" i="3"/>
  <c r="R635" i="3"/>
  <c r="R636" i="3"/>
  <c r="R637" i="3"/>
  <c r="R638" i="3"/>
  <c r="R639" i="3"/>
  <c r="R640" i="3"/>
  <c r="R641" i="3"/>
  <c r="R642" i="3"/>
  <c r="R643" i="3"/>
  <c r="R644" i="3"/>
  <c r="R645" i="3"/>
  <c r="R646" i="3"/>
  <c r="R647" i="3"/>
  <c r="R648" i="3"/>
  <c r="R649" i="3"/>
  <c r="R650" i="3"/>
  <c r="R651" i="3"/>
  <c r="R652" i="3"/>
  <c r="R653" i="3"/>
  <c r="R654" i="3"/>
  <c r="R655" i="3"/>
  <c r="R656" i="3"/>
  <c r="R657" i="3"/>
  <c r="R658" i="3"/>
  <c r="R659" i="3"/>
  <c r="R660" i="3"/>
  <c r="R661" i="3"/>
  <c r="R662" i="3"/>
  <c r="R663" i="3"/>
  <c r="R664" i="3"/>
  <c r="R665" i="3"/>
  <c r="R666" i="3"/>
  <c r="R667" i="3"/>
  <c r="R668" i="3"/>
  <c r="R669" i="3"/>
  <c r="R670" i="3"/>
  <c r="R671" i="3"/>
  <c r="R672" i="3"/>
  <c r="R673" i="3"/>
  <c r="R674" i="3"/>
  <c r="R675" i="3"/>
  <c r="R676" i="3"/>
  <c r="R677" i="3"/>
  <c r="R678" i="3"/>
  <c r="R679" i="3"/>
  <c r="R680" i="3"/>
  <c r="R681" i="3"/>
  <c r="R682" i="3"/>
  <c r="R683" i="3"/>
  <c r="R684" i="3"/>
  <c r="R685" i="3"/>
  <c r="R686" i="3"/>
  <c r="R687" i="3"/>
  <c r="R688" i="3"/>
  <c r="R689" i="3"/>
  <c r="R690" i="3"/>
  <c r="R691" i="3"/>
  <c r="R692" i="3"/>
  <c r="R693" i="3"/>
  <c r="R694" i="3"/>
  <c r="R695" i="3"/>
  <c r="R696" i="3"/>
  <c r="R697" i="3"/>
  <c r="R698" i="3"/>
  <c r="R699" i="3"/>
  <c r="R700" i="3"/>
  <c r="R701" i="3"/>
  <c r="R702" i="3"/>
  <c r="R703" i="3"/>
  <c r="R704" i="3"/>
  <c r="R705" i="3"/>
  <c r="R706" i="3"/>
  <c r="R707" i="3"/>
  <c r="R708" i="3"/>
  <c r="R709" i="3"/>
  <c r="R710" i="3"/>
  <c r="R711" i="3"/>
  <c r="R712" i="3"/>
  <c r="R713" i="3"/>
  <c r="R714" i="3"/>
  <c r="R715" i="3"/>
  <c r="R716" i="3"/>
  <c r="R717" i="3"/>
  <c r="R718" i="3"/>
  <c r="R719" i="3"/>
  <c r="R720" i="3"/>
  <c r="R721" i="3"/>
  <c r="R722" i="3"/>
  <c r="R723" i="3"/>
  <c r="R724" i="3"/>
  <c r="R725" i="3"/>
  <c r="R726" i="3"/>
  <c r="R727" i="3"/>
  <c r="R728" i="3"/>
  <c r="R729" i="3"/>
  <c r="R730" i="3"/>
  <c r="R731" i="3"/>
  <c r="R732" i="3"/>
  <c r="R733" i="3"/>
  <c r="R734" i="3"/>
  <c r="R735" i="3"/>
  <c r="R736" i="3"/>
  <c r="R737" i="3"/>
  <c r="R738" i="3"/>
  <c r="R739" i="3"/>
  <c r="R740" i="3"/>
  <c r="R741" i="3"/>
  <c r="R742" i="3"/>
  <c r="R743" i="3"/>
  <c r="R744" i="3"/>
  <c r="R745" i="3"/>
  <c r="R746" i="3"/>
  <c r="R747" i="3"/>
  <c r="R748" i="3"/>
  <c r="R749" i="3"/>
  <c r="R750" i="3"/>
  <c r="R751" i="3"/>
  <c r="R752" i="3"/>
  <c r="R753" i="3"/>
  <c r="R754" i="3"/>
  <c r="R755" i="3"/>
  <c r="R756" i="3"/>
  <c r="R757" i="3"/>
  <c r="R758" i="3"/>
  <c r="R759" i="3"/>
  <c r="R760" i="3"/>
  <c r="R761" i="3"/>
  <c r="R762" i="3"/>
  <c r="R763" i="3"/>
  <c r="R764" i="3"/>
  <c r="R765" i="3"/>
  <c r="R766" i="3"/>
  <c r="R767" i="3"/>
  <c r="R768" i="3"/>
  <c r="R769" i="3"/>
  <c r="R770" i="3"/>
  <c r="R771" i="3"/>
  <c r="R772" i="3"/>
  <c r="R773" i="3"/>
  <c r="R774" i="3"/>
  <c r="R775" i="3"/>
  <c r="R776" i="3"/>
  <c r="R777" i="3"/>
  <c r="R778" i="3"/>
  <c r="R779" i="3"/>
  <c r="R780" i="3"/>
  <c r="R781" i="3"/>
  <c r="R782" i="3"/>
  <c r="R783" i="3"/>
  <c r="R784" i="3"/>
  <c r="R785" i="3"/>
  <c r="R786" i="3"/>
  <c r="R787" i="3"/>
  <c r="R788" i="3"/>
  <c r="R789" i="3"/>
  <c r="R790" i="3"/>
  <c r="R791" i="3"/>
  <c r="R792" i="3"/>
  <c r="R793" i="3"/>
  <c r="R794" i="3"/>
  <c r="R795" i="3"/>
  <c r="R796" i="3"/>
  <c r="R797" i="3"/>
  <c r="R798" i="3"/>
  <c r="R799" i="3"/>
  <c r="R800" i="3"/>
  <c r="R801" i="3"/>
  <c r="R802" i="3"/>
  <c r="R803" i="3"/>
  <c r="R804" i="3"/>
  <c r="R805" i="3"/>
  <c r="R806" i="3"/>
  <c r="R807" i="3"/>
  <c r="R808" i="3"/>
  <c r="R809" i="3"/>
  <c r="R810" i="3"/>
  <c r="R811" i="3"/>
  <c r="R812" i="3"/>
  <c r="R813" i="3"/>
  <c r="R814" i="3"/>
  <c r="R815" i="3"/>
  <c r="R816" i="3"/>
  <c r="R817" i="3"/>
  <c r="R818" i="3"/>
  <c r="R819" i="3"/>
  <c r="R820" i="3"/>
  <c r="R821" i="3"/>
  <c r="R822" i="3"/>
  <c r="R823" i="3"/>
  <c r="R824" i="3"/>
  <c r="R825" i="3"/>
  <c r="R826" i="3"/>
  <c r="R827" i="3"/>
  <c r="R828" i="3"/>
  <c r="R829" i="3"/>
  <c r="R830" i="3"/>
  <c r="R831" i="3"/>
  <c r="R832" i="3"/>
  <c r="R833" i="3"/>
  <c r="R834" i="3"/>
  <c r="R835" i="3"/>
  <c r="R836" i="3"/>
  <c r="R837" i="3"/>
  <c r="R838" i="3"/>
  <c r="R839" i="3"/>
  <c r="R840" i="3"/>
  <c r="R841" i="3"/>
  <c r="R842" i="3"/>
  <c r="R843" i="3"/>
  <c r="R844" i="3"/>
  <c r="R845" i="3"/>
  <c r="R846" i="3"/>
  <c r="R847" i="3"/>
  <c r="R848" i="3"/>
  <c r="R849" i="3"/>
  <c r="R850" i="3"/>
  <c r="R851" i="3"/>
  <c r="R852" i="3"/>
  <c r="R853" i="3"/>
  <c r="R854" i="3"/>
  <c r="R855" i="3"/>
  <c r="R856" i="3"/>
  <c r="R857" i="3"/>
  <c r="R858" i="3"/>
  <c r="R859" i="3"/>
  <c r="R860" i="3"/>
  <c r="R861" i="3"/>
  <c r="R862" i="3"/>
  <c r="R863" i="3"/>
  <c r="R864" i="3"/>
  <c r="R865" i="3"/>
  <c r="R866" i="3"/>
  <c r="R867" i="3"/>
  <c r="R868" i="3"/>
  <c r="R869" i="3"/>
  <c r="R870" i="3"/>
  <c r="R871" i="3"/>
  <c r="R872" i="3"/>
  <c r="R873" i="3"/>
  <c r="R874" i="3"/>
  <c r="R875" i="3"/>
  <c r="R876" i="3"/>
  <c r="R877" i="3"/>
  <c r="R878" i="3"/>
  <c r="R879" i="3"/>
  <c r="R880" i="3"/>
  <c r="R881" i="3"/>
  <c r="R882" i="3"/>
  <c r="R883" i="3"/>
  <c r="R884" i="3"/>
  <c r="R885" i="3"/>
  <c r="R886" i="3"/>
  <c r="R887" i="3"/>
  <c r="R888" i="3"/>
  <c r="R889" i="3"/>
  <c r="R890" i="3"/>
  <c r="R891" i="3"/>
  <c r="R892" i="3"/>
  <c r="R893" i="3"/>
  <c r="R894" i="3"/>
  <c r="R895" i="3"/>
  <c r="R896" i="3"/>
  <c r="R897" i="3"/>
  <c r="R898" i="3"/>
  <c r="R899" i="3"/>
  <c r="R900" i="3"/>
  <c r="R901" i="3"/>
  <c r="R902" i="3"/>
  <c r="R903" i="3"/>
  <c r="R904" i="3"/>
  <c r="R905" i="3"/>
  <c r="R906" i="3"/>
  <c r="R907" i="3"/>
  <c r="R908" i="3"/>
  <c r="R909" i="3"/>
  <c r="R910" i="3"/>
  <c r="R911" i="3"/>
  <c r="R912" i="3"/>
  <c r="R913" i="3"/>
  <c r="R914" i="3"/>
  <c r="R915" i="3"/>
  <c r="R916" i="3"/>
  <c r="R917" i="3"/>
  <c r="R918" i="3"/>
  <c r="R919" i="3"/>
  <c r="R920" i="3"/>
  <c r="R921" i="3"/>
  <c r="R922" i="3"/>
  <c r="R923" i="3"/>
  <c r="R924" i="3"/>
  <c r="R925" i="3"/>
  <c r="R926" i="3"/>
  <c r="R927" i="3"/>
  <c r="R928" i="3"/>
  <c r="R929" i="3"/>
  <c r="R930" i="3"/>
  <c r="R931" i="3"/>
  <c r="R932" i="3"/>
  <c r="R933" i="3"/>
  <c r="R934" i="3"/>
  <c r="R935" i="3"/>
  <c r="R936" i="3"/>
  <c r="R937" i="3"/>
  <c r="R938" i="3"/>
  <c r="R939" i="3"/>
  <c r="R940" i="3"/>
  <c r="R941" i="3"/>
  <c r="R942" i="3"/>
  <c r="R943" i="3"/>
  <c r="R944" i="3"/>
  <c r="R945" i="3"/>
  <c r="R946" i="3"/>
  <c r="R947" i="3"/>
  <c r="R948" i="3"/>
  <c r="R949" i="3"/>
  <c r="R950" i="3"/>
  <c r="R951" i="3"/>
  <c r="R952" i="3"/>
  <c r="R953" i="3"/>
  <c r="R954" i="3"/>
  <c r="R955" i="3"/>
  <c r="R956" i="3"/>
  <c r="R957" i="3"/>
  <c r="R958" i="3"/>
  <c r="R959" i="3"/>
  <c r="R960" i="3"/>
  <c r="R961" i="3"/>
  <c r="R962" i="3"/>
  <c r="R963" i="3"/>
  <c r="R964" i="3"/>
  <c r="R965" i="3"/>
  <c r="R966" i="3"/>
  <c r="R967" i="3"/>
  <c r="R968" i="3"/>
  <c r="R969" i="3"/>
  <c r="R970" i="3"/>
  <c r="R971" i="3"/>
  <c r="R972" i="3"/>
  <c r="R973" i="3"/>
  <c r="R974" i="3"/>
  <c r="R975" i="3"/>
  <c r="R976" i="3"/>
  <c r="R977" i="3"/>
  <c r="R978" i="3"/>
  <c r="R979" i="3"/>
  <c r="R980" i="3"/>
  <c r="R981" i="3"/>
  <c r="R982" i="3"/>
  <c r="R983" i="3"/>
  <c r="R984" i="3"/>
  <c r="R985" i="3"/>
  <c r="R986" i="3"/>
  <c r="R987" i="3"/>
  <c r="R988" i="3"/>
  <c r="R989" i="3"/>
  <c r="R990" i="3"/>
  <c r="R991" i="3"/>
  <c r="R992" i="3"/>
  <c r="R993" i="3"/>
  <c r="R994" i="3"/>
  <c r="R995" i="3"/>
  <c r="R996" i="3"/>
  <c r="R997" i="3"/>
  <c r="R998" i="3"/>
  <c r="R999" i="3"/>
  <c r="R1000" i="3"/>
  <c r="R1001" i="3"/>
  <c r="R1002" i="3"/>
  <c r="R1003" i="3"/>
  <c r="R1004" i="3"/>
  <c r="R1005" i="3"/>
  <c r="R1006" i="3"/>
  <c r="R1007" i="3"/>
  <c r="R1008" i="3"/>
  <c r="R1009" i="3"/>
  <c r="R1010" i="3"/>
  <c r="R1011" i="3"/>
  <c r="R1012" i="3"/>
  <c r="R1013" i="3"/>
  <c r="R1014" i="3"/>
  <c r="R1015" i="3"/>
  <c r="R1016" i="3"/>
  <c r="R1017" i="3"/>
  <c r="R1018" i="3"/>
  <c r="R1019" i="3"/>
  <c r="R1020" i="3"/>
  <c r="R1021" i="3"/>
  <c r="R1022" i="3"/>
  <c r="R1023" i="3"/>
  <c r="R1024" i="3"/>
  <c r="R1025" i="3"/>
  <c r="R1026" i="3"/>
  <c r="R1027" i="3"/>
  <c r="R1028" i="3"/>
  <c r="R1029" i="3"/>
  <c r="R1030" i="3"/>
  <c r="R1031" i="3"/>
  <c r="R1032" i="3"/>
  <c r="R1033" i="3"/>
  <c r="R1034" i="3"/>
  <c r="R1035" i="3"/>
  <c r="R1036" i="3"/>
  <c r="R1037" i="3"/>
  <c r="R1038" i="3"/>
  <c r="R1039" i="3"/>
  <c r="R1040" i="3"/>
  <c r="R1041" i="3"/>
  <c r="R1042" i="3"/>
  <c r="R1043" i="3"/>
  <c r="R1044" i="3"/>
  <c r="R1045" i="3"/>
  <c r="R1046" i="3"/>
  <c r="R1047" i="3"/>
  <c r="R1048" i="3"/>
  <c r="R1049" i="3"/>
  <c r="R1050" i="3"/>
  <c r="R1051" i="3"/>
  <c r="R1052" i="3"/>
  <c r="R1053" i="3"/>
  <c r="R1054" i="3"/>
  <c r="R1055" i="3"/>
  <c r="R1056" i="3"/>
  <c r="R1057" i="3"/>
  <c r="R1058" i="3"/>
  <c r="R1059" i="3"/>
  <c r="R1060" i="3"/>
  <c r="R1061" i="3"/>
  <c r="R1062" i="3"/>
  <c r="R1063" i="3"/>
  <c r="R1064" i="3"/>
  <c r="R1065" i="3"/>
  <c r="R1066" i="3"/>
  <c r="R1067" i="3"/>
  <c r="R1068" i="3"/>
  <c r="R1069" i="3"/>
  <c r="R1070" i="3"/>
  <c r="R1071" i="3"/>
  <c r="R1072" i="3"/>
  <c r="R1073" i="3"/>
  <c r="R1074" i="3"/>
  <c r="R1075" i="3"/>
  <c r="R1076" i="3"/>
  <c r="R1077" i="3"/>
  <c r="R1078" i="3"/>
  <c r="R1079" i="3"/>
  <c r="R1080" i="3"/>
  <c r="R1081" i="3"/>
  <c r="R1082" i="3"/>
  <c r="R1083" i="3"/>
  <c r="R1084" i="3"/>
  <c r="R1085" i="3"/>
  <c r="R1086" i="3"/>
  <c r="R1087" i="3"/>
  <c r="R1088" i="3"/>
  <c r="R1089" i="3"/>
  <c r="R1090" i="3"/>
  <c r="R1091" i="3"/>
  <c r="R1092" i="3"/>
  <c r="R1093" i="3"/>
  <c r="R1094" i="3"/>
  <c r="R1095" i="3"/>
  <c r="R1096" i="3"/>
  <c r="R1097" i="3"/>
  <c r="R1098" i="3"/>
  <c r="R1099" i="3"/>
  <c r="R1100" i="3"/>
  <c r="R1101" i="3"/>
  <c r="R1102" i="3"/>
  <c r="R1103" i="3"/>
  <c r="R1104" i="3"/>
  <c r="R1105" i="3"/>
  <c r="R1106" i="3"/>
  <c r="R1107" i="3"/>
  <c r="R1108" i="3"/>
  <c r="R1109" i="3"/>
  <c r="R1110" i="3"/>
  <c r="R1111" i="3"/>
  <c r="R1112" i="3"/>
  <c r="R1113" i="3"/>
  <c r="R1114" i="3"/>
  <c r="R1115" i="3"/>
  <c r="R1116" i="3"/>
  <c r="R1117" i="3"/>
  <c r="R1118" i="3"/>
  <c r="R1119" i="3"/>
  <c r="R1120" i="3"/>
  <c r="R1121" i="3"/>
  <c r="R1122" i="3"/>
  <c r="R1123" i="3"/>
  <c r="R1124" i="3"/>
  <c r="R1125" i="3"/>
  <c r="R1126" i="3"/>
  <c r="R1127" i="3"/>
  <c r="R1128" i="3"/>
  <c r="R1129" i="3"/>
  <c r="R1130" i="3"/>
  <c r="R1131" i="3"/>
  <c r="R1132" i="3"/>
  <c r="R1133" i="3"/>
  <c r="R1134" i="3"/>
  <c r="R1135" i="3"/>
  <c r="R1136" i="3"/>
  <c r="R1137" i="3"/>
  <c r="R1138" i="3"/>
  <c r="R1139" i="3"/>
  <c r="R1140" i="3"/>
  <c r="R1141" i="3"/>
  <c r="R1142" i="3"/>
  <c r="R1143" i="3"/>
  <c r="R1144" i="3"/>
  <c r="R1145" i="3"/>
  <c r="R1146" i="3"/>
  <c r="R1147" i="3"/>
  <c r="R1148" i="3"/>
  <c r="R1149" i="3"/>
  <c r="R1150" i="3"/>
  <c r="R1151" i="3"/>
  <c r="R1152" i="3"/>
  <c r="R1153" i="3"/>
  <c r="R1154" i="3"/>
  <c r="R1155" i="3"/>
  <c r="R1156" i="3"/>
  <c r="R1157" i="3"/>
  <c r="R1158" i="3"/>
  <c r="R1159" i="3"/>
  <c r="R1160" i="3"/>
  <c r="R1161" i="3"/>
  <c r="R1162" i="3"/>
  <c r="R1163" i="3"/>
  <c r="R1164" i="3"/>
  <c r="R1165" i="3"/>
  <c r="R1166" i="3"/>
  <c r="R1167" i="3"/>
  <c r="R1168" i="3"/>
  <c r="R1169" i="3"/>
  <c r="R1170" i="3"/>
  <c r="Z1124" i="3" l="1"/>
  <c r="Z1004" i="3"/>
  <c r="Z1160" i="3"/>
  <c r="Z992" i="3"/>
  <c r="Z1148" i="3"/>
  <c r="Z1052" i="3"/>
  <c r="Z1040" i="3"/>
  <c r="Z584" i="3"/>
  <c r="Z1136" i="3"/>
  <c r="Z1016" i="3"/>
  <c r="Z1167" i="3"/>
  <c r="Z548" i="3"/>
  <c r="Z476" i="3"/>
  <c r="Z440" i="3"/>
  <c r="Z380" i="3"/>
  <c r="Z332" i="3"/>
  <c r="Z272" i="3"/>
  <c r="Z224" i="3"/>
  <c r="Z176" i="3"/>
  <c r="Z116" i="3"/>
  <c r="Z80" i="3"/>
  <c r="Z8" i="3"/>
  <c r="Z1157" i="3"/>
  <c r="Z836" i="3"/>
  <c r="Z788" i="3"/>
  <c r="Z716" i="3"/>
  <c r="Z668" i="3"/>
  <c r="Z1131" i="3"/>
  <c r="Z1047" i="3"/>
  <c r="Z975" i="3"/>
  <c r="Z891" i="3"/>
  <c r="Z807" i="3"/>
  <c r="Z747" i="3"/>
  <c r="Z675" i="3"/>
  <c r="Z603" i="3"/>
  <c r="Z519" i="3"/>
  <c r="Z423" i="3"/>
  <c r="Z351" i="3"/>
  <c r="Z267" i="3"/>
  <c r="Z159" i="3"/>
  <c r="Z27" i="3"/>
  <c r="Z1076" i="3"/>
  <c r="Z980" i="3"/>
  <c r="Z944" i="3"/>
  <c r="Z908" i="3"/>
  <c r="Z764" i="3"/>
  <c r="Z704" i="3"/>
  <c r="Z680" i="3"/>
  <c r="Z1155" i="3"/>
  <c r="Z1059" i="3"/>
  <c r="Z987" i="3"/>
  <c r="Z903" i="3"/>
  <c r="Z831" i="3"/>
  <c r="Z771" i="3"/>
  <c r="Z699" i="3"/>
  <c r="Z651" i="3"/>
  <c r="Z579" i="3"/>
  <c r="Z531" i="3"/>
  <c r="Z459" i="3"/>
  <c r="Z387" i="3"/>
  <c r="Z315" i="3"/>
  <c r="Z243" i="3"/>
  <c r="Z207" i="3"/>
  <c r="Z147" i="3"/>
  <c r="Z123" i="3"/>
  <c r="Z99" i="3"/>
  <c r="Z75" i="3"/>
  <c r="Z872" i="3"/>
  <c r="Z656" i="3"/>
  <c r="Z1143" i="3"/>
  <c r="Z1083" i="3"/>
  <c r="Z999" i="3"/>
  <c r="Z915" i="3"/>
  <c r="Z867" i="3"/>
  <c r="Z783" i="3"/>
  <c r="Z711" i="3"/>
  <c r="Z639" i="3"/>
  <c r="Z567" i="3"/>
  <c r="Z495" i="3"/>
  <c r="Z435" i="3"/>
  <c r="Z375" i="3"/>
  <c r="Z303" i="3"/>
  <c r="Z279" i="3"/>
  <c r="Z219" i="3"/>
  <c r="Z183" i="3"/>
  <c r="Z111" i="3"/>
  <c r="Z87" i="3"/>
  <c r="Z63" i="3"/>
  <c r="AF2" i="3" a="1"/>
  <c r="AF2" i="3" s="1"/>
  <c r="Z2" i="3"/>
  <c r="Z1028" i="3"/>
  <c r="Z968" i="3"/>
  <c r="Z896" i="3"/>
  <c r="Z776" i="3"/>
  <c r="Z728" i="3"/>
  <c r="Z692" i="3"/>
  <c r="Z1071" i="3"/>
  <c r="Z963" i="3"/>
  <c r="Z819" i="3"/>
  <c r="Z507" i="3"/>
  <c r="Z399" i="3"/>
  <c r="Z135" i="3"/>
  <c r="Z848" i="3"/>
  <c r="Z632" i="3"/>
  <c r="Z1119" i="3"/>
  <c r="Z1035" i="3"/>
  <c r="Z951" i="3"/>
  <c r="Z879" i="3"/>
  <c r="Z795" i="3"/>
  <c r="Z723" i="3"/>
  <c r="Z663" i="3"/>
  <c r="Z591" i="3"/>
  <c r="Z483" i="3"/>
  <c r="Z411" i="3"/>
  <c r="Z327" i="3"/>
  <c r="Z231" i="3"/>
  <c r="Z15" i="3"/>
  <c r="Z1088" i="3"/>
  <c r="Z620" i="3"/>
  <c r="Z1095" i="3"/>
  <c r="Z1011" i="3"/>
  <c r="Z927" i="3"/>
  <c r="Z843" i="3"/>
  <c r="Z759" i="3"/>
  <c r="Z687" i="3"/>
  <c r="Z615" i="3"/>
  <c r="Z543" i="3"/>
  <c r="Z447" i="3"/>
  <c r="Z339" i="3"/>
  <c r="Z255" i="3"/>
  <c r="Z171" i="3"/>
  <c r="Z39" i="3"/>
  <c r="Z644" i="3"/>
  <c r="Z1107" i="3"/>
  <c r="Z1023" i="3"/>
  <c r="Z939" i="3"/>
  <c r="Z855" i="3"/>
  <c r="Z735" i="3"/>
  <c r="Z627" i="3"/>
  <c r="Z555" i="3"/>
  <c r="Z471" i="3"/>
  <c r="Z363" i="3"/>
  <c r="Z291" i="3"/>
  <c r="Z195" i="3"/>
  <c r="Z51" i="3"/>
  <c r="Z1112" i="3"/>
  <c r="Z860" i="3"/>
  <c r="Z752" i="3"/>
  <c r="Z608" i="3"/>
  <c r="Z560" i="3"/>
  <c r="Z500" i="3"/>
  <c r="Z416" i="3"/>
  <c r="Z356" i="3"/>
  <c r="Z308" i="3"/>
  <c r="Z200" i="3"/>
  <c r="Z128" i="3"/>
  <c r="Z20" i="3"/>
  <c r="Z932" i="3"/>
  <c r="Z920" i="3"/>
  <c r="Z812" i="3"/>
  <c r="Z512" i="3"/>
  <c r="Z452" i="3"/>
  <c r="Z368" i="3"/>
  <c r="Z284" i="3"/>
  <c r="Z212" i="3"/>
  <c r="Z152" i="3"/>
  <c r="Z32" i="3"/>
  <c r="Z1100" i="3"/>
  <c r="Z956" i="3"/>
  <c r="Z884" i="3"/>
  <c r="Z800" i="3"/>
  <c r="Z572" i="3"/>
  <c r="Z524" i="3"/>
  <c r="Z464" i="3"/>
  <c r="Z404" i="3"/>
  <c r="Z344" i="3"/>
  <c r="Z296" i="3"/>
  <c r="Z236" i="3"/>
  <c r="Z140" i="3"/>
  <c r="Z44" i="3"/>
  <c r="Z1064" i="3"/>
  <c r="Z824" i="3"/>
  <c r="Z740" i="3"/>
  <c r="Z596" i="3"/>
  <c r="Z536" i="3"/>
  <c r="Z488" i="3"/>
  <c r="Z428" i="3"/>
  <c r="Z392" i="3"/>
  <c r="Z320" i="3"/>
  <c r="Z260" i="3"/>
  <c r="Z248" i="3"/>
  <c r="Z188" i="3"/>
  <c r="Z164" i="3"/>
  <c r="Z104" i="3"/>
  <c r="Z92" i="3"/>
  <c r="Z68" i="3"/>
  <c r="Z56" i="3"/>
  <c r="Y1169" i="3"/>
  <c r="Z1169" i="3"/>
  <c r="Z1145" i="3"/>
  <c r="Z1133" i="3"/>
  <c r="Z1121" i="3"/>
  <c r="Z1109" i="3"/>
  <c r="Z1097" i="3"/>
  <c r="Z1085" i="3"/>
  <c r="Z1073" i="3"/>
  <c r="Z1061" i="3"/>
  <c r="Z1049" i="3"/>
  <c r="Z1037" i="3"/>
  <c r="Z1025" i="3"/>
  <c r="Z1013" i="3"/>
  <c r="Z1001" i="3"/>
  <c r="Z989" i="3"/>
  <c r="Z977" i="3"/>
  <c r="Z965" i="3"/>
  <c r="Z953" i="3"/>
  <c r="Z941" i="3"/>
  <c r="Z929" i="3"/>
  <c r="Z917" i="3"/>
  <c r="Z905" i="3"/>
  <c r="Z893" i="3"/>
  <c r="Z881" i="3"/>
  <c r="Z869" i="3"/>
  <c r="Z857" i="3"/>
  <c r="Z845" i="3"/>
  <c r="Z833" i="3"/>
  <c r="Z821" i="3"/>
  <c r="Z809" i="3"/>
  <c r="Z797" i="3"/>
  <c r="Z785" i="3"/>
  <c r="Z773" i="3"/>
  <c r="Z761" i="3"/>
  <c r="Z749" i="3"/>
  <c r="Z737" i="3"/>
  <c r="Z725" i="3"/>
  <c r="Z713" i="3"/>
  <c r="Z701" i="3"/>
  <c r="Z689" i="3"/>
  <c r="Z677" i="3"/>
  <c r="Z665" i="3"/>
  <c r="Z653" i="3"/>
  <c r="Z641" i="3"/>
  <c r="Z629" i="3"/>
  <c r="Z617" i="3"/>
  <c r="Z605" i="3"/>
  <c r="Z593" i="3"/>
  <c r="Z581" i="3"/>
  <c r="Z569" i="3"/>
  <c r="Z557" i="3"/>
  <c r="Z545" i="3"/>
  <c r="Z533" i="3"/>
  <c r="Z521" i="3"/>
  <c r="Z509" i="3"/>
  <c r="Z497" i="3"/>
  <c r="Z485" i="3"/>
  <c r="Z473" i="3"/>
  <c r="Z461" i="3"/>
  <c r="Z449" i="3"/>
  <c r="Z437" i="3"/>
  <c r="Z425" i="3"/>
  <c r="Z413" i="3"/>
  <c r="Z401" i="3"/>
  <c r="Z389" i="3"/>
  <c r="Z377" i="3"/>
  <c r="Z365" i="3"/>
  <c r="Z353" i="3"/>
  <c r="Z341" i="3"/>
  <c r="Z329" i="3"/>
  <c r="Z293" i="3"/>
  <c r="Z269" i="3"/>
  <c r="Z257" i="3"/>
  <c r="Z233" i="3"/>
  <c r="Z221" i="3"/>
  <c r="Z209" i="3"/>
  <c r="Z197" i="3"/>
  <c r="Z185" i="3"/>
  <c r="Z173" i="3"/>
  <c r="Z161" i="3"/>
  <c r="Z125" i="3"/>
  <c r="Z101" i="3"/>
  <c r="Z77" i="3"/>
  <c r="Z53" i="3"/>
  <c r="Z29" i="3"/>
  <c r="Z17" i="3"/>
  <c r="Z1130" i="3"/>
  <c r="Z1070" i="3"/>
  <c r="Z1022" i="3"/>
  <c r="Z962" i="3"/>
  <c r="Z890" i="3"/>
  <c r="Z830" i="3"/>
  <c r="Z782" i="3"/>
  <c r="Z710" i="3"/>
  <c r="Z686" i="3"/>
  <c r="Z614" i="3"/>
  <c r="Z578" i="3"/>
  <c r="Z518" i="3"/>
  <c r="Z494" i="3"/>
  <c r="Z470" i="3"/>
  <c r="Z446" i="3"/>
  <c r="Z422" i="3"/>
  <c r="Z398" i="3"/>
  <c r="Z374" i="3"/>
  <c r="Z350" i="3"/>
  <c r="Z326" i="3"/>
  <c r="Z302" i="3"/>
  <c r="Z278" i="3"/>
  <c r="Z254" i="3"/>
  <c r="Z230" i="3"/>
  <c r="Z206" i="3"/>
  <c r="Z182" i="3"/>
  <c r="Z158" i="3"/>
  <c r="Z134" i="3"/>
  <c r="Z110" i="3"/>
  <c r="Z86" i="3"/>
  <c r="Z62" i="3"/>
  <c r="Z38" i="3"/>
  <c r="Z3" i="3"/>
  <c r="Z1166" i="3"/>
  <c r="Z1106" i="3"/>
  <c r="Z1058" i="3"/>
  <c r="Z998" i="3"/>
  <c r="Z950" i="3"/>
  <c r="Z902" i="3"/>
  <c r="Z854" i="3"/>
  <c r="Z794" i="3"/>
  <c r="Z746" i="3"/>
  <c r="Z698" i="3"/>
  <c r="Z626" i="3"/>
  <c r="Z602" i="3"/>
  <c r="Z530" i="3"/>
  <c r="Z506" i="3"/>
  <c r="Z482" i="3"/>
  <c r="Z458" i="3"/>
  <c r="Z434" i="3"/>
  <c r="Z410" i="3"/>
  <c r="Z386" i="3"/>
  <c r="Z362" i="3"/>
  <c r="Z338" i="3"/>
  <c r="Z314" i="3"/>
  <c r="Z290" i="3"/>
  <c r="Z266" i="3"/>
  <c r="Z242" i="3"/>
  <c r="Z218" i="3"/>
  <c r="Z194" i="3"/>
  <c r="Z170" i="3"/>
  <c r="Z146" i="3"/>
  <c r="Z122" i="3"/>
  <c r="Z98" i="3"/>
  <c r="Z74" i="3"/>
  <c r="Z50" i="3"/>
  <c r="Z26" i="3"/>
  <c r="Z14" i="3"/>
  <c r="Z1154" i="3"/>
  <c r="Z1094" i="3"/>
  <c r="Z1034" i="3"/>
  <c r="Z974" i="3"/>
  <c r="Z914" i="3"/>
  <c r="Z842" i="3"/>
  <c r="Z770" i="3"/>
  <c r="Z650" i="3"/>
  <c r="Z566" i="3"/>
  <c r="Z1152" i="3"/>
  <c r="Z1104" i="3"/>
  <c r="Z1056" i="3"/>
  <c r="Z1008" i="3"/>
  <c r="Z960" i="3"/>
  <c r="Z912" i="3"/>
  <c r="Z864" i="3"/>
  <c r="Z792" i="3"/>
  <c r="Z744" i="3"/>
  <c r="Z648" i="3"/>
  <c r="Z612" i="3"/>
  <c r="Z552" i="3"/>
  <c r="Z516" i="3"/>
  <c r="Z468" i="3"/>
  <c r="Z420" i="3"/>
  <c r="Z372" i="3"/>
  <c r="Z324" i="3"/>
  <c r="Z312" i="3"/>
  <c r="Z264" i="3"/>
  <c r="Z252" i="3"/>
  <c r="Z240" i="3"/>
  <c r="Z228" i="3"/>
  <c r="Z216" i="3"/>
  <c r="Z204" i="3"/>
  <c r="Z192" i="3"/>
  <c r="Z180" i="3"/>
  <c r="Z168" i="3"/>
  <c r="Z156" i="3"/>
  <c r="Z144" i="3"/>
  <c r="Z132" i="3"/>
  <c r="Z120" i="3"/>
  <c r="Z108" i="3"/>
  <c r="Z96" i="3"/>
  <c r="Z84" i="3"/>
  <c r="Z72" i="3"/>
  <c r="Z60" i="3"/>
  <c r="Z48" i="3"/>
  <c r="Z36" i="3"/>
  <c r="Z24" i="3"/>
  <c r="Z1142" i="3"/>
  <c r="Z1082" i="3"/>
  <c r="Z1010" i="3"/>
  <c r="Z938" i="3"/>
  <c r="Z866" i="3"/>
  <c r="Z806" i="3"/>
  <c r="Z734" i="3"/>
  <c r="Z674" i="3"/>
  <c r="Z590" i="3"/>
  <c r="Z1164" i="3"/>
  <c r="Z1116" i="3"/>
  <c r="Z1068" i="3"/>
  <c r="Z1020" i="3"/>
  <c r="Z972" i="3"/>
  <c r="Z924" i="3"/>
  <c r="Z876" i="3"/>
  <c r="Z828" i="3"/>
  <c r="Z780" i="3"/>
  <c r="Z732" i="3"/>
  <c r="Z696" i="3"/>
  <c r="Z672" i="3"/>
  <c r="Z588" i="3"/>
  <c r="Z540" i="3"/>
  <c r="Z492" i="3"/>
  <c r="Z444" i="3"/>
  <c r="Z396" i="3"/>
  <c r="Z348" i="3"/>
  <c r="Z288" i="3"/>
  <c r="Z1151" i="3"/>
  <c r="Z1103" i="3"/>
  <c r="Z1067" i="3"/>
  <c r="Z1031" i="3"/>
  <c r="Z995" i="3"/>
  <c r="Z971" i="3"/>
  <c r="Z935" i="3"/>
  <c r="Z911" i="3"/>
  <c r="Z875" i="3"/>
  <c r="Z839" i="3"/>
  <c r="Z791" i="3"/>
  <c r="Z755" i="3"/>
  <c r="Z731" i="3"/>
  <c r="Z695" i="3"/>
  <c r="Z647" i="3"/>
  <c r="Z611" i="3"/>
  <c r="Z587" i="3"/>
  <c r="Z563" i="3"/>
  <c r="Z551" i="3"/>
  <c r="Z527" i="3"/>
  <c r="Z503" i="3"/>
  <c r="Z491" i="3"/>
  <c r="Z479" i="3"/>
  <c r="Z467" i="3"/>
  <c r="Z455" i="3"/>
  <c r="Z443" i="3"/>
  <c r="Z431" i="3"/>
  <c r="Z419" i="3"/>
  <c r="Z407" i="3"/>
  <c r="Z395" i="3"/>
  <c r="Z758" i="3"/>
  <c r="Z638" i="3"/>
  <c r="Z554" i="3"/>
  <c r="Z1140" i="3"/>
  <c r="Z1092" i="3"/>
  <c r="Z1032" i="3"/>
  <c r="Z984" i="3"/>
  <c r="Z936" i="3"/>
  <c r="Z888" i="3"/>
  <c r="Z840" i="3"/>
  <c r="Z816" i="3"/>
  <c r="Z768" i="3"/>
  <c r="Z720" i="3"/>
  <c r="Z684" i="3"/>
  <c r="Z660" i="3"/>
  <c r="Z624" i="3"/>
  <c r="Z576" i="3"/>
  <c r="Z528" i="3"/>
  <c r="Z480" i="3"/>
  <c r="Z432" i="3"/>
  <c r="Z384" i="3"/>
  <c r="Z336" i="3"/>
  <c r="Z276" i="3"/>
  <c r="Z1139" i="3"/>
  <c r="Z1115" i="3"/>
  <c r="Z1079" i="3"/>
  <c r="Z1043" i="3"/>
  <c r="Z1007" i="3"/>
  <c r="Z959" i="3"/>
  <c r="Z923" i="3"/>
  <c r="Z887" i="3"/>
  <c r="Z851" i="3"/>
  <c r="Z815" i="3"/>
  <c r="Z779" i="3"/>
  <c r="Z743" i="3"/>
  <c r="Z707" i="3"/>
  <c r="Z659" i="3"/>
  <c r="Z635" i="3"/>
  <c r="Z599" i="3"/>
  <c r="Z515" i="3"/>
  <c r="Z1150" i="3"/>
  <c r="Z1126" i="3"/>
  <c r="Z1114" i="3"/>
  <c r="Z1090" i="3"/>
  <c r="Z1078" i="3"/>
  <c r="Z1066" i="3"/>
  <c r="Z1054" i="3"/>
  <c r="Z1042" i="3"/>
  <c r="Z1030" i="3"/>
  <c r="Z1018" i="3"/>
  <c r="Z1006" i="3"/>
  <c r="Z994" i="3"/>
  <c r="Z982" i="3"/>
  <c r="Z970" i="3"/>
  <c r="Z958" i="3"/>
  <c r="Z946" i="3"/>
  <c r="Z922" i="3"/>
  <c r="Z898" i="3"/>
  <c r="Z874" i="3"/>
  <c r="Z850" i="3"/>
  <c r="Z826" i="3"/>
  <c r="Z790" i="3"/>
  <c r="Z754" i="3"/>
  <c r="Z718" i="3"/>
  <c r="Z1118" i="3"/>
  <c r="Z1046" i="3"/>
  <c r="Z986" i="3"/>
  <c r="Z926" i="3"/>
  <c r="Z878" i="3"/>
  <c r="Z818" i="3"/>
  <c r="Z722" i="3"/>
  <c r="Z662" i="3"/>
  <c r="Z542" i="3"/>
  <c r="Z1128" i="3"/>
  <c r="Z1080" i="3"/>
  <c r="Z1044" i="3"/>
  <c r="Z996" i="3"/>
  <c r="Z948" i="3"/>
  <c r="Z900" i="3"/>
  <c r="Z852" i="3"/>
  <c r="Z804" i="3"/>
  <c r="Z756" i="3"/>
  <c r="Z708" i="3"/>
  <c r="Z636" i="3"/>
  <c r="Z600" i="3"/>
  <c r="Z564" i="3"/>
  <c r="Z504" i="3"/>
  <c r="Z456" i="3"/>
  <c r="Z408" i="3"/>
  <c r="Z360" i="3"/>
  <c r="Z300" i="3"/>
  <c r="Z1163" i="3"/>
  <c r="Z1127" i="3"/>
  <c r="Z1091" i="3"/>
  <c r="Z1055" i="3"/>
  <c r="Z1019" i="3"/>
  <c r="Z983" i="3"/>
  <c r="Z947" i="3"/>
  <c r="Z899" i="3"/>
  <c r="Z863" i="3"/>
  <c r="Z827" i="3"/>
  <c r="Z803" i="3"/>
  <c r="Z767" i="3"/>
  <c r="Z719" i="3"/>
  <c r="Z683" i="3"/>
  <c r="Z671" i="3"/>
  <c r="Z623" i="3"/>
  <c r="Z575" i="3"/>
  <c r="Z539" i="3"/>
  <c r="Z1162" i="3"/>
  <c r="Z1138" i="3"/>
  <c r="Z1102" i="3"/>
  <c r="Z934" i="3"/>
  <c r="Z910" i="3"/>
  <c r="Z886" i="3"/>
  <c r="Z862" i="3"/>
  <c r="Z838" i="3"/>
  <c r="Z814" i="3"/>
  <c r="Z802" i="3"/>
  <c r="Z778" i="3"/>
  <c r="Z766" i="3"/>
  <c r="Z742" i="3"/>
  <c r="Z730" i="3"/>
  <c r="Z1159" i="3"/>
  <c r="Z1147" i="3"/>
  <c r="Z1135" i="3"/>
  <c r="Z1123" i="3"/>
  <c r="Z1111" i="3"/>
  <c r="Z1099" i="3"/>
  <c r="Z1087" i="3"/>
  <c r="Z1075" i="3"/>
  <c r="Z1063" i="3"/>
  <c r="Y1170" i="3"/>
  <c r="Z1170" i="3"/>
  <c r="Z1158" i="3"/>
  <c r="Z1146" i="3"/>
  <c r="Z1134" i="3"/>
  <c r="Z1122" i="3"/>
  <c r="Z1110" i="3"/>
  <c r="Z1098" i="3"/>
  <c r="Z1086" i="3"/>
  <c r="Z1074" i="3"/>
  <c r="Z1062" i="3"/>
  <c r="Z1050" i="3"/>
  <c r="Z1038" i="3"/>
  <c r="Z1026" i="3"/>
  <c r="Z1014" i="3"/>
  <c r="Z1002" i="3"/>
  <c r="Z990" i="3"/>
  <c r="Z978" i="3"/>
  <c r="Z966" i="3"/>
  <c r="Z954" i="3"/>
  <c r="Z942" i="3"/>
  <c r="Z930" i="3"/>
  <c r="Z918" i="3"/>
  <c r="Z906" i="3"/>
  <c r="Z894" i="3"/>
  <c r="Z882" i="3"/>
  <c r="Z870" i="3"/>
  <c r="Z858" i="3"/>
  <c r="Z846" i="3"/>
  <c r="Z834" i="3"/>
  <c r="Z822" i="3"/>
  <c r="Z810" i="3"/>
  <c r="Z798" i="3"/>
  <c r="Z786" i="3"/>
  <c r="Z774" i="3"/>
  <c r="Z762" i="3"/>
  <c r="Z750" i="3"/>
  <c r="Z738" i="3"/>
  <c r="Z726" i="3"/>
  <c r="Z714" i="3"/>
  <c r="Z702" i="3"/>
  <c r="Z690" i="3"/>
  <c r="Z678" i="3"/>
  <c r="Z666" i="3"/>
  <c r="Z654" i="3"/>
  <c r="Z642" i="3"/>
  <c r="Z630" i="3"/>
  <c r="Z618" i="3"/>
  <c r="Z606" i="3"/>
  <c r="Z594" i="3"/>
  <c r="Z582" i="3"/>
  <c r="Z570" i="3"/>
  <c r="Z558" i="3"/>
  <c r="Z546" i="3"/>
  <c r="Z534" i="3"/>
  <c r="Z522" i="3"/>
  <c r="Z510" i="3"/>
  <c r="Z498" i="3"/>
  <c r="Z486" i="3"/>
  <c r="Z474" i="3"/>
  <c r="Z317" i="3"/>
  <c r="Z305" i="3"/>
  <c r="Z281" i="3"/>
  <c r="Z245" i="3"/>
  <c r="Z149" i="3"/>
  <c r="Z137" i="3"/>
  <c r="Z113" i="3"/>
  <c r="Z89" i="3"/>
  <c r="Z65" i="3"/>
  <c r="Z41" i="3"/>
  <c r="Z5" i="3"/>
  <c r="Z1168" i="3"/>
  <c r="Z1156" i="3"/>
  <c r="Z1144" i="3"/>
  <c r="Z1132" i="3"/>
  <c r="Z1120" i="3"/>
  <c r="Z1108" i="3"/>
  <c r="Z1096" i="3"/>
  <c r="Z1084" i="3"/>
  <c r="Z1072" i="3"/>
  <c r="Z1060" i="3"/>
  <c r="Z1048" i="3"/>
  <c r="Z1036" i="3"/>
  <c r="Z1024" i="3"/>
  <c r="Z1012" i="3"/>
  <c r="Z1000" i="3"/>
  <c r="Z988" i="3"/>
  <c r="Z976" i="3"/>
  <c r="Z964" i="3"/>
  <c r="Z952" i="3"/>
  <c r="Z940" i="3"/>
  <c r="Z928" i="3"/>
  <c r="Z916" i="3"/>
  <c r="Z904" i="3"/>
  <c r="Z892" i="3"/>
  <c r="Z880" i="3"/>
  <c r="Z868" i="3"/>
  <c r="Z856" i="3"/>
  <c r="Z844" i="3"/>
  <c r="Z832" i="3"/>
  <c r="Z820" i="3"/>
  <c r="Z808" i="3"/>
  <c r="Z796" i="3"/>
  <c r="Z784" i="3"/>
  <c r="Z772" i="3"/>
  <c r="Z760" i="3"/>
  <c r="Z748" i="3"/>
  <c r="Z736" i="3"/>
  <c r="Z724" i="3"/>
  <c r="Z712" i="3"/>
  <c r="Z700" i="3"/>
  <c r="Z688" i="3"/>
  <c r="Z676" i="3"/>
  <c r="Z664" i="3"/>
  <c r="Z652" i="3"/>
  <c r="Z640" i="3"/>
  <c r="Z628" i="3"/>
  <c r="Z616" i="3"/>
  <c r="Z604" i="3"/>
  <c r="Z592" i="3"/>
  <c r="Z580" i="3"/>
  <c r="Z568" i="3"/>
  <c r="Z556" i="3"/>
  <c r="Z544" i="3"/>
  <c r="Z532" i="3"/>
  <c r="Z520" i="3"/>
  <c r="Z508" i="3"/>
  <c r="Z496" i="3"/>
  <c r="Z484" i="3"/>
  <c r="Z472" i="3"/>
  <c r="Z460" i="3"/>
  <c r="Z448" i="3"/>
  <c r="Z436" i="3"/>
  <c r="Z424" i="3"/>
  <c r="Z412" i="3"/>
  <c r="Z400" i="3"/>
  <c r="Z388" i="3"/>
  <c r="Z376" i="3"/>
  <c r="Z364" i="3"/>
  <c r="Z1165" i="3"/>
  <c r="Z1153" i="3"/>
  <c r="Z1141" i="3"/>
  <c r="Z1129" i="3"/>
  <c r="Z1117" i="3"/>
  <c r="Z1105" i="3"/>
  <c r="Z1093" i="3"/>
  <c r="Z1081" i="3"/>
  <c r="Z1069" i="3"/>
  <c r="Z1057" i="3"/>
  <c r="Z1045" i="3"/>
  <c r="Z1033" i="3"/>
  <c r="Z1021" i="3"/>
  <c r="Z1009" i="3"/>
  <c r="Z997" i="3"/>
  <c r="Z985" i="3"/>
  <c r="Z973" i="3"/>
  <c r="Z961" i="3"/>
  <c r="Z949" i="3"/>
  <c r="Z937" i="3"/>
  <c r="Z925" i="3"/>
  <c r="Z913" i="3"/>
  <c r="Z901" i="3"/>
  <c r="Z889" i="3"/>
  <c r="Z877" i="3"/>
  <c r="Z865" i="3"/>
  <c r="Z853" i="3"/>
  <c r="Z841" i="3"/>
  <c r="Z829" i="3"/>
  <c r="Z817" i="3"/>
  <c r="Z805" i="3"/>
  <c r="Z793" i="3"/>
  <c r="Z781" i="3"/>
  <c r="Z769" i="3"/>
  <c r="Z757" i="3"/>
  <c r="Z745" i="3"/>
  <c r="Z733" i="3"/>
  <c r="Z721" i="3"/>
  <c r="Z709" i="3"/>
  <c r="Z697" i="3"/>
  <c r="Z685" i="3"/>
  <c r="Z673" i="3"/>
  <c r="Z661" i="3"/>
  <c r="Z649" i="3"/>
  <c r="Z637" i="3"/>
  <c r="Z625" i="3"/>
  <c r="Z613" i="3"/>
  <c r="Z601" i="3"/>
  <c r="Z589" i="3"/>
  <c r="Z577" i="3"/>
  <c r="Z565" i="3"/>
  <c r="Z553" i="3"/>
  <c r="Z541" i="3"/>
  <c r="Z529" i="3"/>
  <c r="Z517" i="3"/>
  <c r="Z505" i="3"/>
  <c r="Z493" i="3"/>
  <c r="Z481" i="3"/>
  <c r="Z469" i="3"/>
  <c r="Z457" i="3"/>
  <c r="Z445" i="3"/>
  <c r="Z433" i="3"/>
  <c r="Z421" i="3"/>
  <c r="Z409" i="3"/>
  <c r="Z397" i="3"/>
  <c r="Z385" i="3"/>
  <c r="Z373" i="3"/>
  <c r="Z361" i="3"/>
  <c r="Z349" i="3"/>
  <c r="Z337" i="3"/>
  <c r="Z325" i="3"/>
  <c r="Z313" i="3"/>
  <c r="Z301" i="3"/>
  <c r="Z289" i="3"/>
  <c r="Z277" i="3"/>
  <c r="Z12" i="3"/>
  <c r="Z383" i="3"/>
  <c r="Z371" i="3"/>
  <c r="Z359" i="3"/>
  <c r="Z347" i="3"/>
  <c r="Z335" i="3"/>
  <c r="Z323" i="3"/>
  <c r="Z311" i="3"/>
  <c r="Z299" i="3"/>
  <c r="Z287" i="3"/>
  <c r="Z275" i="3"/>
  <c r="Z263" i="3"/>
  <c r="Z251" i="3"/>
  <c r="Z239" i="3"/>
  <c r="Z227" i="3"/>
  <c r="Z215" i="3"/>
  <c r="Z203" i="3"/>
  <c r="Z191" i="3"/>
  <c r="Z179" i="3"/>
  <c r="Z167" i="3"/>
  <c r="Z155" i="3"/>
  <c r="Z143" i="3"/>
  <c r="Z131" i="3"/>
  <c r="Z119" i="3"/>
  <c r="Z107" i="3"/>
  <c r="Z95" i="3"/>
  <c r="Z83" i="3"/>
  <c r="Z71" i="3"/>
  <c r="Z59" i="3"/>
  <c r="Z47" i="3"/>
  <c r="Z35" i="3"/>
  <c r="Z23" i="3"/>
  <c r="Z11" i="3"/>
  <c r="Z694" i="3"/>
  <c r="Z670" i="3"/>
  <c r="Z646" i="3"/>
  <c r="Z622" i="3"/>
  <c r="Z598" i="3"/>
  <c r="Z574" i="3"/>
  <c r="Z550" i="3"/>
  <c r="Z526" i="3"/>
  <c r="Z502" i="3"/>
  <c r="Z478" i="3"/>
  <c r="Z454" i="3"/>
  <c r="Z430" i="3"/>
  <c r="Z406" i="3"/>
  <c r="Z382" i="3"/>
  <c r="Z358" i="3"/>
  <c r="Z346" i="3"/>
  <c r="Z322" i="3"/>
  <c r="Z310" i="3"/>
  <c r="Z298" i="3"/>
  <c r="Z286" i="3"/>
  <c r="Z274" i="3"/>
  <c r="Z262" i="3"/>
  <c r="Z250" i="3"/>
  <c r="Z238" i="3"/>
  <c r="Z226" i="3"/>
  <c r="Z214" i="3"/>
  <c r="Z202" i="3"/>
  <c r="Z190" i="3"/>
  <c r="Z178" i="3"/>
  <c r="Z166" i="3"/>
  <c r="Z154" i="3"/>
  <c r="Z142" i="3"/>
  <c r="Z130" i="3"/>
  <c r="Z118" i="3"/>
  <c r="Z106" i="3"/>
  <c r="Z94" i="3"/>
  <c r="Z82" i="3"/>
  <c r="Z70" i="3"/>
  <c r="Z58" i="3"/>
  <c r="Z46" i="3"/>
  <c r="Z34" i="3"/>
  <c r="Z22" i="3"/>
  <c r="Z10" i="3"/>
  <c r="Z706" i="3"/>
  <c r="Z682" i="3"/>
  <c r="Z658" i="3"/>
  <c r="Z634" i="3"/>
  <c r="Z610" i="3"/>
  <c r="Z586" i="3"/>
  <c r="Z562" i="3"/>
  <c r="Z538" i="3"/>
  <c r="Z514" i="3"/>
  <c r="Z490" i="3"/>
  <c r="Z466" i="3"/>
  <c r="Z442" i="3"/>
  <c r="Z418" i="3"/>
  <c r="Z394" i="3"/>
  <c r="Z370" i="3"/>
  <c r="Z334" i="3"/>
  <c r="Z1161" i="3"/>
  <c r="Z1149" i="3"/>
  <c r="Z1137" i="3"/>
  <c r="Z1125" i="3"/>
  <c r="Z1113" i="3"/>
  <c r="Z1101" i="3"/>
  <c r="Z1089" i="3"/>
  <c r="Z1077" i="3"/>
  <c r="Z1065" i="3"/>
  <c r="Z1053" i="3"/>
  <c r="Z1041" i="3"/>
  <c r="Z1029" i="3"/>
  <c r="Z1017" i="3"/>
  <c r="Z1005" i="3"/>
  <c r="Z993" i="3"/>
  <c r="Z981" i="3"/>
  <c r="Z969" i="3"/>
  <c r="Z957" i="3"/>
  <c r="Z945" i="3"/>
  <c r="Z933" i="3"/>
  <c r="Z921" i="3"/>
  <c r="Z909" i="3"/>
  <c r="Z897" i="3"/>
  <c r="Z885" i="3"/>
  <c r="Z873" i="3"/>
  <c r="Z861" i="3"/>
  <c r="Z849" i="3"/>
  <c r="Z837" i="3"/>
  <c r="Z825" i="3"/>
  <c r="Z813" i="3"/>
  <c r="Z801" i="3"/>
  <c r="Z789" i="3"/>
  <c r="Z777" i="3"/>
  <c r="Z765" i="3"/>
  <c r="Z753" i="3"/>
  <c r="Z741" i="3"/>
  <c r="Z729" i="3"/>
  <c r="Z717" i="3"/>
  <c r="Z705" i="3"/>
  <c r="Z693" i="3"/>
  <c r="Z681" i="3"/>
  <c r="Z669" i="3"/>
  <c r="Z657" i="3"/>
  <c r="Z645" i="3"/>
  <c r="Z633" i="3"/>
  <c r="Z621" i="3"/>
  <c r="Z609" i="3"/>
  <c r="Z597" i="3"/>
  <c r="Z585" i="3"/>
  <c r="Z573" i="3"/>
  <c r="Z561" i="3"/>
  <c r="Z549" i="3"/>
  <c r="Z537" i="3"/>
  <c r="Z525" i="3"/>
  <c r="Z513" i="3"/>
  <c r="Z501" i="3"/>
  <c r="Z489" i="3"/>
  <c r="Z477" i="3"/>
  <c r="Z465" i="3"/>
  <c r="Z453" i="3"/>
  <c r="Z441" i="3"/>
  <c r="Z429" i="3"/>
  <c r="Z417" i="3"/>
  <c r="Z405" i="3"/>
  <c r="Z393" i="3"/>
  <c r="Z381" i="3"/>
  <c r="Z369" i="3"/>
  <c r="Z357" i="3"/>
  <c r="Z345" i="3"/>
  <c r="Z1051" i="3"/>
  <c r="Z1039" i="3"/>
  <c r="Z1027" i="3"/>
  <c r="Z1015" i="3"/>
  <c r="Z1003" i="3"/>
  <c r="Z991" i="3"/>
  <c r="Z979" i="3"/>
  <c r="Z967" i="3"/>
  <c r="Z955" i="3"/>
  <c r="Z943" i="3"/>
  <c r="Z931" i="3"/>
  <c r="Z919" i="3"/>
  <c r="Z907" i="3"/>
  <c r="Z895" i="3"/>
  <c r="Z883" i="3"/>
  <c r="Z871" i="3"/>
  <c r="Z859" i="3"/>
  <c r="Z847" i="3"/>
  <c r="Z835" i="3"/>
  <c r="Z823" i="3"/>
  <c r="Z811" i="3"/>
  <c r="Z799" i="3"/>
  <c r="Z787" i="3"/>
  <c r="Z775" i="3"/>
  <c r="Z763" i="3"/>
  <c r="Z751" i="3"/>
  <c r="Z739" i="3"/>
  <c r="Z727" i="3"/>
  <c r="Z715" i="3"/>
  <c r="Z703" i="3"/>
  <c r="Z691" i="3"/>
  <c r="Z679" i="3"/>
  <c r="Z667" i="3"/>
  <c r="Z655" i="3"/>
  <c r="Z643" i="3"/>
  <c r="Z631" i="3"/>
  <c r="Z619" i="3"/>
  <c r="Z607" i="3"/>
  <c r="Z595" i="3"/>
  <c r="Z583" i="3"/>
  <c r="Z571" i="3"/>
  <c r="Z559" i="3"/>
  <c r="Z547" i="3"/>
  <c r="Z535" i="3"/>
  <c r="Z523" i="3"/>
  <c r="Z511" i="3"/>
  <c r="Z499" i="3"/>
  <c r="Z487" i="3"/>
  <c r="Z475" i="3"/>
  <c r="Z463" i="3"/>
  <c r="Z451" i="3"/>
  <c r="Z439" i="3"/>
  <c r="Z427" i="3"/>
  <c r="Z415" i="3"/>
  <c r="Z403" i="3"/>
  <c r="Z391" i="3"/>
  <c r="Z379" i="3"/>
  <c r="Z367" i="3"/>
  <c r="Z355" i="3"/>
  <c r="Z343" i="3"/>
  <c r="Z331" i="3"/>
  <c r="Z319" i="3"/>
  <c r="Z307" i="3"/>
  <c r="Z295" i="3"/>
  <c r="Z283" i="3"/>
  <c r="Z271" i="3"/>
  <c r="Z259" i="3"/>
  <c r="Z247" i="3"/>
  <c r="Z235" i="3"/>
  <c r="Z462" i="3"/>
  <c r="Z450" i="3"/>
  <c r="Z438" i="3"/>
  <c r="Z426" i="3"/>
  <c r="Z414" i="3"/>
  <c r="Z402" i="3"/>
  <c r="Z390" i="3"/>
  <c r="Z378" i="3"/>
  <c r="Z366" i="3"/>
  <c r="Z354" i="3"/>
  <c r="Z342" i="3"/>
  <c r="Z330" i="3"/>
  <c r="Z318" i="3"/>
  <c r="Z306" i="3"/>
  <c r="Z294" i="3"/>
  <c r="Z282" i="3"/>
  <c r="Z270" i="3"/>
  <c r="Z258" i="3"/>
  <c r="Z246" i="3"/>
  <c r="Z234" i="3"/>
  <c r="Z222" i="3"/>
  <c r="Z210" i="3"/>
  <c r="Z198" i="3"/>
  <c r="Z186" i="3"/>
  <c r="Z174" i="3"/>
  <c r="Z162" i="3"/>
  <c r="Z150" i="3"/>
  <c r="Z138" i="3"/>
  <c r="Z126" i="3"/>
  <c r="Z114" i="3"/>
  <c r="Z102" i="3"/>
  <c r="Z90" i="3"/>
  <c r="Z78" i="3"/>
  <c r="Z66" i="3"/>
  <c r="Z54" i="3"/>
  <c r="Z42" i="3"/>
  <c r="Z30" i="3"/>
  <c r="Z18" i="3"/>
  <c r="Z6" i="3"/>
  <c r="Z333" i="3"/>
  <c r="Z321" i="3"/>
  <c r="Z309" i="3"/>
  <c r="Z297" i="3"/>
  <c r="Z285" i="3"/>
  <c r="Z273" i="3"/>
  <c r="Z261" i="3"/>
  <c r="Z249" i="3"/>
  <c r="Z237" i="3"/>
  <c r="Z225" i="3"/>
  <c r="Z213" i="3"/>
  <c r="Z201" i="3"/>
  <c r="Z189" i="3"/>
  <c r="Z177" i="3"/>
  <c r="Z165" i="3"/>
  <c r="Z153" i="3"/>
  <c r="Z141" i="3"/>
  <c r="Z129" i="3"/>
  <c r="Z117" i="3"/>
  <c r="Z105" i="3"/>
  <c r="Z93" i="3"/>
  <c r="Z81" i="3"/>
  <c r="Z69" i="3"/>
  <c r="Z57" i="3"/>
  <c r="Z45" i="3"/>
  <c r="Z33" i="3"/>
  <c r="Z21" i="3"/>
  <c r="Z9" i="3"/>
  <c r="Z223" i="3"/>
  <c r="Z211" i="3"/>
  <c r="Z199" i="3"/>
  <c r="Z187" i="3"/>
  <c r="Z175" i="3"/>
  <c r="Z163" i="3"/>
  <c r="Z151" i="3"/>
  <c r="Z139" i="3"/>
  <c r="Z127" i="3"/>
  <c r="Z115" i="3"/>
  <c r="Z103" i="3"/>
  <c r="Z91" i="3"/>
  <c r="Z79" i="3"/>
  <c r="Z67" i="3"/>
  <c r="Z55" i="3"/>
  <c r="Z43" i="3"/>
  <c r="Z31" i="3"/>
  <c r="Z19" i="3"/>
  <c r="Z7" i="3"/>
  <c r="Z352" i="3"/>
  <c r="Z340" i="3"/>
  <c r="Z328" i="3"/>
  <c r="Z316" i="3"/>
  <c r="Z304" i="3"/>
  <c r="Z292" i="3"/>
  <c r="Z280" i="3"/>
  <c r="Z268" i="3"/>
  <c r="Z256" i="3"/>
  <c r="Z244" i="3"/>
  <c r="Z232" i="3"/>
  <c r="Z220" i="3"/>
  <c r="Z208" i="3"/>
  <c r="Z196" i="3"/>
  <c r="Z184" i="3"/>
  <c r="Z172" i="3"/>
  <c r="Z160" i="3"/>
  <c r="Z148" i="3"/>
  <c r="Z136" i="3"/>
  <c r="Z124" i="3"/>
  <c r="Z112" i="3"/>
  <c r="Z100" i="3"/>
  <c r="Z88" i="3"/>
  <c r="Z76" i="3"/>
  <c r="Z64" i="3"/>
  <c r="Z52" i="3"/>
  <c r="Z40" i="3"/>
  <c r="Z28" i="3"/>
  <c r="Z16" i="3"/>
  <c r="Z4" i="3"/>
  <c r="Z265" i="3"/>
  <c r="Z253" i="3"/>
  <c r="Z241" i="3"/>
  <c r="Z229" i="3"/>
  <c r="Z217" i="3"/>
  <c r="Z205" i="3"/>
  <c r="Z193" i="3"/>
  <c r="Z181" i="3"/>
  <c r="Z169" i="3"/>
  <c r="Z157" i="3"/>
  <c r="Z145" i="3"/>
  <c r="Z133" i="3"/>
  <c r="Z121" i="3"/>
  <c r="Z109" i="3"/>
  <c r="Z97" i="3"/>
  <c r="Z85" i="3"/>
  <c r="Z73" i="3"/>
  <c r="Z61" i="3"/>
  <c r="Z49" i="3"/>
  <c r="Z37" i="3"/>
  <c r="Z25" i="3"/>
  <c r="Z13" i="3"/>
  <c r="Y1152" i="3"/>
  <c r="Y1059" i="3"/>
  <c r="Y793" i="3"/>
  <c r="Y687" i="3"/>
  <c r="Y909" i="3"/>
  <c r="Y741" i="3"/>
  <c r="Y537" i="3"/>
  <c r="Y453" i="3"/>
  <c r="Y321" i="3"/>
  <c r="Y249" i="3"/>
  <c r="Y1009" i="3"/>
  <c r="Y835" i="3"/>
  <c r="Y721" i="3"/>
  <c r="Y626" i="3"/>
  <c r="Y930" i="3"/>
  <c r="Y265" i="3"/>
  <c r="Y1003" i="3"/>
  <c r="Y459" i="3"/>
  <c r="Y2" i="3"/>
  <c r="Y1167" i="3"/>
  <c r="Y886" i="3"/>
  <c r="Y698" i="3"/>
  <c r="Y1071" i="3"/>
  <c r="Y553" i="3"/>
  <c r="Y1047" i="3"/>
  <c r="Y820" i="3"/>
  <c r="Y631" i="3"/>
  <c r="Y415" i="3"/>
  <c r="Y1107" i="3"/>
  <c r="Y963" i="3"/>
  <c r="Y903" i="3"/>
  <c r="Y771" i="3"/>
  <c r="Y651" i="3"/>
  <c r="Y579" i="3"/>
  <c r="Y519" i="3"/>
  <c r="Y483" i="3"/>
  <c r="Y176" i="3"/>
  <c r="Y364" i="3"/>
  <c r="Y1131" i="3"/>
  <c r="Y951" i="3"/>
  <c r="Y915" i="3"/>
  <c r="Y747" i="3"/>
  <c r="Y615" i="3"/>
  <c r="Y207" i="3"/>
  <c r="Y831" i="3"/>
  <c r="Y1119" i="3"/>
  <c r="Y939" i="3"/>
  <c r="Y927" i="3"/>
  <c r="Y879" i="3"/>
  <c r="Y878" i="3"/>
  <c r="Y783" i="3"/>
  <c r="Y663" i="3"/>
  <c r="Y567" i="3"/>
  <c r="Y531" i="3"/>
  <c r="Y406" i="3"/>
  <c r="Y438" i="3"/>
  <c r="Y1054" i="3"/>
  <c r="Y81" i="3"/>
  <c r="Y1125" i="3"/>
  <c r="Y1124" i="3"/>
  <c r="Y1053" i="3"/>
  <c r="Y1016" i="3"/>
  <c r="Y1017" i="3"/>
  <c r="Y969" i="3"/>
  <c r="Y957" i="3"/>
  <c r="Y956" i="3"/>
  <c r="Y921" i="3"/>
  <c r="Y920" i="3"/>
  <c r="Y885" i="3"/>
  <c r="Y884" i="3"/>
  <c r="Y837" i="3"/>
  <c r="Y836" i="3"/>
  <c r="Y765" i="3"/>
  <c r="Y669" i="3"/>
  <c r="Y657" i="3"/>
  <c r="Y656" i="3"/>
  <c r="Y645" i="3"/>
  <c r="Y644" i="3"/>
  <c r="Y633" i="3"/>
  <c r="Y632" i="3"/>
  <c r="Y608" i="3"/>
  <c r="Y609" i="3"/>
  <c r="Y560" i="3"/>
  <c r="Y561" i="3"/>
  <c r="Y489" i="3"/>
  <c r="Y345" i="3"/>
  <c r="Y285" i="3"/>
  <c r="Y189" i="3"/>
  <c r="Y177" i="3"/>
  <c r="Y165" i="3"/>
  <c r="Y164" i="3"/>
  <c r="Y153" i="3"/>
  <c r="Y152" i="3"/>
  <c r="Y129" i="3"/>
  <c r="Y128" i="3"/>
  <c r="Y117" i="3"/>
  <c r="Y116" i="3"/>
  <c r="Y105" i="3"/>
  <c r="Y93" i="3"/>
  <c r="Y92" i="3"/>
  <c r="Y57" i="3"/>
  <c r="Y56" i="3"/>
  <c r="Y21" i="3"/>
  <c r="Y20" i="3"/>
  <c r="Y1135" i="3"/>
  <c r="Y1099" i="3"/>
  <c r="Y1063" i="3"/>
  <c r="Y1027" i="3"/>
  <c r="Y979" i="3"/>
  <c r="Y943" i="3"/>
  <c r="Y907" i="3"/>
  <c r="Y871" i="3"/>
  <c r="Y811" i="3"/>
  <c r="Y763" i="3"/>
  <c r="Y643" i="3"/>
  <c r="Y571" i="3"/>
  <c r="Y511" i="3"/>
  <c r="Y487" i="3"/>
  <c r="Y485" i="3"/>
  <c r="Y439" i="3"/>
  <c r="Y403" i="3"/>
  <c r="Y391" i="3"/>
  <c r="Y390" i="3"/>
  <c r="Y331" i="3"/>
  <c r="Y295" i="3"/>
  <c r="Y294" i="3"/>
  <c r="Y259" i="3"/>
  <c r="Y199" i="3"/>
  <c r="Y175" i="3"/>
  <c r="Y103" i="3"/>
  <c r="Y91" i="3"/>
  <c r="Y90" i="3"/>
  <c r="Y88" i="3"/>
  <c r="Y67" i="3"/>
  <c r="Y55" i="3"/>
  <c r="Y54" i="3"/>
  <c r="Y42" i="3"/>
  <c r="Y43" i="3"/>
  <c r="Y41" i="3"/>
  <c r="Y31" i="3"/>
  <c r="Y29" i="3"/>
  <c r="Y509" i="3"/>
  <c r="Y61" i="3"/>
  <c r="Y925" i="3"/>
  <c r="Y255" i="3"/>
  <c r="Y38" i="3"/>
  <c r="Y171" i="3"/>
  <c r="Y670" i="3"/>
  <c r="Y547" i="3"/>
  <c r="Y1137" i="3"/>
  <c r="Y1136" i="3"/>
  <c r="Y1065" i="3"/>
  <c r="Y1029" i="3"/>
  <c r="Y1028" i="3"/>
  <c r="Y992" i="3"/>
  <c r="Y993" i="3"/>
  <c r="Y945" i="3"/>
  <c r="Y825" i="3"/>
  <c r="Y789" i="3"/>
  <c r="Y788" i="3"/>
  <c r="Y729" i="3"/>
  <c r="Y716" i="3"/>
  <c r="Y717" i="3"/>
  <c r="Y705" i="3"/>
  <c r="Y704" i="3"/>
  <c r="Y597" i="3"/>
  <c r="Y573" i="3"/>
  <c r="Y572" i="3"/>
  <c r="Y477" i="3"/>
  <c r="Y393" i="3"/>
  <c r="Y369" i="3"/>
  <c r="Y368" i="3"/>
  <c r="Y333" i="3"/>
  <c r="Y308" i="3"/>
  <c r="Y309" i="3"/>
  <c r="Y297" i="3"/>
  <c r="Y296" i="3"/>
  <c r="Y273" i="3"/>
  <c r="Y261" i="3"/>
  <c r="Y260" i="3"/>
  <c r="Y237" i="3"/>
  <c r="Y236" i="3"/>
  <c r="Y225" i="3"/>
  <c r="Y224" i="3"/>
  <c r="Y201" i="3"/>
  <c r="Y200" i="3"/>
  <c r="Y141" i="3"/>
  <c r="Y69" i="3"/>
  <c r="Y33" i="3"/>
  <c r="Y32" i="3"/>
  <c r="Y1147" i="3"/>
  <c r="Y1111" i="3"/>
  <c r="Y1051" i="3"/>
  <c r="Y1015" i="3"/>
  <c r="Y955" i="3"/>
  <c r="Y919" i="3"/>
  <c r="Y883" i="3"/>
  <c r="Y847" i="3"/>
  <c r="Y787" i="3"/>
  <c r="Y739" i="3"/>
  <c r="Y702" i="3"/>
  <c r="Y703" i="3"/>
  <c r="Y701" i="3"/>
  <c r="Y619" i="3"/>
  <c r="Y607" i="3"/>
  <c r="Y606" i="3"/>
  <c r="Y523" i="3"/>
  <c r="Y475" i="3"/>
  <c r="Y463" i="3"/>
  <c r="Y462" i="3"/>
  <c r="Y427" i="3"/>
  <c r="Y367" i="3"/>
  <c r="Y307" i="3"/>
  <c r="Y271" i="3"/>
  <c r="Y247" i="3"/>
  <c r="Y246" i="3"/>
  <c r="Y211" i="3"/>
  <c r="Y163" i="3"/>
  <c r="Y79" i="3"/>
  <c r="Y7" i="3"/>
  <c r="Y1145" i="3"/>
  <c r="Y1121" i="3"/>
  <c r="Y1097" i="3"/>
  <c r="Y1073" i="3"/>
  <c r="Y1049" i="3"/>
  <c r="Y1048" i="3"/>
  <c r="Y1025" i="3"/>
  <c r="Y1001" i="3"/>
  <c r="Y965" i="3"/>
  <c r="Y844" i="3"/>
  <c r="Y796" i="3"/>
  <c r="Y749" i="3"/>
  <c r="Y341" i="3"/>
  <c r="Y161" i="3"/>
  <c r="Y89" i="3"/>
  <c r="Y1110" i="3"/>
  <c r="Y914" i="3"/>
  <c r="Y1143" i="3"/>
  <c r="Y1035" i="3"/>
  <c r="Y1023" i="3"/>
  <c r="Y975" i="3"/>
  <c r="Y971" i="3"/>
  <c r="Y891" i="3"/>
  <c r="Y699" i="3"/>
  <c r="Y591" i="3"/>
  <c r="Y135" i="3"/>
  <c r="Y642" i="3"/>
  <c r="Y1126" i="3"/>
  <c r="Y1042" i="3"/>
  <c r="Y1161" i="3"/>
  <c r="Y1160" i="3"/>
  <c r="Y1113" i="3"/>
  <c r="Y1088" i="3"/>
  <c r="Y1089" i="3"/>
  <c r="Y1077" i="3"/>
  <c r="Y1076" i="3"/>
  <c r="Y1041" i="3"/>
  <c r="Y1040" i="3"/>
  <c r="Y981" i="3"/>
  <c r="Y873" i="3"/>
  <c r="Y801" i="3"/>
  <c r="Y777" i="3"/>
  <c r="Y776" i="3"/>
  <c r="Y693" i="3"/>
  <c r="Y621" i="3"/>
  <c r="Y585" i="3"/>
  <c r="Y584" i="3"/>
  <c r="Y525" i="3"/>
  <c r="Y501" i="3"/>
  <c r="Y500" i="3"/>
  <c r="Y465" i="3"/>
  <c r="Y417" i="3"/>
  <c r="Y380" i="3"/>
  <c r="Y381" i="3"/>
  <c r="Y356" i="3"/>
  <c r="Y357" i="3"/>
  <c r="Y213" i="3"/>
  <c r="Y9" i="3"/>
  <c r="Y980" i="3"/>
  <c r="Y736" i="3"/>
  <c r="Y532" i="3"/>
  <c r="Y270" i="3"/>
  <c r="Y66" i="3"/>
  <c r="Y1159" i="3"/>
  <c r="Y1123" i="3"/>
  <c r="Y1087" i="3"/>
  <c r="Y1075" i="3"/>
  <c r="Y1039" i="3"/>
  <c r="Y991" i="3"/>
  <c r="Y967" i="3"/>
  <c r="Y931" i="3"/>
  <c r="Y895" i="3"/>
  <c r="Y859" i="3"/>
  <c r="Y823" i="3"/>
  <c r="Y799" i="3"/>
  <c r="Y775" i="3"/>
  <c r="Y774" i="3"/>
  <c r="Y773" i="3"/>
  <c r="Y751" i="3"/>
  <c r="Y750" i="3"/>
  <c r="Y748" i="3"/>
  <c r="Y727" i="3"/>
  <c r="Y715" i="3"/>
  <c r="Y714" i="3"/>
  <c r="Y691" i="3"/>
  <c r="Y689" i="3"/>
  <c r="Y679" i="3"/>
  <c r="Y678" i="3"/>
  <c r="Y667" i="3"/>
  <c r="Y666" i="3"/>
  <c r="Y655" i="3"/>
  <c r="Y653" i="3"/>
  <c r="Y595" i="3"/>
  <c r="Y583" i="3"/>
  <c r="Y582" i="3"/>
  <c r="Y557" i="3"/>
  <c r="Y559" i="3"/>
  <c r="Y535" i="3"/>
  <c r="Y534" i="3"/>
  <c r="Y499" i="3"/>
  <c r="Y451" i="3"/>
  <c r="Y412" i="3"/>
  <c r="Y379" i="3"/>
  <c r="Y355" i="3"/>
  <c r="Y319" i="3"/>
  <c r="Y317" i="3"/>
  <c r="Y283" i="3"/>
  <c r="Y235" i="3"/>
  <c r="Y223" i="3"/>
  <c r="Y187" i="3"/>
  <c r="Y151" i="3"/>
  <c r="Y139" i="3"/>
  <c r="Y138" i="3"/>
  <c r="Y127" i="3"/>
  <c r="Y124" i="3"/>
  <c r="Y115" i="3"/>
  <c r="Y114" i="3"/>
  <c r="Y113" i="3"/>
  <c r="Y19" i="3"/>
  <c r="Y726" i="3"/>
  <c r="Y1156" i="3"/>
  <c r="Y1157" i="3"/>
  <c r="Y1133" i="3"/>
  <c r="Y1132" i="3"/>
  <c r="Y1109" i="3"/>
  <c r="Y1085" i="3"/>
  <c r="Y1061" i="3"/>
  <c r="Y1037" i="3"/>
  <c r="Y1013" i="3"/>
  <c r="Y989" i="3"/>
  <c r="Y977" i="3"/>
  <c r="Y953" i="3"/>
  <c r="Y821" i="3"/>
  <c r="Y761" i="3"/>
  <c r="Y629" i="3"/>
  <c r="Y388" i="3"/>
  <c r="Y184" i="3"/>
  <c r="Y137" i="3"/>
  <c r="Y101" i="3"/>
  <c r="Y1106" i="3"/>
  <c r="Y647" i="3"/>
  <c r="Y442" i="3"/>
  <c r="Y226" i="3"/>
  <c r="Y1083" i="3"/>
  <c r="Y987" i="3"/>
  <c r="Y855" i="3"/>
  <c r="Y759" i="3"/>
  <c r="Y711" i="3"/>
  <c r="Y603" i="3"/>
  <c r="Y311" i="3"/>
  <c r="Y1096" i="3"/>
  <c r="Y1095" i="3"/>
  <c r="Y819" i="3"/>
  <c r="Y795" i="3"/>
  <c r="Y675" i="3"/>
  <c r="Y627" i="3"/>
  <c r="Y495" i="3"/>
  <c r="Y490" i="3"/>
  <c r="Y395" i="3"/>
  <c r="Y1024" i="3"/>
  <c r="Y604" i="3"/>
  <c r="Y359" i="3"/>
  <c r="Y154" i="3"/>
  <c r="Y1155" i="3"/>
  <c r="Y999" i="3"/>
  <c r="Y867" i="3"/>
  <c r="Y807" i="3"/>
  <c r="Y723" i="3"/>
  <c r="Y543" i="3"/>
  <c r="Y1115" i="3"/>
  <c r="Y1067" i="3"/>
  <c r="Y1030" i="3"/>
  <c r="Y983" i="3"/>
  <c r="Y839" i="3"/>
  <c r="Y767" i="3"/>
  <c r="Y599" i="3"/>
  <c r="Y370" i="3"/>
  <c r="Y323" i="3"/>
  <c r="Y202" i="3"/>
  <c r="Y179" i="3"/>
  <c r="Y107" i="3"/>
  <c r="Y1018" i="3"/>
  <c r="Y814" i="3"/>
  <c r="Y349" i="3"/>
  <c r="Y133" i="3"/>
  <c r="Y1011" i="3"/>
  <c r="Y843" i="3"/>
  <c r="Y735" i="3"/>
  <c r="Y639" i="3"/>
  <c r="Y507" i="3"/>
  <c r="Y14" i="3"/>
  <c r="Y160" i="3"/>
  <c r="Y343" i="3"/>
  <c r="Y555" i="3"/>
  <c r="Y302" i="3"/>
  <c r="Y1091" i="3"/>
  <c r="Y958" i="3"/>
  <c r="Y1149" i="3"/>
  <c r="Y1101" i="3"/>
  <c r="Y1100" i="3"/>
  <c r="Y1005" i="3"/>
  <c r="Y933" i="3"/>
  <c r="Y897" i="3"/>
  <c r="Y896" i="3"/>
  <c r="Y860" i="3"/>
  <c r="Y861" i="3"/>
  <c r="Y849" i="3"/>
  <c r="Y848" i="3"/>
  <c r="Y813" i="3"/>
  <c r="Y812" i="3"/>
  <c r="Y753" i="3"/>
  <c r="Y752" i="3"/>
  <c r="Y681" i="3"/>
  <c r="Y549" i="3"/>
  <c r="Y513" i="3"/>
  <c r="Y512" i="3"/>
  <c r="Y452" i="3"/>
  <c r="Y441" i="3"/>
  <c r="Y440" i="3"/>
  <c r="Y429" i="3"/>
  <c r="Y428" i="3"/>
  <c r="Y405" i="3"/>
  <c r="Y404" i="3"/>
  <c r="Y45" i="3"/>
  <c r="Y76" i="3"/>
  <c r="Y423" i="3"/>
  <c r="Y375" i="3"/>
  <c r="Y339" i="3"/>
  <c r="Y279" i="3"/>
  <c r="Y231" i="3"/>
  <c r="Y147" i="3"/>
  <c r="Y99" i="3"/>
  <c r="Y63" i="3"/>
  <c r="Y15" i="3"/>
  <c r="Y471" i="3"/>
  <c r="Y435" i="3"/>
  <c r="Y399" i="3"/>
  <c r="Y363" i="3"/>
  <c r="Y327" i="3"/>
  <c r="Y303" i="3"/>
  <c r="Y267" i="3"/>
  <c r="Y219" i="3"/>
  <c r="Y183" i="3"/>
  <c r="Y123" i="3"/>
  <c r="Y75" i="3"/>
  <c r="Y39" i="3"/>
  <c r="Y1154" i="3"/>
  <c r="Y1130" i="3"/>
  <c r="Y1094" i="3"/>
  <c r="Y1082" i="3"/>
  <c r="Y1058" i="3"/>
  <c r="Y1034" i="3"/>
  <c r="Y1010" i="3"/>
  <c r="Y998" i="3"/>
  <c r="Y997" i="3"/>
  <c r="Y985" i="3"/>
  <c r="Y986" i="3"/>
  <c r="Y974" i="3"/>
  <c r="Y973" i="3"/>
  <c r="Y938" i="3"/>
  <c r="Y913" i="3"/>
  <c r="Y901" i="3"/>
  <c r="Y902" i="3"/>
  <c r="Y841" i="3"/>
  <c r="Y830" i="3"/>
  <c r="Y829" i="3"/>
  <c r="Y817" i="3"/>
  <c r="Y818" i="3"/>
  <c r="Y805" i="3"/>
  <c r="Y806" i="3"/>
  <c r="Y769" i="3"/>
  <c r="Y770" i="3"/>
  <c r="Y697" i="3"/>
  <c r="Y686" i="3"/>
  <c r="Y685" i="3"/>
  <c r="Y529" i="3"/>
  <c r="Y530" i="3"/>
  <c r="Y505" i="3"/>
  <c r="Y493" i="3"/>
  <c r="Y494" i="3"/>
  <c r="Y481" i="3"/>
  <c r="Y482" i="3"/>
  <c r="Y470" i="3"/>
  <c r="Y469" i="3"/>
  <c r="Y458" i="3"/>
  <c r="Y457" i="3"/>
  <c r="Y433" i="3"/>
  <c r="Y434" i="3"/>
  <c r="Y410" i="3"/>
  <c r="Y409" i="3"/>
  <c r="Y385" i="3"/>
  <c r="Y386" i="3"/>
  <c r="Y350" i="3"/>
  <c r="Y338" i="3"/>
  <c r="Y337" i="3"/>
  <c r="Y325" i="3"/>
  <c r="Y326" i="3"/>
  <c r="Y314" i="3"/>
  <c r="Y313" i="3"/>
  <c r="Y289" i="3"/>
  <c r="Y290" i="3"/>
  <c r="Y266" i="3"/>
  <c r="Y254" i="3"/>
  <c r="Y253" i="3"/>
  <c r="Y241" i="3"/>
  <c r="Y242" i="3"/>
  <c r="Y217" i="3"/>
  <c r="Y206" i="3"/>
  <c r="Y205" i="3"/>
  <c r="Y194" i="3"/>
  <c r="Y193" i="3"/>
  <c r="Y158" i="3"/>
  <c r="Y134" i="3"/>
  <c r="Y121" i="3"/>
  <c r="Y122" i="3"/>
  <c r="Y110" i="3"/>
  <c r="Y109" i="3"/>
  <c r="Y97" i="3"/>
  <c r="Y98" i="3"/>
  <c r="Y73" i="3"/>
  <c r="Y74" i="3"/>
  <c r="Y37" i="3"/>
  <c r="Y26" i="3"/>
  <c r="Y25" i="3"/>
  <c r="Y1166" i="3"/>
  <c r="Y1142" i="3"/>
  <c r="Y1118" i="3"/>
  <c r="Y1070" i="3"/>
  <c r="Y1046" i="3"/>
  <c r="Y1022" i="3"/>
  <c r="Y961" i="3"/>
  <c r="Y949" i="3"/>
  <c r="Y950" i="3"/>
  <c r="Y926" i="3"/>
  <c r="Y890" i="3"/>
  <c r="Y866" i="3"/>
  <c r="Y865" i="3"/>
  <c r="Y854" i="3"/>
  <c r="Y853" i="3"/>
  <c r="Y794" i="3"/>
  <c r="Y781" i="3"/>
  <c r="Y782" i="3"/>
  <c r="Y757" i="3"/>
  <c r="Y758" i="3"/>
  <c r="Y746" i="3"/>
  <c r="Y734" i="3"/>
  <c r="Y722" i="3"/>
  <c r="Y709" i="3"/>
  <c r="Y710" i="3"/>
  <c r="Y673" i="3"/>
  <c r="Y662" i="3"/>
  <c r="Y661" i="3"/>
  <c r="Y650" i="3"/>
  <c r="Y649" i="3"/>
  <c r="Y637" i="3"/>
  <c r="Y638" i="3"/>
  <c r="Y625" i="3"/>
  <c r="Y614" i="3"/>
  <c r="Y613" i="3"/>
  <c r="Y602" i="3"/>
  <c r="Y601" i="3"/>
  <c r="Y590" i="3"/>
  <c r="Y578" i="3"/>
  <c r="Y577" i="3"/>
  <c r="Y565" i="3"/>
  <c r="Y566" i="3"/>
  <c r="Y554" i="3"/>
  <c r="Y542" i="3"/>
  <c r="Y541" i="3"/>
  <c r="Y518" i="3"/>
  <c r="Y517" i="3"/>
  <c r="Y446" i="3"/>
  <c r="Y422" i="3"/>
  <c r="Y421" i="3"/>
  <c r="Y398" i="3"/>
  <c r="Y397" i="3"/>
  <c r="Y373" i="3"/>
  <c r="Y374" i="3"/>
  <c r="Y361" i="3"/>
  <c r="Y362" i="3"/>
  <c r="Y278" i="3"/>
  <c r="Y229" i="3"/>
  <c r="Y181" i="3"/>
  <c r="Y170" i="3"/>
  <c r="Y169" i="3"/>
  <c r="Y145" i="3"/>
  <c r="Y146" i="3"/>
  <c r="Y85" i="3"/>
  <c r="Y62" i="3"/>
  <c r="Y49" i="3"/>
  <c r="Y50" i="3"/>
  <c r="Y3" i="3"/>
  <c r="Y962" i="3"/>
  <c r="Y674" i="3"/>
  <c r="Y528" i="3"/>
  <c r="Y492" i="3"/>
  <c r="Y456" i="3"/>
  <c r="Y384" i="3"/>
  <c r="Y360" i="3"/>
  <c r="Y336" i="3"/>
  <c r="Y324" i="3"/>
  <c r="Y300" i="3"/>
  <c r="Y288" i="3"/>
  <c r="Y276" i="3"/>
  <c r="Y264" i="3"/>
  <c r="Y252" i="3"/>
  <c r="Y240" i="3"/>
  <c r="Y228" i="3"/>
  <c r="Y216" i="3"/>
  <c r="Y204" i="3"/>
  <c r="Y192" i="3"/>
  <c r="Y180" i="3"/>
  <c r="Y168" i="3"/>
  <c r="Y156" i="3"/>
  <c r="Y96" i="3"/>
  <c r="Y72" i="3"/>
  <c r="Y60" i="3"/>
  <c r="Y58" i="3"/>
  <c r="Y24" i="3"/>
  <c r="Y937" i="3"/>
  <c r="Y842" i="3"/>
  <c r="Y277" i="3"/>
  <c r="Y182" i="3"/>
  <c r="Y447" i="3"/>
  <c r="Y411" i="3"/>
  <c r="Y387" i="3"/>
  <c r="Y351" i="3"/>
  <c r="Y315" i="3"/>
  <c r="Y291" i="3"/>
  <c r="Y243" i="3"/>
  <c r="Y195" i="3"/>
  <c r="Y159" i="3"/>
  <c r="Y111" i="3"/>
  <c r="Y87" i="3"/>
  <c r="Y51" i="3"/>
  <c r="Y27" i="3"/>
  <c r="Y218" i="3"/>
  <c r="Y1164" i="3"/>
  <c r="Y1140" i="3"/>
  <c r="Y1128" i="3"/>
  <c r="Y1116" i="3"/>
  <c r="Y1104" i="3"/>
  <c r="Y1092" i="3"/>
  <c r="Y1080" i="3"/>
  <c r="Y1068" i="3"/>
  <c r="Y1056" i="3"/>
  <c r="Y1044" i="3"/>
  <c r="Y1032" i="3"/>
  <c r="Y1020" i="3"/>
  <c r="Y1008" i="3"/>
  <c r="Y996" i="3"/>
  <c r="Y984" i="3"/>
  <c r="Y972" i="3"/>
  <c r="Y960" i="3"/>
  <c r="Y948" i="3"/>
  <c r="Y936" i="3"/>
  <c r="Y924" i="3"/>
  <c r="Y912" i="3"/>
  <c r="Y900" i="3"/>
  <c r="Y888" i="3"/>
  <c r="Y876" i="3"/>
  <c r="Y864" i="3"/>
  <c r="Y852" i="3"/>
  <c r="Y840" i="3"/>
  <c r="Y828" i="3"/>
  <c r="Y816" i="3"/>
  <c r="Y804" i="3"/>
  <c r="Y792" i="3"/>
  <c r="Y780" i="3"/>
  <c r="Y768" i="3"/>
  <c r="Y756" i="3"/>
  <c r="Y744" i="3"/>
  <c r="Y732" i="3"/>
  <c r="Y720" i="3"/>
  <c r="Y708" i="3"/>
  <c r="Y696" i="3"/>
  <c r="Y684" i="3"/>
  <c r="Y672" i="3"/>
  <c r="Y660" i="3"/>
  <c r="Y648" i="3"/>
  <c r="Y636" i="3"/>
  <c r="Y624" i="3"/>
  <c r="Y612" i="3"/>
  <c r="Y600" i="3"/>
  <c r="Y588" i="3"/>
  <c r="Y576" i="3"/>
  <c r="Y564" i="3"/>
  <c r="Y552" i="3"/>
  <c r="Y540" i="3"/>
  <c r="Y516" i="3"/>
  <c r="Y504" i="3"/>
  <c r="Y480" i="3"/>
  <c r="Y468" i="3"/>
  <c r="Y444" i="3"/>
  <c r="Y432" i="3"/>
  <c r="Y420" i="3"/>
  <c r="Y408" i="3"/>
  <c r="Y396" i="3"/>
  <c r="Y372" i="3"/>
  <c r="Y348" i="3"/>
  <c r="Y312" i="3"/>
  <c r="Y144" i="3"/>
  <c r="Y132" i="3"/>
  <c r="Y120" i="3"/>
  <c r="Y108" i="3"/>
  <c r="Y84" i="3"/>
  <c r="Y48" i="3"/>
  <c r="Y36" i="3"/>
  <c r="Y12" i="3"/>
  <c r="Y10" i="3"/>
  <c r="Y1163" i="3"/>
  <c r="Y1151" i="3"/>
  <c r="Y1139" i="3"/>
  <c r="Y1127" i="3"/>
  <c r="Y1103" i="3"/>
  <c r="Y1079" i="3"/>
  <c r="Y1055" i="3"/>
  <c r="Y1043" i="3"/>
  <c r="Y1031" i="3"/>
  <c r="Y1019" i="3"/>
  <c r="Y1007" i="3"/>
  <c r="Y995" i="3"/>
  <c r="Y959" i="3"/>
  <c r="Y947" i="3"/>
  <c r="Y935" i="3"/>
  <c r="Y923" i="3"/>
  <c r="Y911" i="3"/>
  <c r="Y899" i="3"/>
  <c r="Y887" i="3"/>
  <c r="Y875" i="3"/>
  <c r="Y863" i="3"/>
  <c r="Y851" i="3"/>
  <c r="Y827" i="3"/>
  <c r="Y815" i="3"/>
  <c r="Y803" i="3"/>
  <c r="Y791" i="3"/>
  <c r="Y779" i="3"/>
  <c r="Y755" i="3"/>
  <c r="Y743" i="3"/>
  <c r="Y731" i="3"/>
  <c r="Y719" i="3"/>
  <c r="Y707" i="3"/>
  <c r="Y695" i="3"/>
  <c r="Y683" i="3"/>
  <c r="Y671" i="3"/>
  <c r="Y659" i="3"/>
  <c r="Y635" i="3"/>
  <c r="Y622" i="3"/>
  <c r="Y623" i="3"/>
  <c r="Y611" i="3"/>
  <c r="Y610" i="3"/>
  <c r="Y587" i="3"/>
  <c r="Y575" i="3"/>
  <c r="Y574" i="3"/>
  <c r="Y563" i="3"/>
  <c r="Y551" i="3"/>
  <c r="Y550" i="3"/>
  <c r="Y539" i="3"/>
  <c r="Y538" i="3"/>
  <c r="Y527" i="3"/>
  <c r="Y515" i="3"/>
  <c r="Y514" i="3"/>
  <c r="Y503" i="3"/>
  <c r="Y491" i="3"/>
  <c r="Y479" i="3"/>
  <c r="Y478" i="3"/>
  <c r="Y466" i="3"/>
  <c r="Y467" i="3"/>
  <c r="Y455" i="3"/>
  <c r="Y443" i="3"/>
  <c r="Y431" i="3"/>
  <c r="Y430" i="3"/>
  <c r="Y419" i="3"/>
  <c r="Y407" i="3"/>
  <c r="Y383" i="3"/>
  <c r="Y371" i="3"/>
  <c r="Y347" i="3"/>
  <c r="Y346" i="3"/>
  <c r="Y335" i="3"/>
  <c r="Y334" i="3"/>
  <c r="Y310" i="3"/>
  <c r="Y299" i="3"/>
  <c r="Y298" i="3"/>
  <c r="Y287" i="3"/>
  <c r="Y286" i="3"/>
  <c r="Y275" i="3"/>
  <c r="Y262" i="3"/>
  <c r="Y263" i="3"/>
  <c r="Y251" i="3"/>
  <c r="Y238" i="3"/>
  <c r="Y239" i="3"/>
  <c r="Y227" i="3"/>
  <c r="Y215" i="3"/>
  <c r="Y203" i="3"/>
  <c r="Y191" i="3"/>
  <c r="Y166" i="3"/>
  <c r="Y167" i="3"/>
  <c r="Y155" i="3"/>
  <c r="Y143" i="3"/>
  <c r="Y131" i="3"/>
  <c r="Y119" i="3"/>
  <c r="Y106" i="3"/>
  <c r="Y95" i="3"/>
  <c r="Y94" i="3"/>
  <c r="Y83" i="3"/>
  <c r="Y82" i="3"/>
  <c r="Y59" i="3"/>
  <c r="Y47" i="3"/>
  <c r="Y35" i="3"/>
  <c r="Y11" i="3"/>
  <c r="Y745" i="3"/>
  <c r="Y86" i="3"/>
  <c r="Y1134" i="3"/>
  <c r="Y906" i="3"/>
  <c r="Y889" i="3"/>
  <c r="Y230" i="3"/>
  <c r="Y694" i="3"/>
  <c r="Y506" i="3"/>
  <c r="Y34" i="3"/>
  <c r="Y1158" i="3"/>
  <c r="Y1146" i="3"/>
  <c r="Y1122" i="3"/>
  <c r="Y1098" i="3"/>
  <c r="Y1086" i="3"/>
  <c r="Y1074" i="3"/>
  <c r="Y1062" i="3"/>
  <c r="Y1050" i="3"/>
  <c r="Y1038" i="3"/>
  <c r="Y1026" i="3"/>
  <c r="Y1014" i="3"/>
  <c r="Y1002" i="3"/>
  <c r="Y990" i="3"/>
  <c r="Y978" i="3"/>
  <c r="Y966" i="3"/>
  <c r="Y954" i="3"/>
  <c r="Y942" i="3"/>
  <c r="Y918" i="3"/>
  <c r="Y894" i="3"/>
  <c r="Y858" i="3"/>
  <c r="Y846" i="3"/>
  <c r="Y810" i="3"/>
  <c r="Y786" i="3"/>
  <c r="Y570" i="3"/>
  <c r="Y546" i="3"/>
  <c r="Y522" i="3"/>
  <c r="Y498" i="3"/>
  <c r="Y474" i="3"/>
  <c r="Y402" i="3"/>
  <c r="Y342" i="3"/>
  <c r="Y330" i="3"/>
  <c r="Y318" i="3"/>
  <c r="Y258" i="3"/>
  <c r="Y198" i="3"/>
  <c r="Y186" i="3"/>
  <c r="Y126" i="3"/>
  <c r="Y941" i="3"/>
  <c r="Y905" i="3"/>
  <c r="Y881" i="3"/>
  <c r="Y857" i="3"/>
  <c r="Y809" i="3"/>
  <c r="Y725" i="3"/>
  <c r="Y665" i="3"/>
  <c r="Y617" i="3"/>
  <c r="Y593" i="3"/>
  <c r="Y545" i="3"/>
  <c r="Y521" i="3"/>
  <c r="Y473" i="3"/>
  <c r="Y461" i="3"/>
  <c r="Y437" i="3"/>
  <c r="Y401" i="3"/>
  <c r="Y365" i="3"/>
  <c r="Y329" i="3"/>
  <c r="Y293" i="3"/>
  <c r="Y257" i="3"/>
  <c r="Y221" i="3"/>
  <c r="Y197" i="3"/>
  <c r="Y149" i="3"/>
  <c r="Y65" i="3"/>
  <c r="Y17" i="3"/>
  <c r="Y808" i="3"/>
  <c r="Y148" i="3"/>
  <c r="Y929" i="3"/>
  <c r="Y917" i="3"/>
  <c r="Y893" i="3"/>
  <c r="Y869" i="3"/>
  <c r="Y833" i="3"/>
  <c r="Y785" i="3"/>
  <c r="Y737" i="3"/>
  <c r="Y713" i="3"/>
  <c r="Y677" i="3"/>
  <c r="Y641" i="3"/>
  <c r="Y605" i="3"/>
  <c r="Y581" i="3"/>
  <c r="Y569" i="3"/>
  <c r="Y533" i="3"/>
  <c r="Y497" i="3"/>
  <c r="Y449" i="3"/>
  <c r="Y425" i="3"/>
  <c r="Y413" i="3"/>
  <c r="Y389" i="3"/>
  <c r="Y377" i="3"/>
  <c r="Y353" i="3"/>
  <c r="Y305" i="3"/>
  <c r="Y281" i="3"/>
  <c r="Y269" i="3"/>
  <c r="Y245" i="3"/>
  <c r="Y233" i="3"/>
  <c r="Y209" i="3"/>
  <c r="Y173" i="3"/>
  <c r="Y125" i="3"/>
  <c r="Y77" i="3"/>
  <c r="Y53" i="3"/>
  <c r="Y5" i="3"/>
  <c r="Y1168" i="3"/>
  <c r="Y1144" i="3"/>
  <c r="Y1108" i="3"/>
  <c r="Y1060" i="3"/>
  <c r="Y1036" i="3"/>
  <c r="Y1012" i="3"/>
  <c r="Y988" i="3"/>
  <c r="Y952" i="3"/>
  <c r="Y940" i="3"/>
  <c r="Y880" i="3"/>
  <c r="Y688" i="3"/>
  <c r="Y664" i="3"/>
  <c r="Y640" i="3"/>
  <c r="Y616" i="3"/>
  <c r="Y592" i="3"/>
  <c r="Y544" i="3"/>
  <c r="Y496" i="3"/>
  <c r="Y472" i="3"/>
  <c r="Y460" i="3"/>
  <c r="Y436" i="3"/>
  <c r="Y400" i="3"/>
  <c r="Y352" i="3"/>
  <c r="Y328" i="3"/>
  <c r="Y292" i="3"/>
  <c r="Y268" i="3"/>
  <c r="Y220" i="3"/>
  <c r="Y28" i="3"/>
  <c r="Y4" i="3"/>
  <c r="Y892" i="3"/>
  <c r="Y845" i="3"/>
  <c r="Y797" i="3"/>
  <c r="Y232" i="3"/>
  <c r="Y185" i="3"/>
  <c r="Y1162" i="3"/>
  <c r="Y1150" i="3"/>
  <c r="Y1138" i="3"/>
  <c r="Y1114" i="3"/>
  <c r="Y1102" i="3"/>
  <c r="Y1090" i="3"/>
  <c r="Y1078" i="3"/>
  <c r="Y1066" i="3"/>
  <c r="Y1006" i="3"/>
  <c r="Y994" i="3"/>
  <c r="Y982" i="3"/>
  <c r="Y970" i="3"/>
  <c r="Y946" i="3"/>
  <c r="Y934" i="3"/>
  <c r="Y922" i="3"/>
  <c r="Y910" i="3"/>
  <c r="Y898" i="3"/>
  <c r="Y874" i="3"/>
  <c r="Y862" i="3"/>
  <c r="Y850" i="3"/>
  <c r="Y838" i="3"/>
  <c r="Y826" i="3"/>
  <c r="Y802" i="3"/>
  <c r="Y790" i="3"/>
  <c r="Y778" i="3"/>
  <c r="Y766" i="3"/>
  <c r="Y754" i="3"/>
  <c r="Y742" i="3"/>
  <c r="Y730" i="3"/>
  <c r="Y718" i="3"/>
  <c r="Y706" i="3"/>
  <c r="Y682" i="3"/>
  <c r="Y658" i="3"/>
  <c r="Y634" i="3"/>
  <c r="Y598" i="3"/>
  <c r="Y586" i="3"/>
  <c r="Y526" i="3"/>
  <c r="Y454" i="3"/>
  <c r="Y394" i="3"/>
  <c r="Y382" i="3"/>
  <c r="Y322" i="3"/>
  <c r="Y250" i="3"/>
  <c r="Y190" i="3"/>
  <c r="Y178" i="3"/>
  <c r="Y142" i="3"/>
  <c r="Y118" i="3"/>
  <c r="Y46" i="3"/>
  <c r="Y868" i="3"/>
  <c r="Y256" i="3"/>
  <c r="Y208" i="3"/>
  <c r="Y1148" i="3"/>
  <c r="Y1112" i="3"/>
  <c r="Y1064" i="3"/>
  <c r="Y1052" i="3"/>
  <c r="Y1004" i="3"/>
  <c r="Y944" i="3"/>
  <c r="Y932" i="3"/>
  <c r="Y872" i="3"/>
  <c r="Y800" i="3"/>
  <c r="Y740" i="3"/>
  <c r="Y728" i="3"/>
  <c r="Y692" i="3"/>
  <c r="Y668" i="3"/>
  <c r="Y596" i="3"/>
  <c r="Y548" i="3"/>
  <c r="Y524" i="3"/>
  <c r="Y488" i="3"/>
  <c r="Y464" i="3"/>
  <c r="Y416" i="3"/>
  <c r="Y344" i="3"/>
  <c r="Y320" i="3"/>
  <c r="Y284" i="3"/>
  <c r="Y272" i="3"/>
  <c r="Y212" i="3"/>
  <c r="Y140" i="3"/>
  <c r="Y80" i="3"/>
  <c r="Y68" i="3"/>
  <c r="Y8" i="3"/>
  <c r="Y676" i="3"/>
  <c r="Y16" i="3"/>
  <c r="Y71" i="3"/>
  <c r="Y23" i="3"/>
  <c r="Y22" i="3"/>
  <c r="Y882" i="3"/>
  <c r="Y870" i="3"/>
  <c r="Y834" i="3"/>
  <c r="Y822" i="3"/>
  <c r="Y798" i="3"/>
  <c r="Y762" i="3"/>
  <c r="Y738" i="3"/>
  <c r="Y690" i="3"/>
  <c r="Y654" i="3"/>
  <c r="Y630" i="3"/>
  <c r="Y618" i="3"/>
  <c r="Y594" i="3"/>
  <c r="Y558" i="3"/>
  <c r="Y510" i="3"/>
  <c r="Y486" i="3"/>
  <c r="Y450" i="3"/>
  <c r="Y426" i="3"/>
  <c r="Y414" i="3"/>
  <c r="Y378" i="3"/>
  <c r="Y366" i="3"/>
  <c r="Y354" i="3"/>
  <c r="Y306" i="3"/>
  <c r="Y282" i="3"/>
  <c r="Y234" i="3"/>
  <c r="Y222" i="3"/>
  <c r="Y210" i="3"/>
  <c r="Y174" i="3"/>
  <c r="Y162" i="3"/>
  <c r="Y150" i="3"/>
  <c r="Y102" i="3"/>
  <c r="Y78" i="3"/>
  <c r="Y30" i="3"/>
  <c r="Y18" i="3"/>
  <c r="Y6" i="3"/>
  <c r="Y1120" i="3"/>
  <c r="Y1084" i="3"/>
  <c r="Y1072" i="3"/>
  <c r="Y1000" i="3"/>
  <c r="Y976" i="3"/>
  <c r="Y964" i="3"/>
  <c r="Y928" i="3"/>
  <c r="Y916" i="3"/>
  <c r="Y904" i="3"/>
  <c r="Y856" i="3"/>
  <c r="Y832" i="3"/>
  <c r="Y784" i="3"/>
  <c r="Y772" i="3"/>
  <c r="Y760" i="3"/>
  <c r="Y724" i="3"/>
  <c r="Y712" i="3"/>
  <c r="Y700" i="3"/>
  <c r="Y652" i="3"/>
  <c r="Y628" i="3"/>
  <c r="Y580" i="3"/>
  <c r="Y568" i="3"/>
  <c r="Y556" i="3"/>
  <c r="Y520" i="3"/>
  <c r="Y508" i="3"/>
  <c r="Y484" i="3"/>
  <c r="Y448" i="3"/>
  <c r="Y424" i="3"/>
  <c r="Y376" i="3"/>
  <c r="Y340" i="3"/>
  <c r="Y316" i="3"/>
  <c r="Y304" i="3"/>
  <c r="Y280" i="3"/>
  <c r="Y244" i="3"/>
  <c r="Y196" i="3"/>
  <c r="Y172" i="3"/>
  <c r="Y136" i="3"/>
  <c r="Y112" i="3"/>
  <c r="Y100" i="3"/>
  <c r="Y64" i="3"/>
  <c r="Y52" i="3"/>
  <c r="Y40" i="3"/>
  <c r="Y646" i="3"/>
  <c r="Y562" i="3"/>
  <c r="Y502" i="3"/>
  <c r="Y418" i="3"/>
  <c r="Y358" i="3"/>
  <c r="Y274" i="3"/>
  <c r="Y214" i="3"/>
  <c r="Y130" i="3"/>
  <c r="Y70" i="3"/>
  <c r="Y968" i="3"/>
  <c r="Y908" i="3"/>
  <c r="Y824" i="3"/>
  <c r="Y764" i="3"/>
  <c r="Y680" i="3"/>
  <c r="Y620" i="3"/>
  <c r="Y536" i="3"/>
  <c r="Y476" i="3"/>
  <c r="Y392" i="3"/>
  <c r="Y332" i="3"/>
  <c r="Y248" i="3"/>
  <c r="Y188" i="3"/>
  <c r="Y104" i="3"/>
  <c r="Y44" i="3"/>
  <c r="Y1165" i="3"/>
  <c r="Y1153" i="3"/>
  <c r="Y1141" i="3"/>
  <c r="Y1129" i="3"/>
  <c r="Y1117" i="3"/>
  <c r="Y1105" i="3"/>
  <c r="Y1093" i="3"/>
  <c r="Y1081" i="3"/>
  <c r="Y1069" i="3"/>
  <c r="Y1057" i="3"/>
  <c r="Y1045" i="3"/>
  <c r="Y1033" i="3"/>
  <c r="Y1021" i="3"/>
  <c r="Y877" i="3"/>
  <c r="Y733" i="3"/>
  <c r="Y589" i="3"/>
  <c r="Y445" i="3"/>
  <c r="Y301" i="3"/>
  <c r="Y157" i="3"/>
  <c r="Y13" i="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<sst xmlns="http://schemas.openxmlformats.org/spreadsheetml/2006/main" count="79" uniqueCount="70">
  <si>
    <t>date</t>
  </si>
  <si>
    <t>open</t>
  </si>
  <si>
    <t>high</t>
  </si>
  <si>
    <t>low</t>
  </si>
  <si>
    <t>close</t>
  </si>
  <si>
    <t>volume</t>
  </si>
  <si>
    <t>ma_7</t>
  </si>
  <si>
    <t>ma_30</t>
  </si>
  <si>
    <t>ma_90</t>
  </si>
  <si>
    <t>daily_return</t>
  </si>
  <si>
    <t>volatility_7</t>
  </si>
  <si>
    <t>volatility_30</t>
  </si>
  <si>
    <t>rsi</t>
  </si>
  <si>
    <t>macd</t>
  </si>
  <si>
    <t>macd_signal</t>
  </si>
  <si>
    <t>bb_upper</t>
  </si>
  <si>
    <t>bb_lower</t>
  </si>
  <si>
    <t>Date</t>
  </si>
  <si>
    <t>Open</t>
  </si>
  <si>
    <t>High</t>
  </si>
  <si>
    <t>Low</t>
  </si>
  <si>
    <t>Close</t>
  </si>
  <si>
    <t xml:space="preserve"> Volume</t>
  </si>
  <si>
    <t>Ma_7</t>
  </si>
  <si>
    <t>Ma_30</t>
  </si>
  <si>
    <t>Ma_90</t>
  </si>
  <si>
    <t>Daily_return</t>
  </si>
  <si>
    <t>Volatility_7</t>
  </si>
  <si>
    <t>Volatility_30</t>
  </si>
  <si>
    <t>RSI</t>
  </si>
  <si>
    <t>Macd</t>
  </si>
  <si>
    <t>Macd_signal</t>
  </si>
  <si>
    <t>BB_upper</t>
  </si>
  <si>
    <t>BB_lower</t>
  </si>
  <si>
    <t>Daily Trend</t>
  </si>
  <si>
    <t>Trading Signal</t>
  </si>
  <si>
    <t>Total Volume</t>
  </si>
  <si>
    <t>Average Return</t>
  </si>
  <si>
    <t>Maximum Price</t>
  </si>
  <si>
    <t>Minimum Price</t>
  </si>
  <si>
    <t>Matched Close Price</t>
  </si>
  <si>
    <t>Number of Up Days</t>
  </si>
  <si>
    <t>Total Volume on Up Days</t>
  </si>
  <si>
    <t>Formatted Date</t>
  </si>
  <si>
    <t>Close Price Lookup</t>
  </si>
  <si>
    <t>Date Position</t>
  </si>
  <si>
    <t>Extract Year</t>
  </si>
  <si>
    <t>Rounded Return</t>
  </si>
  <si>
    <t>Up Trend Data</t>
  </si>
  <si>
    <t>Most Frequent RSI</t>
  </si>
  <si>
    <t>Sum of Daily_return</t>
  </si>
  <si>
    <t>Row Labels</t>
  </si>
  <si>
    <t>Grand Total</t>
  </si>
  <si>
    <t>Down</t>
  </si>
  <si>
    <t>Up</t>
  </si>
  <si>
    <t>Count of Date</t>
  </si>
  <si>
    <t>Trend Summary</t>
  </si>
  <si>
    <t>Average Return by Trend</t>
  </si>
  <si>
    <t>Sum of Average Return</t>
  </si>
  <si>
    <t>Signal Distribution</t>
  </si>
  <si>
    <t>Buy</t>
  </si>
  <si>
    <t>Hold</t>
  </si>
  <si>
    <t>Sell</t>
  </si>
  <si>
    <t>Highest Price</t>
  </si>
  <si>
    <t>Lowest Price</t>
  </si>
  <si>
    <t>Column1</t>
  </si>
  <si>
    <t>Column2</t>
  </si>
  <si>
    <t>Column3</t>
  </si>
  <si>
    <t>Column4</t>
  </si>
  <si>
    <t>KPI CARDS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</si>
</sst>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4" x14ac:knownFonts="1">
    <font>
      <sz val="11"/>
      <color theme="1"/>
      <name val="Aptos Narrow"/>
      <family val="2"/>
      <scheme val="minor"/>
    </font>
    <font>
      <b/>
      <sz val="11"/>
      <color theme="1"/>
      <name val="Aptos Narrow"/>
      <family val="2"/>
      <scheme val="minor"/>
    </font>
    <font>
      <b/>
      <sz val="12"/>
      <color theme="1"/>
      <name val="Aptos Narrow"/>
      <family val="2"/>
      <scheme val="minor"/>
    </font>
    <font>
      <b/>
      <sz val="11"/>
      <color theme="0"/>
      <name val="Aptos Narrow"/>
      <family val="2"/>
      <scheme val="minor"/>
    </font>
  </fonts>
  <fills count="3">
    <fill>
      <patternFill patternType="none"/>
    </fill>
    <fill>
      <patternFill patternType="gray125"/>
    </fill>
    <fill>
      <patternFill patternType="solid">
        <fgColor theme="7" tint="-0.249977111117893"/>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31">
    <xf numFmtId="0" fontId="0" fillId="0" borderId="0" xfId="0"/>
    <xf numFmtId="14" fontId="0" fillId="0" borderId="0" xfId="0" applyNumberFormat="1"/>
    <xf numFmtId="0" fontId="1" fillId="0" borderId="0" xfId="0" applyFont="1"/>
    <xf numFmtId="0" fontId="0" fillId="0" borderId="0" xfId="0" applyAlignment="1">
      <alignment horizontal="center"/>
    </xf>
    <xf numFmtId="2" fontId="0" fillId="0" borderId="0" xfId="0" applyNumberFormat="1"/>
    <xf numFmtId="1" fontId="0" fillId="0" borderId="0" xfId="0" applyNumberFormat="1"/>
    <xf numFmtId="0" fontId="0" fillId="0" borderId="1" xfId="0" pivotButton="1" applyBorder="1" applyAlignment="1">
      <alignment horizontal="center"/>
    </xf>
    <xf numFmtId="0" fontId="0" fillId="0" borderId="1" xfId="0" applyBorder="1" applyAlignment="1">
      <alignment horizontal="center"/>
    </xf>
    <xf numFmtId="2" fontId="0" fillId="0" borderId="1" xfId="0" applyNumberFormat="1" applyBorder="1" applyAlignment="1">
      <alignment horizontal="center"/>
    </xf>
    <xf numFmtId="0" fontId="3" fillId="2" borderId="1" xfId="0" applyFont="1" applyFill="1" applyBorder="1"/>
    <xf numFmtId="0" fontId="0" fillId="0" borderId="1" xfId="0" applyBorder="1"/>
    <xf numFmtId="0" fontId="0" fillId="0" borderId="2" xfId="0" applyBorder="1" applyAlignment="1">
      <alignment horizontal="center"/>
    </xf>
    <xf numFmtId="0" fontId="1" fillId="0" borderId="3" xfId="0" applyFont="1" applyBorder="1" applyAlignment="1">
      <alignment horizontal="center"/>
    </xf>
    <xf numFmtId="2" fontId="1" fillId="0" borderId="4" xfId="0" applyNumberFormat="1" applyFont="1" applyBorder="1" applyAlignment="1">
      <alignment horizontal="center"/>
    </xf>
    <xf numFmtId="0" fontId="1" fillId="0" borderId="4" xfId="0" applyFont="1" applyBorder="1" applyAlignment="1">
      <alignment horizontal="center"/>
    </xf>
    <xf numFmtId="1" fontId="1" fillId="0" borderId="4" xfId="0" applyNumberFormat="1" applyFont="1" applyBorder="1" applyAlignment="1">
      <alignment horizontal="center"/>
    </xf>
    <xf numFmtId="0" fontId="1" fillId="0" borderId="5" xfId="0" applyFont="1" applyBorder="1" applyAlignment="1">
      <alignment horizontal="center"/>
    </xf>
    <xf numFmtId="14" fontId="0" fillId="0" borderId="2" xfId="0" applyNumberFormat="1" applyBorder="1" applyAlignment="1">
      <alignment horizontal="center"/>
    </xf>
    <xf numFmtId="1" fontId="0" fillId="0" borderId="1" xfId="0" applyNumberFormat="1" applyBorder="1" applyAlignment="1">
      <alignment horizontal="center"/>
    </xf>
    <xf numFmtId="2" fontId="0" fillId="0" borderId="6" xfId="0" applyNumberFormat="1" applyBorder="1" applyAlignment="1">
      <alignment horizontal="center"/>
    </xf>
    <xf numFmtId="14" fontId="0" fillId="0" borderId="7" xfId="0" applyNumberFormat="1" applyBorder="1" applyAlignment="1">
      <alignment horizontal="center"/>
    </xf>
    <xf numFmtId="2" fontId="0" fillId="0" borderId="8" xfId="0" applyNumberFormat="1" applyBorder="1" applyAlignment="1">
      <alignment horizontal="center"/>
    </xf>
    <xf numFmtId="0" fontId="0" fillId="0" borderId="8" xfId="0" applyBorder="1" applyAlignment="1">
      <alignment horizontal="center"/>
    </xf>
    <xf numFmtId="1" fontId="0" fillId="0" borderId="8" xfId="0" applyNumberFormat="1" applyBorder="1" applyAlignment="1">
      <alignment horizontal="center"/>
    </xf>
    <xf numFmtId="2" fontId="0" fillId="0" borderId="9" xfId="0" applyNumberFormat="1" applyBorder="1" applyAlignment="1">
      <alignment horizontal="center"/>
    </xf>
    <xf numFmtId="2" fontId="1" fillId="0" borderId="0" xfId="0" applyNumberFormat="1" applyFont="1"/>
    <xf numFmtId="0" fontId="2" fillId="0" borderId="1" xfId="0" applyFont="1" applyBorder="1" applyAlignment="1">
      <alignment horizontal="center"/>
    </xf>
    <xf numFmtId="0" fontId="0" fillId="0" borderId="1" xfId="0" applyBorder="1" applyAlignment="1">
      <alignment horizontal="center"/>
    </xf>
    <xf numFmtId="0" fontId="1" fillId="0" borderId="0" xfId="0" applyFont="1" applyAlignment="1">
      <alignment horizontal="center"/>
    </xf>
    <xf numFmtId="0" fontId="3" fillId="2" borderId="0" xfId="0" applyFont="1" applyFill="1" applyAlignment="1">
      <alignment horizontal="center"/>
    </xf>
    <xf numFmtId="0" fontId="0" fillId="0" borderId="1" xfId="0" applyNumberFormat="1" applyBorder="1" applyAlignment="1">
      <alignment horizontal="center"/>
    </xf>
  </cellXfs>
  <cellStyles count="1">
    <cellStyle name="Normal" xfId="0" builtinId="0"/>
  </cellStyles>
  <dxfs count="92">
    <dxf>
      <fill>
        <patternFill>
          <bgColor theme="6" tint="0.59996337778862885"/>
        </patternFill>
      </fill>
    </dxf>
    <dxf>
      <fill>
        <patternFill>
          <bgColor theme="5" tint="0.39994506668294322"/>
        </patternFill>
      </fill>
    </dxf>
    <dxf>
      <fill>
        <patternFill>
          <bgColor theme="6" tint="0.59996337778862885"/>
        </patternFill>
      </fill>
    </dxf>
    <dxf>
      <fill>
        <patternFill>
          <bgColor theme="5" tint="0.59996337778862885"/>
        </patternFill>
      </fill>
    </dxf>
    <dxf>
      <fill>
        <patternFill>
          <bgColor theme="6" tint="0.59996337778862885"/>
        </patternFill>
      </fill>
    </dxf>
    <dxf>
      <fill>
        <patternFill>
          <bgColor theme="5" tint="0.59996337778862885"/>
        </patternFill>
      </fill>
    </dxf>
    <dxf>
      <numFmt numFmtId="2" formatCode="0.00"/>
      <alignment horizontal="center" vertical="bottom" textRotation="0" wrapText="0"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9" formatCode="dd/mm/yyyy"/>
      <alignment horizontal="center" vertical="bottom" textRotation="0" wrapText="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dxf>
    <dxf>
      <border>
        <bottom style="thin">
          <color indexed="64"/>
        </bottom>
      </border>
    </dxf>
    <dxf>
      <font>
        <b/>
        <i val="0"/>
        <strike val="0"/>
        <condense val="0"/>
        <extend val="0"/>
        <outline val="0"/>
        <shadow val="0"/>
        <u val="none"/>
        <vertAlign val="baseline"/>
        <sz val="11"/>
        <color theme="1"/>
        <name val="Aptos Narrow"/>
        <family val="2"/>
        <scheme val="minor"/>
      </font>
      <alignment horizontal="center" vertical="bottom"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sz val="11"/>
        <color theme="1"/>
      </font>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ont>
        <b/>
        <sz val="11"/>
        <color theme="1"/>
      </font>
      <fill>
        <patternFill>
          <bgColor theme="0"/>
        </patternFill>
      </fill>
    </dxf>
    <dxf>
      <fill>
        <gradientFill degree="90">
          <stop position="0">
            <color theme="4" tint="0.40000610370189521"/>
          </stop>
          <stop position="1">
            <color theme="4"/>
          </stop>
        </gradientFill>
      </fill>
      <border>
        <left style="thin">
          <color theme="1" tint="-0.499984740745262"/>
        </left>
        <right style="thin">
          <color theme="1" tint="-0.499984740745262"/>
        </right>
        <top style="thin">
          <color theme="1" tint="-0.499984740745262"/>
        </top>
        <bottom style="thin">
          <color theme="1" tint="-0.499984740745262"/>
        </bottom>
      </border>
    </dxf>
    <dxf>
      <font>
        <b/>
        <sz val="11"/>
        <color theme="1"/>
      </font>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ont>
        <b/>
        <sz val="11"/>
        <color theme="1"/>
      </font>
    </dxf>
    <dxf>
      <fill>
        <gradientFill degree="270">
          <stop position="0">
            <color theme="0"/>
          </stop>
          <stop position="1">
            <color theme="4"/>
          </stop>
        </gradientFill>
      </fill>
      <border>
        <left style="thin">
          <color theme="1" tint="-0.499984740745262"/>
        </left>
        <right style="thin">
          <color theme="1" tint="-0.499984740745262"/>
        </right>
        <top style="thin">
          <color theme="1" tint="-0.499984740745262"/>
        </top>
        <bottom style="thin">
          <color theme="1" tint="-0.499984740745262"/>
        </bottom>
      </border>
    </dxf>
    <dxf>
      <font>
        <b/>
        <sz val="11"/>
        <color theme="1"/>
      </font>
    </dxf>
    <dxf>
      <fill>
        <patternFill patternType="solid">
          <fgColor theme="0"/>
          <bgColor theme="7" tint="-0.24994659260841701"/>
        </patternFill>
      </fill>
      <border>
        <left style="thin">
          <color theme="1" tint="-0.499984740745262"/>
        </left>
        <right style="thin">
          <color theme="1" tint="-0.499984740745262"/>
        </right>
        <top style="thin">
          <color theme="1" tint="-0.499984740745262"/>
        </top>
        <bottom style="thin">
          <color theme="1" tint="-0.499984740745262"/>
        </bottom>
      </border>
    </dxf>
    <dxf>
      <fill>
        <patternFill>
          <bgColor theme="0"/>
        </patternFill>
      </fill>
    </dxf>
    <dxf>
      <fill>
        <patternFill>
          <bgColor theme="4"/>
        </patternFill>
      </fill>
    </dxf>
    <dxf>
      <fill>
        <patternFill>
          <bgColor theme="0"/>
        </patternFill>
      </fill>
    </dxf>
    <dxf>
      <fill>
        <patternFill>
          <bgColor theme="0"/>
        </patternFill>
      </fill>
    </dxf>
  </dxfs>
  <tableStyles count="7" defaultTableStyle="TableStyleMedium2" defaultPivotStyle="PivotStyleLight16">
    <tableStyle name="NEW SLICER" pivot="0" table="0" count="10" xr9:uid="{ADE65F30-5547-45CE-9B34-A98D8CD3EF09}">
      <tableStyleElement type="wholeTable" dxfId="91"/>
      <tableStyleElement type="headerRow" dxfId="90"/>
    </tableStyle>
    <tableStyle name="new slicer 2" pivot="0" table="0" count="3" xr9:uid="{B0541DA6-BADE-4A09-B442-3FF795047314}">
      <tableStyleElement type="wholeTable" dxfId="89"/>
      <tableStyleElement type="headerRow" dxfId="88"/>
    </tableStyle>
    <tableStyle name="Timeline Style 1" pivot="0" table="0" count="9" xr9:uid="{5AAA93F1-2029-4727-93FB-D604B8B36E01}">
      <tableStyleElement type="wholeTable" dxfId="87"/>
      <tableStyleElement type="headerRow" dxfId="86"/>
    </tableStyle>
    <tableStyle name="Timeline Style 2" pivot="0" table="0" count="8" xr9:uid="{1AF34004-64EB-4A4D-A0A2-C34DBDDE1659}">
      <tableStyleElement type="wholeTable" dxfId="85"/>
      <tableStyleElement type="headerRow" dxfId="84"/>
    </tableStyle>
    <tableStyle name="Timeline Style 3" pivot="0" table="0" count="8" xr9:uid="{FF27A1AD-1072-4675-877C-9D25694CA742}">
      <tableStyleElement type="wholeTable" dxfId="83"/>
      <tableStyleElement type="headerRow" dxfId="82"/>
    </tableStyle>
    <tableStyle name="Timeline Style 4" pivot="0" table="0" count="8" xr9:uid="{F324502E-21B8-4FD9-86BA-0108585F6CFA}">
      <tableStyleElement type="wholeTable" dxfId="81"/>
      <tableStyleElement type="headerRow" dxfId="80"/>
    </tableStyle>
    <tableStyle name="Timeline Style 5" pivot="0" table="0" count="8" xr9:uid="{429CC3DA-4AF7-448E-80E9-1BF867B4CF81}">
      <tableStyleElement type="wholeTable" dxfId="79"/>
      <tableStyleElement type="headerRow" dxfId="78"/>
    </tableStyle>
  </tableStyles>
  <colors>
    <mruColors>
      <color rgb="FF0B6C93"/>
      <color rgb="FF0E83B2"/>
      <color rgb="FF0F92C7"/>
      <color rgb="FF0088B8"/>
      <color rgb="FF222B35"/>
    </mruColors>
  </colors>
  <extLst>
    <ext xmlns:x14="http://schemas.microsoft.com/office/spreadsheetml/2009/9/main" uri="{46F421CA-312F-682f-3DD2-61675219B42D}">
      <x14:dxfs count="9">
        <dxf>
          <fill>
            <patternFill>
              <bgColor theme="1"/>
            </patternFill>
          </fill>
        </dxf>
        <dxf>
          <fill>
            <patternFill>
              <bgColor theme="0"/>
            </patternFill>
          </fill>
        </dxf>
        <dxf>
          <fill>
            <patternFill>
              <bgColor theme="0"/>
            </patternFill>
          </fill>
        </dxf>
        <dxf>
          <fill>
            <patternFill>
              <bgColor rgb="FF0E83B2"/>
            </patternFill>
          </fill>
        </dxf>
        <dxf>
          <fill>
            <patternFill>
              <bgColor theme="0"/>
            </patternFill>
          </fill>
        </dxf>
        <dxf>
          <fill>
            <patternFill>
              <bgColor theme="0"/>
            </patternFill>
          </fill>
        </dxf>
        <dxf>
          <fill>
            <patternFill>
              <bgColor theme="4" tint="-0.499984740745262"/>
            </patternFill>
          </fill>
        </dxf>
        <dxf>
          <fill>
            <patternFill>
              <bgColor theme="0"/>
            </patternFill>
          </fill>
        </dxf>
        <dxf>
          <fill>
            <patternFill>
              <bgColor theme="0"/>
            </patternFill>
          </fill>
        </dxf>
      </x14:dxfs>
    </ext>
    <ext xmlns:x14="http://schemas.microsoft.com/office/spreadsheetml/2009/9/main" uri="{EB79DEF2-80B8-43e5-95BD-54CBDDF9020C}">
      <x14:slicerStyles defaultSlicerStyle="SlicerStyleLight1">
        <x14:slicerStyle name="NEW SLICER">
          <x14:slicerStyleElements>
            <x14:slicerStyleElement type="unselectedItemWithData" dxfId="8"/>
            <x14:slicerStyleElement type="unselectedItemWithNoData" dxfId="7"/>
            <x14:slicerStyleElement type="selectedItemWithData" dxfId="6"/>
            <x14:slicerStyleElement type="selectedItemWithNoData" dxfId="5"/>
            <x14:slicerStyleElement type="hoveredUnselectedItemWithData" dxfId="4"/>
            <x14:slicerStyleElement type="hoveredSelectedItemWithData" dxfId="3"/>
            <x14:slicerStyleElement type="hoveredUnselectedItemWithNoData" dxfId="2"/>
            <x14:slicerStyleElement type="hoveredSelectedItemWithNoData" dxfId="1"/>
          </x14:slicerStyleElements>
        </x14:slicerStyle>
        <x14:slicerStyle name="new slicer 2">
          <x14:slicerStyleElements>
            <x14:slicerStyleElement type="selectedItemWithData" dxfId="0"/>
          </x14:slicerStyleElements>
        </x14:slicerStyle>
      </x14:slicerStyles>
    </ext>
    <ext xmlns:x15="http://schemas.microsoft.com/office/spreadsheetml/2010/11/main" uri="{A0A4C193-F2C1-4fcb-8827-314CF55A85BB}">
      <x15:dxfs count="31">
        <dxf>
          <fill>
            <patternFill patternType="solid">
              <fgColor theme="0" tint="-0.14999847407452621"/>
              <bgColor theme="0" tint="-0.14999847407452621"/>
            </patternFill>
          </fill>
        </dxf>
        <dxf>
          <fill>
            <patternFill patternType="solid">
              <fgColor theme="0"/>
              <bgColor theme="1"/>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4"/>
            <name val="Aptos Narrow"/>
            <family val="2"/>
            <scheme val="minor"/>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bgColor theme="0" tint="-0.14996795556505021"/>
            </patternFill>
          </fill>
        </dxf>
        <dxf>
          <fill>
            <patternFill patternType="solid">
              <fgColor theme="0" tint="-0.14996795556505021"/>
              <bgColor theme="0"/>
            </patternFill>
          </fill>
        </dxf>
        <dxf>
          <fill>
            <patternFill patternType="solid">
              <fgColor theme="0"/>
              <bgColor theme="4"/>
            </patternFill>
          </fill>
        </dxf>
        <dxf>
          <font>
            <sz val="9"/>
            <color theme="3" tint="0.749961851863155"/>
            <name val="Aptos Narrow"/>
            <family val="2"/>
            <scheme val="minor"/>
          </font>
        </dxf>
        <dxf>
          <font>
            <sz val="9"/>
            <color theme="4" tint="0.39994506668294322"/>
            <name val="Aptos Narrow"/>
            <family val="2"/>
            <scheme val="minor"/>
          </font>
        </dxf>
        <dxf>
          <font>
            <sz val="9"/>
            <color theme="0" tint="-4.9989318521683403E-2"/>
            <name val="Aptos Narrow"/>
            <family val="2"/>
            <scheme val="minor"/>
          </font>
        </dxf>
        <dxf>
          <font>
            <sz val="10"/>
            <color theme="2"/>
            <name val="Aptos Narrow"/>
            <family val="2"/>
            <scheme val="minor"/>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30"/>
            <x15:timelineStyleElement type="timeLevel" dxfId="29"/>
            <x15:timelineStyleElement type="periodLabel1" dxfId="28"/>
            <x15:timelineStyleElement type="periodLabel2" dxfId="27"/>
            <x15:timelineStyleElement type="selectedTimeBlock" dxfId="26"/>
            <x15:timelineStyleElement type="unselectedTimeBlock" dxfId="25"/>
            <x15:timelineStyleElement type="selectedTimeBlockSpace" dxfId="24"/>
          </x15:timelineStyleElements>
        </x15:timelineStyle>
        <x15:timelineStyle name="Timeline Style 2">
          <x15:timelineStyleElements>
            <x15:timelineStyleElement type="selectionLabel" dxfId="23"/>
            <x15:timelineStyleElement type="timeLevel" dxfId="22"/>
            <x15:timelineStyleElement type="periodLabel1" dxfId="21"/>
            <x15:timelineStyleElement type="periodLabel2" dxfId="20"/>
            <x15:timelineStyleElement type="selectedTimeBlock" dxfId="19"/>
            <x15:timelineStyleElement type="unselectedTimeBlock" dxfId="18"/>
          </x15:timelineStyleElements>
        </x15:timelineStyle>
        <x15:timelineStyle name="Timeline Style 3">
          <x15:timelineStyleElements>
            <x15:timelineStyleElement type="selectionLabel" dxfId="17"/>
            <x15:timelineStyleElement type="timeLevel" dxfId="16"/>
            <x15:timelineStyleElement type="periodLabel1" dxfId="15"/>
            <x15:timelineStyleElement type="periodLabel2" dxfId="14"/>
            <x15:timelineStyleElement type="selectedTimeBlock" dxfId="13"/>
            <x15:timelineStyleElement type="unselectedTimeBlock" dxfId="12"/>
          </x15:timelineStyleElements>
        </x15:timelineStyle>
        <x15:timelineStyle name="Timeline Style 4">
          <x15:timelineStyleElements>
            <x15:timelineStyleElement type="selectionLabel" dxfId="11"/>
            <x15:timelineStyleElement type="timeLevel" dxfId="10"/>
            <x15:timelineStyleElement type="periodLabel1" dxfId="9"/>
            <x15:timelineStyleElement type="periodLabel2" dxfId="8"/>
            <x15:timelineStyleElement type="selectedTimeBlock" dxfId="7"/>
            <x15:timelineStyleElement type="unselectedTimeBlock" dxfId="6"/>
          </x15:timelineStyleElements>
        </x15:timelineStyle>
        <x15:timelineStyle name="Timeline Style 5">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eetMetadata" Target="metadata.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11/relationships/timelineCache" Target="timelineCaches/timelineCache1.xml"/><Relationship Id="rId14"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[Priya_Practical_Exam.xlsx]Pivot Table!PivotTable1</c:name>
    <c:fmtId val="9"/>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solidFill>
                  <a:schemeClr val="tx1"/>
                </a:solidFill>
              </a:rPr>
              <a:t>Daily</a:t>
            </a:r>
            <a:r>
              <a:rPr lang="en-US" baseline="0">
                <a:solidFill>
                  <a:schemeClr val="tx1"/>
                </a:solidFill>
              </a:rPr>
              <a:t> Trend</a:t>
            </a:r>
            <a:endParaRPr lang="en-US">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hade val="76000"/>
            </a:schemeClr>
          </a:solidFill>
          <a:ln w="19050">
            <a:solidFill>
              <a:schemeClr val="lt1"/>
            </a:solidFill>
          </a:ln>
          <a:effectLst/>
        </c:spPr>
      </c:pivotFmt>
      <c:pivotFmt>
        <c:idx val="12"/>
        <c:spPr>
          <a:solidFill>
            <a:schemeClr val="accent1">
              <a:tint val="77000"/>
            </a:schemeClr>
          </a:solidFill>
          <a:ln w="19050">
            <a:solidFill>
              <a:schemeClr val="lt1"/>
            </a:solidFill>
          </a:ln>
          <a:effectLst/>
        </c:spPr>
      </c:pivotFmt>
    </c:pivotFmts>
    <c:plotArea>
      <c:layout/>
      <c:doughnutChart>
        <c:varyColors val="1"/>
        <c:ser>
          <c:idx val="0"/>
          <c:order val="0"/>
          <c:tx>
            <c:strRef>
              <c:f>'Pivot Table'!$B$5</c:f>
              <c:strCache>
                <c:ptCount val="1"/>
                <c:pt idx="0">
                  <c:v>Total</c:v>
                </c:pt>
              </c:strCache>
            </c:strRef>
          </c:tx>
          <c:dPt>
            <c:idx val="0"/>
            <c:bubble3D val="0"/>
            <c:spPr>
              <a:solidFill>
                <a:schemeClr val="accent1">
                  <a:shade val="76000"/>
                </a:schemeClr>
              </a:solidFill>
              <a:ln w="19050">
                <a:solidFill>
                  <a:schemeClr val="lt1"/>
                </a:solidFill>
              </a:ln>
              <a:effectLst/>
            </c:spPr>
            <c:extLst>
              <c:ext xmlns:c16="http://schemas.microsoft.com/office/drawing/2014/chart" uri="{C3380CC4-5D6E-409C-BE32-E72D297353CC}">
                <c16:uniqueId val="{00000001-7AAB-41DE-815C-E678803AB61A}"/>
              </c:ext>
            </c:extLst>
          </c:dPt>
          <c:dPt>
            <c:idx val="1"/>
            <c:bubble3D val="0"/>
            <c:spPr>
              <a:solidFill>
                <a:schemeClr val="accent1">
                  <a:tint val="77000"/>
                </a:schemeClr>
              </a:solidFill>
              <a:ln w="19050">
                <a:solidFill>
                  <a:schemeClr val="lt1"/>
                </a:solidFill>
              </a:ln>
              <a:effectLst/>
            </c:spPr>
            <c:extLst>
              <c:ext xmlns:c16="http://schemas.microsoft.com/office/drawing/2014/chart" uri="{C3380CC4-5D6E-409C-BE32-E72D297353CC}">
                <c16:uniqueId val="{00000003-7AAB-41DE-815C-E678803AB61A}"/>
              </c:ext>
            </c:extLst>
          </c:dPt>
          <c:cat>
            <c:strRef>
              <c:f>'Pivot Table'!$A$6:$A$8</c:f>
              <c:strCache>
                <c:ptCount val="2"/>
                <c:pt idx="0">
                  <c:v>Down</c:v>
                </c:pt>
                <c:pt idx="1">
                  <c:v>Up</c:v>
                </c:pt>
              </c:strCache>
            </c:strRef>
          </c:cat>
          <c:val>
            <c:numRef>
              <c:f>'Pivot Table'!$B$6:$B$8</c:f>
              <c:numCache>
                <c:formatCode>General</c:formatCode>
                <c:ptCount val="2"/>
                <c:pt idx="0">
                  <c:v>664</c:v>
                </c:pt>
                <c:pt idx="1">
                  <c:v>505</c:v>
                </c:pt>
              </c:numCache>
            </c:numRef>
          </c:val>
          <c:extLst>
            <c:ext xmlns:c16="http://schemas.microsoft.com/office/drawing/2014/chart" uri="{C3380CC4-5D6E-409C-BE32-E72D297353CC}">
              <c16:uniqueId val="{00000004-7AAB-41DE-815C-E678803AB61A}"/>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egendEntry>
        <c:idx val="0"/>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Entry>
      <c:legendEntry>
        <c:idx val="1"/>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[Priya_Practical_Exam.xlsx]Pivot Table!PivotTable4</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tx1"/>
                </a:solidFill>
              </a:rPr>
              <a:t>Trading</a:t>
            </a:r>
            <a:r>
              <a:rPr lang="en-US" baseline="0">
                <a:solidFill>
                  <a:schemeClr val="tx1"/>
                </a:solidFill>
              </a:rPr>
              <a:t> Signal</a:t>
            </a:r>
            <a:endParaRPr lang="en-US">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hade val="65000"/>
            </a:schemeClr>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tint val="65000"/>
            </a:schemeClr>
          </a:solidFill>
          <a:ln w="19050">
            <a:solidFill>
              <a:schemeClr val="lt1"/>
            </a:solidFill>
          </a:ln>
          <a:effectLst/>
        </c:spPr>
      </c:pivotFmt>
    </c:pivotFmts>
    <c:plotArea>
      <c:layout/>
      <c:doughnutChart>
        <c:varyColors val="1"/>
        <c:ser>
          <c:idx val="0"/>
          <c:order val="0"/>
          <c:tx>
            <c:strRef>
              <c:f>'Pivot Table'!$I$5</c:f>
              <c:strCache>
                <c:ptCount val="1"/>
                <c:pt idx="0">
                  <c:v>Total</c:v>
                </c:pt>
              </c:strCache>
            </c:strRef>
          </c:tx>
          <c:dPt>
            <c:idx val="0"/>
            <c:bubble3D val="0"/>
            <c:spPr>
              <a:solidFill>
                <a:schemeClr val="accent1">
                  <a:shade val="65000"/>
                </a:schemeClr>
              </a:solidFill>
              <a:ln w="19050">
                <a:solidFill>
                  <a:schemeClr val="lt1"/>
                </a:solidFill>
              </a:ln>
              <a:effectLst/>
            </c:spPr>
            <c:extLst>
              <c:ext xmlns:c16="http://schemas.microsoft.com/office/drawing/2014/chart" uri="{C3380CC4-5D6E-409C-BE32-E72D297353CC}">
                <c16:uniqueId val="{00000001-A9C7-4662-957A-3906AD1443C2}"/>
              </c:ext>
            </c:extLst>
          </c:dPt>
          <c:dPt>
            <c:idx val="1"/>
            <c:bubble3D val="0"/>
            <c:spPr>
              <a:solidFill>
                <a:schemeClr val="accent1"/>
              </a:solidFill>
              <a:ln w="19050">
                <a:solidFill>
                  <a:schemeClr val="lt1"/>
                </a:solidFill>
              </a:ln>
              <a:effectLst/>
            </c:spPr>
            <c:extLst>
              <c:ext xmlns:c16="http://schemas.microsoft.com/office/drawing/2014/chart" uri="{C3380CC4-5D6E-409C-BE32-E72D297353CC}">
                <c16:uniqueId val="{00000003-A9C7-4662-957A-3906AD1443C2}"/>
              </c:ext>
            </c:extLst>
          </c:dPt>
          <c:dPt>
            <c:idx val="2"/>
            <c:bubble3D val="0"/>
            <c:spPr>
              <a:solidFill>
                <a:schemeClr val="accent1">
                  <a:tint val="65000"/>
                </a:schemeClr>
              </a:solidFill>
              <a:ln w="19050">
                <a:solidFill>
                  <a:schemeClr val="lt1"/>
                </a:solidFill>
              </a:ln>
              <a:effectLst/>
            </c:spPr>
            <c:extLst>
              <c:ext xmlns:c16="http://schemas.microsoft.com/office/drawing/2014/chart" uri="{C3380CC4-5D6E-409C-BE32-E72D297353CC}">
                <c16:uniqueId val="{00000005-A9C7-4662-957A-3906AD1443C2}"/>
              </c:ext>
            </c:extLst>
          </c:dPt>
          <c:cat>
            <c:strRef>
              <c:f>'Pivot Table'!$H$6:$H$9</c:f>
              <c:strCache>
                <c:ptCount val="3"/>
                <c:pt idx="0">
                  <c:v>Buy</c:v>
                </c:pt>
                <c:pt idx="1">
                  <c:v>Hold</c:v>
                </c:pt>
                <c:pt idx="2">
                  <c:v>Sell</c:v>
                </c:pt>
              </c:strCache>
            </c:strRef>
          </c:cat>
          <c:val>
            <c:numRef>
              <c:f>'Pivot Table'!$I$6:$I$9</c:f>
              <c:numCache>
                <c:formatCode>General</c:formatCode>
                <c:ptCount val="3"/>
                <c:pt idx="0">
                  <c:v>85</c:v>
                </c:pt>
                <c:pt idx="1">
                  <c:v>839</c:v>
                </c:pt>
                <c:pt idx="2">
                  <c:v>245</c:v>
                </c:pt>
              </c:numCache>
            </c:numRef>
          </c:val>
          <c:extLst>
            <c:ext xmlns:c16="http://schemas.microsoft.com/office/drawing/2014/chart" uri="{C3380CC4-5D6E-409C-BE32-E72D297353CC}">
              <c16:uniqueId val="{00000006-A9C7-4662-957A-3906AD1443C2}"/>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egendEntry>
        <c:idx val="0"/>
        <c:txPr>
          <a:bodyPr rot="0" spcFirstLastPara="1" vertOverflow="ellipsis" vert="horz" wrap="square" anchor="ctr" anchorCtr="1"/>
          <a:lstStyle/>
          <a:p>
            <a:pPr>
              <a:defRPr sz="900" b="0" i="0" u="none" strike="noStrike" kern="1200" baseline="0">
                <a:solidFill>
                  <a:schemeClr val="bg2">
                    <a:lumMod val="10000"/>
                  </a:schemeClr>
                </a:solidFill>
                <a:latin typeface="+mn-lt"/>
                <a:ea typeface="+mn-ea"/>
                <a:cs typeface="+mn-cs"/>
              </a:defRPr>
            </a:pPr>
            <a:endParaRPr lang="en-US"/>
          </a:p>
        </c:txPr>
      </c:legendEntry>
      <c:legendEntry>
        <c:idx val="1"/>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legendEntry>
      <c:legendEntry>
        <c:idx val="2"/>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[Priya_Practical_Exam.xlsx]Pivot Table!PivotTable3</c:name>
    <c:fmtId val="27"/>
  </c:pivotSource>
  <c:chart>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spPr>
          <a:solidFill>
            <a:schemeClr val="accent4">
              <a:alpha val="88000"/>
            </a:schemeClr>
          </a:solidFill>
          <a:ln>
            <a:solidFill>
              <a:schemeClr val="tx1"/>
            </a:solidFill>
          </a:ln>
          <a:effectLst/>
          <a:scene3d>
            <a:camera prst="orthographicFront"/>
            <a:lightRig rig="threePt" dir="t"/>
          </a:scene3d>
          <a:sp3d prstMaterial="flat">
            <a:contourClr>
              <a:schemeClr val="tx1"/>
            </a:contourClr>
          </a:sp3d>
        </c:spPr>
        <c:marker>
          <c:symbol val="none"/>
        </c:marker>
        <c:dLbl>
          <c:idx val="0"/>
          <c:spPr>
            <a:solidFill>
              <a:srgbClr val="0F9ED5">
                <a:shade val="76000"/>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4">
              <a:alpha val="88000"/>
            </a:schemeClr>
          </a:solidFill>
          <a:ln>
            <a:solidFill>
              <a:schemeClr val="accent4">
                <a:lumMod val="50000"/>
              </a:schemeClr>
            </a:solidFill>
          </a:ln>
          <a:effectLst/>
          <a:scene3d>
            <a:camera prst="orthographicFront"/>
            <a:lightRig rig="threePt" dir="t"/>
          </a:scene3d>
          <a:sp3d prstMaterial="flat">
            <a:contourClr>
              <a:schemeClr val="accent4">
                <a:lumMod val="50000"/>
              </a:schemeClr>
            </a:contourClr>
          </a:sp3d>
        </c:spPr>
        <c:marker>
          <c:symbol val="none"/>
        </c:marker>
        <c:dLbl>
          <c:idx val="0"/>
          <c:spPr>
            <a:solidFill>
              <a:srgbClr val="0F9ED5">
                <a:tint val="77000"/>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Table'!$E$5</c:f>
              <c:strCache>
                <c:ptCount val="1"/>
                <c:pt idx="0">
                  <c:v>Sum of Daily_return</c:v>
                </c:pt>
              </c:strCache>
            </c:strRef>
          </c:tx>
          <c:spPr>
            <a:solidFill>
              <a:schemeClr val="accent4">
                <a:shade val="76000"/>
                <a:alpha val="88000"/>
              </a:schemeClr>
            </a:solidFill>
            <a:ln>
              <a:solidFill>
                <a:schemeClr val="tx1"/>
              </a:solidFill>
            </a:ln>
            <a:effectLst/>
            <a:scene3d>
              <a:camera prst="orthographicFront"/>
              <a:lightRig rig="threePt" dir="t"/>
            </a:scene3d>
            <a:sp3d prstMaterial="flat">
              <a:contourClr>
                <a:schemeClr val="tx1"/>
              </a:contourClr>
            </a:sp3d>
          </c:spPr>
          <c:invertIfNegative val="0"/>
          <c:dLbls>
            <c:spPr>
              <a:solidFill>
                <a:srgbClr val="0F9ED5">
                  <a:shade val="76000"/>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Table'!$D$6:$D$8</c:f>
              <c:strCache>
                <c:ptCount val="2"/>
                <c:pt idx="0">
                  <c:v>Down</c:v>
                </c:pt>
                <c:pt idx="1">
                  <c:v>Up</c:v>
                </c:pt>
              </c:strCache>
            </c:strRef>
          </c:cat>
          <c:val>
            <c:numRef>
              <c:f>'Pivot Table'!$E$6:$E$8</c:f>
              <c:numCache>
                <c:formatCode>0.00</c:formatCode>
                <c:ptCount val="2"/>
                <c:pt idx="0">
                  <c:v>55.453999999999972</c:v>
                </c:pt>
                <c:pt idx="1">
                  <c:v>56.876600000000046</c:v>
                </c:pt>
              </c:numCache>
            </c:numRef>
          </c:val>
          <c:extLst>
            <c:ext xmlns:c16="http://schemas.microsoft.com/office/drawing/2014/chart" uri="{C3380CC4-5D6E-409C-BE32-E72D297353CC}">
              <c16:uniqueId val="{00000000-BF0B-484F-86AF-B68F6DA66EE5}"/>
            </c:ext>
          </c:extLst>
        </c:ser>
        <c:ser>
          <c:idx val="1"/>
          <c:order val="1"/>
          <c:tx>
            <c:strRef>
              <c:f>'Pivot Table'!$F$5</c:f>
              <c:strCache>
                <c:ptCount val="1"/>
                <c:pt idx="0">
                  <c:v>Sum of Average Return</c:v>
                </c:pt>
              </c:strCache>
            </c:strRef>
          </c:tx>
          <c:spPr>
            <a:solidFill>
              <a:schemeClr val="accent4">
                <a:tint val="77000"/>
                <a:alpha val="88000"/>
              </a:schemeClr>
            </a:solidFill>
            <a:ln>
              <a:solidFill>
                <a:schemeClr val="accent4">
                  <a:tint val="77000"/>
                  <a:lumMod val="50000"/>
                </a:schemeClr>
              </a:solidFill>
            </a:ln>
            <a:effectLst/>
            <a:scene3d>
              <a:camera prst="orthographicFront"/>
              <a:lightRig rig="threePt" dir="t"/>
            </a:scene3d>
            <a:sp3d prstMaterial="flat">
              <a:contourClr>
                <a:schemeClr val="accent4">
                  <a:tint val="77000"/>
                  <a:lumMod val="50000"/>
                </a:schemeClr>
              </a:contourClr>
            </a:sp3d>
          </c:spPr>
          <c:invertIfNegative val="0"/>
          <c:dLbls>
            <c:spPr>
              <a:solidFill>
                <a:srgbClr val="0F9ED5">
                  <a:tint val="77000"/>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Table'!$D$6:$D$8</c:f>
              <c:strCache>
                <c:ptCount val="2"/>
                <c:pt idx="0">
                  <c:v>Down</c:v>
                </c:pt>
                <c:pt idx="1">
                  <c:v>Up</c:v>
                </c:pt>
              </c:strCache>
            </c:strRef>
          </c:cat>
          <c:val>
            <c:numRef>
              <c:f>'Pivot Table'!$F$6:$F$8</c:f>
              <c:numCache>
                <c:formatCode>0.00</c:formatCode>
                <c:ptCount val="2"/>
                <c:pt idx="0">
                  <c:v>123.5441523535884</c:v>
                </c:pt>
                <c:pt idx="1">
                  <c:v>89.107215733790014</c:v>
                </c:pt>
              </c:numCache>
            </c:numRef>
          </c:val>
          <c:extLst>
            <c:ext xmlns:c16="http://schemas.microsoft.com/office/drawing/2014/chart" uri="{C3380CC4-5D6E-409C-BE32-E72D297353CC}">
              <c16:uniqueId val="{00000001-BF0B-484F-86AF-B68F6DA66EE5}"/>
            </c:ext>
          </c:extLst>
        </c:ser>
        <c:dLbls>
          <c:showLegendKey val="0"/>
          <c:showVal val="1"/>
          <c:showCatName val="0"/>
          <c:showSerName val="0"/>
          <c:showPercent val="0"/>
          <c:showBubbleSize val="0"/>
        </c:dLbls>
        <c:gapWidth val="84"/>
        <c:gapDepth val="53"/>
        <c:shape val="box"/>
        <c:axId val="37438079"/>
        <c:axId val="37429439"/>
        <c:axId val="0"/>
      </c:bar3DChart>
      <c:catAx>
        <c:axId val="3743807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37429439"/>
        <c:crosses val="autoZero"/>
        <c:auto val="1"/>
        <c:lblAlgn val="ctr"/>
        <c:lblOffset val="100"/>
        <c:noMultiLvlLbl val="0"/>
      </c:catAx>
      <c:valAx>
        <c:axId val="37429439"/>
        <c:scaling>
          <c:orientation val="minMax"/>
        </c:scaling>
        <c:delete val="1"/>
        <c:axPos val="l"/>
        <c:numFmt formatCode="0.00" sourceLinked="1"/>
        <c:majorTickMark val="out"/>
        <c:minorTickMark val="none"/>
        <c:tickLblPos val="nextTo"/>
        <c:crossAx val="37438079"/>
        <c:crosses val="autoZero"/>
        <c:crossBetween val="between"/>
      </c:valAx>
      <c:spPr>
        <a:noFill/>
        <a:ln>
          <a:noFill/>
        </a:ln>
        <a:effectLst/>
      </c:spPr>
    </c:plotArea>
    <c:legend>
      <c:legendPos val="r"/>
      <c:legendEntry>
        <c:idx val="0"/>
        <c:txPr>
          <a:bodyPr rot="0" spcFirstLastPara="1" vertOverflow="ellipsis" vert="horz" wrap="square" anchor="ctr" anchorCtr="1"/>
          <a:lstStyle/>
          <a:p>
            <a:pPr>
              <a:defRPr sz="900" b="0" i="0" u="none" strike="noStrike" kern="1200" baseline="0">
                <a:solidFill>
                  <a:schemeClr val="bg2">
                    <a:lumMod val="10000"/>
                  </a:schemeClr>
                </a:solidFill>
                <a:latin typeface="+mn-lt"/>
                <a:ea typeface="+mn-ea"/>
                <a:cs typeface="+mn-cs"/>
              </a:defRPr>
            </a:pPr>
            <a:endParaRPr lang="en-US"/>
          </a:p>
        </c:txPr>
      </c:legendEntry>
      <c:legendEntry>
        <c:idx val="1"/>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legendEntry>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635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[Priya_Practical_Exam.xlsx]Pivot Table!PivotTable4</c:name>
    <c:fmtId val="24"/>
  </c:pivotSource>
  <c:chart>
    <c:autoTitleDeleted val="1"/>
    <c:pivotFmts>
      <c:pivotFmt>
        <c:idx val="0"/>
      </c:pivotFmt>
      <c:pivotFmt>
        <c:idx val="1"/>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1750" cap="rnd">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Table'!$I$5</c:f>
              <c:strCache>
                <c:ptCount val="1"/>
                <c:pt idx="0">
                  <c:v>Total</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Table'!$H$6:$H$9</c:f>
              <c:strCache>
                <c:ptCount val="3"/>
                <c:pt idx="0">
                  <c:v>Buy</c:v>
                </c:pt>
                <c:pt idx="1">
                  <c:v>Hold</c:v>
                </c:pt>
                <c:pt idx="2">
                  <c:v>Sell</c:v>
                </c:pt>
              </c:strCache>
            </c:strRef>
          </c:cat>
          <c:val>
            <c:numRef>
              <c:f>'Pivot Table'!$I$6:$I$9</c:f>
              <c:numCache>
                <c:formatCode>General</c:formatCode>
                <c:ptCount val="3"/>
                <c:pt idx="0">
                  <c:v>85</c:v>
                </c:pt>
                <c:pt idx="1">
                  <c:v>839</c:v>
                </c:pt>
                <c:pt idx="2">
                  <c:v>245</c:v>
                </c:pt>
              </c:numCache>
            </c:numRef>
          </c:val>
          <c:smooth val="0"/>
          <c:extLst>
            <c:ext xmlns:c16="http://schemas.microsoft.com/office/drawing/2014/chart" uri="{C3380CC4-5D6E-409C-BE32-E72D297353CC}">
              <c16:uniqueId val="{00000000-BEDB-454F-A5DC-283563C733EA}"/>
            </c:ext>
          </c:extLst>
        </c:ser>
        <c:dLbls>
          <c:dLblPos val="ctr"/>
          <c:showLegendKey val="0"/>
          <c:showVal val="1"/>
          <c:showCatName val="0"/>
          <c:showSerName val="0"/>
          <c:showPercent val="0"/>
          <c:showBubbleSize val="0"/>
        </c:dLbls>
        <c:marker val="1"/>
        <c:smooth val="0"/>
        <c:axId val="781603664"/>
        <c:axId val="781594544"/>
      </c:lineChart>
      <c:catAx>
        <c:axId val="781603664"/>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781594544"/>
        <c:crosses val="autoZero"/>
        <c:auto val="1"/>
        <c:lblAlgn val="ctr"/>
        <c:lblOffset val="100"/>
        <c:noMultiLvlLbl val="0"/>
      </c:catAx>
      <c:valAx>
        <c:axId val="781594544"/>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781603664"/>
        <c:crosses val="autoZero"/>
        <c:crossBetween val="between"/>
      </c:valAx>
      <c:spPr>
        <a:noFill/>
        <a:ln>
          <a:noFill/>
        </a:ln>
        <a:effectLst/>
      </c:spPr>
    </c:plotArea>
    <c:legend>
      <c:legendPos val="r"/>
      <c:overlay val="0"/>
      <c:spPr>
        <a:solidFill>
          <a:schemeClr val="lt1">
            <a:lumMod val="95000"/>
            <a:alpha val="39000"/>
          </a:schemeClr>
        </a:solidFill>
        <a:ln>
          <a:solidFill>
            <a:schemeClr val="tx1"/>
          </a:solid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[Priya_Practical_Exam.xlsx]Pivot Table!PivotTable4</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doughnutChart>
        <c:varyColors val="1"/>
        <c:ser>
          <c:idx val="0"/>
          <c:order val="0"/>
          <c:tx>
            <c:strRef>
              <c:f>'Pivot Table'!$I$5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819-42EA-9F6F-0EDEF54199F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819-42EA-9F6F-0EDEF54199F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819-42EA-9F6F-0EDEF54199FD}"/>
              </c:ext>
            </c:extLst>
          </c:dPt>
          <c:cat>
            <c:strRef>
              <c:f>'Pivot Table'!$H$6:$H$9</c:f>
              <c:strCache>
                <c:ptCount val="3"/>
                <c:pt idx="0">
                  <c:v>Buy</c:v>
                </c:pt>
                <c:pt idx="1">
                  <c:v>Hold</c:v>
                </c:pt>
                <c:pt idx="2">
                  <c:v>Sell</c:v>
                </c:pt>
              </c:strCache>
            </c:strRef>
          </c:cat>
          <c:val>
            <c:numRef>
              <c:f>'Pivot Table'!$I$6:$I$9</c:f>
              <c:numCache>
                <c:formatCode>General</c:formatCode>
                <c:ptCount val="3"/>
                <c:pt idx="0">
                  <c:v>85</c:v>
                </c:pt>
                <c:pt idx="1">
                  <c:v>839</c:v>
                </c:pt>
                <c:pt idx="2">
                  <c:v>245</c:v>
                </c:pt>
              </c:numCache>
            </c:numRef>
          </c:val>
          <c:extLst>
            <c:ext xmlns:c16="http://schemas.microsoft.com/office/drawing/2014/chart" uri="{C3380CC4-5D6E-409C-BE32-E72D297353CC}">
              <c16:uniqueId val="{00000006-6819-42EA-9F6F-0EDEF54199FD}"/>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[Priya_Practical_Exam.xlsx]Pivot Table!PivotTable3</c:name>
    <c:fmtId val="24"/>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Table'!$E$5</c:f>
              <c:strCache>
                <c:ptCount val="1"/>
                <c:pt idx="0">
                  <c:v>Sum of Daily_return</c:v>
                </c:pt>
              </c:strCache>
            </c:strRef>
          </c:tx>
          <c:spPr>
            <a:solidFill>
              <a:schemeClr val="accent1"/>
            </a:solidFill>
            <a:ln>
              <a:noFill/>
            </a:ln>
            <a:effectLst/>
            <a:sp3d/>
          </c:spPr>
          <c:invertIfNegative val="0"/>
          <c:cat>
            <c:strRef>
              <c:f>'Pivot Table'!$D$6:$D$8</c:f>
              <c:strCache>
                <c:ptCount val="2"/>
                <c:pt idx="0">
                  <c:v>Down</c:v>
                </c:pt>
                <c:pt idx="1">
                  <c:v>Up</c:v>
                </c:pt>
              </c:strCache>
            </c:strRef>
          </c:cat>
          <c:val>
            <c:numRef>
              <c:f>'Pivot Table'!$E$6:$E$8</c:f>
              <c:numCache>
                <c:formatCode>0.00</c:formatCode>
                <c:ptCount val="2"/>
                <c:pt idx="0">
                  <c:v>55.453999999999972</c:v>
                </c:pt>
                <c:pt idx="1">
                  <c:v>56.876600000000046</c:v>
                </c:pt>
              </c:numCache>
            </c:numRef>
          </c:val>
          <c:extLst>
            <c:ext xmlns:c16="http://schemas.microsoft.com/office/drawing/2014/chart" uri="{C3380CC4-5D6E-409C-BE32-E72D297353CC}">
              <c16:uniqueId val="{00000000-6EDB-459C-89AE-612136539F83}"/>
            </c:ext>
          </c:extLst>
        </c:ser>
        <c:ser>
          <c:idx val="1"/>
          <c:order val="1"/>
          <c:tx>
            <c:strRef>
              <c:f>'Pivot Table'!$F$5</c:f>
              <c:strCache>
                <c:ptCount val="1"/>
                <c:pt idx="0">
                  <c:v>Sum of Average Return</c:v>
                </c:pt>
              </c:strCache>
            </c:strRef>
          </c:tx>
          <c:spPr>
            <a:solidFill>
              <a:schemeClr val="accent2"/>
            </a:solidFill>
            <a:ln>
              <a:noFill/>
            </a:ln>
            <a:effectLst/>
            <a:sp3d/>
          </c:spPr>
          <c:invertIfNegative val="0"/>
          <c:cat>
            <c:strRef>
              <c:f>'Pivot Table'!$D$6:$D$8</c:f>
              <c:strCache>
                <c:ptCount val="2"/>
                <c:pt idx="0">
                  <c:v>Down</c:v>
                </c:pt>
                <c:pt idx="1">
                  <c:v>Up</c:v>
                </c:pt>
              </c:strCache>
            </c:strRef>
          </c:cat>
          <c:val>
            <c:numRef>
              <c:f>'Pivot Table'!$F$6:$F$8</c:f>
              <c:numCache>
                <c:formatCode>0.00</c:formatCode>
                <c:ptCount val="2"/>
                <c:pt idx="0">
                  <c:v>123.5441523535884</c:v>
                </c:pt>
                <c:pt idx="1">
                  <c:v>89.107215733790014</c:v>
                </c:pt>
              </c:numCache>
            </c:numRef>
          </c:val>
          <c:extLst>
            <c:ext xmlns:c16="http://schemas.microsoft.com/office/drawing/2014/chart" uri="{C3380CC4-5D6E-409C-BE32-E72D297353CC}">
              <c16:uniqueId val="{00000001-6EDB-459C-89AE-612136539F83}"/>
            </c:ext>
          </c:extLst>
        </c:ser>
        <c:dLbls>
          <c:showLegendKey val="0"/>
          <c:showVal val="0"/>
          <c:showCatName val="0"/>
          <c:showSerName val="0"/>
          <c:showPercent val="0"/>
          <c:showBubbleSize val="0"/>
        </c:dLbls>
        <c:gapWidth val="150"/>
        <c:shape val="box"/>
        <c:axId val="37438079"/>
        <c:axId val="37429439"/>
        <c:axId val="0"/>
      </c:bar3DChart>
      <c:catAx>
        <c:axId val="3743807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429439"/>
        <c:crosses val="autoZero"/>
        <c:auto val="1"/>
        <c:lblAlgn val="ctr"/>
        <c:lblOffset val="100"/>
        <c:noMultiLvlLbl val="0"/>
      </c:catAx>
      <c:valAx>
        <c:axId val="3742943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4380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[Priya_Practical_Exam.xlsx]Pivot Table!PivotTable4</c:name>
    <c:fmtId val="1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Table'!$I$5</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Table'!$H$6:$H$9</c:f>
              <c:strCache>
                <c:ptCount val="3"/>
                <c:pt idx="0">
                  <c:v>Buy</c:v>
                </c:pt>
                <c:pt idx="1">
                  <c:v>Hold</c:v>
                </c:pt>
                <c:pt idx="2">
                  <c:v>Sell</c:v>
                </c:pt>
              </c:strCache>
            </c:strRef>
          </c:cat>
          <c:val>
            <c:numRef>
              <c:f>'Pivot Table'!$I$6:$I$9</c:f>
              <c:numCache>
                <c:formatCode>General</c:formatCode>
                <c:ptCount val="3"/>
                <c:pt idx="0">
                  <c:v>85</c:v>
                </c:pt>
                <c:pt idx="1">
                  <c:v>839</c:v>
                </c:pt>
                <c:pt idx="2">
                  <c:v>245</c:v>
                </c:pt>
              </c:numCache>
            </c:numRef>
          </c:val>
          <c:smooth val="0"/>
          <c:extLst>
            <c:ext xmlns:c16="http://schemas.microsoft.com/office/drawing/2014/chart" uri="{C3380CC4-5D6E-409C-BE32-E72D297353CC}">
              <c16:uniqueId val="{00000000-4E88-4C19-872D-6FA5D215A490}"/>
            </c:ext>
          </c:extLst>
        </c:ser>
        <c:dLbls>
          <c:showLegendKey val="0"/>
          <c:showVal val="0"/>
          <c:showCatName val="0"/>
          <c:showSerName val="0"/>
          <c:showPercent val="0"/>
          <c:showBubbleSize val="0"/>
        </c:dLbls>
        <c:marker val="1"/>
        <c:smooth val="0"/>
        <c:axId val="781603664"/>
        <c:axId val="781594544"/>
      </c:lineChart>
      <c:catAx>
        <c:axId val="781603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1594544"/>
        <c:crosses val="autoZero"/>
        <c:auto val="1"/>
        <c:lblAlgn val="ctr"/>
        <c:lblOffset val="100"/>
        <c:noMultiLvlLbl val="0"/>
      </c:catAx>
      <c:valAx>
        <c:axId val="7815945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16036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[Priya_Practical_Exam.xlsx]Pivot Table!PivotTable1</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doughnutChart>
        <c:varyColors val="1"/>
        <c:ser>
          <c:idx val="0"/>
          <c:order val="0"/>
          <c:tx>
            <c:strRef>
              <c:f>'Pivot Table'!$B$5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A59-4179-8194-682386074D2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A59-4179-8194-682386074D2A}"/>
              </c:ext>
            </c:extLst>
          </c:dPt>
          <c:cat>
            <c:strRef>
              <c:f>'Pivot Table'!$A$6:$A$8</c:f>
              <c:strCache>
                <c:ptCount val="2"/>
                <c:pt idx="0">
                  <c:v>Down</c:v>
                </c:pt>
                <c:pt idx="1">
                  <c:v>Up</c:v>
                </c:pt>
              </c:strCache>
            </c:strRef>
          </c:cat>
          <c:val>
            <c:numRef>
              <c:f>'Pivot Table'!$B$6:$B$8</c:f>
              <c:numCache>
                <c:formatCode>General</c:formatCode>
                <c:ptCount val="2"/>
                <c:pt idx="0">
                  <c:v>664</c:v>
                </c:pt>
                <c:pt idx="1">
                  <c:v>505</c:v>
                </c:pt>
              </c:numCache>
            </c:numRef>
          </c:val>
          <c:extLst>
            <c:ext xmlns:c16="http://schemas.microsoft.com/office/drawing/2014/chart" uri="{C3380CC4-5D6E-409C-BE32-E72D297353CC}">
              <c16:uniqueId val="{00000004-2A59-4179-8194-682386074D2A}"/>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withinLinear" id="17">
  <a:schemeClr val="accent4"/>
</cs:colorStyle>
</file>

<file path=xl/charts/colors4.xml><?xml version="1.0" encoding="utf-8"?>
<cs:colorStyle xmlns:cs="http://schemas.microsoft.com/office/drawing/2012/chartStyle" xmlns:a="http://schemas.openxmlformats.org/drawingml/2006/main" meth="withinLinear" id="14">
  <a:schemeClr val="accent1"/>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4.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4.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3.xml"/><Relationship Id="rId5" Type="http://schemas.openxmlformats.org/officeDocument/2006/relationships/image" Target="../media/image5.png"/><Relationship Id="rId10" Type="http://schemas.openxmlformats.org/officeDocument/2006/relationships/chart" Target="../charts/chart2.xml"/><Relationship Id="rId4" Type="http://schemas.openxmlformats.org/officeDocument/2006/relationships/image" Target="../media/image4.svg"/><Relationship Id="rId9"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23</xdr:col>
      <xdr:colOff>350520</xdr:colOff>
      <xdr:row>39</xdr:row>
      <xdr:rowOff>83820</xdr:rowOff>
    </xdr:to>
    <xdr:sp macro="" textlink="">
      <xdr:nvSpPr>
        <xdr:cNvPr id="2" name="Rectangle 1">
          <a:extLst>
            <a:ext uri="{FF2B5EF4-FFF2-40B4-BE49-F238E27FC236}">
              <a16:creationId xmlns:a16="http://schemas.microsoft.com/office/drawing/2014/main" id="{DA2E1757-C379-17AE-CAA8-5559F7AB9F9C}"/>
            </a:ext>
          </a:extLst>
        </xdr:cNvPr>
        <xdr:cNvSpPr/>
      </xdr:nvSpPr>
      <xdr:spPr>
        <a:xfrm>
          <a:off x="0" y="0"/>
          <a:ext cx="14371320" cy="7216140"/>
        </a:xfrm>
        <a:prstGeom prst="rect">
          <a:avLst/>
        </a:prstGeom>
        <a:gradFill>
          <a:gsLst>
            <a:gs pos="20000">
              <a:schemeClr val="accent1">
                <a:lumMod val="40000"/>
                <a:lumOff val="60000"/>
              </a:schemeClr>
            </a:gs>
            <a:gs pos="20000">
              <a:schemeClr val="accent1">
                <a:lumMod val="60000"/>
                <a:lumOff val="40000"/>
              </a:schemeClr>
            </a:gs>
            <a:gs pos="86000">
              <a:schemeClr val="accent1">
                <a:lumMod val="75000"/>
              </a:schemeClr>
            </a:gs>
            <a:gs pos="100000">
              <a:schemeClr val="accent1">
                <a:lumMod val="50000"/>
              </a:schemeClr>
            </a:gs>
          </a:gsLst>
          <a:lin ang="5400000" scaled="1"/>
        </a:gradFill>
        <a:ln>
          <a:solidFill>
            <a:schemeClr val="accent1">
              <a:shade val="1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0</xdr:row>
      <xdr:rowOff>7620</xdr:rowOff>
    </xdr:from>
    <xdr:to>
      <xdr:col>23</xdr:col>
      <xdr:colOff>365760</xdr:colOff>
      <xdr:row>5</xdr:row>
      <xdr:rowOff>7620</xdr:rowOff>
    </xdr:to>
    <xdr:sp macro="" textlink="">
      <xdr:nvSpPr>
        <xdr:cNvPr id="4" name="Rectangle: Rounded Corners 3">
          <a:extLst>
            <a:ext uri="{FF2B5EF4-FFF2-40B4-BE49-F238E27FC236}">
              <a16:creationId xmlns:a16="http://schemas.microsoft.com/office/drawing/2014/main" id="{4D3601DF-649A-3357-9184-77EC2CDFB999}"/>
            </a:ext>
          </a:extLst>
        </xdr:cNvPr>
        <xdr:cNvSpPr/>
      </xdr:nvSpPr>
      <xdr:spPr>
        <a:xfrm>
          <a:off x="0" y="7620"/>
          <a:ext cx="14386560" cy="914400"/>
        </a:xfrm>
        <a:prstGeom prst="roundRect">
          <a:avLst/>
        </a:prstGeom>
        <a:gradFill>
          <a:gsLst>
            <a:gs pos="0">
              <a:schemeClr val="accent1">
                <a:lumMod val="40000"/>
                <a:lumOff val="60000"/>
              </a:schemeClr>
            </a:gs>
            <a:gs pos="50000">
              <a:schemeClr val="accent1">
                <a:lumMod val="40000"/>
                <a:lumOff val="60000"/>
              </a:schemeClr>
            </a:gs>
            <a:gs pos="0">
              <a:schemeClr val="accent1">
                <a:lumMod val="75000"/>
              </a:schemeClr>
            </a:gs>
            <a:gs pos="100000">
              <a:schemeClr val="accent1">
                <a:lumMod val="75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b="1">
              <a:solidFill>
                <a:schemeClr val="tx1"/>
              </a:solidFill>
            </a:rPr>
            <a:t>STOCK</a:t>
          </a:r>
          <a:r>
            <a:rPr lang="en-IN" sz="2400" b="1" baseline="0">
              <a:solidFill>
                <a:schemeClr val="tx1"/>
              </a:solidFill>
            </a:rPr>
            <a:t> </a:t>
          </a:r>
          <a:r>
            <a:rPr lang="en-IN" sz="2400" b="1">
              <a:solidFill>
                <a:schemeClr val="tx1"/>
              </a:solidFill>
            </a:rPr>
            <a:t> MARKET</a:t>
          </a:r>
          <a:r>
            <a:rPr lang="en-IN" sz="2400" b="1" baseline="0">
              <a:solidFill>
                <a:schemeClr val="tx1"/>
              </a:solidFill>
            </a:rPr>
            <a:t>  ANALYSIS DASHBOARD</a:t>
          </a:r>
          <a:endParaRPr lang="en-IN" sz="2400" b="1">
            <a:solidFill>
              <a:schemeClr val="tx1"/>
            </a:solidFill>
          </a:endParaRPr>
        </a:p>
      </xdr:txBody>
    </xdr:sp>
    <xdr:clientData/>
  </xdr:twoCellAnchor>
  <xdr:twoCellAnchor>
    <xdr:from>
      <xdr:col>0</xdr:col>
      <xdr:colOff>273538</xdr:colOff>
      <xdr:row>5</xdr:row>
      <xdr:rowOff>136768</xdr:rowOff>
    </xdr:from>
    <xdr:to>
      <xdr:col>3</xdr:col>
      <xdr:colOff>400538</xdr:colOff>
      <xdr:row>12</xdr:row>
      <xdr:rowOff>136768</xdr:rowOff>
    </xdr:to>
    <xdr:sp macro="" textlink="">
      <xdr:nvSpPr>
        <xdr:cNvPr id="5" name="Rectangle: Rounded Corners 4">
          <a:extLst>
            <a:ext uri="{FF2B5EF4-FFF2-40B4-BE49-F238E27FC236}">
              <a16:creationId xmlns:a16="http://schemas.microsoft.com/office/drawing/2014/main" id="{D4764148-2222-C1EF-5628-37D59611D515}"/>
            </a:ext>
          </a:extLst>
        </xdr:cNvPr>
        <xdr:cNvSpPr/>
      </xdr:nvSpPr>
      <xdr:spPr>
        <a:xfrm>
          <a:off x="273538" y="1051168"/>
          <a:ext cx="1955800" cy="1280160"/>
        </a:xfrm>
        <a:prstGeom prst="roundRect">
          <a:avLst/>
        </a:prstGeom>
        <a:gradFill>
          <a:gsLst>
            <a:gs pos="87000">
              <a:srgbClr val="4D8DAA"/>
            </a:gs>
            <a:gs pos="67000">
              <a:schemeClr val="accent1">
                <a:lumMod val="40000"/>
                <a:lumOff val="60000"/>
              </a:schemeClr>
            </a:gs>
            <a:gs pos="23000">
              <a:schemeClr val="accent1">
                <a:lumMod val="40000"/>
                <a:lumOff val="60000"/>
              </a:schemeClr>
            </a:gs>
            <a:gs pos="0">
              <a:schemeClr val="accent1">
                <a:lumMod val="75000"/>
              </a:schemeClr>
            </a:gs>
            <a:gs pos="100000">
              <a:schemeClr val="accent1">
                <a:lumMod val="75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IN" sz="1400"/>
        </a:p>
      </xdr:txBody>
    </xdr:sp>
    <xdr:clientData/>
  </xdr:twoCellAnchor>
  <xdr:twoCellAnchor>
    <xdr:from>
      <xdr:col>11</xdr:col>
      <xdr:colOff>449384</xdr:colOff>
      <xdr:row>6</xdr:row>
      <xdr:rowOff>0</xdr:rowOff>
    </xdr:from>
    <xdr:to>
      <xdr:col>14</xdr:col>
      <xdr:colOff>576384</xdr:colOff>
      <xdr:row>13</xdr:row>
      <xdr:rowOff>0</xdr:rowOff>
    </xdr:to>
    <xdr:sp macro="" textlink="">
      <xdr:nvSpPr>
        <xdr:cNvPr id="6" name="Rectangle: Rounded Corners 5">
          <a:extLst>
            <a:ext uri="{FF2B5EF4-FFF2-40B4-BE49-F238E27FC236}">
              <a16:creationId xmlns:a16="http://schemas.microsoft.com/office/drawing/2014/main" id="{F7699833-0EBB-43AB-A7EA-76BC65D68ED3}"/>
            </a:ext>
          </a:extLst>
        </xdr:cNvPr>
        <xdr:cNvSpPr/>
      </xdr:nvSpPr>
      <xdr:spPr>
        <a:xfrm>
          <a:off x="7111999" y="1113692"/>
          <a:ext cx="1944077" cy="1299308"/>
        </a:xfrm>
        <a:prstGeom prst="roundRect">
          <a:avLst/>
        </a:prstGeom>
        <a:gradFill>
          <a:gsLst>
            <a:gs pos="87000">
              <a:srgbClr val="4D8DAA"/>
            </a:gs>
            <a:gs pos="67000">
              <a:schemeClr val="accent1">
                <a:lumMod val="40000"/>
                <a:lumOff val="60000"/>
              </a:schemeClr>
            </a:gs>
            <a:gs pos="23000">
              <a:schemeClr val="accent1">
                <a:lumMod val="40000"/>
                <a:lumOff val="60000"/>
              </a:schemeClr>
            </a:gs>
            <a:gs pos="0">
              <a:schemeClr val="accent1">
                <a:lumMod val="75000"/>
              </a:schemeClr>
            </a:gs>
            <a:gs pos="100000">
              <a:schemeClr val="accent1">
                <a:lumMod val="75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28722</xdr:colOff>
      <xdr:row>5</xdr:row>
      <xdr:rowOff>169789</xdr:rowOff>
    </xdr:from>
    <xdr:to>
      <xdr:col>11</xdr:col>
      <xdr:colOff>155722</xdr:colOff>
      <xdr:row>12</xdr:row>
      <xdr:rowOff>169789</xdr:rowOff>
    </xdr:to>
    <xdr:sp macro="" textlink="">
      <xdr:nvSpPr>
        <xdr:cNvPr id="7" name="Rectangle: Rounded Corners 6">
          <a:extLst>
            <a:ext uri="{FF2B5EF4-FFF2-40B4-BE49-F238E27FC236}">
              <a16:creationId xmlns:a16="http://schemas.microsoft.com/office/drawing/2014/main" id="{B974B329-BFA3-48AE-9CF8-D7836E4DBA91}"/>
            </a:ext>
          </a:extLst>
        </xdr:cNvPr>
        <xdr:cNvSpPr/>
      </xdr:nvSpPr>
      <xdr:spPr>
        <a:xfrm>
          <a:off x="4897339" y="1090326"/>
          <a:ext cx="1952732" cy="1288752"/>
        </a:xfrm>
        <a:prstGeom prst="roundRect">
          <a:avLst/>
        </a:prstGeom>
        <a:gradFill>
          <a:gsLst>
            <a:gs pos="87000">
              <a:srgbClr val="4D8DAA"/>
            </a:gs>
            <a:gs pos="67000">
              <a:schemeClr val="accent1">
                <a:lumMod val="40000"/>
                <a:lumOff val="60000"/>
              </a:schemeClr>
            </a:gs>
            <a:gs pos="23000">
              <a:schemeClr val="accent1">
                <a:lumMod val="40000"/>
                <a:lumOff val="60000"/>
              </a:schemeClr>
            </a:gs>
            <a:gs pos="0">
              <a:schemeClr val="accent1">
                <a:lumMod val="75000"/>
              </a:schemeClr>
            </a:gs>
            <a:gs pos="100000">
              <a:schemeClr val="accent1">
                <a:lumMod val="75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119184</xdr:colOff>
      <xdr:row>5</xdr:row>
      <xdr:rowOff>158262</xdr:rowOff>
    </xdr:from>
    <xdr:to>
      <xdr:col>7</xdr:col>
      <xdr:colOff>246184</xdr:colOff>
      <xdr:row>12</xdr:row>
      <xdr:rowOff>158262</xdr:rowOff>
    </xdr:to>
    <xdr:sp macro="" textlink="">
      <xdr:nvSpPr>
        <xdr:cNvPr id="8" name="Rectangle: Rounded Corners 7">
          <a:extLst>
            <a:ext uri="{FF2B5EF4-FFF2-40B4-BE49-F238E27FC236}">
              <a16:creationId xmlns:a16="http://schemas.microsoft.com/office/drawing/2014/main" id="{119806D5-6271-4D64-86B9-E08A62CDF9A7}"/>
            </a:ext>
          </a:extLst>
        </xdr:cNvPr>
        <xdr:cNvSpPr/>
      </xdr:nvSpPr>
      <xdr:spPr>
        <a:xfrm>
          <a:off x="2561759" y="1071618"/>
          <a:ext cx="1958932" cy="1278699"/>
        </a:xfrm>
        <a:prstGeom prst="roundRect">
          <a:avLst/>
        </a:prstGeom>
        <a:gradFill>
          <a:gsLst>
            <a:gs pos="87000">
              <a:srgbClr val="4D8DAA"/>
            </a:gs>
            <a:gs pos="67000">
              <a:schemeClr val="accent1">
                <a:lumMod val="40000"/>
                <a:lumOff val="60000"/>
              </a:schemeClr>
            </a:gs>
            <a:gs pos="23000">
              <a:schemeClr val="accent1">
                <a:lumMod val="40000"/>
                <a:lumOff val="60000"/>
              </a:schemeClr>
            </a:gs>
            <a:gs pos="0">
              <a:schemeClr val="accent1">
                <a:lumMod val="75000"/>
              </a:schemeClr>
            </a:gs>
            <a:gs pos="100000">
              <a:schemeClr val="accent1">
                <a:lumMod val="75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586740</xdr:colOff>
      <xdr:row>7</xdr:row>
      <xdr:rowOff>76200</xdr:rowOff>
    </xdr:from>
    <xdr:to>
      <xdr:col>4</xdr:col>
      <xdr:colOff>213360</xdr:colOff>
      <xdr:row>9</xdr:row>
      <xdr:rowOff>7620</xdr:rowOff>
    </xdr:to>
    <xdr:sp macro="" textlink="">
      <xdr:nvSpPr>
        <xdr:cNvPr id="11" name="Rectangle 10">
          <a:extLst>
            <a:ext uri="{FF2B5EF4-FFF2-40B4-BE49-F238E27FC236}">
              <a16:creationId xmlns:a16="http://schemas.microsoft.com/office/drawing/2014/main" id="{93E36A8B-9EA0-5589-E5CA-9A5FBFE2EAE7}"/>
            </a:ext>
          </a:extLst>
        </xdr:cNvPr>
        <xdr:cNvSpPr/>
      </xdr:nvSpPr>
      <xdr:spPr>
        <a:xfrm>
          <a:off x="586740" y="1356360"/>
          <a:ext cx="2065020" cy="2971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i="0" u="none" strike="noStrike">
              <a:solidFill>
                <a:schemeClr val="tx1"/>
              </a:solidFill>
              <a:effectLst/>
              <a:latin typeface="+mn-lt"/>
              <a:ea typeface="+mn-ea"/>
              <a:cs typeface="+mn-cs"/>
            </a:rPr>
            <a:t>Total</a:t>
          </a:r>
          <a:r>
            <a:rPr lang="en-IN" sz="1400" b="1" i="0" u="none" strike="noStrike">
              <a:solidFill>
                <a:schemeClr val="lt1"/>
              </a:solidFill>
              <a:effectLst/>
              <a:latin typeface="+mn-lt"/>
              <a:ea typeface="+mn-ea"/>
              <a:cs typeface="+mn-cs"/>
            </a:rPr>
            <a:t> </a:t>
          </a:r>
          <a:r>
            <a:rPr lang="en-IN" sz="1400" b="1" i="0" u="none" strike="noStrike">
              <a:solidFill>
                <a:schemeClr val="tx1"/>
              </a:solidFill>
              <a:effectLst/>
              <a:latin typeface="+mn-lt"/>
              <a:ea typeface="+mn-ea"/>
              <a:cs typeface="+mn-cs"/>
            </a:rPr>
            <a:t>Volume</a:t>
          </a:r>
          <a:r>
            <a:rPr lang="en-IN" sz="1400">
              <a:effectLst/>
            </a:rPr>
            <a:t> </a:t>
          </a:r>
          <a:endParaRPr lang="en-IN" sz="1400"/>
        </a:p>
      </xdr:txBody>
    </xdr:sp>
    <xdr:clientData/>
  </xdr:twoCellAnchor>
  <xdr:twoCellAnchor editAs="oneCell">
    <xdr:from>
      <xdr:col>0</xdr:col>
      <xdr:colOff>346839</xdr:colOff>
      <xdr:row>7</xdr:row>
      <xdr:rowOff>9331</xdr:rowOff>
    </xdr:from>
    <xdr:to>
      <xdr:col>1</xdr:col>
      <xdr:colOff>457201</xdr:colOff>
      <xdr:row>10</xdr:row>
      <xdr:rowOff>173775</xdr:rowOff>
    </xdr:to>
    <xdr:pic>
      <xdr:nvPicPr>
        <xdr:cNvPr id="13" name="Graphic 12" descr="Music notes with solid fill">
          <a:extLst>
            <a:ext uri="{FF2B5EF4-FFF2-40B4-BE49-F238E27FC236}">
              <a16:creationId xmlns:a16="http://schemas.microsoft.com/office/drawing/2014/main" id="{3DC2ED59-7BB3-E9A9-F27B-D901302F71DD}"/>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346839" y="1289491"/>
          <a:ext cx="719962" cy="713084"/>
        </a:xfrm>
        <a:prstGeom prst="rect">
          <a:avLst/>
        </a:prstGeom>
      </xdr:spPr>
    </xdr:pic>
    <xdr:clientData/>
  </xdr:twoCellAnchor>
  <xdr:twoCellAnchor>
    <xdr:from>
      <xdr:col>1</xdr:col>
      <xdr:colOff>503176</xdr:colOff>
      <xdr:row>8</xdr:row>
      <xdr:rowOff>177057</xdr:rowOff>
    </xdr:from>
    <xdr:to>
      <xdr:col>3</xdr:col>
      <xdr:colOff>246323</xdr:colOff>
      <xdr:row>10</xdr:row>
      <xdr:rowOff>104281</xdr:rowOff>
    </xdr:to>
    <xdr:sp macro="" textlink="">
      <xdr:nvSpPr>
        <xdr:cNvPr id="16" name="Rectangle 15">
          <a:extLst>
            <a:ext uri="{FF2B5EF4-FFF2-40B4-BE49-F238E27FC236}">
              <a16:creationId xmlns:a16="http://schemas.microsoft.com/office/drawing/2014/main" id="{F52304F6-6FB6-A221-BE5D-D645C66CAE59}"/>
            </a:ext>
          </a:extLst>
        </xdr:cNvPr>
        <xdr:cNvSpPr/>
      </xdr:nvSpPr>
      <xdr:spPr>
        <a:xfrm>
          <a:off x="1112776" y="1640097"/>
          <a:ext cx="962347" cy="292984"/>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600" b="1" i="0" u="none" strike="noStrike">
              <a:solidFill>
                <a:schemeClr val="tx1"/>
              </a:solidFill>
              <a:effectLst/>
              <a:latin typeface="+mn-lt"/>
              <a:ea typeface="+mn-ea"/>
              <a:cs typeface="+mn-cs"/>
            </a:rPr>
            <a:t>5008781</a:t>
          </a:r>
          <a:r>
            <a:rPr lang="en-IN" sz="1200">
              <a:effectLst/>
            </a:rPr>
            <a:t> </a:t>
          </a:r>
          <a:endParaRPr lang="en-IN" sz="1200"/>
        </a:p>
      </xdr:txBody>
    </xdr:sp>
    <xdr:clientData/>
  </xdr:twoCellAnchor>
  <xdr:twoCellAnchor>
    <xdr:from>
      <xdr:col>4</xdr:col>
      <xdr:colOff>450134</xdr:colOff>
      <xdr:row>7</xdr:row>
      <xdr:rowOff>55928</xdr:rowOff>
    </xdr:from>
    <xdr:to>
      <xdr:col>8</xdr:col>
      <xdr:colOff>76754</xdr:colOff>
      <xdr:row>8</xdr:row>
      <xdr:rowOff>170228</xdr:rowOff>
    </xdr:to>
    <xdr:sp macro="" textlink="">
      <xdr:nvSpPr>
        <xdr:cNvPr id="18" name="Rectangle 17">
          <a:extLst>
            <a:ext uri="{FF2B5EF4-FFF2-40B4-BE49-F238E27FC236}">
              <a16:creationId xmlns:a16="http://schemas.microsoft.com/office/drawing/2014/main" id="{904116EB-A60E-42A5-B901-B652F81121EC}"/>
            </a:ext>
          </a:extLst>
        </xdr:cNvPr>
        <xdr:cNvSpPr/>
      </xdr:nvSpPr>
      <xdr:spPr>
        <a:xfrm>
          <a:off x="2888534" y="1336088"/>
          <a:ext cx="2065020" cy="2971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i="0" u="none" strike="noStrike">
              <a:solidFill>
                <a:schemeClr val="tx1"/>
              </a:solidFill>
              <a:effectLst/>
              <a:latin typeface="+mn-lt"/>
              <a:ea typeface="+mn-ea"/>
              <a:cs typeface="+mn-cs"/>
            </a:rPr>
            <a:t>Average Return</a:t>
          </a:r>
          <a:r>
            <a:rPr lang="en-IN" sz="1800">
              <a:solidFill>
                <a:schemeClr val="tx1"/>
              </a:solidFill>
              <a:effectLst/>
            </a:rPr>
            <a:t> </a:t>
          </a:r>
          <a:endParaRPr lang="en-IN" sz="1800">
            <a:solidFill>
              <a:schemeClr val="tx1"/>
            </a:solidFill>
          </a:endParaRPr>
        </a:p>
      </xdr:txBody>
    </xdr:sp>
    <xdr:clientData/>
  </xdr:twoCellAnchor>
  <xdr:twoCellAnchor>
    <xdr:from>
      <xdr:col>5</xdr:col>
      <xdr:colOff>366570</xdr:colOff>
      <xdr:row>8</xdr:row>
      <xdr:rowOff>156785</xdr:rowOff>
    </xdr:from>
    <xdr:to>
      <xdr:col>7</xdr:col>
      <xdr:colOff>109717</xdr:colOff>
      <xdr:row>10</xdr:row>
      <xdr:rowOff>84009</xdr:rowOff>
    </xdr:to>
    <xdr:sp macro="" textlink="">
      <xdr:nvSpPr>
        <xdr:cNvPr id="20" name="Rectangle 19">
          <a:extLst>
            <a:ext uri="{FF2B5EF4-FFF2-40B4-BE49-F238E27FC236}">
              <a16:creationId xmlns:a16="http://schemas.microsoft.com/office/drawing/2014/main" id="{C46CECC0-AFA3-4F9D-B415-92B15A2357C2}"/>
            </a:ext>
          </a:extLst>
        </xdr:cNvPr>
        <xdr:cNvSpPr/>
      </xdr:nvSpPr>
      <xdr:spPr>
        <a:xfrm>
          <a:off x="3414570" y="1619825"/>
          <a:ext cx="962347" cy="292984"/>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600" b="1" i="0" u="none" strike="noStrike">
              <a:solidFill>
                <a:schemeClr val="tx1"/>
              </a:solidFill>
              <a:effectLst/>
              <a:latin typeface="+mn-lt"/>
              <a:ea typeface="+mn-ea"/>
              <a:cs typeface="+mn-cs"/>
            </a:rPr>
            <a:t>0.10</a:t>
          </a:r>
          <a:r>
            <a:rPr lang="en-IN" sz="1600">
              <a:effectLst/>
            </a:rPr>
            <a:t> </a:t>
          </a:r>
          <a:endParaRPr lang="en-IN" sz="1200"/>
        </a:p>
      </xdr:txBody>
    </xdr:sp>
    <xdr:clientData/>
  </xdr:twoCellAnchor>
  <xdr:twoCellAnchor>
    <xdr:from>
      <xdr:col>8</xdr:col>
      <xdr:colOff>344823</xdr:colOff>
      <xdr:row>7</xdr:row>
      <xdr:rowOff>84258</xdr:rowOff>
    </xdr:from>
    <xdr:to>
      <xdr:col>11</xdr:col>
      <xdr:colOff>581043</xdr:colOff>
      <xdr:row>9</xdr:row>
      <xdr:rowOff>15678</xdr:rowOff>
    </xdr:to>
    <xdr:sp macro="" textlink="">
      <xdr:nvSpPr>
        <xdr:cNvPr id="21" name="Rectangle 20">
          <a:extLst>
            <a:ext uri="{FF2B5EF4-FFF2-40B4-BE49-F238E27FC236}">
              <a16:creationId xmlns:a16="http://schemas.microsoft.com/office/drawing/2014/main" id="{67FE7F95-124C-4AD9-9DEA-D233DE443F71}"/>
            </a:ext>
          </a:extLst>
        </xdr:cNvPr>
        <xdr:cNvSpPr/>
      </xdr:nvSpPr>
      <xdr:spPr>
        <a:xfrm>
          <a:off x="5221623" y="1364418"/>
          <a:ext cx="2065020" cy="2971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i="0" u="none" strike="noStrike">
              <a:solidFill>
                <a:schemeClr val="tx1"/>
              </a:solidFill>
              <a:effectLst/>
              <a:latin typeface="+mn-lt"/>
              <a:ea typeface="+mn-ea"/>
              <a:cs typeface="+mn-cs"/>
            </a:rPr>
            <a:t>Highest Price</a:t>
          </a:r>
          <a:r>
            <a:rPr lang="en-IN" sz="1800" b="1">
              <a:solidFill>
                <a:schemeClr val="tx1"/>
              </a:solidFill>
              <a:effectLst/>
            </a:rPr>
            <a:t> </a:t>
          </a:r>
          <a:endParaRPr lang="en-IN" sz="1800" b="1">
            <a:solidFill>
              <a:schemeClr val="tx1"/>
            </a:solidFill>
          </a:endParaRPr>
        </a:p>
      </xdr:txBody>
    </xdr:sp>
    <xdr:clientData/>
  </xdr:twoCellAnchor>
  <xdr:twoCellAnchor>
    <xdr:from>
      <xdr:col>9</xdr:col>
      <xdr:colOff>214792</xdr:colOff>
      <xdr:row>8</xdr:row>
      <xdr:rowOff>160771</xdr:rowOff>
    </xdr:from>
    <xdr:to>
      <xdr:col>11</xdr:col>
      <xdr:colOff>138079</xdr:colOff>
      <xdr:row>10</xdr:row>
      <xdr:rowOff>86768</xdr:rowOff>
    </xdr:to>
    <xdr:sp macro="" textlink="">
      <xdr:nvSpPr>
        <xdr:cNvPr id="23" name="Rectangle 22">
          <a:extLst>
            <a:ext uri="{FF2B5EF4-FFF2-40B4-BE49-F238E27FC236}">
              <a16:creationId xmlns:a16="http://schemas.microsoft.com/office/drawing/2014/main" id="{4D3EDF58-3BB2-41A6-9DC1-7C7041535846}"/>
            </a:ext>
          </a:extLst>
        </xdr:cNvPr>
        <xdr:cNvSpPr/>
      </xdr:nvSpPr>
      <xdr:spPr>
        <a:xfrm>
          <a:off x="5691987" y="1633630"/>
          <a:ext cx="1140441" cy="294212"/>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600" b="1" i="0" u="none" strike="noStrike">
              <a:solidFill>
                <a:schemeClr val="tx1"/>
              </a:solidFill>
              <a:effectLst/>
              <a:latin typeface="+mn-lt"/>
              <a:ea typeface="+mn-ea"/>
              <a:cs typeface="+mn-cs"/>
            </a:rPr>
            <a:t>5586.2002</a:t>
          </a:r>
          <a:r>
            <a:rPr lang="en-IN" sz="2400" b="1">
              <a:solidFill>
                <a:schemeClr val="tx1"/>
              </a:solidFill>
              <a:effectLst/>
            </a:rPr>
            <a:t> </a:t>
          </a:r>
          <a:endParaRPr lang="en-IN" sz="1800" b="1">
            <a:solidFill>
              <a:schemeClr val="tx1"/>
            </a:solidFill>
          </a:endParaRPr>
        </a:p>
      </xdr:txBody>
    </xdr:sp>
    <xdr:clientData/>
  </xdr:twoCellAnchor>
  <xdr:twoCellAnchor>
    <xdr:from>
      <xdr:col>12</xdr:col>
      <xdr:colOff>158620</xdr:colOff>
      <xdr:row>7</xdr:row>
      <xdr:rowOff>106141</xdr:rowOff>
    </xdr:from>
    <xdr:to>
      <xdr:col>15</xdr:col>
      <xdr:colOff>394840</xdr:colOff>
      <xdr:row>9</xdr:row>
      <xdr:rowOff>37561</xdr:rowOff>
    </xdr:to>
    <xdr:sp macro="" textlink="">
      <xdr:nvSpPr>
        <xdr:cNvPr id="24" name="Rectangle 23">
          <a:extLst>
            <a:ext uri="{FF2B5EF4-FFF2-40B4-BE49-F238E27FC236}">
              <a16:creationId xmlns:a16="http://schemas.microsoft.com/office/drawing/2014/main" id="{19A65E24-33F8-42F6-B97F-D73A71CE5D9F}"/>
            </a:ext>
          </a:extLst>
        </xdr:cNvPr>
        <xdr:cNvSpPr/>
      </xdr:nvSpPr>
      <xdr:spPr>
        <a:xfrm>
          <a:off x="7473820" y="1386301"/>
          <a:ext cx="2065020" cy="2971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i="0" u="none" strike="noStrike">
              <a:solidFill>
                <a:schemeClr val="tx1"/>
              </a:solidFill>
              <a:effectLst/>
              <a:latin typeface="+mn-lt"/>
              <a:ea typeface="+mn-ea"/>
              <a:cs typeface="+mn-cs"/>
            </a:rPr>
            <a:t>Lowest Price</a:t>
          </a:r>
          <a:r>
            <a:rPr lang="en-IN" sz="1800" b="1">
              <a:solidFill>
                <a:schemeClr val="tx1"/>
              </a:solidFill>
              <a:effectLst/>
            </a:rPr>
            <a:t> </a:t>
          </a:r>
          <a:endParaRPr lang="en-IN" sz="1800" b="1">
            <a:solidFill>
              <a:schemeClr val="tx1"/>
            </a:solidFill>
          </a:endParaRPr>
        </a:p>
      </xdr:txBody>
    </xdr:sp>
    <xdr:clientData/>
  </xdr:twoCellAnchor>
  <xdr:twoCellAnchor>
    <xdr:from>
      <xdr:col>13</xdr:col>
      <xdr:colOff>75056</xdr:colOff>
      <xdr:row>9</xdr:row>
      <xdr:rowOff>24118</xdr:rowOff>
    </xdr:from>
    <xdr:to>
      <xdr:col>14</xdr:col>
      <xdr:colOff>427803</xdr:colOff>
      <xdr:row>10</xdr:row>
      <xdr:rowOff>134222</xdr:rowOff>
    </xdr:to>
    <xdr:sp macro="" textlink="">
      <xdr:nvSpPr>
        <xdr:cNvPr id="26" name="Rectangle 25">
          <a:extLst>
            <a:ext uri="{FF2B5EF4-FFF2-40B4-BE49-F238E27FC236}">
              <a16:creationId xmlns:a16="http://schemas.microsoft.com/office/drawing/2014/main" id="{14AFEEA0-8E68-4ACA-9140-84DF17BC5D64}"/>
            </a:ext>
          </a:extLst>
        </xdr:cNvPr>
        <xdr:cNvSpPr/>
      </xdr:nvSpPr>
      <xdr:spPr>
        <a:xfrm>
          <a:off x="7999856" y="1670038"/>
          <a:ext cx="962347" cy="292984"/>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600" b="1" i="0" u="none" strike="noStrike">
              <a:solidFill>
                <a:schemeClr val="tx1"/>
              </a:solidFill>
              <a:effectLst/>
              <a:latin typeface="+mn-lt"/>
              <a:ea typeface="+mn-ea"/>
              <a:cs typeface="+mn-cs"/>
            </a:rPr>
            <a:t>1615.1</a:t>
          </a:r>
          <a:r>
            <a:rPr lang="en-IN" sz="2400" b="1">
              <a:solidFill>
                <a:schemeClr val="tx1"/>
              </a:solidFill>
              <a:effectLst/>
            </a:rPr>
            <a:t> </a:t>
          </a:r>
          <a:endParaRPr lang="en-IN" sz="1800" b="1">
            <a:solidFill>
              <a:schemeClr val="tx1"/>
            </a:solidFill>
          </a:endParaRPr>
        </a:p>
      </xdr:txBody>
    </xdr:sp>
    <xdr:clientData/>
  </xdr:twoCellAnchor>
  <xdr:twoCellAnchor editAs="oneCell">
    <xdr:from>
      <xdr:col>4</xdr:col>
      <xdr:colOff>230271</xdr:colOff>
      <xdr:row>7</xdr:row>
      <xdr:rowOff>75052</xdr:rowOff>
    </xdr:from>
    <xdr:to>
      <xdr:col>5</xdr:col>
      <xdr:colOff>233795</xdr:colOff>
      <xdr:row>10</xdr:row>
      <xdr:rowOff>139479</xdr:rowOff>
    </xdr:to>
    <xdr:pic>
      <xdr:nvPicPr>
        <xdr:cNvPr id="28" name="Graphic 27" descr="Back with solid fill">
          <a:extLst>
            <a:ext uri="{FF2B5EF4-FFF2-40B4-BE49-F238E27FC236}">
              <a16:creationId xmlns:a16="http://schemas.microsoft.com/office/drawing/2014/main" id="{12A46D2E-0ED5-6E46-F99B-6EFC95B7AAED}"/>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672135" y="1347938"/>
          <a:ext cx="613990" cy="609950"/>
        </a:xfrm>
        <a:prstGeom prst="rect">
          <a:avLst/>
        </a:prstGeom>
      </xdr:spPr>
    </xdr:pic>
    <xdr:clientData/>
  </xdr:twoCellAnchor>
  <xdr:twoCellAnchor editAs="oneCell">
    <xdr:from>
      <xdr:col>8</xdr:col>
      <xdr:colOff>163651</xdr:colOff>
      <xdr:row>7</xdr:row>
      <xdr:rowOff>51142</xdr:rowOff>
    </xdr:from>
    <xdr:to>
      <xdr:col>9</xdr:col>
      <xdr:colOff>199447</xdr:colOff>
      <xdr:row>10</xdr:row>
      <xdr:rowOff>143194</xdr:rowOff>
    </xdr:to>
    <xdr:pic>
      <xdr:nvPicPr>
        <xdr:cNvPr id="31" name="Graphic 30" descr="Money with solid fill">
          <a:extLst>
            <a:ext uri="{FF2B5EF4-FFF2-40B4-BE49-F238E27FC236}">
              <a16:creationId xmlns:a16="http://schemas.microsoft.com/office/drawing/2014/main" id="{2BE886E9-9422-1A14-5C89-2CD143F66F73}"/>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5032268" y="1339894"/>
          <a:ext cx="644374" cy="644374"/>
        </a:xfrm>
        <a:prstGeom prst="rect">
          <a:avLst/>
        </a:prstGeom>
      </xdr:spPr>
    </xdr:pic>
    <xdr:clientData/>
  </xdr:twoCellAnchor>
  <xdr:twoCellAnchor editAs="oneCell">
    <xdr:from>
      <xdr:col>11</xdr:col>
      <xdr:colOff>568570</xdr:colOff>
      <xdr:row>7</xdr:row>
      <xdr:rowOff>114301</xdr:rowOff>
    </xdr:from>
    <xdr:to>
      <xdr:col>12</xdr:col>
      <xdr:colOff>587242</xdr:colOff>
      <xdr:row>11</xdr:row>
      <xdr:rowOff>15241</xdr:rowOff>
    </xdr:to>
    <xdr:pic>
      <xdr:nvPicPr>
        <xdr:cNvPr id="34" name="Graphic 33" descr="Coins with solid fill">
          <a:extLst>
            <a:ext uri="{FF2B5EF4-FFF2-40B4-BE49-F238E27FC236}">
              <a16:creationId xmlns:a16="http://schemas.microsoft.com/office/drawing/2014/main" id="{6F5E2B5A-E7A9-5E97-04F2-FCC87BFBE960}"/>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7274170" y="1394461"/>
          <a:ext cx="628272" cy="632460"/>
        </a:xfrm>
        <a:prstGeom prst="rect">
          <a:avLst/>
        </a:prstGeom>
      </xdr:spPr>
    </xdr:pic>
    <xdr:clientData/>
  </xdr:twoCellAnchor>
  <xdr:twoCellAnchor editAs="oneCell">
    <xdr:from>
      <xdr:col>15</xdr:col>
      <xdr:colOff>198120</xdr:colOff>
      <xdr:row>5</xdr:row>
      <xdr:rowOff>152400</xdr:rowOff>
    </xdr:from>
    <xdr:to>
      <xdr:col>23</xdr:col>
      <xdr:colOff>213360</xdr:colOff>
      <xdr:row>13</xdr:row>
      <xdr:rowOff>60960</xdr:rowOff>
    </xdr:to>
    <mc:AlternateContent xmlns:mc="http://schemas.openxmlformats.org/markup-compatibility/2006" xmlns:tsle="http://schemas.microsoft.com/office/drawing/2012/timeslicer">
      <mc:Choice Requires="tsle">
        <xdr:graphicFrame macro="">
          <xdr:nvGraphicFramePr>
            <xdr:cNvPr id="37" name="Date 2">
              <a:extLst>
                <a:ext uri="{FF2B5EF4-FFF2-40B4-BE49-F238E27FC236}">
                  <a16:creationId xmlns:a16="http://schemas.microsoft.com/office/drawing/2014/main" id="{920050AC-ECE5-471E-844F-58432012ACD0}"/>
                </a:ext>
              </a:extLst>
            </xdr:cNvPr>
            <xdr:cNvGraphicFramePr/>
          </xdr:nvGraphicFramePr>
          <xdr:xfrm>
            <a:off x="0" y="0"/>
            <a:ext cx="0" cy="0"/>
          </xdr:xfrm>
          <a:graphic>
            <a:graphicData uri="http://schemas.microsoft.com/office/drawing/2012/timeslicer">
              <tsle:timeslicer name="Date 2"/>
            </a:graphicData>
          </a:graphic>
        </xdr:graphicFrame>
      </mc:Choice>
      <mc:Fallback xmlns="">
        <xdr:sp macro="" textlink="">
          <xdr:nvSpPr>
            <xdr:cNvPr id="0" name=""/>
            <xdr:cNvSpPr>
              <a:spLocks noTextEdit="1"/>
            </xdr:cNvSpPr>
          </xdr:nvSpPr>
          <xdr:spPr>
            <a:xfrm>
              <a:off x="9372199" y="1054768"/>
              <a:ext cx="4908082" cy="135235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20</xdr:col>
      <xdr:colOff>175260</xdr:colOff>
      <xdr:row>14</xdr:row>
      <xdr:rowOff>22860</xdr:rowOff>
    </xdr:from>
    <xdr:to>
      <xdr:col>23</xdr:col>
      <xdr:colOff>175260</xdr:colOff>
      <xdr:row>25</xdr:row>
      <xdr:rowOff>22860</xdr:rowOff>
    </xdr:to>
    <mc:AlternateContent xmlns:mc="http://schemas.openxmlformats.org/markup-compatibility/2006" xmlns:a14="http://schemas.microsoft.com/office/drawing/2010/main">
      <mc:Choice Requires="a14">
        <xdr:graphicFrame macro="">
          <xdr:nvGraphicFramePr>
            <xdr:cNvPr id="39" name="Daily Trend 3">
              <a:extLst>
                <a:ext uri="{FF2B5EF4-FFF2-40B4-BE49-F238E27FC236}">
                  <a16:creationId xmlns:a16="http://schemas.microsoft.com/office/drawing/2014/main" id="{CAFF3BC9-789B-4660-988A-D1A28FA31D25}"/>
                </a:ext>
              </a:extLst>
            </xdr:cNvPr>
            <xdr:cNvGraphicFramePr/>
          </xdr:nvGraphicFramePr>
          <xdr:xfrm>
            <a:off x="0" y="0"/>
            <a:ext cx="0" cy="0"/>
          </xdr:xfrm>
          <a:graphic>
            <a:graphicData uri="http://schemas.microsoft.com/office/drawing/2010/slicer">
              <sle:slicer xmlns:sle="http://schemas.microsoft.com/office/drawing/2010/slicer" name="Daily Trend 3"/>
            </a:graphicData>
          </a:graphic>
        </xdr:graphicFrame>
      </mc:Choice>
      <mc:Fallback xmlns="">
        <xdr:sp macro="" textlink="">
          <xdr:nvSpPr>
            <xdr:cNvPr id="0" name=""/>
            <xdr:cNvSpPr>
              <a:spLocks noTextEdit="1"/>
            </xdr:cNvSpPr>
          </xdr:nvSpPr>
          <xdr:spPr>
            <a:xfrm>
              <a:off x="12407365" y="2549492"/>
              <a:ext cx="1834816" cy="198521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182880</xdr:colOff>
      <xdr:row>26</xdr:row>
      <xdr:rowOff>45720</xdr:rowOff>
    </xdr:from>
    <xdr:to>
      <xdr:col>23</xdr:col>
      <xdr:colOff>182880</xdr:colOff>
      <xdr:row>37</xdr:row>
      <xdr:rowOff>175260</xdr:rowOff>
    </xdr:to>
    <mc:AlternateContent xmlns:mc="http://schemas.openxmlformats.org/markup-compatibility/2006" xmlns:a14="http://schemas.microsoft.com/office/drawing/2010/main">
      <mc:Choice Requires="a14">
        <xdr:graphicFrame macro="">
          <xdr:nvGraphicFramePr>
            <xdr:cNvPr id="40" name="Trading Signal 2">
              <a:extLst>
                <a:ext uri="{FF2B5EF4-FFF2-40B4-BE49-F238E27FC236}">
                  <a16:creationId xmlns:a16="http://schemas.microsoft.com/office/drawing/2014/main" id="{92832C43-813A-4E4F-AB3B-BA4B9B904858}"/>
                </a:ext>
              </a:extLst>
            </xdr:cNvPr>
            <xdr:cNvGraphicFramePr/>
          </xdr:nvGraphicFramePr>
          <xdr:xfrm>
            <a:off x="0" y="0"/>
            <a:ext cx="0" cy="0"/>
          </xdr:xfrm>
          <a:graphic>
            <a:graphicData uri="http://schemas.microsoft.com/office/drawing/2010/slicer">
              <sle:slicer xmlns:sle="http://schemas.microsoft.com/office/drawing/2010/slicer" name="Trading Signal 2"/>
            </a:graphicData>
          </a:graphic>
        </xdr:graphicFrame>
      </mc:Choice>
      <mc:Fallback xmlns="">
        <xdr:sp macro="" textlink="">
          <xdr:nvSpPr>
            <xdr:cNvPr id="0" name=""/>
            <xdr:cNvSpPr>
              <a:spLocks noTextEdit="1"/>
            </xdr:cNvSpPr>
          </xdr:nvSpPr>
          <xdr:spPr>
            <a:xfrm>
              <a:off x="12414985" y="4738036"/>
              <a:ext cx="1834816" cy="21147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553720</xdr:colOff>
      <xdr:row>13</xdr:row>
      <xdr:rowOff>41003</xdr:rowOff>
    </xdr:from>
    <xdr:to>
      <xdr:col>5</xdr:col>
      <xdr:colOff>220254</xdr:colOff>
      <xdr:row>25</xdr:row>
      <xdr:rowOff>25763</xdr:rowOff>
    </xdr:to>
    <xdr:graphicFrame macro="">
      <xdr:nvGraphicFramePr>
        <xdr:cNvPr id="41" name="Chart 40">
          <a:extLst>
            <a:ext uri="{FF2B5EF4-FFF2-40B4-BE49-F238E27FC236}">
              <a16:creationId xmlns:a16="http://schemas.microsoft.com/office/drawing/2014/main" id="{77FF8A9E-81E8-4EFF-82C1-8E7DAD3D88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526506</xdr:colOff>
      <xdr:row>25</xdr:row>
      <xdr:rowOff>126637</xdr:rowOff>
    </xdr:from>
    <xdr:to>
      <xdr:col>5</xdr:col>
      <xdr:colOff>231140</xdr:colOff>
      <xdr:row>37</xdr:row>
      <xdr:rowOff>170906</xdr:rowOff>
    </xdr:to>
    <xdr:graphicFrame macro="">
      <xdr:nvGraphicFramePr>
        <xdr:cNvPr id="42" name="Chart 41">
          <a:extLst>
            <a:ext uri="{FF2B5EF4-FFF2-40B4-BE49-F238E27FC236}">
              <a16:creationId xmlns:a16="http://schemas.microsoft.com/office/drawing/2014/main" id="{C9C7C5D6-464F-4CA4-8D1D-411690B23D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6</xdr:col>
      <xdr:colOff>1</xdr:colOff>
      <xdr:row>13</xdr:row>
      <xdr:rowOff>54429</xdr:rowOff>
    </xdr:from>
    <xdr:to>
      <xdr:col>13</xdr:col>
      <xdr:colOff>45357</xdr:colOff>
      <xdr:row>26</xdr:row>
      <xdr:rowOff>54428</xdr:rowOff>
    </xdr:to>
    <xdr:graphicFrame macro="">
      <xdr:nvGraphicFramePr>
        <xdr:cNvPr id="43" name="Chart 42">
          <a:extLst>
            <a:ext uri="{FF2B5EF4-FFF2-40B4-BE49-F238E27FC236}">
              <a16:creationId xmlns:a16="http://schemas.microsoft.com/office/drawing/2014/main" id="{CDE1EAA2-39B1-4643-8C72-2C1FDA4586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5</xdr:col>
      <xdr:colOff>572455</xdr:colOff>
      <xdr:row>26</xdr:row>
      <xdr:rowOff>168060</xdr:rowOff>
    </xdr:from>
    <xdr:to>
      <xdr:col>13</xdr:col>
      <xdr:colOff>40107</xdr:colOff>
      <xdr:row>39</xdr:row>
      <xdr:rowOff>32943</xdr:rowOff>
    </xdr:to>
    <xdr:graphicFrame macro="">
      <xdr:nvGraphicFramePr>
        <xdr:cNvPr id="44" name="Chart 43">
          <a:extLst>
            <a:ext uri="{FF2B5EF4-FFF2-40B4-BE49-F238E27FC236}">
              <a16:creationId xmlns:a16="http://schemas.microsoft.com/office/drawing/2014/main" id="{3DF796E3-3038-445A-B9E2-7F9845DB47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13</xdr:col>
      <xdr:colOff>551447</xdr:colOff>
      <xdr:row>13</xdr:row>
      <xdr:rowOff>120315</xdr:rowOff>
    </xdr:from>
    <xdr:to>
      <xdr:col>19</xdr:col>
      <xdr:colOff>411078</xdr:colOff>
      <xdr:row>38</xdr:row>
      <xdr:rowOff>90237</xdr:rowOff>
    </xdr:to>
    <xdr:sp macro="" textlink="">
      <xdr:nvSpPr>
        <xdr:cNvPr id="45" name="Rectangle 44">
          <a:extLst>
            <a:ext uri="{FF2B5EF4-FFF2-40B4-BE49-F238E27FC236}">
              <a16:creationId xmlns:a16="http://schemas.microsoft.com/office/drawing/2014/main" id="{00737B31-C624-78D6-7CE4-3226394B7900}"/>
            </a:ext>
          </a:extLst>
        </xdr:cNvPr>
        <xdr:cNvSpPr/>
      </xdr:nvSpPr>
      <xdr:spPr>
        <a:xfrm>
          <a:off x="8502315" y="2466473"/>
          <a:ext cx="3529263" cy="4481764"/>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a:t>🔑 Key Insights :-</a:t>
          </a:r>
        </a:p>
        <a:p>
          <a:pPr algn="l"/>
          <a:endParaRPr lang="en-IN" sz="1400"/>
        </a:p>
        <a:p>
          <a:pPr algn="l"/>
          <a:r>
            <a:rPr lang="en-IN" sz="1400"/>
            <a:t>📊 Overall Metrics:-</a:t>
          </a:r>
        </a:p>
        <a:p>
          <a:pPr algn="l"/>
          <a:endParaRPr lang="en-IN" sz="1400"/>
        </a:p>
        <a:p>
          <a:pPr algn="l"/>
          <a:r>
            <a:rPr lang="en-IN" sz="1200" b="1"/>
            <a:t>    Total Volume:</a:t>
          </a:r>
          <a:r>
            <a:rPr lang="en-IN" sz="1200"/>
            <a:t> 5,008,781</a:t>
          </a:r>
          <a:br>
            <a:rPr lang="en-IN" sz="1200"/>
          </a:br>
          <a:r>
            <a:rPr lang="en-IN" sz="1200"/>
            <a:t>        ➤ Indicates high trading activity </a:t>
          </a:r>
        </a:p>
        <a:p>
          <a:pPr algn="l"/>
          <a:endParaRPr lang="en-IN" sz="1200"/>
        </a:p>
        <a:p>
          <a:pPr algn="l"/>
          <a:r>
            <a:rPr lang="en-IN" sz="1200" b="1"/>
            <a:t>    Average Return:</a:t>
          </a:r>
          <a:r>
            <a:rPr lang="en-IN" sz="1200"/>
            <a:t> 0.10</a:t>
          </a:r>
          <a:br>
            <a:rPr lang="en-IN" sz="1200"/>
          </a:br>
          <a:r>
            <a:rPr lang="en-IN" sz="1200"/>
            <a:t>          ➤ Overall market is slightly </a:t>
          </a:r>
          <a:r>
            <a:rPr lang="en-IN" sz="1200" b="1"/>
            <a:t>profitable </a:t>
          </a:r>
        </a:p>
        <a:p>
          <a:pPr algn="l"/>
          <a:endParaRPr lang="en-IN" sz="1200"/>
        </a:p>
        <a:p>
          <a:pPr algn="l"/>
          <a:r>
            <a:rPr lang="en-IN" sz="1200" b="1"/>
            <a:t>        Highest Price:</a:t>
          </a:r>
          <a:r>
            <a:rPr lang="en-IN" sz="1200"/>
            <a:t> 5586.20 </a:t>
          </a:r>
        </a:p>
        <a:p>
          <a:pPr algn="l"/>
          <a:r>
            <a:rPr lang="en-IN" sz="1200" b="1"/>
            <a:t>Lowest Price:</a:t>
          </a:r>
          <a:r>
            <a:rPr lang="en-IN" sz="1200"/>
            <a:t> 1615.10</a:t>
          </a:r>
          <a:br>
            <a:rPr lang="en-IN" sz="1200"/>
          </a:br>
          <a:r>
            <a:rPr lang="en-IN" sz="1200"/>
            <a:t>➤ Very wide price range → </a:t>
          </a:r>
          <a:r>
            <a:rPr lang="en-IN" sz="1200" b="1"/>
            <a:t>high volatility</a:t>
          </a:r>
        </a:p>
        <a:p>
          <a:pPr algn="l"/>
          <a:endParaRPr lang="en-IN" sz="1200" b="1"/>
        </a:p>
        <a:p>
          <a:pPr algn="l"/>
          <a:r>
            <a:rPr lang="en-IN" sz="1200" b="1"/>
            <a:t>📈 Daily Trend Analysis:-</a:t>
          </a:r>
          <a:br>
            <a:rPr lang="en-IN" sz="1200" b="1"/>
          </a:br>
          <a:endParaRPr lang="en-IN" sz="1200" b="1"/>
        </a:p>
        <a:p>
          <a:pPr algn="l"/>
          <a:r>
            <a:rPr lang="en-IN" sz="1200" b="1"/>
            <a:t>Down Days:</a:t>
          </a:r>
          <a:r>
            <a:rPr lang="en-IN" sz="1200"/>
            <a:t> </a:t>
          </a:r>
        </a:p>
        <a:p>
          <a:pPr lvl="1" algn="l"/>
          <a:r>
            <a:rPr lang="en-IN" sz="1200"/>
            <a:t>Daily return ≈ 55.45 </a:t>
          </a:r>
        </a:p>
        <a:p>
          <a:pPr lvl="1" algn="l"/>
          <a:r>
            <a:rPr lang="en-IN" sz="1200"/>
            <a:t>Average return ≈ 123.54 </a:t>
          </a:r>
        </a:p>
        <a:p>
          <a:pPr algn="l"/>
          <a:r>
            <a:rPr lang="en-IN" sz="1200" b="1"/>
            <a:t>Up Days:</a:t>
          </a:r>
          <a:r>
            <a:rPr lang="en-IN" sz="1200"/>
            <a:t> </a:t>
          </a:r>
        </a:p>
        <a:p>
          <a:pPr lvl="1" algn="l"/>
          <a:r>
            <a:rPr lang="en-IN" sz="1200"/>
            <a:t>Daily return ≈ 56.88 </a:t>
          </a:r>
        </a:p>
        <a:p>
          <a:pPr lvl="1" algn="l"/>
          <a:r>
            <a:rPr lang="en-IN" sz="1200"/>
            <a:t>Average return ≈ 89.11</a:t>
          </a:r>
        </a:p>
        <a:p>
          <a:pPr algn="l"/>
          <a:r>
            <a:rPr lang="en-IN" sz="1600"/>
            <a:t> </a:t>
          </a:r>
        </a:p>
        <a:p>
          <a:pPr algn="l"/>
          <a:endParaRPr lang="en-IN" sz="14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213360</xdr:colOff>
      <xdr:row>1</xdr:row>
      <xdr:rowOff>7620</xdr:rowOff>
    </xdr:from>
    <xdr:to>
      <xdr:col>7</xdr:col>
      <xdr:colOff>518160</xdr:colOff>
      <xdr:row>16</xdr:row>
      <xdr:rowOff>7620</xdr:rowOff>
    </xdr:to>
    <xdr:graphicFrame macro="">
      <xdr:nvGraphicFramePr>
        <xdr:cNvPr id="2" name="Chart 1">
          <a:extLst>
            <a:ext uri="{FF2B5EF4-FFF2-40B4-BE49-F238E27FC236}">
              <a16:creationId xmlns:a16="http://schemas.microsoft.com/office/drawing/2014/main" id="{821D9783-0BB9-49EC-9517-FB11F31EE1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601980</xdr:colOff>
      <xdr:row>1</xdr:row>
      <xdr:rowOff>30480</xdr:rowOff>
    </xdr:from>
    <xdr:to>
      <xdr:col>15</xdr:col>
      <xdr:colOff>297180</xdr:colOff>
      <xdr:row>16</xdr:row>
      <xdr:rowOff>30480</xdr:rowOff>
    </xdr:to>
    <xdr:graphicFrame macro="">
      <xdr:nvGraphicFramePr>
        <xdr:cNvPr id="3" name="Chart 2">
          <a:extLst>
            <a:ext uri="{FF2B5EF4-FFF2-40B4-BE49-F238E27FC236}">
              <a16:creationId xmlns:a16="http://schemas.microsoft.com/office/drawing/2014/main" id="{8DF33211-98C7-48BF-9EA8-8E76BCF90D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548640</xdr:colOff>
      <xdr:row>1</xdr:row>
      <xdr:rowOff>53340</xdr:rowOff>
    </xdr:from>
    <xdr:to>
      <xdr:col>23</xdr:col>
      <xdr:colOff>243840</xdr:colOff>
      <xdr:row>16</xdr:row>
      <xdr:rowOff>53340</xdr:rowOff>
    </xdr:to>
    <xdr:graphicFrame macro="">
      <xdr:nvGraphicFramePr>
        <xdr:cNvPr id="4" name="Chart 3">
          <a:extLst>
            <a:ext uri="{FF2B5EF4-FFF2-40B4-BE49-F238E27FC236}">
              <a16:creationId xmlns:a16="http://schemas.microsoft.com/office/drawing/2014/main" id="{30E56328-46D5-44E9-B39B-C490627724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144780</xdr:colOff>
      <xdr:row>16</xdr:row>
      <xdr:rowOff>129540</xdr:rowOff>
    </xdr:from>
    <xdr:to>
      <xdr:col>7</xdr:col>
      <xdr:colOff>449580</xdr:colOff>
      <xdr:row>31</xdr:row>
      <xdr:rowOff>129540</xdr:rowOff>
    </xdr:to>
    <xdr:graphicFrame macro="">
      <xdr:nvGraphicFramePr>
        <xdr:cNvPr id="5" name="Chart 4">
          <a:extLst>
            <a:ext uri="{FF2B5EF4-FFF2-40B4-BE49-F238E27FC236}">
              <a16:creationId xmlns:a16="http://schemas.microsoft.com/office/drawing/2014/main" id="{7CBA929A-CD9D-4488-B6C6-F3A3F8D643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7</xdr:col>
      <xdr:colOff>571500</xdr:colOff>
      <xdr:row>17</xdr:row>
      <xdr:rowOff>15240</xdr:rowOff>
    </xdr:from>
    <xdr:to>
      <xdr:col>13</xdr:col>
      <xdr:colOff>251460</xdr:colOff>
      <xdr:row>24</xdr:row>
      <xdr:rowOff>106680</xdr:rowOff>
    </xdr:to>
    <mc:AlternateContent xmlns:mc="http://schemas.openxmlformats.org/markup-compatibility/2006" xmlns:tsle="http://schemas.microsoft.com/office/drawing/2012/timeslicer">
      <mc:Choice Requires="tsle">
        <xdr:graphicFrame macro="">
          <xdr:nvGraphicFramePr>
            <xdr:cNvPr id="6" name="Date 1">
              <a:extLst>
                <a:ext uri="{FF2B5EF4-FFF2-40B4-BE49-F238E27FC236}">
                  <a16:creationId xmlns:a16="http://schemas.microsoft.com/office/drawing/2014/main" id="{E1099055-B291-41F1-AFD3-B29B1F12BE1C}"/>
                </a:ext>
              </a:extLst>
            </xdr:cNvPr>
            <xdr:cNvGraphicFramePr/>
          </xdr:nvGraphicFramePr>
          <xdr:xfrm>
            <a:off x="0" y="0"/>
            <a:ext cx="0" cy="0"/>
          </xdr:xfrm>
          <a:graphic>
            <a:graphicData uri="http://schemas.microsoft.com/office/drawing/2012/timeslicer">
              <tsle:timeslicer name="Date 1"/>
            </a:graphicData>
          </a:graphic>
        </xdr:graphicFrame>
      </mc:Choice>
      <mc:Fallback xmlns="">
        <xdr:sp macro="" textlink="">
          <xdr:nvSpPr>
            <xdr:cNvPr id="0" name=""/>
            <xdr:cNvSpPr>
              <a:spLocks noTextEdit="1"/>
            </xdr:cNvSpPr>
          </xdr:nvSpPr>
          <xdr:spPr>
            <a:xfrm>
              <a:off x="4838700" y="3124200"/>
              <a:ext cx="333756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11</xdr:col>
      <xdr:colOff>144780</xdr:colOff>
      <xdr:row>25</xdr:row>
      <xdr:rowOff>7620</xdr:rowOff>
    </xdr:from>
    <xdr:to>
      <xdr:col>14</xdr:col>
      <xdr:colOff>144780</xdr:colOff>
      <xdr:row>32</xdr:row>
      <xdr:rowOff>129539</xdr:rowOff>
    </xdr:to>
    <mc:AlternateContent xmlns:mc="http://schemas.openxmlformats.org/markup-compatibility/2006" xmlns:a14="http://schemas.microsoft.com/office/drawing/2010/main">
      <mc:Choice Requires="a14">
        <xdr:graphicFrame macro="">
          <xdr:nvGraphicFramePr>
            <xdr:cNvPr id="7" name="Daily Trend 1">
              <a:extLst>
                <a:ext uri="{FF2B5EF4-FFF2-40B4-BE49-F238E27FC236}">
                  <a16:creationId xmlns:a16="http://schemas.microsoft.com/office/drawing/2014/main" id="{AC349298-F79E-41E2-8095-74DE0F7376C6}"/>
                </a:ext>
              </a:extLst>
            </xdr:cNvPr>
            <xdr:cNvGraphicFramePr/>
          </xdr:nvGraphicFramePr>
          <xdr:xfrm>
            <a:off x="0" y="0"/>
            <a:ext cx="0" cy="0"/>
          </xdr:xfrm>
          <a:graphic>
            <a:graphicData uri="http://schemas.microsoft.com/office/drawing/2010/slicer">
              <sle:slicer xmlns:sle="http://schemas.microsoft.com/office/drawing/2010/slicer" name="Daily Trend 1"/>
            </a:graphicData>
          </a:graphic>
        </xdr:graphicFrame>
      </mc:Choice>
      <mc:Fallback xmlns="">
        <xdr:sp macro="" textlink="">
          <xdr:nvSpPr>
            <xdr:cNvPr id="0" name=""/>
            <xdr:cNvSpPr>
              <a:spLocks noTextEdit="1"/>
            </xdr:cNvSpPr>
          </xdr:nvSpPr>
          <xdr:spPr>
            <a:xfrm>
              <a:off x="6850380" y="4579620"/>
              <a:ext cx="1828800" cy="14020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586740</xdr:colOff>
      <xdr:row>25</xdr:row>
      <xdr:rowOff>15241</xdr:rowOff>
    </xdr:from>
    <xdr:to>
      <xdr:col>10</xdr:col>
      <xdr:colOff>586740</xdr:colOff>
      <xdr:row>32</xdr:row>
      <xdr:rowOff>83821</xdr:rowOff>
    </xdr:to>
    <mc:AlternateContent xmlns:mc="http://schemas.openxmlformats.org/markup-compatibility/2006" xmlns:a14="http://schemas.microsoft.com/office/drawing/2010/main">
      <mc:Choice Requires="a14">
        <xdr:graphicFrame macro="">
          <xdr:nvGraphicFramePr>
            <xdr:cNvPr id="8" name="Trading Signal 1">
              <a:extLst>
                <a:ext uri="{FF2B5EF4-FFF2-40B4-BE49-F238E27FC236}">
                  <a16:creationId xmlns:a16="http://schemas.microsoft.com/office/drawing/2014/main" id="{F7D6498E-D4AF-4DEC-B629-55BF9644AECE}"/>
                </a:ext>
              </a:extLst>
            </xdr:cNvPr>
            <xdr:cNvGraphicFramePr/>
          </xdr:nvGraphicFramePr>
          <xdr:xfrm>
            <a:off x="0" y="0"/>
            <a:ext cx="0" cy="0"/>
          </xdr:xfrm>
          <a:graphic>
            <a:graphicData uri="http://schemas.microsoft.com/office/drawing/2010/slicer">
              <sle:slicer xmlns:sle="http://schemas.microsoft.com/office/drawing/2010/slicer" name="Trading Signal 1"/>
            </a:graphicData>
          </a:graphic>
        </xdr:graphicFrame>
      </mc:Choice>
      <mc:Fallback xmlns="">
        <xdr:sp macro="" textlink="">
          <xdr:nvSpPr>
            <xdr:cNvPr id="0" name=""/>
            <xdr:cNvSpPr>
              <a:spLocks noTextEdit="1"/>
            </xdr:cNvSpPr>
          </xdr:nvSpPr>
          <xdr:spPr>
            <a:xfrm>
              <a:off x="4853940" y="4587241"/>
              <a:ext cx="1828800" cy="13487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iya" refreshedDate="46102.445007870374" createdVersion="8" refreshedVersion="8" minRefreshableVersion="3" recordCount="1169" xr:uid="{C46B5B39-3DE7-4777-A790-11210CFE18C9}">
  <cacheSource type="worksheet">
    <worksheetSource ref="A1:AF1170" sheet="Analysis"/>
  </cacheSource>
  <cacheFields count="35">
    <cacheField name="Date" numFmtId="14">
      <sharedItems containsSemiMixedTypes="0" containsNonDate="0" containsDate="1" containsString="0" minDate="2021-07-15T00:00:00" maxDate="2026-03-10T00:00:00" count="1169">
        <d v="2021-07-15T00:00:00"/>
        <d v="2021-07-16T00:00:00"/>
        <d v="2021-07-19T00:00:00"/>
        <d v="2021-07-20T00:00:00"/>
        <d v="2021-07-21T00:00:00"/>
        <d v="2021-07-22T00:00:00"/>
        <d v="2021-07-23T00:00:00"/>
        <d v="2021-07-26T00:00:00"/>
        <d v="2021-07-27T00:00:00"/>
        <d v="2021-07-28T00:00:00"/>
        <d v="2021-07-29T00:00:00"/>
        <d v="2021-07-30T00:00:00"/>
        <d v="2021-08-02T00:00:00"/>
        <d v="2021-08-03T00:00:00"/>
        <d v="2021-08-04T00:00:00"/>
        <d v="2021-08-05T00:00:00"/>
        <d v="2021-08-06T00:00:00"/>
        <d v="2021-08-09T00:00:00"/>
        <d v="2021-08-10T00:00:00"/>
        <d v="2021-08-11T00:00:00"/>
        <d v="2021-08-12T00:00:00"/>
        <d v="2021-08-13T00:00:00"/>
        <d v="2021-08-16T00:00:00"/>
        <d v="2021-08-17T00:00:00"/>
        <d v="2021-08-18T00:00:00"/>
        <d v="2021-08-19T00:00:00"/>
        <d v="2021-08-20T00:00:00"/>
        <d v="2021-08-23T00:00:00"/>
        <d v="2021-08-24T00:00:00"/>
        <d v="2021-08-25T00:00:00"/>
        <d v="2021-08-26T00:00:00"/>
        <d v="2021-08-27T00:00:00"/>
        <d v="2021-08-30T00:00:00"/>
        <d v="2021-08-31T00:00:00"/>
        <d v="2021-09-01T00:00:00"/>
        <d v="2021-09-02T00:00:00"/>
        <d v="2021-09-03T00:00:00"/>
        <d v="2021-09-07T00:00:00"/>
        <d v="2021-09-08T00:00:00"/>
        <d v="2021-09-09T00:00:00"/>
        <d v="2021-09-10T00:00:00"/>
        <d v="2021-09-13T00:00:00"/>
        <d v="2021-09-14T00:00:00"/>
        <d v="2021-09-15T00:00:00"/>
        <d v="2021-09-16T00:00:00"/>
        <d v="2021-09-17T00:00:00"/>
        <d v="2021-09-20T00:00:00"/>
        <d v="2021-09-21T00:00:00"/>
        <d v="2021-09-22T00:00:00"/>
        <d v="2021-09-23T00:00:00"/>
        <d v="2021-09-24T00:00:00"/>
        <d v="2021-09-27T00:00:00"/>
        <d v="2021-09-28T00:00:00"/>
        <d v="2021-09-29T00:00:00"/>
        <d v="2021-09-30T00:00:00"/>
        <d v="2021-10-01T00:00:00"/>
        <d v="2021-10-04T00:00:00"/>
        <d v="2021-10-05T00:00:00"/>
        <d v="2021-10-06T00:00:00"/>
        <d v="2021-10-07T00:00:00"/>
        <d v="2021-10-08T00:00:00"/>
        <d v="2021-10-11T00:00:00"/>
        <d v="2021-10-12T00:00:00"/>
        <d v="2021-10-13T00:00:00"/>
        <d v="2021-10-14T00:00:00"/>
        <d v="2021-10-15T00:00:00"/>
        <d v="2021-10-18T00:00:00"/>
        <d v="2021-10-19T00:00:00"/>
        <d v="2021-10-20T00:00:00"/>
        <d v="2021-10-21T00:00:00"/>
        <d v="2021-10-22T00:00:00"/>
        <d v="2021-10-25T00:00:00"/>
        <d v="2021-10-26T00:00:00"/>
        <d v="2021-10-27T00:00:00"/>
        <d v="2021-10-28T00:00:00"/>
        <d v="2021-10-29T00:00:00"/>
        <d v="2021-11-01T00:00:00"/>
        <d v="2021-11-02T00:00:00"/>
        <d v="2021-11-03T00:00:00"/>
        <d v="2021-11-04T00:00:00"/>
        <d v="2021-11-05T00:00:00"/>
        <d v="2021-11-08T00:00:00"/>
        <d v="2021-11-09T00:00:00"/>
        <d v="2021-11-10T00:00:00"/>
        <d v="2021-11-11T00:00:00"/>
        <d v="2021-11-12T00:00:00"/>
        <d v="2021-11-15T00:00:00"/>
        <d v="2021-11-16T00:00:00"/>
        <d v="2021-11-17T00:00:00"/>
        <d v="2021-11-18T00:00:00"/>
        <d v="2021-11-19T00:00:00"/>
        <d v="2021-11-22T00:00:00"/>
        <d v="2021-11-23T00:00:00"/>
        <d v="2021-11-24T00:00:00"/>
        <d v="2021-11-26T00:00:00"/>
        <d v="2021-11-29T00:00:00"/>
        <d v="2021-11-30T00:00:00"/>
        <d v="2021-12-01T00:00:00"/>
        <d v="2021-12-02T00:00:00"/>
        <d v="2021-12-03T00:00:00"/>
        <d v="2021-12-06T00:00:00"/>
        <d v="2021-12-07T00:00:00"/>
        <d v="2021-12-08T00:00:00"/>
        <d v="2021-12-09T00:00:00"/>
        <d v="2021-12-10T00:00:00"/>
        <d v="2021-12-13T00:00:00"/>
        <d v="2021-12-14T00:00:00"/>
        <d v="2021-12-15T00:00:00"/>
        <d v="2021-12-16T00:00:00"/>
        <d v="2021-12-17T00:00:00"/>
        <d v="2021-12-20T00:00:00"/>
        <d v="2021-12-21T00:00:00"/>
        <d v="2021-12-22T00:00:00"/>
        <d v="2021-12-23T00:00:00"/>
        <d v="2021-12-27T00:00:00"/>
        <d v="2021-12-28T00:00:00"/>
        <d v="2021-12-29T00:00:00"/>
        <d v="2021-12-30T00:00:00"/>
        <d v="2021-12-31T00:00:00"/>
        <d v="2022-01-03T00:00:00"/>
        <d v="2022-01-04T00:00:00"/>
        <d v="2022-01-05T00:00:00"/>
        <d v="2022-01-06T00:00:00"/>
        <d v="2022-01-07T00:00:00"/>
        <d v="2022-01-10T00:00:00"/>
        <d v="2022-01-11T00:00:00"/>
        <d v="2022-01-12T00:00:00"/>
        <d v="2022-01-13T00:00:00"/>
        <d v="2022-01-14T00:00:00"/>
        <d v="2022-01-18T00:00:00"/>
        <d v="2022-01-19T00:00:00"/>
        <d v="2022-01-20T00:00:00"/>
        <d v="2022-01-21T00:00:00"/>
        <d v="2022-01-24T00:00:00"/>
        <d v="2022-01-25T00:00:00"/>
        <d v="2022-01-26T00:00:00"/>
        <d v="2022-01-27T00:00:00"/>
        <d v="2022-01-28T00:00:00"/>
        <d v="2022-01-31T00:00:00"/>
        <d v="2022-02-01T00:00:00"/>
        <d v="2022-02-02T00:00:00"/>
        <d v="2022-02-03T00:00:00"/>
        <d v="2022-02-04T00:00:00"/>
        <d v="2022-02-07T00:00:00"/>
        <d v="2022-02-08T00:00:00"/>
        <d v="2022-02-09T00:00:00"/>
        <d v="2022-02-10T00:00:00"/>
        <d v="2022-02-11T00:00:00"/>
        <d v="2022-02-14T00:00:00"/>
        <d v="2022-02-15T00:00:00"/>
        <d v="2022-02-16T00:00:00"/>
        <d v="2022-02-17T00:00:00"/>
        <d v="2022-02-18T00:00:00"/>
        <d v="2022-02-22T00:00:00"/>
        <d v="2022-02-23T00:00:00"/>
        <d v="2022-02-24T00:00:00"/>
        <d v="2022-02-25T00:00:00"/>
        <d v="2022-02-28T00:00:00"/>
        <d v="2022-03-01T00:00:00"/>
        <d v="2022-03-02T00:00:00"/>
        <d v="2022-03-03T00:00:00"/>
        <d v="2022-03-04T00:00:00"/>
        <d v="2022-03-07T00:00:00"/>
        <d v="2022-03-08T00:00:00"/>
        <d v="2022-03-09T00:00:00"/>
        <d v="2022-03-10T00:00:00"/>
        <d v="2022-03-11T00:00:00"/>
        <d v="2022-03-14T00:00:00"/>
        <d v="2022-03-15T00:00:00"/>
        <d v="2022-03-16T00:00:00"/>
        <d v="2022-03-17T00:00:00"/>
        <d v="2022-03-18T00:00:00"/>
        <d v="2022-03-21T00:00:00"/>
        <d v="2022-03-22T00:00:00"/>
        <d v="2022-03-23T00:00:00"/>
        <d v="2022-03-24T00:00:00"/>
        <d v="2022-03-25T00:00:00"/>
        <d v="2022-03-28T00:00:00"/>
        <d v="2022-03-29T00:00:00"/>
        <d v="2022-03-30T00:00:00"/>
        <d v="2022-03-31T00:00:00"/>
        <d v="2022-04-01T00:00:00"/>
        <d v="2022-04-04T00:00:00"/>
        <d v="2022-04-05T00:00:00"/>
        <d v="2022-04-06T00:00:00"/>
        <d v="2022-04-07T00:00:00"/>
        <d v="2022-04-08T00:00:00"/>
        <d v="2022-04-11T00:00:00"/>
        <d v="2022-04-12T00:00:00"/>
        <d v="2022-04-13T00:00:00"/>
        <d v="2022-04-14T00:00:00"/>
        <d v="2022-04-18T00:00:00"/>
        <d v="2022-04-19T00:00:00"/>
        <d v="2022-04-20T00:00:00"/>
        <d v="2022-04-21T00:00:00"/>
        <d v="2022-04-22T00:00:00"/>
        <d v="2022-04-25T00:00:00"/>
        <d v="2022-04-26T00:00:00"/>
        <d v="2022-04-27T00:00:00"/>
        <d v="2022-04-28T00:00:00"/>
        <d v="2022-04-29T00:00:00"/>
        <d v="2022-05-02T00:00:00"/>
        <d v="2022-05-03T00:00:00"/>
        <d v="2022-05-04T00:00:00"/>
        <d v="2022-05-05T00:00:00"/>
        <d v="2022-05-06T00:00:00"/>
        <d v="2022-05-09T00:00:00"/>
        <d v="2022-05-10T00:00:00"/>
        <d v="2022-05-11T00:00:00"/>
        <d v="2022-05-12T00:00:00"/>
        <d v="2022-05-13T00:00:00"/>
        <d v="2022-05-16T00:00:00"/>
        <d v="2022-05-17T00:00:00"/>
        <d v="2022-05-18T00:00:00"/>
        <d v="2022-05-19T00:00:00"/>
        <d v="2022-05-20T00:00:00"/>
        <d v="2022-05-23T00:00:00"/>
        <d v="2022-05-24T00:00:00"/>
        <d v="2022-05-25T00:00:00"/>
        <d v="2022-05-26T00:00:00"/>
        <d v="2022-05-27T00:00:00"/>
        <d v="2022-05-31T00:00:00"/>
        <d v="2022-06-01T00:00:00"/>
        <d v="2022-06-02T00:00:00"/>
        <d v="2022-06-03T00:00:00"/>
        <d v="2022-06-06T00:00:00"/>
        <d v="2022-06-07T00:00:00"/>
        <d v="2022-06-08T00:00:00"/>
        <d v="2022-06-09T00:00:00"/>
        <d v="2022-06-10T00:00:00"/>
        <d v="2022-06-13T00:00:00"/>
        <d v="2022-06-14T00:00:00"/>
        <d v="2022-06-15T00:00:00"/>
        <d v="2022-06-16T00:00:00"/>
        <d v="2022-06-17T00:00:00"/>
        <d v="2022-06-21T00:00:00"/>
        <d v="2022-06-22T00:00:00"/>
        <d v="2022-06-23T00:00:00"/>
        <d v="2022-06-24T00:00:00"/>
        <d v="2022-06-27T00:00:00"/>
        <d v="2022-06-28T00:00:00"/>
        <d v="2022-06-29T00:00:00"/>
        <d v="2022-06-30T00:00:00"/>
        <d v="2022-07-01T00:00:00"/>
        <d v="2022-07-05T00:00:00"/>
        <d v="2022-07-06T00:00:00"/>
        <d v="2022-07-07T00:00:00"/>
        <d v="2022-07-08T00:00:00"/>
        <d v="2022-07-11T00:00:00"/>
        <d v="2022-07-12T00:00:00"/>
        <d v="2022-07-13T00:00:00"/>
        <d v="2022-07-14T00:00:00"/>
        <d v="2022-07-15T00:00:00"/>
        <d v="2022-07-18T00:00:00"/>
        <d v="2022-07-19T00:00:00"/>
        <d v="2022-07-20T00:00:00"/>
        <d v="2022-07-21T00:00:00"/>
        <d v="2022-07-22T00:00:00"/>
        <d v="2022-07-25T00:00:00"/>
        <d v="2022-07-26T00:00:00"/>
        <d v="2022-07-27T00:00:00"/>
        <d v="2022-07-28T00:00:00"/>
        <d v="2022-07-29T00:00:00"/>
        <d v="2022-08-01T00:00:00"/>
        <d v="2022-08-02T00:00:00"/>
        <d v="2022-08-03T00:00:00"/>
        <d v="2022-08-04T00:00:00"/>
        <d v="2022-08-05T00:00:00"/>
        <d v="2022-08-08T00:00:00"/>
        <d v="2022-08-09T00:00:00"/>
        <d v="2022-08-10T00:00:00"/>
        <d v="2022-08-11T00:00:00"/>
        <d v="2022-08-12T00:00:00"/>
        <d v="2022-08-15T00:00:00"/>
        <d v="2022-08-16T00:00:00"/>
        <d v="2022-08-17T00:00:00"/>
        <d v="2022-08-18T00:00:00"/>
        <d v="2022-08-19T00:00:00"/>
        <d v="2022-08-22T00:00:00"/>
        <d v="2022-08-23T00:00:00"/>
        <d v="2022-08-24T00:00:00"/>
        <d v="2022-08-25T00:00:00"/>
        <d v="2022-08-26T00:00:00"/>
        <d v="2022-08-29T00:00:00"/>
        <d v="2022-08-30T00:00:00"/>
        <d v="2022-08-31T00:00:00"/>
        <d v="2022-09-01T00:00:00"/>
        <d v="2022-09-02T00:00:00"/>
        <d v="2022-09-06T00:00:00"/>
        <d v="2022-09-07T00:00:00"/>
        <d v="2022-09-08T00:00:00"/>
        <d v="2022-09-09T00:00:00"/>
        <d v="2022-09-12T00:00:00"/>
        <d v="2022-09-13T00:00:00"/>
        <d v="2022-09-14T00:00:00"/>
        <d v="2022-09-15T00:00:00"/>
        <d v="2022-09-16T00:00:00"/>
        <d v="2022-09-19T00:00:00"/>
        <d v="2022-09-20T00:00:00"/>
        <d v="2022-09-21T00:00:00"/>
        <d v="2022-09-22T00:00:00"/>
        <d v="2022-09-23T00:00:00"/>
        <d v="2022-09-26T00:00:00"/>
        <d v="2022-09-27T00:00:00"/>
        <d v="2022-09-28T00:00:00"/>
        <d v="2022-09-29T00:00:00"/>
        <d v="2022-09-30T00:00:00"/>
        <d v="2022-10-03T00:00:00"/>
        <d v="2022-10-04T00:00:00"/>
        <d v="2022-10-05T00:00:00"/>
        <d v="2022-10-06T00:00:00"/>
        <d v="2022-10-07T00:00:00"/>
        <d v="2022-10-10T00:00:00"/>
        <d v="2022-10-11T00:00:00"/>
        <d v="2022-10-12T00:00:00"/>
        <d v="2022-10-13T00:00:00"/>
        <d v="2022-10-14T00:00:00"/>
        <d v="2022-10-17T00:00:00"/>
        <d v="2022-10-18T00:00:00"/>
        <d v="2022-10-19T00:00:00"/>
        <d v="2022-10-20T00:00:00"/>
        <d v="2022-10-21T00:00:00"/>
        <d v="2022-10-24T00:00:00"/>
        <d v="2022-10-25T00:00:00"/>
        <d v="2022-10-26T00:00:00"/>
        <d v="2022-10-27T00:00:00"/>
        <d v="2022-10-28T00:00:00"/>
        <d v="2022-10-31T00:00:00"/>
        <d v="2022-11-01T00:00:00"/>
        <d v="2022-11-02T00:00:00"/>
        <d v="2022-11-03T00:00:00"/>
        <d v="2022-11-04T00:00:00"/>
        <d v="2022-11-07T00:00:00"/>
        <d v="2022-11-08T00:00:00"/>
        <d v="2022-11-09T00:00:00"/>
        <d v="2022-11-10T00:00:00"/>
        <d v="2022-11-11T00:00:00"/>
        <d v="2022-11-14T00:00:00"/>
        <d v="2022-11-15T00:00:00"/>
        <d v="2022-11-16T00:00:00"/>
        <d v="2022-11-17T00:00:00"/>
        <d v="2022-11-18T00:00:00"/>
        <d v="2022-11-21T00:00:00"/>
        <d v="2022-11-22T00:00:00"/>
        <d v="2022-11-23T00:00:00"/>
        <d v="2022-11-25T00:00:00"/>
        <d v="2022-11-28T00:00:00"/>
        <d v="2022-11-29T00:00:00"/>
        <d v="2022-11-30T00:00:00"/>
        <d v="2022-12-01T00:00:00"/>
        <d v="2022-12-02T00:00:00"/>
        <d v="2022-12-05T00:00:00"/>
        <d v="2022-12-06T00:00:00"/>
        <d v="2022-12-07T00:00:00"/>
        <d v="2022-12-08T00:00:00"/>
        <d v="2022-12-09T00:00:00"/>
        <d v="2022-12-12T00:00:00"/>
        <d v="2022-12-13T00:00:00"/>
        <d v="2022-12-14T00:00:00"/>
        <d v="2022-12-15T00:00:00"/>
        <d v="2022-12-16T00:00:00"/>
        <d v="2022-12-19T00:00:00"/>
        <d v="2022-12-20T00:00:00"/>
        <d v="2022-12-21T00:00:00"/>
        <d v="2022-12-22T00:00:00"/>
        <d v="2022-12-23T00:00:00"/>
        <d v="2022-12-27T00:00:00"/>
        <d v="2022-12-28T00:00:00"/>
        <d v="2022-12-29T00:00:00"/>
        <d v="2022-12-30T00:00:00"/>
        <d v="2023-01-03T00:00:00"/>
        <d v="2023-01-04T00:00:00"/>
        <d v="2023-01-05T00:00:00"/>
        <d v="2023-01-06T00:00:00"/>
        <d v="2023-01-09T00:00:00"/>
        <d v="2023-01-10T00:00:00"/>
        <d v="2023-01-11T00:00:00"/>
        <d v="2023-01-12T00:00:00"/>
        <d v="2023-01-13T00:00:00"/>
        <d v="2023-01-17T00:00:00"/>
        <d v="2023-01-18T00:00:00"/>
        <d v="2023-01-19T00:00:00"/>
        <d v="2023-01-20T00:00:00"/>
        <d v="2023-01-23T00:00:00"/>
        <d v="2023-01-24T00:00:00"/>
        <d v="2023-01-25T00:00:00"/>
        <d v="2023-01-26T00:00:00"/>
        <d v="2023-01-27T00:00:00"/>
        <d v="2023-01-30T00:00:00"/>
        <d v="2023-01-31T00:00:00"/>
        <d v="2023-02-01T00:00:00"/>
        <d v="2023-02-02T00:00:00"/>
        <d v="2023-02-03T00:00:00"/>
        <d v="2023-02-06T00:00:00"/>
        <d v="2023-02-07T00:00:00"/>
        <d v="2023-02-08T00:00:00"/>
        <d v="2023-02-09T00:00:00"/>
        <d v="2023-02-10T00:00:00"/>
        <d v="2023-02-13T00:00:00"/>
        <d v="2023-02-14T00:00:00"/>
        <d v="2023-02-15T00:00:00"/>
        <d v="2023-02-16T00:00:00"/>
        <d v="2023-02-17T00:00:00"/>
        <d v="2023-02-21T00:00:00"/>
        <d v="2023-02-22T00:00:00"/>
        <d v="2023-02-23T00:00:00"/>
        <d v="2023-02-24T00:00:00"/>
        <d v="2023-02-27T00:00:00"/>
        <d v="2023-02-28T00:00:00"/>
        <d v="2023-03-01T00:00:00"/>
        <d v="2023-03-02T00:00:00"/>
        <d v="2023-03-03T00:00:00"/>
        <d v="2023-03-06T00:00:00"/>
        <d v="2023-03-07T00:00:00"/>
        <d v="2023-03-08T00:00:00"/>
        <d v="2023-03-09T00:00:00"/>
        <d v="2023-03-10T00:00:00"/>
        <d v="2023-03-13T00:00:00"/>
        <d v="2023-03-14T00:00:00"/>
        <d v="2023-03-15T00:00:00"/>
        <d v="2023-03-16T00:00:00"/>
        <d v="2023-03-17T00:00:00"/>
        <d v="2023-03-20T00:00:00"/>
        <d v="2023-03-21T00:00:00"/>
        <d v="2023-03-22T00:00:00"/>
        <d v="2023-03-23T00:00:00"/>
        <d v="2023-03-24T00:00:00"/>
        <d v="2023-03-27T00:00:00"/>
        <d v="2023-03-28T00:00:00"/>
        <d v="2023-03-29T00:00:00"/>
        <d v="2023-03-30T00:00:00"/>
        <d v="2023-03-31T00:00:00"/>
        <d v="2023-04-03T00:00:00"/>
        <d v="2023-04-04T00:00:00"/>
        <d v="2023-04-05T00:00:00"/>
        <d v="2023-04-06T00:00:00"/>
        <d v="2023-04-10T00:00:00"/>
        <d v="2023-04-11T00:00:00"/>
        <d v="2023-04-12T00:00:00"/>
        <d v="2023-04-13T00:00:00"/>
        <d v="2023-04-14T00:00:00"/>
        <d v="2023-04-17T00:00:00"/>
        <d v="2023-04-18T00:00:00"/>
        <d v="2023-04-19T00:00:00"/>
        <d v="2023-04-20T00:00:00"/>
        <d v="2023-04-21T00:00:00"/>
        <d v="2023-04-24T00:00:00"/>
        <d v="2023-04-25T00:00:00"/>
        <d v="2023-04-26T00:00:00"/>
        <d v="2023-04-27T00:00:00"/>
        <d v="2023-04-28T00:00:00"/>
        <d v="2023-05-01T00:00:00"/>
        <d v="2023-05-02T00:00:00"/>
        <d v="2023-05-03T00:00:00"/>
        <d v="2023-05-04T00:00:00"/>
        <d v="2023-05-05T00:00:00"/>
        <d v="2023-05-08T00:00:00"/>
        <d v="2023-05-09T00:00:00"/>
        <d v="2023-05-10T00:00:00"/>
        <d v="2023-05-11T00:00:00"/>
        <d v="2023-05-12T00:00:00"/>
        <d v="2023-05-15T00:00:00"/>
        <d v="2023-05-16T00:00:00"/>
        <d v="2023-05-17T00:00:00"/>
        <d v="2023-05-18T00:00:00"/>
        <d v="2023-05-19T00:00:00"/>
        <d v="2023-05-22T00:00:00"/>
        <d v="2023-05-23T00:00:00"/>
        <d v="2023-05-24T00:00:00"/>
        <d v="2023-05-25T00:00:00"/>
        <d v="2023-05-26T00:00:00"/>
        <d v="2023-05-30T00:00:00"/>
        <d v="2023-05-31T00:00:00"/>
        <d v="2023-06-01T00:00:00"/>
        <d v="2023-06-02T00:00:00"/>
        <d v="2023-06-05T00:00:00"/>
        <d v="2023-06-06T00:00:00"/>
        <d v="2023-06-07T00:00:00"/>
        <d v="2023-06-08T00:00:00"/>
        <d v="2023-06-09T00:00:00"/>
        <d v="2023-06-12T00:00:00"/>
        <d v="2023-06-13T00:00:00"/>
        <d v="2023-06-14T00:00:00"/>
        <d v="2023-06-15T00:00:00"/>
        <d v="2023-06-16T00:00:00"/>
        <d v="2023-06-20T00:00:00"/>
        <d v="2023-06-21T00:00:00"/>
        <d v="2023-06-22T00:00:00"/>
        <d v="2023-06-23T00:00:00"/>
        <d v="2023-06-26T00:00:00"/>
        <d v="2023-06-27T00:00:00"/>
        <d v="2023-06-28T00:00:00"/>
        <d v="2023-06-29T00:00:00"/>
        <d v="2023-06-30T00:00:00"/>
        <d v="2023-07-03T00:00:00"/>
        <d v="2023-07-05T00:00:00"/>
        <d v="2023-07-06T00:00:00"/>
        <d v="2023-07-07T00:00:00"/>
        <d v="2023-07-10T00:00:00"/>
        <d v="2023-07-11T00:00:00"/>
        <d v="2023-07-12T00:00:00"/>
        <d v="2023-07-13T00:00:00"/>
        <d v="2023-07-14T00:00:00"/>
        <d v="2023-07-17T00:00:00"/>
        <d v="2023-07-18T00:00:00"/>
        <d v="2023-07-19T00:00:00"/>
        <d v="2023-07-20T00:00:00"/>
        <d v="2023-07-21T00:00:00"/>
        <d v="2023-07-24T00:00:00"/>
        <d v="2023-07-25T00:00:00"/>
        <d v="2023-07-26T00:00:00"/>
        <d v="2023-07-27T00:00:00"/>
        <d v="2023-07-28T00:00:00"/>
        <d v="2023-07-31T00:00:00"/>
        <d v="2023-08-01T00:00:00"/>
        <d v="2023-08-02T00:00:00"/>
        <d v="2023-08-03T00:00:00"/>
        <d v="2023-08-04T00:00:00"/>
        <d v="2023-08-07T00:00:00"/>
        <d v="2023-08-08T00:00:00"/>
        <d v="2023-08-09T00:00:00"/>
        <d v="2023-08-10T00:00:00"/>
        <d v="2023-08-11T00:00:00"/>
        <d v="2023-08-14T00:00:00"/>
        <d v="2023-08-15T00:00:00"/>
        <d v="2023-08-16T00:00:00"/>
        <d v="2023-08-17T00:00:00"/>
        <d v="2023-08-18T00:00:00"/>
        <d v="2023-08-21T00:00:00"/>
        <d v="2023-08-22T00:00:00"/>
        <d v="2023-08-23T00:00:00"/>
        <d v="2023-08-24T00:00:00"/>
        <d v="2023-08-25T00:00:00"/>
        <d v="2023-08-28T00:00:00"/>
        <d v="2023-08-29T00:00:00"/>
        <d v="2023-08-30T00:00:00"/>
        <d v="2023-08-31T00:00:00"/>
        <d v="2023-09-01T00:00:00"/>
        <d v="2023-09-05T00:00:00"/>
        <d v="2023-09-06T00:00:00"/>
        <d v="2023-09-07T00:00:00"/>
        <d v="2023-09-08T00:00:00"/>
        <d v="2023-09-11T00:00:00"/>
        <d v="2023-09-12T00:00:00"/>
        <d v="2023-09-13T00:00:00"/>
        <d v="2023-09-14T00:00:00"/>
        <d v="2023-09-15T00:00:00"/>
        <d v="2023-09-18T00:00:00"/>
        <d v="2023-09-19T00:00:00"/>
        <d v="2023-09-20T00:00:00"/>
        <d v="2023-09-21T00:00:00"/>
        <d v="2023-09-22T00:00:00"/>
        <d v="2023-09-25T00:00:00"/>
        <d v="2023-09-26T00:00:00"/>
        <d v="2023-09-27T00:00:00"/>
        <d v="2023-09-28T00:00:00"/>
        <d v="2023-09-29T00:00:00"/>
        <d v="2023-10-02T00:00:00"/>
        <d v="2023-10-03T00:00:00"/>
        <d v="2023-10-04T00:00:00"/>
        <d v="2023-10-05T00:00:00"/>
        <d v="2023-10-06T00:00:00"/>
        <d v="2023-10-09T00:00:00"/>
        <d v="2023-10-10T00:00:00"/>
        <d v="2023-10-11T00:00:00"/>
        <d v="2023-10-12T00:00:00"/>
        <d v="2023-10-13T00:00:00"/>
        <d v="2023-10-16T00:00:00"/>
        <d v="2023-10-17T00:00:00"/>
        <d v="2023-10-18T00:00:00"/>
        <d v="2023-10-19T00:00:00"/>
        <d v="2023-10-20T00:00:00"/>
        <d v="2023-10-23T00:00:00"/>
        <d v="2023-10-24T00:00:00"/>
        <d v="2023-10-25T00:00:00"/>
        <d v="2023-10-26T00:00:00"/>
        <d v="2023-10-27T00:00:00"/>
        <d v="2023-10-30T00:00:00"/>
        <d v="2023-10-31T00:00:00"/>
        <d v="2023-11-01T00:00:00"/>
        <d v="2023-11-02T00:00:00"/>
        <d v="2023-11-03T00:00:00"/>
        <d v="2023-11-06T00:00:00"/>
        <d v="2023-11-07T00:00:00"/>
        <d v="2023-11-08T00:00:00"/>
        <d v="2023-11-09T00:00:00"/>
        <d v="2023-11-10T00:00:00"/>
        <d v="2023-11-13T00:00:00"/>
        <d v="2023-11-14T00:00:00"/>
        <d v="2023-11-15T00:00:00"/>
        <d v="2023-11-16T00:00:00"/>
        <d v="2023-11-17T00:00:00"/>
        <d v="2023-11-20T00:00:00"/>
        <d v="2023-11-21T00:00:00"/>
        <d v="2023-11-22T00:00:00"/>
        <d v="2023-11-24T00:00:00"/>
        <d v="2023-11-27T00:00:00"/>
        <d v="2023-11-28T00:00:00"/>
        <d v="2023-11-29T00:00:00"/>
        <d v="2023-11-30T00:00:00"/>
        <d v="2023-12-01T00:00:00"/>
        <d v="2023-12-04T00:00:00"/>
        <d v="2023-12-05T00:00:00"/>
        <d v="2023-12-06T00:00:00"/>
        <d v="2023-12-07T00:00:00"/>
        <d v="2023-12-08T00:00:00"/>
        <d v="2023-12-11T00:00:00"/>
        <d v="2023-12-12T00:00:00"/>
        <d v="2023-12-13T00:00:00"/>
        <d v="2023-12-14T00:00:00"/>
        <d v="2023-12-15T00:00:00"/>
        <d v="2023-12-18T00:00:00"/>
        <d v="2023-12-19T00:00:00"/>
        <d v="2023-12-20T00:00:00"/>
        <d v="2023-12-21T00:00:00"/>
        <d v="2023-12-22T00:00:00"/>
        <d v="2023-12-26T00:00:00"/>
        <d v="2023-12-27T00:00:00"/>
        <d v="2023-12-28T00:00:00"/>
        <d v="2023-12-29T00:00:00"/>
        <d v="2024-01-02T00:00:00"/>
        <d v="2024-01-03T00:00:00"/>
        <d v="2024-01-04T00:00:00"/>
        <d v="2024-01-05T00:00:00"/>
        <d v="2024-01-08T00:00:00"/>
        <d v="2024-01-09T00:00:00"/>
        <d v="2024-01-10T00:00:00"/>
        <d v="2024-01-11T00:00:00"/>
        <d v="2024-01-12T00:00:00"/>
        <d v="2024-01-16T00:00:00"/>
        <d v="2024-01-17T00:00:00"/>
        <d v="2024-01-18T00:00:00"/>
        <d v="2024-01-19T00:00:00"/>
        <d v="2024-01-22T00:00:00"/>
        <d v="2024-01-23T00:00:00"/>
        <d v="2024-01-24T00:00:00"/>
        <d v="2024-01-25T00:00:00"/>
        <d v="2024-01-26T00:00:00"/>
        <d v="2024-01-29T00:00:00"/>
        <d v="2024-01-30T00:00:00"/>
        <d v="2024-01-31T00:00:00"/>
        <d v="2024-02-01T00:00:00"/>
        <d v="2024-02-02T00:00:00"/>
        <d v="2024-02-05T00:00:00"/>
        <d v="2024-02-06T00:00:00"/>
        <d v="2024-02-07T00:00:00"/>
        <d v="2024-02-08T00:00:00"/>
        <d v="2024-02-09T00:00:00"/>
        <d v="2024-02-12T00:00:00"/>
        <d v="2024-02-13T00:00:00"/>
        <d v="2024-02-14T00:00:00"/>
        <d v="2024-02-15T00:00:00"/>
        <d v="2024-02-16T00:00:00"/>
        <d v="2024-02-20T00:00:00"/>
        <d v="2024-02-21T00:00:00"/>
        <d v="2024-02-22T00:00:00"/>
        <d v="2024-02-23T00:00:00"/>
        <d v="2024-02-26T00:00:00"/>
        <d v="2024-02-27T00:00:00"/>
        <d v="2024-02-28T00:00:00"/>
        <d v="2024-02-29T00:00:00"/>
        <d v="2024-03-01T00:00:00"/>
        <d v="2024-03-04T00:00:00"/>
        <d v="2024-03-05T00:00:00"/>
        <d v="2024-03-06T00:00:00"/>
        <d v="2024-03-07T00:00:00"/>
        <d v="2024-03-08T00:00:00"/>
        <d v="2024-03-11T00:00:00"/>
        <d v="2024-03-12T00:00:00"/>
        <d v="2024-03-13T00:00:00"/>
        <d v="2024-03-14T00:00:00"/>
        <d v="2024-03-15T00:00:00"/>
        <d v="2024-03-18T00:00:00"/>
        <d v="2024-03-19T00:00:00"/>
        <d v="2024-03-20T00:00:00"/>
        <d v="2024-03-21T00:00:00"/>
        <d v="2024-03-22T00:00:00"/>
        <d v="2024-03-25T00:00:00"/>
        <d v="2024-03-26T00:00:00"/>
        <d v="2024-03-27T00:00:00"/>
        <d v="2024-03-28T00:00:00"/>
        <d v="2024-04-01T00:00:00"/>
        <d v="2024-04-02T00:00:00"/>
        <d v="2024-04-03T00:00:00"/>
        <d v="2024-04-04T00:00:00"/>
        <d v="2024-04-05T00:00:00"/>
        <d v="2024-04-08T00:00:00"/>
        <d v="2024-04-09T00:00:00"/>
        <d v="2024-04-10T00:00:00"/>
        <d v="2024-04-11T00:00:00"/>
        <d v="2024-04-12T00:00:00"/>
        <d v="2024-04-15T00:00:00"/>
        <d v="2024-04-16T00:00:00"/>
        <d v="2024-04-17T00:00:00"/>
        <d v="2024-04-18T00:00:00"/>
        <d v="2024-04-19T00:00:00"/>
        <d v="2024-04-22T00:00:00"/>
        <d v="2024-04-23T00:00:00"/>
        <d v="2024-04-24T00:00:00"/>
        <d v="2024-04-25T00:00:00"/>
        <d v="2024-04-26T00:00:00"/>
        <d v="2024-04-29T00:00:00"/>
        <d v="2024-04-30T00:00:00"/>
        <d v="2024-05-01T00:00:00"/>
        <d v="2024-05-02T00:00:00"/>
        <d v="2024-05-03T00:00:00"/>
        <d v="2024-05-06T00:00:00"/>
        <d v="2024-05-07T00:00:00"/>
        <d v="2024-05-08T00:00:00"/>
        <d v="2024-05-09T00:00:00"/>
        <d v="2024-05-10T00:00:00"/>
        <d v="2024-05-13T00:00:00"/>
        <d v="2024-05-14T00:00:00"/>
        <d v="2024-05-15T00:00:00"/>
        <d v="2024-05-16T00:00:00"/>
        <d v="2024-05-17T00:00:00"/>
        <d v="2024-05-20T00:00:00"/>
        <d v="2024-05-21T00:00:00"/>
        <d v="2024-05-22T00:00:00"/>
        <d v="2024-05-23T00:00:00"/>
        <d v="2024-05-24T00:00:00"/>
        <d v="2024-05-28T00:00:00"/>
        <d v="2024-05-29T00:00:00"/>
        <d v="2024-05-30T00:00:00"/>
        <d v="2024-05-31T00:00:00"/>
        <d v="2024-06-03T00:00:00"/>
        <d v="2024-06-04T00:00:00"/>
        <d v="2024-06-05T00:00:00"/>
        <d v="2024-06-06T00:00:00"/>
        <d v="2024-06-07T00:00:00"/>
        <d v="2024-06-10T00:00:00"/>
        <d v="2024-06-11T00:00:00"/>
        <d v="2024-06-12T00:00:00"/>
        <d v="2024-06-13T00:00:00"/>
        <d v="2024-06-14T00:00:00"/>
        <d v="2024-06-17T00:00:00"/>
        <d v="2024-06-18T00:00:00"/>
        <d v="2024-06-20T00:00:00"/>
        <d v="2024-06-21T00:00:00"/>
        <d v="2024-06-24T00:00:00"/>
        <d v="2024-06-25T00:00:00"/>
        <d v="2024-06-26T00:00:00"/>
        <d v="2024-06-27T00:00:00"/>
        <d v="2024-06-28T00:00:00"/>
        <d v="2024-07-01T00:00:00"/>
        <d v="2024-07-02T00:00:00"/>
        <d v="2024-07-03T00:00:00"/>
        <d v="2024-07-05T00:00:00"/>
        <d v="2024-07-08T00:00:00"/>
        <d v="2024-07-09T00:00:00"/>
        <d v="2024-07-10T00:00:00"/>
        <d v="2024-07-11T00:00:00"/>
        <d v="2024-07-12T00:00:00"/>
        <d v="2024-07-15T00:00:00"/>
        <d v="2024-07-16T00:00:00"/>
        <d v="2024-07-17T00:00:00"/>
        <d v="2024-07-18T00:00:00"/>
        <d v="2024-07-19T00:00:00"/>
        <d v="2024-07-22T00:00:00"/>
        <d v="2024-07-23T00:00:00"/>
        <d v="2024-07-24T00:00:00"/>
        <d v="2024-07-25T00:00:00"/>
        <d v="2024-07-26T00:00:00"/>
        <d v="2024-07-29T00:00:00"/>
        <d v="2024-07-30T00:00:00"/>
        <d v="2024-07-31T00:00:00"/>
        <d v="2024-08-01T00:00:00"/>
        <d v="2024-08-02T00:00:00"/>
        <d v="2024-08-05T00:00:00"/>
        <d v="2024-08-06T00:00:00"/>
        <d v="2024-08-07T00:00:00"/>
        <d v="2024-08-08T00:00:00"/>
        <d v="2024-08-09T00:00:00"/>
        <d v="2024-08-12T00:00:00"/>
        <d v="2024-08-13T00:00:00"/>
        <d v="2024-08-14T00:00:00"/>
        <d v="2024-08-15T00:00:00"/>
        <d v="2024-08-16T00:00:00"/>
        <d v="2024-08-19T00:00:00"/>
        <d v="2024-08-20T00:00:00"/>
        <d v="2024-08-21T00:00:00"/>
        <d v="2024-08-22T00:00:00"/>
        <d v="2024-08-23T00:00:00"/>
        <d v="2024-08-26T00:00:00"/>
        <d v="2024-08-27T00:00:00"/>
        <d v="2024-08-28T00:00:00"/>
        <d v="2024-08-29T00:00:00"/>
        <d v="2024-08-30T00:00:00"/>
        <d v="2024-09-03T00:00:00"/>
        <d v="2024-09-04T00:00:00"/>
        <d v="2024-09-05T00:00:00"/>
        <d v="2024-09-06T00:00:00"/>
        <d v="2024-09-09T00:00:00"/>
        <d v="2024-09-10T00:00:00"/>
        <d v="2024-09-11T00:00:00"/>
        <d v="2024-09-12T00:00:00"/>
        <d v="2024-09-13T00:00:00"/>
        <d v="2024-09-16T00:00:00"/>
        <d v="2024-09-17T00:00:00"/>
        <d v="2024-09-18T00:00:00"/>
        <d v="2024-09-19T00:00:00"/>
        <d v="2024-09-20T00:00:00"/>
        <d v="2024-09-23T00:00:00"/>
        <d v="2024-09-24T00:00:00"/>
        <d v="2024-09-25T00:00:00"/>
        <d v="2024-09-26T00:00:00"/>
        <d v="2024-09-27T00:00:00"/>
        <d v="2024-09-30T00:00:00"/>
        <d v="2024-10-01T00:00:00"/>
        <d v="2024-10-02T00:00:00"/>
        <d v="2024-10-03T00:00:00"/>
        <d v="2024-10-04T00:00:00"/>
        <d v="2024-10-07T00:00:00"/>
        <d v="2024-10-08T00:00:00"/>
        <d v="2024-10-09T00:00:00"/>
        <d v="2024-10-10T00:00:00"/>
        <d v="2024-10-11T00:00:00"/>
        <d v="2024-10-14T00:00:00"/>
        <d v="2024-10-15T00:00:00"/>
        <d v="2024-10-16T00:00:00"/>
        <d v="2024-10-17T00:00:00"/>
        <d v="2024-10-18T00:00:00"/>
        <d v="2024-10-21T00:00:00"/>
        <d v="2024-10-22T00:00:00"/>
        <d v="2024-10-23T00:00:00"/>
        <d v="2024-10-24T00:00:00"/>
        <d v="2024-10-25T00:00:00"/>
        <d v="2024-10-28T00:00:00"/>
        <d v="2024-10-29T00:00:00"/>
        <d v="2024-10-30T00:00:00"/>
        <d v="2024-10-31T00:00:00"/>
        <d v="2024-11-01T00:00:00"/>
        <d v="2024-11-04T00:00:00"/>
        <d v="2024-11-05T00:00:00"/>
        <d v="2024-11-06T00:00:00"/>
        <d v="2024-11-07T00:00:00"/>
        <d v="2024-11-08T00:00:00"/>
        <d v="2024-11-11T00:00:00"/>
        <d v="2024-11-12T00:00:00"/>
        <d v="2024-11-13T00:00:00"/>
        <d v="2024-11-14T00:00:00"/>
        <d v="2024-11-15T00:00:00"/>
        <d v="2024-11-18T00:00:00"/>
        <d v="2024-11-19T00:00:00"/>
        <d v="2024-11-20T00:00:00"/>
        <d v="2024-11-21T00:00:00"/>
        <d v="2024-11-22T00:00:00"/>
        <d v="2024-11-25T00:00:00"/>
        <d v="2024-11-26T00:00:00"/>
        <d v="2024-11-27T00:00:00"/>
        <d v="2024-11-29T00:00:00"/>
        <d v="2024-12-02T00:00:00"/>
        <d v="2024-12-03T00:00:00"/>
        <d v="2024-12-04T00:00:00"/>
        <d v="2024-12-05T00:00:00"/>
        <d v="2024-12-06T00:00:00"/>
        <d v="2024-12-09T00:00:00"/>
        <d v="2024-12-10T00:00:00"/>
        <d v="2024-12-11T00:00:00"/>
        <d v="2024-12-12T00:00:00"/>
        <d v="2024-12-13T00:00:00"/>
        <d v="2024-12-16T00:00:00"/>
        <d v="2024-12-17T00:00:00"/>
        <d v="2024-12-18T00:00:00"/>
        <d v="2024-12-19T00:00:00"/>
        <d v="2024-12-20T00:00:00"/>
        <d v="2024-12-23T00:00:00"/>
        <d v="2024-12-24T00:00:00"/>
        <d v="2024-12-26T00:00:00"/>
        <d v="2024-12-27T00:00:00"/>
        <d v="2024-12-30T00:00:00"/>
        <d v="2024-12-31T00:00:00"/>
        <d v="2025-01-02T00:00:00"/>
        <d v="2025-01-03T00:00:00"/>
        <d v="2025-01-06T00:00:00"/>
        <d v="2025-01-07T00:00:00"/>
        <d v="2025-01-08T00:00:00"/>
        <d v="2025-01-09T00:00:00"/>
        <d v="2025-01-10T00:00:00"/>
        <d v="2025-01-13T00:00:00"/>
        <d v="2025-01-14T00:00:00"/>
        <d v="2025-01-15T00:00:00"/>
        <d v="2025-01-16T00:00:00"/>
        <d v="2025-01-17T00:00:00"/>
        <d v="2025-01-21T00:00:00"/>
        <d v="2025-01-22T00:00:00"/>
        <d v="2025-01-23T00:00:00"/>
        <d v="2025-01-24T00:00:00"/>
        <d v="2025-01-27T00:00:00"/>
        <d v="2025-01-28T00:00:00"/>
        <d v="2025-01-29T00:00:00"/>
        <d v="2025-01-30T00:00:00"/>
        <d v="2025-01-31T00:00:00"/>
        <d v="2025-02-03T00:00:00"/>
        <d v="2025-02-04T00:00:00"/>
        <d v="2025-02-05T00:00:00"/>
        <d v="2025-02-06T00:00:00"/>
        <d v="2025-02-07T00:00:00"/>
        <d v="2025-02-10T00:00:00"/>
        <d v="2025-02-11T00:00:00"/>
        <d v="2025-02-12T00:00:00"/>
        <d v="2025-02-13T00:00:00"/>
        <d v="2025-02-14T00:00:00"/>
        <d v="2025-02-18T00:00:00"/>
        <d v="2025-02-19T00:00:00"/>
        <d v="2025-02-20T00:00:00"/>
        <d v="2025-02-21T00:00:00"/>
        <d v="2025-02-24T00:00:00"/>
        <d v="2025-02-25T00:00:00"/>
        <d v="2025-02-26T00:00:00"/>
        <d v="2025-02-27T00:00:00"/>
        <d v="2025-02-28T00:00:00"/>
        <d v="2025-03-03T00:00:00"/>
        <d v="2025-03-04T00:00:00"/>
        <d v="2025-03-05T00:00:00"/>
        <d v="2025-03-06T00:00:00"/>
        <d v="2025-03-07T00:00:00"/>
        <d v="2025-03-10T00:00:00"/>
        <d v="2025-03-11T00:00:00"/>
        <d v="2025-03-12T00:00:00"/>
        <d v="2025-03-13T00:00:00"/>
        <d v="2025-03-14T00:00:00"/>
        <d v="2025-03-17T00:00:00"/>
        <d v="2025-03-18T00:00:00"/>
        <d v="2025-03-19T00:00:00"/>
        <d v="2025-03-20T00:00:00"/>
        <d v="2025-03-21T00:00:00"/>
        <d v="2025-03-24T00:00:00"/>
        <d v="2025-03-25T00:00:00"/>
        <d v="2025-03-26T00:00:00"/>
        <d v="2025-03-27T00:00:00"/>
        <d v="2025-03-28T00:00:00"/>
        <d v="2025-03-31T00:00:00"/>
        <d v="2025-04-01T00:00:00"/>
        <d v="2025-04-02T00:00:00"/>
        <d v="2025-04-03T00:00:00"/>
        <d v="2025-04-04T00:00:00"/>
        <d v="2025-04-07T00:00:00"/>
        <d v="2025-04-08T00:00:00"/>
        <d v="2025-04-09T00:00:00"/>
        <d v="2025-04-10T00:00:00"/>
        <d v="2025-04-11T00:00:00"/>
        <d v="2025-04-14T00:00:00"/>
        <d v="2025-04-15T00:00:00"/>
        <d v="2025-04-16T00:00:00"/>
        <d v="2025-04-17T00:00:00"/>
        <d v="2025-04-21T00:00:00"/>
        <d v="2025-04-22T00:00:00"/>
        <d v="2025-04-23T00:00:00"/>
        <d v="2025-04-24T00:00:00"/>
        <d v="2025-04-25T00:00:00"/>
        <d v="2025-04-28T00:00:00"/>
        <d v="2025-04-29T00:00:00"/>
        <d v="2025-04-30T00:00:00"/>
        <d v="2025-05-01T00:00:00"/>
        <d v="2025-05-02T00:00:00"/>
        <d v="2025-05-05T00:00:00"/>
        <d v="2025-05-06T00:00:00"/>
        <d v="2025-05-07T00:00:00"/>
        <d v="2025-05-08T00:00:00"/>
        <d v="2025-05-09T00:00:00"/>
        <d v="2025-05-12T00:00:00"/>
        <d v="2025-05-13T00:00:00"/>
        <d v="2025-05-14T00:00:00"/>
        <d v="2025-05-15T00:00:00"/>
        <d v="2025-05-16T00:00:00"/>
        <d v="2025-05-19T00:00:00"/>
        <d v="2025-05-20T00:00:00"/>
        <d v="2025-05-21T00:00:00"/>
        <d v="2025-05-22T00:00:00"/>
        <d v="2025-05-23T00:00:00"/>
        <d v="2025-05-27T00:00:00"/>
        <d v="2025-05-28T00:00:00"/>
        <d v="2025-05-29T00:00:00"/>
        <d v="2025-05-30T00:00:00"/>
        <d v="2025-06-02T00:00:00"/>
        <d v="2025-06-03T00:00:00"/>
        <d v="2025-06-04T00:00:00"/>
        <d v="2025-06-05T00:00:00"/>
        <d v="2025-06-06T00:00:00"/>
        <d v="2025-06-09T00:00:00"/>
        <d v="2025-06-10T00:00:00"/>
        <d v="2025-06-11T00:00:00"/>
        <d v="2025-06-12T00:00:00"/>
        <d v="2025-06-13T00:00:00"/>
        <d v="2025-06-16T00:00:00"/>
        <d v="2025-06-17T00:00:00"/>
        <d v="2025-06-18T00:00:00"/>
        <d v="2025-06-20T00:00:00"/>
        <d v="2025-06-23T00:00:00"/>
        <d v="2025-06-24T00:00:00"/>
        <d v="2025-06-25T00:00:00"/>
        <d v="2025-06-26T00:00:00"/>
        <d v="2025-06-27T00:00:00"/>
        <d v="2025-06-30T00:00:00"/>
        <d v="2025-07-01T00:00:00"/>
        <d v="2025-07-02T00:00:00"/>
        <d v="2025-07-03T00:00:00"/>
        <d v="2025-07-04T00:00:00"/>
        <d v="2025-07-07T00:00:00"/>
        <d v="2025-07-08T00:00:00"/>
        <d v="2025-07-09T00:00:00"/>
        <d v="2025-07-10T00:00:00"/>
        <d v="2025-07-11T00:00:00"/>
        <d v="2025-07-14T00:00:00"/>
        <d v="2025-07-15T00:00:00"/>
        <d v="2025-07-16T00:00:00"/>
        <d v="2025-07-17T00:00:00"/>
        <d v="2025-07-18T00:00:00"/>
        <d v="2025-07-21T00:00:00"/>
        <d v="2025-07-22T00:00:00"/>
        <d v="2025-07-23T00:00:00"/>
        <d v="2025-07-24T00:00:00"/>
        <d v="2025-07-25T00:00:00"/>
        <d v="2025-07-28T00:00:00"/>
        <d v="2025-07-29T00:00:00"/>
        <d v="2025-07-30T00:00:00"/>
        <d v="2025-07-31T00:00:00"/>
        <d v="2025-08-01T00:00:00"/>
        <d v="2025-08-04T00:00:00"/>
        <d v="2025-08-05T00:00:00"/>
        <d v="2025-08-06T00:00:00"/>
        <d v="2025-08-07T00:00:00"/>
        <d v="2025-08-08T00:00:00"/>
        <d v="2025-08-11T00:00:00"/>
        <d v="2025-08-12T00:00:00"/>
        <d v="2025-08-13T00:00:00"/>
        <d v="2025-08-14T00:00:00"/>
        <d v="2025-08-15T00:00:00"/>
        <d v="2025-08-18T00:00:00"/>
        <d v="2025-08-19T00:00:00"/>
        <d v="2025-08-20T00:00:00"/>
        <d v="2025-08-21T00:00:00"/>
        <d v="2025-08-22T00:00:00"/>
        <d v="2025-08-25T00:00:00"/>
        <d v="2025-08-26T00:00:00"/>
        <d v="2025-08-27T00:00:00"/>
        <d v="2025-08-28T00:00:00"/>
        <d v="2025-08-29T00:00:00"/>
        <d v="2025-09-02T00:00:00"/>
        <d v="2025-09-03T00:00:00"/>
        <d v="2025-09-04T00:00:00"/>
        <d v="2025-09-05T00:00:00"/>
        <d v="2025-09-08T00:00:00"/>
        <d v="2025-09-09T00:00:00"/>
        <d v="2025-09-10T00:00:00"/>
        <d v="2025-09-11T00:00:00"/>
        <d v="2025-09-12T00:00:00"/>
        <d v="2025-09-15T00:00:00"/>
        <d v="2025-09-16T00:00:00"/>
        <d v="2025-09-17T00:00:00"/>
        <d v="2025-09-18T00:00:00"/>
        <d v="2025-09-19T00:00:00"/>
        <d v="2025-09-22T00:00:00"/>
        <d v="2025-09-23T00:00:00"/>
        <d v="2025-09-24T00:00:00"/>
        <d v="2025-09-25T00:00:00"/>
        <d v="2025-09-26T00:00:00"/>
        <d v="2025-09-29T00:00:00"/>
        <d v="2025-09-30T00:00:00"/>
        <d v="2025-10-01T00:00:00"/>
        <d v="2025-10-02T00:00:00"/>
        <d v="2025-10-03T00:00:00"/>
        <d v="2025-10-06T00:00:00"/>
        <d v="2025-10-07T00:00:00"/>
        <d v="2025-10-08T00:00:00"/>
        <d v="2025-10-09T00:00:00"/>
        <d v="2025-10-10T00:00:00"/>
        <d v="2025-10-13T00:00:00"/>
        <d v="2025-10-14T00:00:00"/>
        <d v="2025-10-15T00:00:00"/>
        <d v="2025-10-16T00:00:00"/>
        <d v="2025-10-17T00:00:00"/>
        <d v="2025-10-20T00:00:00"/>
        <d v="2025-10-21T00:00:00"/>
        <d v="2025-10-22T00:00:00"/>
        <d v="2025-10-23T00:00:00"/>
        <d v="2025-10-24T00:00:00"/>
        <d v="2025-10-27T00:00:00"/>
        <d v="2025-10-28T00:00:00"/>
        <d v="2025-10-29T00:00:00"/>
        <d v="2025-10-30T00:00:00"/>
        <d v="2025-10-31T00:00:00"/>
        <d v="2025-11-03T00:00:00"/>
        <d v="2025-11-04T00:00:00"/>
        <d v="2025-11-05T00:00:00"/>
        <d v="2025-11-06T00:00:00"/>
        <d v="2025-11-07T00:00:00"/>
        <d v="2025-11-10T00:00:00"/>
        <d v="2025-11-11T00:00:00"/>
        <d v="2025-11-12T00:00:00"/>
        <d v="2025-11-13T00:00:00"/>
        <d v="2025-11-14T00:00:00"/>
        <d v="2025-11-17T00:00:00"/>
        <d v="2025-11-18T00:00:00"/>
        <d v="2025-11-19T00:00:00"/>
        <d v="2025-11-20T00:00:00"/>
        <d v="2025-11-21T00:00:00"/>
        <d v="2025-11-24T00:00:00"/>
        <d v="2025-11-25T00:00:00"/>
        <d v="2025-11-26T00:00:00"/>
        <d v="2025-11-28T00:00:00"/>
        <d v="2025-12-01T00:00:00"/>
        <d v="2025-12-02T00:00:00"/>
        <d v="2025-12-03T00:00:00"/>
        <d v="2025-12-04T00:00:00"/>
        <d v="2025-12-05T00:00:00"/>
        <d v="2025-12-08T00:00:00"/>
        <d v="2025-12-09T00:00:00"/>
        <d v="2025-12-10T00:00:00"/>
        <d v="2025-12-11T00:00:00"/>
        <d v="2025-12-12T00:00:00"/>
        <d v="2025-12-15T00:00:00"/>
        <d v="2025-12-16T00:00:00"/>
        <d v="2025-12-17T00:00:00"/>
        <d v="2025-12-18T00:00:00"/>
        <d v="2025-12-19T00:00:00"/>
        <d v="2025-12-22T00:00:00"/>
        <d v="2025-12-23T00:00:00"/>
        <d v="2025-12-24T00:00:00"/>
        <d v="2025-12-26T00:00:00"/>
        <d v="2025-12-29T00:00:00"/>
        <d v="2025-12-30T00:00:00"/>
        <d v="2025-12-31T00:00:00"/>
        <d v="2026-01-02T00:00:00"/>
        <d v="2026-01-05T00:00:00"/>
        <d v="2026-01-06T00:00:00"/>
        <d v="2026-01-07T00:00:00"/>
        <d v="2026-01-08T00:00:00"/>
        <d v="2026-01-09T00:00:00"/>
        <d v="2026-01-12T00:00:00"/>
        <d v="2026-01-13T00:00:00"/>
        <d v="2026-01-14T00:00:00"/>
        <d v="2026-01-15T00:00:00"/>
        <d v="2026-01-16T00:00:00"/>
        <d v="2026-01-20T00:00:00"/>
        <d v="2026-01-21T00:00:00"/>
        <d v="2026-01-22T00:00:00"/>
        <d v="2026-01-23T00:00:00"/>
        <d v="2026-01-26T00:00:00"/>
        <d v="2026-01-27T00:00:00"/>
        <d v="2026-01-28T00:00:00"/>
        <d v="2026-01-29T00:00:00"/>
        <d v="2026-01-30T00:00:00"/>
        <d v="2026-02-02T00:00:00"/>
        <d v="2026-02-03T00:00:00"/>
        <d v="2026-02-04T00:00:00"/>
        <d v="2026-02-05T00:00:00"/>
        <d v="2026-02-06T00:00:00"/>
        <d v="2026-02-09T00:00:00"/>
        <d v="2026-02-10T00:00:00"/>
        <d v="2026-02-11T00:00:00"/>
        <d v="2026-02-12T00:00:00"/>
        <d v="2026-02-13T00:00:00"/>
        <d v="2026-02-17T00:00:00"/>
        <d v="2026-02-18T00:00:00"/>
        <d v="2026-02-19T00:00:00"/>
        <d v="2026-02-20T00:00:00"/>
        <d v="2026-02-23T00:00:00"/>
        <d v="2026-02-24T00:00:00"/>
        <d v="2026-02-25T00:00:00"/>
        <d v="2026-02-26T00:00:00"/>
        <d v="2026-02-27T00:00:00"/>
        <d v="2026-03-02T00:00:00"/>
        <d v="2026-03-03T00:00:00"/>
        <d v="2026-03-04T00:00:00"/>
        <d v="2026-03-05T00:00:00"/>
        <d v="2026-03-06T00:00:00"/>
        <d v="2026-03-09T00:00:00"/>
      </sharedItems>
      <fieldGroup par="34"/>
    </cacheField>
    <cacheField name="Open" numFmtId="2">
      <sharedItems containsSemiMixedTypes="0" containsString="0" containsNumber="1" minValue="1623.3" maxValue="5318.3999000000003"/>
    </cacheField>
    <cacheField name="High" numFmtId="0">
      <sharedItems containsSemiMixedTypes="0" containsString="0" containsNumber="1" minValue="1623.3" maxValue="5586.2002000000002"/>
    </cacheField>
    <cacheField name="Low" numFmtId="0">
      <sharedItems containsSemiMixedTypes="0" containsString="0" containsNumber="1" minValue="1615.1" maxValue="5301.6000999999997"/>
    </cacheField>
    <cacheField name="Close" numFmtId="0">
      <sharedItems containsSemiMixedTypes="0" containsString="0" containsNumber="1" minValue="1620.4" maxValue="5415.7002000000002"/>
    </cacheField>
    <cacheField name=" Volume" numFmtId="1">
      <sharedItems containsSemiMixedTypes="0" containsString="0" containsNumber="1" containsInteger="1" minValue="0" maxValue="209783"/>
    </cacheField>
    <cacheField name="Ma_7" numFmtId="0">
      <sharedItems containsSemiMixedTypes="0" containsString="0" containsNumber="1" minValue="1643.5" maxValue="5210.7716"/>
    </cacheField>
    <cacheField name="Ma_30" numFmtId="0">
      <sharedItems containsSemiMixedTypes="0" containsString="0" containsNumber="1" minValue="1658.1033" maxValue="5084.6534000000001"/>
    </cacheField>
    <cacheField name="Ma_90" numFmtId="0">
      <sharedItems containsSemiMixedTypes="0" containsString="0" containsNumber="1" minValue="1705.0422000000001" maxValue="4548.3923000000004"/>
    </cacheField>
    <cacheField name="Daily_return" numFmtId="2">
      <sharedItems containsSemiMixedTypes="0" containsString="0" containsNumber="1" minValue="-10.5777" maxValue="5.3632999999999997" count="1144">
        <n v="1.0204"/>
        <n v="-8.1900000000000001E-2"/>
        <n v="-1.4643999999999999"/>
        <n v="0.53239999999999998"/>
        <n v="-0.32540000000000002"/>
        <n v="-0.74160000000000004"/>
        <n v="0.35680000000000001"/>
        <n v="0.1389"/>
        <n v="6.6600000000000006E-2"/>
        <n v="-0.2329"/>
        <n v="0.39460000000000001"/>
        <n v="1.1845000000000001"/>
        <n v="-0.85340000000000005"/>
        <n v="-5.4999999999999997E-3"/>
        <n v="-0.16550000000000001"/>
        <n v="8.2900000000000001E-2"/>
        <n v="-0.60750000000000004"/>
        <n v="-2.5724999999999998"/>
        <n v="-1.42"/>
        <n v="-7.5200000000000003E-2"/>
        <n v="1.2968"/>
        <n v="0.49149999999999999"/>
        <n v="1.0578000000000001"/>
        <n v="0.60780000000000001"/>
        <n v="5.5999999999999999E-3"/>
        <n v="-0.43630000000000002"/>
        <n v="0.2303"/>
        <n v="-0.40920000000000001"/>
        <n v="1.3620000000000001"/>
        <n v="-0.49969999999999998"/>
        <n v="-0.25669999999999998"/>
        <n v="0.8952"/>
        <n v="0.82069999999999999"/>
        <n v="-0.1265"/>
        <n v="-0.13220000000000001"/>
        <n v="-1.6500000000000001E-2"/>
        <n v="0.42470000000000002"/>
        <n v="0.2636"/>
        <n v="-2.41"/>
        <n v="0.95409999999999995"/>
        <n v="-0.50590000000000002"/>
        <n v="1.12E-2"/>
        <n v="8.9399999999999993E-2"/>
        <n v="0.68659999999999999"/>
        <n v="-0.5988"/>
        <n v="-1.9018999999999999"/>
        <n v="-0.39800000000000002"/>
        <n v="0.59370000000000001"/>
        <n v="0.82279999999999998"/>
        <n v="-0.55720000000000003"/>
        <n v="-0.96789999999999998"/>
        <n v="0.1143"/>
        <n v="-0.69079999999999997"/>
        <n v="-0.41389999999999999"/>
        <n v="-0.39829999999999999"/>
        <n v="1.6691"/>
        <n v="0.58140000000000003"/>
        <n v="-1.1299999999999999E-2"/>
        <n v="-0.28339999999999999"/>
        <n v="0.1762"/>
        <n v="-0.30640000000000001"/>
        <n v="-2.2800000000000001E-2"/>
        <n v="-0.2676"/>
        <n v="0.50800000000000001"/>
        <n v="1.7833000000000001"/>
        <n v="0.1283"/>
        <n v="-1.8333999999999999"/>
        <n v="0.9083"/>
        <n v="-0.16880000000000001"/>
        <n v="0.41699999999999998"/>
        <n v="0.28620000000000001"/>
        <n v="0.40289999999999998"/>
        <n v="0.80810000000000004"/>
        <n v="-0.95640000000000003"/>
        <n v="0.2233"/>
        <n v="-0.13370000000000001"/>
        <n v="-0.31230000000000002"/>
        <n v="0.1678"/>
        <n v="-1.2565999999999999"/>
        <n v="0.4864"/>
        <n v="1.0301"/>
        <n v="1.2313000000000001"/>
        <n v="0.50080000000000002"/>
        <n v="-1.6400000000000001E-2"/>
        <n v="1.5389999999999999"/>
        <n v="0.37219999999999998"/>
        <n v="0.1988"/>
        <n v="-0.58460000000000001"/>
        <n v="0.48549999999999999"/>
        <n v="-8.5900000000000004E-2"/>
        <n v="-0.52659999999999996"/>
        <n v="-0.51859999999999995"/>
        <n v="-2.5032999999999999"/>
        <n v="-0.13919999999999999"/>
        <n v="-0.106"/>
        <n v="3.3500000000000002E-2"/>
        <n v="-0.43530000000000002"/>
        <n v="-0.5101"/>
        <n v="0.34370000000000001"/>
        <n v="-0.75239999999999996"/>
        <n v="0.71850000000000003"/>
        <n v="-3.9300000000000002E-2"/>
        <n v="0.58440000000000003"/>
        <n v="-0.35759999999999997"/>
        <n v="-0.54390000000000005"/>
        <n v="0.59760000000000002"/>
        <n v="0.1457"/>
        <n v="-1.0968"/>
        <n v="0.76949999999999996"/>
        <n v="1.2914000000000001"/>
        <n v="-0.39910000000000001"/>
        <n v="-0.30049999999999999"/>
        <n v="-0.3014"/>
        <n v="1.1197999999999999"/>
        <n v="0.2215"/>
        <n v="0.1105"/>
        <n v="-0.48570000000000002"/>
        <n v="-8.3199999999999996E-2"/>
        <n v="1.2988"/>
        <n v="0.27400000000000002"/>
        <n v="-1.6173999999999999"/>
        <n v="0.69979999999999998"/>
        <n v="-1.4339999999999999"/>
        <n v="0.26300000000000001"/>
        <n v="0.17299999999999999"/>
        <n v="0.50139999999999996"/>
        <n v="0.83709999999999996"/>
        <n v="4.3999999999999997E-2"/>
        <n v="9.3399999999999997E-2"/>
        <n v="-0.25800000000000001"/>
        <n v="3.3000000000000002E-2"/>
        <n v="1.2765"/>
        <n v="-0.14130000000000001"/>
        <n v="-5.4000000000000003E-3"/>
        <n v="0.27750000000000002"/>
        <n v="-0.71079999999999999"/>
        <n v="-2.0001000000000002"/>
        <n v="0.23419999999999999"/>
        <n v="-0.50070000000000003"/>
        <n v="3.3399999999999999E-2"/>
        <n v="0.44500000000000001"/>
        <n v="1.11E-2"/>
        <n v="0.34329999999999999"/>
        <n v="0.36969999999999997"/>
        <n v="0.3574"/>
        <n v="0.43280000000000002"/>
        <n v="-0.61639999999999995"/>
        <n v="2.1844000000000001"/>
        <n v="0.58009999999999995"/>
        <n v="-0.74229999999999996"/>
        <n v="0.94689999999999996"/>
        <n v="1.2311000000000001"/>
        <n v="0.45800000000000002"/>
        <n v="-0.60270000000000001"/>
        <n v="0.80669999999999997"/>
        <n v="-0.26150000000000001"/>
        <n v="1.1222000000000001"/>
        <n v="-1.0371999999999999"/>
        <n v="1.9545999999999999"/>
        <n v="-0.77610000000000001"/>
        <n v="0.3367"/>
        <n v="2.6846000000000001"/>
        <n v="0.52290000000000003"/>
        <n v="2.7107999999999999"/>
        <n v="-3.6764999999999999"/>
        <n v="0.3488"/>
        <n v="-0.42820000000000003"/>
        <n v="-1.8568"/>
        <n v="-0.89700000000000002"/>
        <n v="0.59819999999999995"/>
        <n v="3.1E-2"/>
        <n v="-0.47039999999999998"/>
        <n v="-0.24410000000000001"/>
        <n v="0.82779999999999998"/>
        <n v="1.3942000000000001"/>
        <n v="-0.49909999999999999"/>
        <n v="-1.0851"/>
        <n v="-2.0232000000000001"/>
        <n v="1.3149999999999999"/>
        <n v="0.78710000000000002"/>
        <n v="7.7600000000000002E-2"/>
        <n v="-0.71319999999999995"/>
        <n v="0.30709999999999998"/>
        <n v="-0.53969999999999996"/>
        <n v="0.14610000000000001"/>
        <n v="0.48449999999999999"/>
        <n v="0.92279999999999995"/>
        <n v="0.30309999999999998"/>
        <n v="0.87070000000000003"/>
        <n v="0.39100000000000001"/>
        <n v="-0.19220000000000001"/>
        <n v="2.0299999999999999E-2"/>
        <n v="-1.4338"/>
        <n v="-0.1542"/>
        <n v="0.36549999999999999"/>
        <n v="-1.2618"/>
        <n v="-1.2726999999999999"/>
        <n v="-0.1421"/>
        <n v="-0.73770000000000002"/>
        <n v="1.0033000000000001"/>
        <n v="-0.31530000000000002"/>
        <n v="-1.4710000000000001"/>
        <n v="-9.6299999999999997E-2"/>
        <n v="1.6069"/>
        <n v="-1.1755"/>
        <n v="-0.43209999999999998"/>
        <n v="-1.4303999999999999"/>
        <n v="8.6999999999999994E-2"/>
        <n v="0.45069999999999999"/>
        <n v="-1.3407"/>
        <n v="-1.8904000000000001"/>
        <n v="1.9213"/>
        <n v="-0.54249999999999998"/>
        <n v="-0.22589999999999999"/>
        <n v="1.5571999999999999"/>
        <n v="0.39150000000000001"/>
        <n v="0.33579999999999999"/>
        <n v="-0.34010000000000001"/>
        <n v="-0.31419999999999998"/>
        <n v="0.42930000000000001"/>
        <n v="0.1082"/>
        <n v="-1.0430999999999999"/>
        <n v="0.78649999999999998"/>
        <n v="1.2030000000000001"/>
        <n v="-0.99590000000000001"/>
        <n v="-0.65439999999999998"/>
        <n v="0.43009999999999998"/>
        <n v="7.0499999999999993E-2"/>
        <n v="-0.1842"/>
        <n v="1.6877"/>
        <n v="-2.6042999999999998"/>
        <n v="-0.59730000000000005"/>
        <n v="0.28110000000000002"/>
        <n v="1.8964000000000001"/>
        <n v="-0.99260000000000004"/>
        <n v="-0.316"/>
        <n v="0.32800000000000001"/>
        <n v="-0.81720000000000004"/>
        <n v="0.54930000000000001"/>
        <n v="-0.34420000000000001"/>
        <n v="-0.32340000000000002"/>
        <n v="-0.47849999999999998"/>
        <n v="-0.7792"/>
        <n v="0.5514"/>
        <n v="-2.3761999999999999"/>
        <n v="-0.98160000000000003"/>
        <n v="-0.40679999999999999"/>
        <n v="-0.32219999999999999"/>
        <n v="9.8100000000000007E-2"/>
        <n v="-1.3955"/>
        <n v="1.7500000000000002E-2"/>
        <n v="-0.28649999999999998"/>
        <n v="0.3987"/>
        <n v="5.7999999999999996E-3"/>
        <n v="-0.30370000000000003"/>
        <n v="-1.1774"/>
        <n v="1.5589999999999999"/>
        <n v="0.79959999999999998"/>
        <n v="-0.52110000000000001"/>
        <n v="6.4000000000000001E-2"/>
        <n v="0.76780000000000004"/>
        <n v="1.2526999999999999"/>
        <n v="0.56440000000000001"/>
        <n v="0.46489999999999998"/>
        <n v="-0.86899999999999999"/>
        <n v="0.72299999999999998"/>
        <n v="1.2321"/>
        <n v="-1.0831"/>
        <n v="1.0271999999999999"/>
        <n v="0.80449999999999999"/>
        <n v="-0.55969999999999998"/>
        <n v="-0.44590000000000002"/>
        <n v="0.71099999999999997"/>
        <n v="-1.2007000000000001"/>
        <n v="-0.43319999999999997"/>
        <n v="-0.38419999999999999"/>
        <n v="-0.52190000000000003"/>
        <n v="-0.75270000000000004"/>
        <n v="-0.14360000000000001"/>
        <n v="0.40279999999999999"/>
        <n v="0.95130000000000003"/>
        <n v="-0.43140000000000001"/>
        <n v="-1.2315"/>
        <n v="0.23089999999999999"/>
        <n v="-1.0424"/>
        <n v="-0.60529999999999995"/>
        <n v="-0.26350000000000001"/>
        <n v="0.36980000000000002"/>
        <n v="-0.87150000000000005"/>
        <n v="1.3807"/>
        <n v="5.8200000000000002E-2"/>
        <n v="0.47699999999999998"/>
        <n v="-0.39939999999999998"/>
        <n v="-1.2670999999999999"/>
        <n v="-0.77710000000000001"/>
        <n v="-1.4892000000000001"/>
        <n v="8.43E-2"/>
        <n v="-0.12640000000000001"/>
        <n v="0.34949999999999998"/>
        <n v="0.1681"/>
        <n v="-7.7899999999999997E-2"/>
        <n v="-2.6215000000000002"/>
        <n v="0.54830000000000001"/>
        <n v="-0.72289999999999999"/>
        <n v="2.2587000000000002"/>
        <n v="0.28360000000000002"/>
        <n v="0.33100000000000002"/>
        <n v="2.0392999999999999"/>
        <n v="1.3461000000000001"/>
        <n v="-0.17979999999999999"/>
        <n v="-0.63339999999999996"/>
        <n v="-0.97650000000000003"/>
        <n v="-1.8661000000000001"/>
        <n v="0.37309999999999999"/>
        <n v="0.43169999999999997"/>
        <n v="-0.59099999999999997"/>
        <n v="-0.90669999999999995"/>
        <n v="7.2700000000000001E-2"/>
        <n v="-0.8417"/>
        <n v="-0.89770000000000005"/>
        <n v="0.69630000000000003"/>
        <n v="1.7502"/>
        <n v="-0.87209999999999999"/>
        <n v="9.7100000000000006E-2"/>
        <n v="0.66069999999999995"/>
        <n v="1.8100000000000002E-2"/>
        <n v="-1.1558999999999999"/>
        <n v="-0.67"/>
        <n v="1.2263999999999999"/>
        <n v="-1.3085"/>
        <n v="6.1400000000000003E-2"/>
        <n v="2.8647"/>
        <n v="1.5684"/>
        <n v="0.24660000000000001"/>
        <n v="4.6899999999999997E-2"/>
        <n v="3.2549000000000001"/>
        <n v="-0.1021"/>
        <n v="0.49940000000000001"/>
        <n v="0.32750000000000001"/>
        <n v="-0.76549999999999996"/>
        <n v="1.7000000000000001E-2"/>
        <n v="-1.3781000000000001"/>
        <n v="0.15529999999999999"/>
        <n v="-0.29859999999999998"/>
        <n v="0.95020000000000004"/>
        <n v="-0.66739999999999999"/>
        <n v="-0.10340000000000001"/>
        <n v="0.49440000000000001"/>
        <n v="1.1783999999999999"/>
        <n v="1.8827"/>
        <n v="-0.34960000000000002"/>
        <n v="-1.5092000000000001"/>
        <n v="3.9600000000000003E-2"/>
        <n v="0.71779999999999999"/>
        <n v="0.72389999999999999"/>
        <n v="-0.4234"/>
        <n v="-0.36930000000000002"/>
        <n v="1.6903999999999999"/>
        <n v="-0.54120000000000001"/>
        <n v="-1.2826"/>
        <n v="0.77059999999999995"/>
        <n v="-0.28470000000000001"/>
        <n v="1.7296"/>
        <n v="3.85E-2"/>
        <n v="-1.3090999999999999"/>
        <n v="0.50719999999999998"/>
        <n v="-1.11E-2"/>
        <n v="0.14419999999999999"/>
        <n v="0.62019999999999997"/>
        <n v="1.0567"/>
        <n v="0.51190000000000002"/>
        <n v="0.5202"/>
        <n v="-0.90559999999999996"/>
        <n v="1.5557000000000001"/>
        <n v="0.57850000000000001"/>
        <n v="-0.25030000000000002"/>
        <n v="0.21890000000000001"/>
        <n v="1.1613"/>
        <n v="1.1111"/>
        <n v="-0.46870000000000001"/>
        <n v="0.5756"/>
        <n v="0"/>
        <n v="0.22889999999999999"/>
        <n v="0.27510000000000001"/>
        <n v="0.48659999999999998"/>
        <n v="-0.23699999999999999"/>
        <n v="-0.41310000000000002"/>
        <n v="-1.5599999999999999E-2"/>
        <n v="-0.27489999999999998"/>
        <n v="0.21840000000000001"/>
        <n v="1.3024"/>
        <n v="-2.0436999999999999"/>
        <n v="-2.4472"/>
        <n v="0.2359"/>
        <n v="0.1123"/>
        <n v="0.1709"/>
        <n v="-0.73060000000000003"/>
        <n v="-0.13969999999999999"/>
        <n v="-0.2636"/>
        <n v="-0.65259999999999996"/>
        <n v="-0.18459999999999999"/>
        <n v="-0.60919999999999996"/>
        <n v="0.83179999999999998"/>
        <n v="-0.3745"/>
        <n v="-0.50660000000000005"/>
        <n v="-0.96360000000000001"/>
        <n v="0.15479999999999999"/>
        <n v="-0.19320000000000001"/>
        <n v="1.0508"/>
        <n v="0.15870000000000001"/>
        <n v="0.39889999999999998"/>
        <n v="0.87080000000000002"/>
        <n v="-0.66910000000000003"/>
        <n v="-1.5915999999999999"/>
        <n v="0.26500000000000001"/>
        <n v="1.9763999999999999"/>
        <n v="2.0785"/>
        <n v="1.1317999999999999"/>
        <n v="-0.43409999999999999"/>
        <n v="0.31509999999999999"/>
        <n v="1.8902000000000001"/>
        <n v="2.1737000000000002"/>
        <n v="-0.72929999999999995"/>
        <n v="-1.3678999999999999"/>
        <n v="2.2446999999999999"/>
        <n v="6.0299999999999999E-2"/>
        <n v="-1.7322"/>
        <n v="0.77659999999999996"/>
        <n v="-0.31940000000000002"/>
        <n v="-1.0200000000000001E-2"/>
        <n v="0.78339999999999999"/>
        <n v="-0.66620000000000001"/>
        <n v="0.83840000000000003"/>
        <n v="1.8895"/>
        <n v="4.8999999999999998E-3"/>
        <n v="-1.0978000000000001"/>
        <n v="-0.43"/>
        <n v="0.69299999999999995"/>
        <n v="0.51870000000000005"/>
        <n v="1.2602"/>
        <n v="-1.8765000000000001"/>
        <n v="-0.28960000000000002"/>
        <n v="0.44069999999999998"/>
        <n v="-0.38390000000000002"/>
        <n v="-9.01E-2"/>
        <n v="-0.74639999999999995"/>
        <n v="0.7268"/>
        <n v="0.1052"/>
        <n v="-0.3604"/>
        <n v="-0.18590000000000001"/>
        <n v="-0.3422"/>
        <n v="0.73729999999999996"/>
        <n v="1.123"/>
        <n v="1.3832"/>
        <n v="6.8500000000000005E-2"/>
        <n v="-1.1678999999999999"/>
        <n v="0.20269999999999999"/>
        <n v="0.28129999999999999"/>
        <n v="8.8599999999999998E-2"/>
        <n v="-3.4700000000000002E-2"/>
        <n v="-1.2613000000000001"/>
        <n v="-0.2414"/>
        <n v="-1.3662000000000001"/>
        <n v="0.1789"/>
        <n v="1.0459000000000001"/>
        <n v="-0.40899999999999997"/>
        <n v="0.15210000000000001"/>
        <n v="-1.6351"/>
        <n v="0.26250000000000001"/>
        <n v="-0.2823"/>
        <n v="0.79790000000000005"/>
        <n v="0.25530000000000003"/>
        <n v="0.70799999999999996"/>
        <n v="-1.4971000000000001"/>
        <n v="0.68289999999999995"/>
        <n v="-9.1800000000000007E-2"/>
        <n v="-0.80649999999999999"/>
        <n v="1.127"/>
        <n v="-0.27479999999999999"/>
        <n v="4.5900000000000003E-2"/>
        <n v="-0.73450000000000004"/>
        <n v="-0.23119999999999999"/>
        <n v="1.0145999999999999"/>
        <n v="-0.14280000000000001"/>
        <n v="-1.1742999999999999"/>
        <n v="-0.80600000000000005"/>
        <n v="-6.7699999999999996E-2"/>
        <n v="0.2132"/>
        <n v="-0.76280000000000003"/>
        <n v="-0.1255"/>
        <n v="-6.8099999999999994E-2"/>
        <n v="0.48730000000000001"/>
        <n v="0.29199999999999998"/>
        <n v="-0.73819999999999997"/>
        <n v="0.2147"/>
        <n v="0.53310000000000002"/>
        <n v="7.2800000000000004E-2"/>
        <n v="0.37919999999999998"/>
        <n v="1.4903999999999999"/>
        <n v="-0.13769999999999999"/>
        <n v="-0.22470000000000001"/>
        <n v="0.75739999999999996"/>
        <n v="0.41649999999999998"/>
        <n v="-0.16689999999999999"/>
        <n v="-0.60289999999999999"/>
        <n v="0.1784"/>
        <n v="-0.62590000000000001"/>
        <n v="0.67589999999999995"/>
        <n v="-1.0579000000000001"/>
        <n v="5.1000000000000004E-3"/>
        <n v="0.70420000000000005"/>
        <n v="0.29089999999999999"/>
        <n v="-0.8397"/>
        <n v="-0.7288"/>
        <n v="3.6200000000000003E-2"/>
        <n v="0.31530000000000002"/>
        <n v="-0.47910000000000003"/>
        <n v="-0.3261"/>
        <n v="-0.2233"/>
        <n v="-0.42159999999999997"/>
        <n v="-0.19339999999999999"/>
        <n v="-0.17280000000000001"/>
        <n v="-7.8700000000000006E-2"/>
        <n v="-0.56710000000000005"/>
        <n v="-0.1003"/>
        <n v="9.5100000000000004E-2"/>
        <n v="5.28E-2"/>
        <n v="0.79169999999999996"/>
        <n v="0.54459999999999997"/>
        <n v="-1.04E-2"/>
        <n v="-0.224"/>
        <n v="0.12529999999999999"/>
        <n v="0.94369999999999998"/>
        <n v="0.43390000000000001"/>
        <n v="0.28799999999999998"/>
        <n v="-0.8"/>
        <n v="-0.53249999999999997"/>
        <n v="-0.33779999999999999"/>
        <n v="0.33379999999999999"/>
        <n v="-5.1999999999999998E-2"/>
        <n v="-0.1144"/>
        <n v="-0.54659999999999997"/>
        <n v="-0.3821"/>
        <n v="1.0771999999999999"/>
        <n v="0.24429999999999999"/>
        <n v="0.30080000000000001"/>
        <n v="0.5998"/>
        <n v="-1.1102000000000001"/>
        <n v="-0.45710000000000001"/>
        <n v="-0.60519999999999996"/>
        <n v="-1.7533000000000001"/>
        <n v="0.2084"/>
        <n v="-0.59719999999999995"/>
        <n v="-1.0834999999999999"/>
        <n v="-1.0357000000000001"/>
        <n v="-0.17530000000000001"/>
        <n v="0.247"/>
        <n v="-0.3997"/>
        <n v="1.2919"/>
        <n v="0.78700000000000003"/>
        <n v="0.67310000000000003"/>
        <n v="0.27810000000000001"/>
        <n v="0.14940000000000001"/>
        <n v="1.7523"/>
        <n v="0.2041"/>
        <n v="1.0812999999999999"/>
        <n v="0.78039999999999998"/>
        <n v="1.5896999999999999"/>
        <n v="-0.24729999999999999"/>
        <n v="-0.29849999999999999"/>
        <n v="4.5699999999999998E-2"/>
        <n v="0.86240000000000006"/>
        <n v="2.01E-2"/>
        <n v="0.77939999999999998"/>
        <n v="-0.37919999999999998"/>
        <n v="-7.0300000000000001E-2"/>
        <n v="-5.0000000000000001E-3"/>
        <n v="-0.372"/>
        <n v="-0.76200000000000001"/>
        <n v="6.6100000000000006E-2"/>
        <n v="-0.81820000000000004"/>
        <n v="0.40479999999999999"/>
        <n v="-1.0053000000000001"/>
        <n v="1.3351"/>
        <n v="-0.15260000000000001"/>
        <n v="0.12740000000000001"/>
        <n v="0.87519999999999998"/>
        <n v="-0.19170000000000001"/>
        <n v="0.60650000000000004"/>
        <n v="0.42199999999999999"/>
        <n v="-0.36020000000000002"/>
        <n v="0.99399999999999999"/>
        <n v="1.4366000000000001"/>
        <n v="5.3900000000000003E-2"/>
        <n v="0.2155"/>
        <n v="-0.38119999999999998"/>
        <n v="1.8151999999999999"/>
        <n v="-1.9371"/>
        <n v="-0.74690000000000001"/>
        <n v="0.46039999999999998"/>
        <n v="0.1232"/>
        <n v="-1.3585"/>
        <n v="-0.99299999999999999"/>
        <n v="-0.2873"/>
        <n v="2.3351000000000002"/>
        <n v="0.39019999999999999"/>
        <n v="-0.4083"/>
        <n v="4.4499999999999998E-2"/>
        <n v="0.58760000000000001"/>
        <n v="-6.3799999999999996E-2"/>
        <n v="0.97750000000000004"/>
        <n v="0.2092"/>
        <n v="0.35439999999999999"/>
        <n v="0.69169999999999998"/>
        <n v="-0.65329999999999999"/>
        <n v="-0.21759999999999999"/>
        <n v="-1.4198999999999999"/>
        <n v="0.36380000000000001"/>
        <n v="0.14199999999999999"/>
        <n v="-1.2423999999999999"/>
        <n v="0.82709999999999995"/>
        <n v="-0.33400000000000002"/>
        <n v="0.29630000000000001"/>
        <n v="1.0142"/>
        <n v="-1.2282"/>
        <n v="-0.67600000000000005"/>
        <n v="0.51670000000000005"/>
        <n v="-9.3899999999999997E-2"/>
        <n v="0.44529999999999997"/>
        <n v="-0.34970000000000001"/>
        <n v="-0.54859999999999998"/>
        <n v="0.47710000000000002"/>
        <n v="0.1731"/>
        <n v="0.36049999999999999"/>
        <n v="0.14269999999999999"/>
        <n v="0.23580000000000001"/>
        <n v="0.71560000000000001"/>
        <n v="-0.77380000000000004"/>
        <n v="-0.63759999999999994"/>
        <n v="0.34060000000000001"/>
        <n v="-0.2361"/>
        <n v="0.19719999999999999"/>
        <n v="-0.31990000000000002"/>
        <n v="-1.9699999999999999E-2"/>
        <n v="-1.7183999999999999"/>
        <n v="0.1658"/>
        <n v="0.57179999999999997"/>
        <n v="0.52869999999999995"/>
        <n v="0.62509999999999999"/>
        <n v="0.2465"/>
        <n v="-0.35410000000000003"/>
        <n v="0.39979999999999999"/>
        <n v="8.8499999999999995E-2"/>
        <n v="-0.31440000000000001"/>
        <n v="0.23649999999999999"/>
        <n v="0.43259999999999998"/>
        <n v="1.9823"/>
        <n v="1.5022"/>
        <n v="0.50119999999999998"/>
        <n v="1.0115000000000001"/>
        <n v="0.94550000000000001"/>
        <n v="0.6321"/>
        <n v="6.88E-2"/>
        <n v="-0.91639999999999999"/>
        <n v="2.3099999999999999E-2"/>
        <n v="-6.0100000000000001E-2"/>
        <n v="-0.71699999999999997"/>
        <n v="0.46129999999999999"/>
        <n v="5.57E-2"/>
        <n v="2.3037999999999998"/>
        <n v="-1.2596000000000001"/>
        <n v="-0.59650000000000003"/>
        <n v="0.76170000000000004"/>
        <n v="-0.1512"/>
        <n v="0.65159999999999996"/>
        <n v="1.9192"/>
        <n v="0.72909999999999997"/>
        <n v="1.3188"/>
        <n v="0.87649999999999995"/>
        <n v="-0.54310000000000003"/>
        <n v="1.5901000000000001"/>
        <n v="0.52459999999999996"/>
        <n v="0.37640000000000001"/>
        <n v="-0.21729999999999999"/>
        <n v="1.5288999999999999"/>
        <n v="-0.63939999999999997"/>
        <n v="0.92710000000000004"/>
        <n v="8.3999999999999995E-3"/>
        <n v="-0.66269999999999996"/>
        <n v="0.4602"/>
        <n v="-2.3329"/>
        <n v="-0.27139999999999997"/>
        <n v="1.4212"/>
        <n v="-0.55789999999999995"/>
        <n v="-0.52680000000000005"/>
        <n v="-1.4984"/>
        <n v="1.4862"/>
        <n v="-0.93469999999999998"/>
        <n v="0.99129999999999996"/>
        <n v="6.4600000000000005E-2"/>
        <n v="-0.46039999999999998"/>
        <n v="-0.12540000000000001"/>
        <n v="2.4495"/>
        <n v="-0.38019999999999998"/>
        <n v="-0.9456"/>
        <n v="1.0959000000000001"/>
        <n v="1.1814"/>
        <n v="-0.36830000000000002"/>
        <n v="1.4743999999999999"/>
        <n v="0.56710000000000005"/>
        <n v="-0.49390000000000001"/>
        <n v="-1.9152"/>
        <n v="-1.2060999999999999"/>
        <n v="-0.24329999999999999"/>
        <n v="0.14549999999999999"/>
        <n v="-0.14530000000000001"/>
        <n v="0.30809999999999998"/>
        <n v="-0.91720000000000002"/>
        <n v="1.0721000000000001"/>
        <n v="-0.89880000000000004"/>
        <n v="1.2294"/>
        <n v="1.0572999999999999"/>
        <n v="-3.7523"/>
        <n v="0.41039999999999999"/>
        <n v="0.64780000000000004"/>
        <n v="-0.23760000000000001"/>
        <n v="-0.10390000000000001"/>
        <n v="0.57220000000000004"/>
        <n v="-0.36199999999999999"/>
        <n v="0.73970000000000002"/>
        <n v="9.8799999999999999E-2"/>
        <n v="-0.33889999999999998"/>
        <n v="4.7300000000000002E-2"/>
        <n v="-0.70989999999999998"/>
        <n v="-0.48099999999999998"/>
        <n v="1.2452000000000001"/>
        <n v="-6.88E-2"/>
        <n v="0.2969"/>
        <n v="8.6E-3"/>
        <n v="1.0296000000000001"/>
        <n v="1.1380999999999999"/>
        <n v="-0.78090000000000004"/>
        <n v="0.13539999999999999"/>
        <n v="0.52400000000000002"/>
        <n v="0.88700000000000001"/>
        <n v="1.2584"/>
        <n v="-0.107"/>
        <n v="1.8744000000000001"/>
        <n v="-0.27900000000000003"/>
        <n v="-1.9139999999999999"/>
        <n v="-0.69040000000000001"/>
        <n v="-0.26229999999999998"/>
        <n v="1.0518000000000001"/>
        <n v="-2.2924000000000002"/>
        <n v="0.1353"/>
        <n v="0.36309999999999998"/>
        <n v="0.15140000000000001"/>
        <n v="1.1004"/>
        <n v="1.6451"/>
        <n v="-0.1104"/>
        <n v="-8.1799999999999998E-2"/>
        <n v="-1.1261000000000001"/>
        <n v="-0.92359999999999998"/>
        <n v="-0.33019999999999999"/>
        <n v="1.5938000000000001"/>
        <n v="1.1633"/>
        <n v="0.28439999999999999"/>
        <n v="-0.65639999999999998"/>
        <n v="6.93E-2"/>
        <n v="2.2416999999999998"/>
        <n v="-0.1993"/>
        <n v="0.29959999999999998"/>
        <n v="-0.70289999999999997"/>
        <n v="0.94110000000000005"/>
        <n v="0.2112"/>
        <n v="-0.56459999999999999"/>
        <n v="0.124"/>
        <n v="0.61499999999999999"/>
        <n v="-0.71050000000000002"/>
        <n v="-0.42770000000000002"/>
        <n v="0.1124"/>
        <n v="0.66569999999999996"/>
        <n v="-0.75690000000000002"/>
        <n v="0.84289999999999998"/>
        <n v="0.53739999999999999"/>
        <n v="0.13070000000000001"/>
        <n v="1.5697000000000001"/>
        <n v="0.4516"/>
        <n v="-0.18279999999999999"/>
        <n v="0.95089999999999997"/>
        <n v="1.3935999999999999"/>
        <n v="0.39219999999999999"/>
        <n v="0.73950000000000005"/>
        <n v="0.22589999999999999"/>
        <n v="0.28920000000000001"/>
        <n v="-0.34079999999999999"/>
        <n v="-1.1086"/>
        <n v="0.72970000000000002"/>
        <n v="-0.29430000000000001"/>
        <n v="0.4995"/>
        <n v="-0.36620000000000003"/>
        <n v="-1.3642000000000001"/>
        <n v="-1.9199999999999998E-2"/>
        <n v="1.3755999999999999"/>
        <n v="0.63300000000000001"/>
        <n v="0.24110000000000001"/>
        <n v="0.47339999999999999"/>
        <n v="0.12709999999999999"/>
        <n v="1.3557999999999999"/>
        <n v="0.30220000000000002"/>
        <n v="0.36"/>
        <n v="0.39539999999999997"/>
        <n v="-0.49230000000000002"/>
        <n v="-0.1283"/>
        <n v="0.38890000000000002"/>
        <n v="1.1805000000000001"/>
        <n v="0.224"/>
        <n v="-1.5032000000000001"/>
        <n v="-0.32779999999999998"/>
        <n v="0.23749999999999999"/>
        <n v="-0.30990000000000001"/>
        <n v="-2.633"/>
        <n v="0.97650000000000003"/>
        <n v="-0.62490000000000001"/>
        <n v="-2.4777999999999998"/>
        <n v="0.21490000000000001"/>
        <n v="-2.1446999999999998"/>
        <n v="0.41489999999999999"/>
        <n v="1.0134000000000001"/>
        <n v="1.1653"/>
        <n v="0.6331"/>
        <n v="0.7883"/>
        <n v="1.0604"/>
        <n v="7.0699999999999999E-2"/>
        <n v="-2.3723000000000001"/>
        <n v="0.3009"/>
        <n v="0.1101"/>
        <n v="0.47789999999999999"/>
        <n v="-0.3775"/>
        <n v="7.6E-3"/>
        <n v="0.50009999999999999"/>
        <n v="-1.214"/>
        <n v="0.45419999999999999"/>
        <n v="1.1474"/>
        <n v="1.4837"/>
        <n v="-1.3541000000000001"/>
        <n v="-1.1123000000000001"/>
        <n v="-0.2445"/>
        <n v="-0.2828"/>
        <n v="-2.3521999999999998"/>
        <n v="0.89849999999999997"/>
        <n v="0.56420000000000003"/>
        <n v="-0.26719999999999999"/>
        <n v="0.59319999999999995"/>
        <n v="-0.41089999999999999"/>
        <n v="0.11459999999999999"/>
        <n v="-0.46929999999999999"/>
        <n v="0.94310000000000005"/>
        <n v="0.97609999999999997"/>
        <n v="-0.4965"/>
        <n v="0.29859999999999998"/>
        <n v="7.9100000000000004E-2"/>
        <n v="0.53469999999999995"/>
        <n v="0.61429999999999996"/>
        <n v="0.93069999999999997"/>
        <n v="-1.3832"/>
        <n v="0.64329999999999998"/>
        <n v="1.52"/>
        <n v="0.15740000000000001"/>
        <n v="0.3095"/>
        <n v="0.19969999999999999"/>
        <n v="-7.1999999999999998E-3"/>
        <n v="4.7100000000000003E-2"/>
        <n v="-0.83660000000000001"/>
        <n v="1.1358999999999999"/>
        <n v="0.12280000000000001"/>
        <n v="2.0379"/>
        <n v="-0.38179999999999997"/>
        <n v="0.33360000000000001"/>
        <n v="0.79220000000000002"/>
        <n v="0.5333"/>
        <n v="-0.185"/>
        <n v="0.15040000000000001"/>
        <n v="2.1402000000000001"/>
        <n v="-0.80330000000000001"/>
        <n v="0.32050000000000001"/>
        <n v="0.8931"/>
        <n v="-1.978"/>
        <n v="2.0665"/>
        <n v="0.35389999999999999"/>
        <n v="-0.3493"/>
        <n v="-0.19400000000000001"/>
        <n v="0.19089999999999999"/>
        <n v="-0.85750000000000004"/>
        <n v="0.1716"/>
        <n v="-1.4185000000000001"/>
        <n v="-0.15290000000000001"/>
        <n v="0.46650000000000003"/>
        <n v="1.0602"/>
        <n v="-0.43540000000000001"/>
        <n v="-0.10680000000000001"/>
        <n v="0.31709999999999999"/>
        <n v="-0.8831"/>
        <n v="0.95689999999999997"/>
        <n v="0.86199999999999999"/>
        <n v="1.9509000000000001"/>
        <n v="-0.1135"/>
        <n v="0.51490000000000002"/>
        <n v="0.95799999999999996"/>
        <n v="-0.42"/>
        <n v="-0.33610000000000001"/>
        <n v="6.9400000000000003E-2"/>
        <n v="0.22470000000000001"/>
        <n v="-0.25390000000000001"/>
        <n v="1.4609000000000001"/>
        <n v="0.69389999999999996"/>
        <n v="1.252"/>
        <n v="-0.28760000000000002"/>
        <n v="0.93889999999999996"/>
        <n v="-1.254"/>
        <n v="-3.0251999999999999"/>
        <n v="-0.74260000000000004"/>
        <n v="-0.94189999999999996"/>
        <n v="3.6448999999999998"/>
        <n v="3.52"/>
        <n v="1.0496000000000001"/>
        <n v="1.55E-2"/>
        <n v="0.69340000000000002"/>
        <n v="3.2949000000000002"/>
        <n v="-8.3699999999999997E-2"/>
        <n v="2.3936000000000002"/>
        <n v="-2.9512999999999998"/>
        <n v="-0.47570000000000001"/>
        <n v="1.5157"/>
        <n v="-2.1158999999999999"/>
        <n v="1.6898"/>
        <n v="-0.63770000000000004"/>
        <n v="-1.3801000000000001"/>
        <n v="-1.0083"/>
        <n v="8.6400000000000005E-2"/>
        <n v="3.7869999999999999"/>
        <n v="1.5807"/>
        <n v="-0.83950000000000002"/>
        <n v="-2.6844000000000001"/>
        <n v="5.1499999999999997E-2"/>
        <n v="-2.0813999999999999"/>
        <n v="3.09E-2"/>
        <n v="-2.5363000000000002"/>
        <n v="2.4340999999999999"/>
        <n v="0.20760000000000001"/>
        <n v="-0.47610000000000002"/>
        <n v="2.3113000000000001"/>
        <n v="1.0293000000000001"/>
        <n v="2.1000000000000001E-2"/>
        <n v="0.13519999999999999"/>
        <n v="-1.1673"/>
        <n v="-0.30059999999999998"/>
        <n v="0.95620000000000005"/>
        <n v="-0.54900000000000004"/>
        <n v="2.6751999999999998"/>
        <n v="-0.88919999999999999"/>
        <n v="0.49180000000000001"/>
        <n v="-0.21360000000000001"/>
        <n v="-1.4476"/>
        <n v="-0.41020000000000001"/>
        <n v="0.78739999999999999"/>
        <n v="1.0517000000000001"/>
        <n v="1.3172999999999999"/>
        <n v="1.0184"/>
        <n v="-1.2696000000000001"/>
        <n v="-0.38250000000000001"/>
        <n v="-1.0427"/>
        <n v="0.47460000000000002"/>
        <n v="-0.23469999999999999"/>
        <n v="-1.0840000000000001"/>
        <n v="0.3251"/>
        <n v="-0.41110000000000002"/>
        <n v="-1.591"/>
        <n v="1.3533999999999999"/>
        <n v="0.57099999999999995"/>
        <n v="-0.59489999999999998"/>
        <n v="-1.0922000000000001"/>
        <n v="0.75329999999999997"/>
        <n v="-1.2311000000000001"/>
        <n v="1.0397000000000001"/>
        <n v="-0.7722"/>
        <n v="6.0000000000000001E-3"/>
        <n v="-0.82010000000000005"/>
        <n v="0.73629999999999995"/>
        <n v="0.36249999999999999"/>
        <n v="1.8118000000000001"/>
        <n v="0.56579999999999997"/>
        <n v="-1.8452999999999999"/>
        <n v="-0.68310000000000004"/>
        <n v="-0.52029999999999998"/>
        <n v="-9.6199999999999994E-2"/>
        <n v="7.22E-2"/>
        <n v="-1.5906"/>
        <n v="0.40639999999999998"/>
        <n v="2.4769999999999999"/>
        <n v="0.32369999999999999"/>
        <n v="6.5100000000000005E-2"/>
        <n v="0.1242"/>
        <n v="1.5924"/>
        <n v="-1.5965"/>
        <n v="-0.81859999999999999"/>
        <n v="7.7499999999999999E-2"/>
        <n v="-0.35730000000000001"/>
        <n v="-0.39739999999999998"/>
        <n v="-9.9000000000000005E-2"/>
        <n v="-0.58850000000000002"/>
        <n v="1.1719999999999999"/>
        <n v="0.49559999999999998"/>
        <n v="0.38319999999999999"/>
        <n v="0.53569999999999995"/>
        <n v="0.3533"/>
        <n v="0.68940000000000001"/>
        <n v="1.5499000000000001"/>
        <n v="1.9823999999999999"/>
        <n v="-0.13780000000000001"/>
        <n v="0.50419999999999998"/>
        <n v="0.74839999999999995"/>
        <n v="1.4633"/>
        <n v="-0.60599999999999998"/>
        <n v="0.21790000000000001"/>
        <n v="0.62209999999999999"/>
        <n v="-0.42399999999999999"/>
        <n v="1.1374"/>
        <n v="-0.33679999999999999"/>
        <n v="-0.39250000000000002"/>
        <n v="0.12039999999999999"/>
        <n v="0.79800000000000004"/>
        <n v="1.5943000000000001"/>
        <n v="0.60850000000000004"/>
        <n v="-0.71619999999999995"/>
        <n v="0.86829999999999996"/>
        <n v="-0.54300000000000004"/>
        <n v="1.9361999999999999"/>
        <n v="0.94059999999999999"/>
        <n v="-0.18890000000000001"/>
        <n v="-2.5899999999999999E-2"/>
        <n v="1.974"/>
        <n v="0.71479999999999999"/>
        <n v="0.70209999999999995"/>
        <n v="0.60189999999999999"/>
        <n v="-1.3512"/>
        <n v="1.4910000000000001"/>
        <n v="2.8809999999999998"/>
        <n v="0.32190000000000002"/>
        <n v="1.2979000000000001"/>
        <n v="3.7130000000000001"/>
        <n v="-2.5398000000000001"/>
        <n v="2.0876000000000001"/>
        <n v="-5.1468999999999996"/>
        <n v="-0.76160000000000005"/>
        <n v="0.9587"/>
        <n v="-1.3965000000000001"/>
        <n v="-3.2094"/>
        <n v="1.3742000000000001"/>
        <n v="1.8813"/>
        <n v="-1.4450000000000001"/>
        <n v="0.45269999999999999"/>
        <n v="-1.6097999999999999"/>
        <n v="1.8855"/>
        <n v="-0.57940000000000003"/>
        <n v="1.9895"/>
        <n v="1.9729000000000001"/>
        <n v="-0.59179999999999999"/>
        <n v="2.7481"/>
        <n v="-0.73309999999999997"/>
        <n v="-3.0421"/>
        <n v="-0.80100000000000005"/>
        <n v="1.2061999999999999"/>
        <n v="-1.0059"/>
        <n v="-0.32629999999999998"/>
        <n v="0.71179999999999999"/>
        <n v="1.9381999999999999"/>
        <n v="-0.25609999999999999"/>
        <n v="1.3233999999999999"/>
        <n v="0.28449999999999998"/>
        <n v="-0.3498"/>
        <n v="-0.1115"/>
        <n v="-0.16389999999999999"/>
        <n v="3.3300000000000003E-2"/>
        <n v="-0.35189999999999999"/>
        <n v="0.43669999999999998"/>
        <n v="0.35639999999999999"/>
        <n v="1.2404999999999999"/>
        <n v="0.746"/>
        <n v="-0.87739999999999996"/>
        <n v="0.88980000000000004"/>
        <n v="0.5222"/>
        <n v="0.441"/>
        <n v="0.48270000000000002"/>
        <n v="3.0244"/>
        <n v="-5.7700000000000001E-2"/>
        <n v="0.25109999999999999"/>
        <n v="-3.1139000000000001"/>
        <n v="-0.57420000000000004"/>
        <n v="-0.29680000000000001"/>
        <n v="0.82979999999999998"/>
        <n v="1.4361999999999999"/>
        <n v="6.7000000000000002E-3"/>
        <n v="0.22919999999999999"/>
        <n v="0.28699999999999998"/>
        <n v="2.3719999999999999"/>
        <n v="-1.09E-2"/>
        <n v="0.69230000000000003"/>
        <n v="5.6399999999999999E-2"/>
        <n v="-0.1062"/>
        <n v="1.1761999999999999"/>
        <n v="4.3177000000000003"/>
        <n v="-1.4722"/>
        <n v="3.2909999999999999"/>
        <n v="2.6648999999999998"/>
        <n v="-3.15E-2"/>
        <n v="4.3643000000000001"/>
        <n v="2.1522000000000001"/>
        <n v="-0.72570000000000001"/>
        <n v="-10.5777"/>
        <n v="-2.6562000000000001"/>
        <n v="5.1986999999999997"/>
        <n v="1.7345999999999999"/>
        <n v="-4.9253999999999998"/>
        <n v="5.3632999999999997"/>
        <n v="-7.7700000000000005E-2"/>
        <n v="0.72599999999999998"/>
        <n v="0.2079"/>
        <n v="-2.1223999999999998"/>
        <n v="1.3527"/>
        <n v="-2.9441999999999999"/>
        <n v="2.9247999999999998"/>
        <n v="0.4945"/>
        <n v="1.6032999999999999"/>
        <n v="0.75190000000000001"/>
        <n v="0.1396"/>
        <n v="0.21679999999999999"/>
        <n v="0.1835"/>
        <n v="3.0829"/>
        <n v="-0.89590000000000003"/>
        <n v="-3.1705999999999999"/>
        <n v="0.75619999999999998"/>
        <n v="-0.93820000000000003"/>
        <n v="1.2829999999999999"/>
      </sharedItems>
    </cacheField>
    <cacheField name="Volatility_7" numFmtId="0">
      <sharedItems containsSemiMixedTypes="0" containsString="0" containsNumber="1" minValue="0.14369999999999999" maxValue="5.7295999999999996"/>
    </cacheField>
    <cacheField name="Volatility_30" numFmtId="0">
      <sharedItems containsSemiMixedTypes="0" containsString="0" containsNumber="1" minValue="0.42309999999999998" maxValue="3.2629999999999999"/>
    </cacheField>
    <cacheField name="RSI" numFmtId="2">
      <sharedItems containsSemiMixedTypes="0" containsString="0" containsNumber="1" minValue="9.7174999999999994" maxValue="96.694999999999993"/>
    </cacheField>
    <cacheField name="Macd" numFmtId="2">
      <sharedItems containsSemiMixedTypes="0" containsString="0" containsNumber="1" minValue="-36.071300000000001" maxValue="251.4212"/>
    </cacheField>
    <cacheField name="Macd_signal" numFmtId="0">
      <sharedItems containsSemiMixedTypes="0" containsString="0" containsNumber="1" minValue="-32.212499999999999" maxValue="187.922"/>
    </cacheField>
    <cacheField name="BB_upper" numFmtId="0">
      <sharedItems containsSemiMixedTypes="0" containsString="0" containsNumber="1" minValue="1682.422" maxValue="5429.9459999999999"/>
    </cacheField>
    <cacheField name="BB_lower" numFmtId="0">
      <sharedItems containsSemiMixedTypes="0" containsString="0" containsNumber="1" minValue="1575.3838000000001" maxValue="4878.2993999999999"/>
    </cacheField>
    <cacheField name="Daily Trend" numFmtId="0">
      <sharedItems count="2">
        <s v="Up"/>
        <s v="Down"/>
      </sharedItems>
    </cacheField>
    <cacheField name="Trading Signal" numFmtId="0">
      <sharedItems count="3">
        <s v="Sell"/>
        <s v="Hold"/>
        <s v="Buy"/>
      </sharedItems>
    </cacheField>
    <cacheField name="Average Return" numFmtId="2">
      <sharedItems containsSemiMixedTypes="0" containsString="0" containsNumber="1" minValue="-0.59309999999999996" maxValue="1.2829999999999999" count="1169">
        <n v="9.6091189050470441E-2"/>
        <n v="9.5299828767123271E-2"/>
        <n v="9.5451670951156781E-2"/>
        <n v="9.6789451114922778E-2"/>
        <n v="9.6415536480686653E-2"/>
        <n v="9.6777920962199254E-2"/>
        <n v="9.7498796216680964E-2"/>
        <n v="9.7275645438898398E-2"/>
        <n v="9.7239793281653719E-2"/>
        <n v="9.7266206896551674E-2"/>
        <n v="9.7551078515961995E-2"/>
        <n v="9.7294559585492185E-2"/>
        <n v="9.6354883318928233E-2"/>
        <n v="9.7176470588235253E-2"/>
        <n v="9.7265367965367916E-2"/>
        <n v="9.7493067590987817E-2"/>
        <n v="9.7505724197744975E-2"/>
        <n v="9.8117708333333303E-2"/>
        <n v="0.10043796698523022"/>
        <n v="0.10176008695652172"/>
        <n v="0.10191409921671016"/>
        <n v="0.10087325783972123"/>
        <n v="0.10053269398430686"/>
        <n v="9.9697382198952841E-2"/>
        <n v="9.925362445414844E-2"/>
        <n v="9.9335489510489469E-2"/>
        <n v="9.9804111986001726E-2"/>
        <n v="9.9689842381786284E-2"/>
        <n v="0.10013584574934266"/>
        <n v="9.9028947368421022E-2"/>
        <n v="9.9554609306409095E-2"/>
        <n v="9.9867662565905055E-2"/>
        <n v="9.9168161829375517E-2"/>
        <n v="9.8533010563380222E-2"/>
        <n v="9.8731277533039605E-2"/>
        <n v="9.8934920634920598E-2"/>
        <n v="9.9036804942630133E-2"/>
        <n v="9.8749116607773788E-2"/>
        <n v="9.8603359858532247E-2"/>
        <n v="0.10082336283185837"/>
        <n v="0.10006758193091227"/>
        <n v="0.10060478723404251"/>
        <n v="0.1006841171251109"/>
        <n v="0.10069413854351685"/>
        <n v="0.10017333333333331"/>
        <n v="0.10079519572953732"/>
        <n v="0.10257853962600175"/>
        <n v="0.10302468805704099"/>
        <n v="0.10258697591436215"/>
        <n v="0.10194392857142852"/>
        <n v="0.10253297587131367"/>
        <n v="0.10349042933810373"/>
        <n v="0.10348075201432405"/>
        <n v="0.10419247311827953"/>
        <n v="0.10465713004484302"/>
        <n v="0.10510861759425492"/>
        <n v="0.103703414195867"/>
        <n v="0.10327383093525179"/>
        <n v="0.10337695769576954"/>
        <n v="0.10372540540540538"/>
        <n v="0.10366005410279529"/>
        <n v="0.1040301444043321"/>
        <n v="0.10414471544715447"/>
        <n v="0.10448083182640143"/>
        <n v="0.10411565610859726"/>
        <n v="0.10259465579710142"/>
        <n v="0.10257135086128735"/>
        <n v="0.10432813067150631"/>
        <n v="0.10359791099000905"/>
        <n v="0.10384554545454543"/>
        <n v="0.10356060054595083"/>
        <n v="0.10339426229508193"/>
        <n v="0.1031212397447584"/>
        <n v="0.10247801094890506"/>
        <n v="0.1034450228310502"/>
        <n v="0.10333546617915901"/>
        <n v="0.10355233302836227"/>
        <n v="0.10393315018315014"/>
        <n v="0.1038746104491292"/>
        <n v="0.10512275229357795"/>
        <n v="0.10477263544536268"/>
        <n v="0.10392215073529408"/>
        <n v="0.10288500459981594"/>
        <n v="0.10251860036832408"/>
        <n v="0.10262820276497692"/>
        <n v="0.10130313653136523"/>
        <n v="0.10105300092336093"/>
        <n v="0.10096266173752304"/>
        <n v="0.10159685476410724"/>
        <n v="0.10124138888888878"/>
        <n v="0.10141482854494893"/>
        <n v="0.10199740259740253"/>
        <n v="0.10257363045496745"/>
        <n v="0.10499544609665425"/>
        <n v="0.10522260465116275"/>
        <n v="0.10541927374301671"/>
        <n v="0.10548630009319659"/>
        <n v="0.1059907649253731"/>
        <n v="0.10656601307189541"/>
        <n v="0.10634439252336443"/>
        <n v="0.10714770813844714"/>
        <n v="0.10657528089887637"/>
        <n v="0.10671199625117146"/>
        <n v="0.10626388367729828"/>
        <n v="0.10669943661971827"/>
        <n v="0.10731090225563907"/>
        <n v="0.10684967074317965"/>
        <n v="0.10681308851224101"/>
        <n v="0.10794750235626767"/>
        <n v="0.10732339622641504"/>
        <n v="0.10620528800755423"/>
        <n v="0.10668289224952737"/>
        <n v="0.10706811731315038"/>
        <n v="0.10745492424242421"/>
        <n v="0.1064953554502369"/>
        <n v="0.1063862428842504"/>
        <n v="0.1063823361823361"/>
        <n v="0.10694515209125471"/>
        <n v="0.10712607040913409"/>
        <n v="0.10599114285714281"/>
        <n v="0.10583098188751187"/>
        <n v="0.10747528625954192"/>
        <n v="0.10690955109837624"/>
        <n v="0.10838269598470358"/>
        <n v="0.1082347368421052"/>
        <n v="0.10817270114942526"/>
        <n v="0.10779568552253112"/>
        <n v="0.10709577735124759"/>
        <n v="0.10715638808837651"/>
        <n v="0.10716961538461534"/>
        <n v="0.10752107795957647"/>
        <n v="0.10759287090558764"/>
        <n v="0.10646567020250718"/>
        <n v="0.1067048262548262"/>
        <n v="0.10681314009661831"/>
        <n v="0.10664806576402314"/>
        <n v="0.10743939980638909"/>
        <n v="0.10948158914728678"/>
        <n v="0.10936062075654701"/>
        <n v="0.10995291262135919"/>
        <n v="0.10958707482993194"/>
        <n v="0.10966118677042798"/>
        <n v="0.10933466407010704"/>
        <n v="0.10943040935672509"/>
        <n v="0.10920224390243896"/>
        <n v="0.10894785156249998"/>
        <n v="0.10870498533724339"/>
        <n v="0.1083878669275929"/>
        <n v="0.10909774730656217"/>
        <n v="0.10706313725490187"/>
        <n v="0.10659892051030415"/>
        <n v="0.10743280943025529"/>
        <n v="0.10660737463126836"/>
        <n v="0.10550059055118102"/>
        <n v="0.10515330049261076"/>
        <n v="0.10585138067061137"/>
        <n v="0.10515952615992094"/>
        <n v="0.10552183794466394"/>
        <n v="0.10451622156280904"/>
        <n v="0.10564663366336625"/>
        <n v="0.10381417244796821"/>
        <n v="0.10468710317460311"/>
        <n v="0.10445670307845077"/>
        <n v="0.10189194831013905"/>
        <n v="0.10147303482587051"/>
        <n v="9.887410358565725E-2"/>
        <n v="0.10263818544366889"/>
        <n v="0.10239251497005979"/>
        <n v="0.10292257742257731"/>
        <n v="0.10488229999999993"/>
        <n v="0.10588518518518511"/>
        <n v="0.105391883767535"/>
        <n v="0.10546649949849542"/>
        <n v="0.10604467871485937"/>
        <n v="0.10639658291457281"/>
        <n v="0.10567082494969814"/>
        <n v="0.10437321248741178"/>
        <n v="0.10498155241935477"/>
        <n v="0.10618244197780013"/>
        <n v="0.10833333333333325"/>
        <n v="0.10711324570272994"/>
        <n v="0.10642499999999994"/>
        <n v="0.10645420466058758"/>
        <n v="0.10728549695740357"/>
        <n v="0.10708263959390855"/>
        <n v="0.10773993902439018"/>
        <n v="0.10770091556459808"/>
        <n v="0.10731720977596733"/>
        <n v="0.10648593272171246"/>
        <n v="0.10628530612244891"/>
        <n v="0.10550449438202236"/>
        <n v="0.10521257668711644"/>
        <n v="0.1055169907881268"/>
        <n v="0.10560430327868843"/>
        <n v="0.10718317948717941"/>
        <n v="0.10745154004106769"/>
        <n v="0.10718633093525172"/>
        <n v="0.10859475308641967"/>
        <n v="0.1100173017507723"/>
        <n v="0.11027721649484526"/>
        <n v="0.11115232198142407"/>
        <n v="0.11023068181818174"/>
        <n v="0.11067073422957591"/>
        <n v="0.1123080745341614"/>
        <n v="0.11252424870466314"/>
        <n v="0.11097406639004138"/>
        <n v="0.11230996884735195"/>
        <n v="0.11287588357588349"/>
        <n v="0.11448178980228922"/>
        <n v="0.11451041666666661"/>
        <n v="0.11415985401459845"/>
        <n v="0.11567849686847592"/>
        <n v="0.11777471264367813"/>
        <n v="0.11588817991631792"/>
        <n v="0.11657759162303663"/>
        <n v="0.1169365828092243"/>
        <n v="0.11542528856243434"/>
        <n v="0.11513529411764697"/>
        <n v="0.11490325972660348"/>
        <n v="0.1153822105263157"/>
        <n v="0.11583487881981026"/>
        <n v="0.11550421940928263"/>
        <n v="0.1155119324181625"/>
        <n v="0.11673668076109929"/>
        <n v="0.11602793650793641"/>
        <n v="0.11487648305084737"/>
        <n v="0.11605440084835619"/>
        <n v="0.1168722929936305"/>
        <n v="0.11653942614240161"/>
        <n v="0.11658840425531908"/>
        <n v="0.1169087326943556"/>
        <n v="0.11523411513859265"/>
        <n v="0.11813649946638199"/>
        <n v="0.11890085470085468"/>
        <n v="0.11872737967914435"/>
        <n v="0.11682408993576007"/>
        <n v="0.11801318327974271"/>
        <n v="0.11847886266094415"/>
        <n v="0.11825381310418899"/>
        <n v="0.11925967741935477"/>
        <n v="0.11879677072120551"/>
        <n v="0.11929568965517236"/>
        <n v="0.11977324703344117"/>
        <n v="0.12041933045356368"/>
        <n v="0.12139189189189183"/>
        <n v="0.12092651515151512"/>
        <n v="0.12363196099674967"/>
        <n v="0.12483069414316698"/>
        <n v="0.12540792616720953"/>
        <n v="0.12589445652173911"/>
        <n v="0.12592470076169746"/>
        <n v="0.1275820261437908"/>
        <n v="0.12770207197382763"/>
        <n v="0.12815425764192137"/>
        <n v="0.12785857923497265"/>
        <n v="0.12799212253829317"/>
        <n v="0.12846495071193864"/>
        <n v="0.12989682017543855"/>
        <n v="0.12832810098792533"/>
        <n v="0.12759043956043953"/>
        <n v="0.12830407040704067"/>
        <n v="0.12837488986784135"/>
        <n v="0.12766990077177506"/>
        <n v="0.1264281456953642"/>
        <n v="0.12594419889502756"/>
        <n v="0.12556924778761056"/>
        <n v="0.12667065337763009"/>
        <n v="0.12600953436807091"/>
        <n v="0.12478190899001106"/>
        <n v="0.12612399999999996"/>
        <n v="0.12512169076751939"/>
        <n v="0.12436514476614693"/>
        <n v="0.12512775919732436"/>
        <n v="0.12576506696428563"/>
        <n v="0.12511117318435747"/>
        <n v="0.12659418344519011"/>
        <n v="0.1272210526315789"/>
        <n v="0.12779439461883402"/>
        <n v="0.12852356902356898"/>
        <n v="0.1295137078651685"/>
        <n v="0.12982092238470189"/>
        <n v="0.12951351351351345"/>
        <n v="0.12858703494926713"/>
        <n v="0.1292190744920993"/>
        <n v="0.13075661016949147"/>
        <n v="0.13064332579185517"/>
        <n v="0.13197180067950165"/>
        <n v="0.13280770975056683"/>
        <n v="0.1332575482406356"/>
        <n v="0.13298874999999996"/>
        <n v="0.13413151308304888"/>
        <n v="0.13271173120728924"/>
        <n v="0.13279669327251992"/>
        <n v="0.13240376712328764"/>
        <n v="0.13301154285714281"/>
        <n v="0.13461350114416473"/>
        <n v="0.13565784650630006"/>
        <n v="0.13752121559633021"/>
        <n v="0.13758231917336386"/>
        <n v="0.13788574712643673"/>
        <n v="0.13764223245109314"/>
        <n v="0.13760714285714282"/>
        <n v="0.1378557093425605"/>
        <n v="0.14104203233256346"/>
        <n v="0.14057121387283231"/>
        <n v="0.1415706018518518"/>
        <n v="0.13911738122827341"/>
        <n v="0.13894976798143843"/>
        <n v="0.13872671312427404"/>
        <n v="0.13651674418604645"/>
        <n v="0.13510861466821883"/>
        <n v="0.13547564102564097"/>
        <n v="0.13637281213535585"/>
        <n v="0.13767289719626166"/>
        <n v="0.14001649122807011"/>
        <n v="0.13974355971896948"/>
        <n v="0.13940128956623674"/>
        <n v="0.14025856807511733"/>
        <n v="0.14148883666274964"/>
        <n v="0.14156976470588231"/>
        <n v="0.14272791519434624"/>
        <n v="0.1439548349056603"/>
        <n v="0.14330271546635176"/>
        <n v="0.14140330969267134"/>
        <n v="0.14260272189349107"/>
        <n v="0.14265663507108997"/>
        <n v="0.14204211150652427"/>
        <n v="0.14218931116389541"/>
        <n v="0.14373281807372174"/>
        <n v="0.14470154761904758"/>
        <n v="0.1434122765196662"/>
        <n v="0.14514486873508348"/>
        <n v="0.1452449223416965"/>
        <n v="0.14199198564593293"/>
        <n v="0.14028371257485026"/>
        <n v="0.14015623501199037"/>
        <n v="0.14026818727490994"/>
        <n v="0.13652463942307685"/>
        <n v="0.13681179302045723"/>
        <n v="0.13637493975903608"/>
        <n v="0.13614439083232807"/>
        <n v="0.13723333333333326"/>
        <n v="0.13737871825876655"/>
        <n v="0.13921343825665855"/>
        <n v="0.13919393939393937"/>
        <n v="0.13972524271844652"/>
        <n v="0.13874046172539484"/>
        <n v="0.13972116788321162"/>
        <n v="0.14001729598051152"/>
        <n v="0.13958512195121947"/>
        <n v="0.13831672771672768"/>
        <n v="0.13618422982885081"/>
        <n v="0.13677882496940016"/>
        <n v="0.13879595588235291"/>
        <n v="0.13891766871165639"/>
        <n v="0.13820651105651099"/>
        <n v="0.13748610086100857"/>
        <n v="0.13817684729064034"/>
        <n v="0.13880258939580759"/>
        <n v="0.13688703703703695"/>
        <n v="0.13772521631644"/>
        <n v="0.1394830445544554"/>
        <n v="0.1387009913258983"/>
        <n v="0.13922630272952846"/>
        <n v="0.13725068322981357"/>
        <n v="0.13737350746268648"/>
        <n v="0.13917484433374838"/>
        <n v="0.1387159600997506"/>
        <n v="0.13890299625468161"/>
        <n v="0.13889637499999996"/>
        <n v="0.13829399249061322"/>
        <n v="0.13714310776942343"/>
        <n v="0.13667289836888322"/>
        <n v="0.13619108040200992"/>
        <n v="0.13750150943396214"/>
        <n v="0.13571536523929459"/>
        <n v="0.13515699873896583"/>
        <n v="0.13564368686868677"/>
        <n v="0.13553843236409599"/>
        <n v="0.13423999999999991"/>
        <n v="0.1330019011406843"/>
        <n v="0.13376548223350246"/>
        <n v="0.1332040660736975"/>
        <n v="0.13337353689567422"/>
        <n v="0.13325184713375784"/>
        <n v="0.13307091836734683"/>
        <n v="0.1326194125159641"/>
        <n v="0.13309207161125308"/>
        <n v="0.13379142125480145"/>
        <n v="0.13398294871794861"/>
        <n v="0.13450783055198964"/>
        <n v="0.13439999999999988"/>
        <n v="0.13289678249678238"/>
        <n v="0.13570167525773189"/>
        <n v="0.13903445161290312"/>
        <n v="0.13890930232558127"/>
        <n v="0.13894372574385502"/>
        <n v="0.13890233160621748"/>
        <n v="0.14003009079118017"/>
        <n v="0.14039337662337653"/>
        <n v="0.1409187256176852"/>
        <n v="0.14195195312499989"/>
        <n v="0.14237770534550184"/>
        <n v="0.1433588772845952"/>
        <n v="0.14245895424836591"/>
        <n v="0.1431356020942407"/>
        <n v="0.14398715596330264"/>
        <n v="0.14544068241469807"/>
        <n v="0.14542838370565037"/>
        <n v="0.14587394736842096"/>
        <n v="0.1446816864295124"/>
        <n v="0.14466319261213711"/>
        <n v="0.14432734478203421"/>
        <n v="0.143366402116402"/>
        <n v="0.14444251655629128"/>
        <n v="0.14674496021220151"/>
        <n v="0.14658791500664001"/>
        <n v="0.14415465425531904"/>
        <n v="0.14157896138482015"/>
        <n v="0.14025866666666659"/>
        <n v="0.14102550066755665"/>
        <n v="0.140792780748663"/>
        <n v="0.13845087014725557"/>
        <n v="0.13572265415549584"/>
        <n v="0.13688375838926159"/>
        <n v="0.13890631720430094"/>
        <n v="0.13607213997308193"/>
        <n v="0.13617425876010766"/>
        <n v="0.13869568151147085"/>
        <n v="0.13783364864864847"/>
        <n v="0.13845236806495245"/>
        <n v="0.1386537940379402"/>
        <n v="0.13777896879240148"/>
        <n v="0.13887133152173894"/>
        <n v="0.13791959183673455"/>
        <n v="0.13553324250681184"/>
        <n v="0.13571145975443369"/>
        <n v="0.13739658469945343"/>
        <n v="0.13817277701778372"/>
        <n v="0.13741273972602727"/>
        <n v="0.13688971193415622"/>
        <n v="0.13534670329670315"/>
        <n v="0.13811403026134786"/>
        <n v="0.13870316804407701"/>
        <n v="0.13828662068965505"/>
        <n v="0.13900787292817665"/>
        <n v="0.13932475795297358"/>
        <n v="0.14055152354570624"/>
        <n v="0.13973841886269056"/>
        <n v="0.13978638888888875"/>
        <n v="0.1404820584144644"/>
        <n v="0.14093662952646224"/>
        <n v="0.1416104602510459"/>
        <n v="0.14077849162011158"/>
        <n v="0.13940475524475507"/>
        <n v="0.13766274509803905"/>
        <n v="0.13775974754558185"/>
        <n v="0.13959353932584254"/>
        <n v="0.13950478199718691"/>
        <n v="0.13930507042253504"/>
        <n v="0.1393765867418898"/>
        <n v="0.14093446327683598"/>
        <n v="0.14118288543140015"/>
        <n v="0.14316940509914997"/>
        <n v="0.14371489361702111"/>
        <n v="0.14585965909090895"/>
        <n v="0.14581266002844936"/>
        <n v="0.14453048433048421"/>
        <n v="0.14532011412268173"/>
        <n v="0.1453104285714284"/>
        <n v="0.14785751072961359"/>
        <n v="0.14769326647564457"/>
        <n v="0.1483101865136297"/>
        <n v="0.14737686781609183"/>
        <n v="0.14722158273381278"/>
        <n v="0.14641354466858775"/>
        <n v="0.14878513708513696"/>
        <n v="0.14801329479768771"/>
        <n v="0.14836034732272052"/>
        <n v="0.14974420289855059"/>
        <n v="0.14832583454281548"/>
        <n v="0.14894084302325566"/>
        <n v="0.14909082969432297"/>
        <n v="0.1503788629737608"/>
        <n v="0.150935912408759"/>
        <n v="0.14967324561403494"/>
        <n v="0.1501014641288432"/>
        <n v="0.15204340175953068"/>
        <n v="0.15345022026431707"/>
        <n v="0.15377544117647049"/>
        <n v="0.15367952871870386"/>
        <n v="0.15359174041297921"/>
        <n v="0.15494534711964536"/>
        <n v="0.15536020710059162"/>
        <n v="0.15569125925925917"/>
        <n v="0.1551992581602373"/>
        <n v="0.15499598811292706"/>
        <n v="0.15632514880952372"/>
        <n v="0.1562381520119224"/>
        <n v="0.15567567164179094"/>
        <n v="0.15579955156950662"/>
        <n v="0.15546511976047889"/>
        <n v="0.15346371814092935"/>
        <n v="0.15390090090090075"/>
        <n v="0.1544702255639096"/>
        <n v="0.15356219879518052"/>
        <n v="0.15316561085972832"/>
        <n v="0.15364909365558896"/>
        <n v="0.15479364599092268"/>
        <n v="0.15475787878787861"/>
        <n v="0.15594248861911975"/>
        <n v="0.15515227963525816"/>
        <n v="0.15699863013698617"/>
        <n v="0.15723018292682914"/>
        <n v="0.15639511450381663"/>
        <n v="0.15618944954128422"/>
        <n v="0.15771454823889725"/>
        <n v="0.1590742331288342"/>
        <n v="0.15926298003072181"/>
        <n v="0.15902292307692292"/>
        <n v="0.16000616332819709"/>
        <n v="0.16075632716049368"/>
        <n v="0.16134992272024717"/>
        <n v="0.162252321981424"/>
        <n v="0.16280372093023246"/>
        <n v="0.1633248447204968"/>
        <n v="0.16370124416796256"/>
        <n v="0.16483956386292822"/>
        <n v="0.16525319812792499"/>
        <n v="0.16536281249999987"/>
        <n v="0.16553896713615013"/>
        <n v="0.16455752351097169"/>
        <n v="0.16396091051805325"/>
        <n v="0.16423506289308162"/>
        <n v="0.16484645669291326"/>
        <n v="0.16490883280757085"/>
        <n v="0.16367851500789873"/>
        <n v="0.16325094936708848"/>
        <n v="0.16305324881141031"/>
        <n v="0.16458190476190462"/>
        <n v="0.16569014308426058"/>
        <n v="0.1664918789808916"/>
        <n v="0.16622503987240819"/>
        <n v="0.16657364217252385"/>
        <n v="0.16702319999999987"/>
        <n v="0.1681668269230768"/>
        <n v="0.16905008025682172"/>
        <n v="0.16759003215434073"/>
        <n v="0.16746650563607071"/>
        <n v="0.16725145161290308"/>
        <n v="0.16655266558966061"/>
        <n v="0.16861860841423934"/>
        <n v="0.16877390599675837"/>
        <n v="0.16978993506493498"/>
        <n v="0.1710500813008129"/>
        <n v="0.17418420195439724"/>
        <n v="0.17412838499184327"/>
        <n v="0.17538872549019593"/>
        <n v="0.17744909983633375"/>
        <n v="0.17943786885245888"/>
        <n v="0.18002036124794735"/>
        <n v="0.17991019736842087"/>
        <n v="0.18086507413509048"/>
        <n v="0.17903168316831669"/>
        <n v="0.17802677685950399"/>
        <n v="0.17720711920529786"/>
        <n v="0.17703980099502473"/>
        <n v="0.17708571428571415"/>
        <n v="0.17446472545757061"/>
        <n v="0.1744153333333332"/>
        <n v="0.17290133555926526"/>
        <n v="0.17188545150501658"/>
        <n v="0.16951055276381891"/>
        <n v="0.17020989932885891"/>
        <n v="0.17099764705882337"/>
        <n v="0.17120858585858567"/>
        <n v="0.17004300168634046"/>
        <n v="0.17029628378378361"/>
        <n v="0.16926565143824007"/>
        <n v="0.17019525423728793"/>
        <n v="0.17099439728353127"/>
        <n v="0.17140476190476173"/>
        <n v="0.1717052810902894"/>
        <n v="0.1726331058020476"/>
        <n v="0.17423076923076905"/>
        <n v="0.17441592465753405"/>
        <n v="0.1761185248713549"/>
        <n v="0.17572560137457022"/>
        <n v="0.17775834767641979"/>
        <n v="0.17576293103448257"/>
        <n v="0.17633005181347125"/>
        <n v="0.1764147058823527"/>
        <n v="0.17520363951473117"/>
        <n v="0.17584062499999981"/>
        <n v="0.17509165217391287"/>
        <n v="0.17466149825783955"/>
        <n v="0.1755949389179754"/>
        <n v="0.17416416083916067"/>
        <n v="0.17195323992994724"/>
        <n v="0.17216035087719275"/>
        <n v="0.17208418277680118"/>
        <n v="0.17305827464788712"/>
        <n v="0.17016208112874759"/>
        <n v="0.17388515901060053"/>
        <n v="0.17551486725663701"/>
        <n v="0.17500975177304945"/>
        <n v="0.17510177619893408"/>
        <n v="0.17783060498220621"/>
        <n v="0.17991764705882332"/>
        <n v="0.18075196428571411"/>
        <n v="0.17689803220035757"/>
        <n v="0.17651577060931881"/>
        <n v="0.17756570915619369"/>
        <n v="0.17780503597122277"/>
        <n v="0.17706666666666646"/>
        <n v="0.1775014440433211"/>
        <n v="0.17605479204339941"/>
        <n v="0.17599474637681134"/>
        <n v="0.17567096188747711"/>
        <n v="0.17473272727272704"/>
        <n v="0.17624098360655713"/>
        <n v="0.17695967153284647"/>
        <n v="0.17987897623400345"/>
        <n v="0.17954212454212429"/>
        <n v="0.17961100917431166"/>
        <n v="0.1822249999999998"/>
        <n v="0.18103738489871066"/>
        <n v="0.18198763837638357"/>
        <n v="0.18267929759704229"/>
        <n v="0.18246888888888865"/>
        <n v="0.18092578849721683"/>
        <n v="0.18354498141263917"/>
        <n v="0.18514562383612643"/>
        <n v="0.18452705223880575"/>
        <n v="0.18504747663551377"/>
        <n v="0.18456011235955036"/>
        <n v="0.18556247654784216"/>
        <n v="0.18694248120300733"/>
        <n v="0.18639604519773986"/>
        <n v="0.18642113207547142"/>
        <n v="0.18609206049149318"/>
        <n v="0.18617424242424224"/>
        <n v="0.18608007590132805"/>
        <n v="0.18507338403041798"/>
        <n v="0.1868998095238093"/>
        <n v="0.18847328244274786"/>
        <n v="0.18818240917782003"/>
        <n v="0.1889952107279691"/>
        <n v="0.18897946257197676"/>
        <n v="0.1899580769230767"/>
        <n v="0.19036204238920978"/>
        <n v="0.19404691119691098"/>
        <n v="0.19410154738878124"/>
        <n v="0.19336957364341062"/>
        <n v="0.19271844660194154"/>
        <n v="0.19187723735408538"/>
        <n v="0.1917707602339179"/>
        <n v="0.19283691406249975"/>
        <n v="0.19243189823874732"/>
        <n v="0.19263568627450953"/>
        <n v="0.1936318271119841"/>
        <n v="0.19354744094488169"/>
        <n v="0.19307593688362895"/>
        <n v="0.18953992094861635"/>
        <n v="0.18694059405940572"/>
        <n v="0.18631706349206331"/>
        <n v="0.18467654075546699"/>
        <n v="0.18316095617529862"/>
        <n v="0.18226487025948085"/>
        <n v="0.18249179999999979"/>
        <n v="0.18469398797595171"/>
        <n v="0.18501847389558213"/>
        <n v="0.18551167002012053"/>
        <n v="0.18733124999999978"/>
        <n v="0.18677777777777757"/>
        <n v="0.18704311740890667"/>
        <n v="0.18274949290060832"/>
        <n v="0.18568109756097542"/>
        <n v="0.18727413441955174"/>
        <n v="0.18610183673469369"/>
        <n v="0.18679161554192208"/>
        <n v="0.18583913934426208"/>
        <n v="0.18227987679671451"/>
        <n v="0.18115473251028802"/>
        <n v="0.17880907216494837"/>
        <n v="0.17736756198347101"/>
        <n v="0.17885921325051757"/>
        <n v="0.17593132780082982"/>
        <n v="0.17520644490644488"/>
        <n v="0.17478729166666665"/>
        <n v="0.17560584551148223"/>
        <n v="0.17277468619246861"/>
        <n v="0.17447735849056609"/>
        <n v="0.172896218487395"/>
        <n v="0.17324252631578954"/>
        <n v="0.17500611814345993"/>
        <n v="0.17440317124735732"/>
        <n v="0.17441652542372887"/>
        <n v="0.17973991507430992"/>
        <n v="0.18070723404255312"/>
        <n v="0.1816712153518123"/>
        <n v="0.17902264957264952"/>
        <n v="0.18060064239828685"/>
        <n v="0.18211866952789693"/>
        <n v="0.18573268817204297"/>
        <n v="0.18292995689655167"/>
        <n v="0.18534384449244054"/>
        <n v="0.1835993506493506"/>
        <n v="0.18385748373101946"/>
        <n v="0.18525804347826083"/>
        <n v="0.1859348583877995"/>
        <n v="0.18099257641921396"/>
        <n v="0.18222056892778993"/>
        <n v="0.18469385964912277"/>
        <n v="0.18269120879120881"/>
        <n v="0.18049140969163005"/>
        <n v="0.18170286975717445"/>
        <n v="0.17884292035398233"/>
        <n v="0.17798203991130823"/>
        <n v="0.17947511111111117"/>
        <n v="0.18414031180400892"/>
        <n v="0.18724352678571426"/>
        <n v="0.1882067114093959"/>
        <n v="0.18830246636771295"/>
        <n v="0.18905213483146066"/>
        <n v="0.18878400900900894"/>
        <n v="0.19128058690744909"/>
        <n v="0.18928778280542979"/>
        <n v="0.19175510204081625"/>
        <n v="0.18939681818181817"/>
        <n v="0.18741981776765382"/>
        <n v="0.19641461187214604"/>
        <n v="0.19592494279176195"/>
        <n v="0.19488853211009166"/>
        <n v="0.1958827586206896"/>
        <n v="0.19657350230414736"/>
        <n v="0.19570600461893753"/>
        <n v="0.19699699074074067"/>
        <n v="0.1957378190255219"/>
        <n v="0.19596325581395341"/>
        <n v="0.19721002331002321"/>
        <n v="0.19756028037383166"/>
        <n v="0.19968548009367676"/>
        <n v="0.20128333333333329"/>
        <n v="0.19882705882352933"/>
        <n v="0.199458254716981"/>
        <n v="0.19922789598108742"/>
        <n v="0.19967962085308053"/>
        <n v="0.19770831353919238"/>
        <n v="0.19546928571428573"/>
        <n v="0.19779952267303105"/>
        <n v="0.19794880382775121"/>
        <n v="0.19716690647482016"/>
        <n v="0.19550865384615393"/>
        <n v="0.19294746987951811"/>
        <n v="0.19367198067632854"/>
        <n v="0.18960242130750612"/>
        <n v="0.1907398058252428"/>
        <n v="0.19586082725060833"/>
        <n v="0.19802243902439032"/>
        <n v="0.19914792176039128"/>
        <n v="0.19705808823529411"/>
        <n v="0.20317469287469289"/>
        <n v="0.20334187192118228"/>
        <n v="0.20294740740740744"/>
        <n v="0.20307500000000009"/>
        <n v="0.20084838709677427"/>
        <n v="0.19725572139303493"/>
        <n v="0.19802294264339163"/>
        <n v="0.19872250000000008"/>
        <n v="0.20204285714285716"/>
        <n v="0.20487110552763826"/>
        <n v="0.2062188916876575"/>
        <n v="0.202714898989899"/>
        <n v="0.20214126582278488"/>
        <n v="0.1997017766497462"/>
        <n v="0.19948625954198482"/>
        <n v="0.20166964285714298"/>
        <n v="0.20200818414322264"/>
        <n v="0.19677820512820515"/>
        <n v="0.19779640102827772"/>
        <n v="0.19753402061855679"/>
        <n v="0.19875452196382437"/>
        <n v="0.2010904145077721"/>
        <n v="0.19916831168831176"/>
        <n v="0.19913697916666676"/>
        <n v="0.20113107049608361"/>
        <n v="0.2013329842931938"/>
        <n v="0.2002472440944883"/>
        <n v="0.20264394736842109"/>
        <n v="0.20430712401055418"/>
        <n v="0.20455026455026462"/>
        <n v="0.20332705570291787"/>
        <n v="0.20588085106382989"/>
        <n v="0.2041821333333334"/>
        <n v="0.20329117647058831"/>
        <n v="0.2034857908847186"/>
        <n v="0.19981317204301083"/>
        <n v="0.19913450134770894"/>
        <n v="0.19958891891891903"/>
        <n v="0.20123224932249326"/>
        <n v="0.20227581521739138"/>
        <n v="0.20023596730245241"/>
        <n v="0.19697540983606562"/>
        <n v="0.1964405479452056"/>
        <n v="0.1949486263736265"/>
        <n v="0.19486336088154282"/>
        <n v="0.19460276243093935"/>
        <n v="0.19608587257617743"/>
        <n v="0.19971000000000011"/>
        <n v="0.19823370473537619"/>
        <n v="0.19960949720670404"/>
        <n v="0.19876946778711496"/>
        <n v="0.20010000000000014"/>
        <n v="0.20169521126760578"/>
        <n v="0.2061186440677967"/>
        <n v="0.20675694050991508"/>
        <n v="0.20343636363636375"/>
        <n v="0.20221253561253574"/>
        <n v="0.20210142857142871"/>
        <n v="0.2013240687679084"/>
        <n v="0.20153735632183914"/>
        <n v="0.19821095100864564"/>
        <n v="0.19791040462427756"/>
        <n v="0.19744057971014498"/>
        <n v="0.19686511627906983"/>
        <n v="0.19887434402332368"/>
        <n v="0.19983099415204683"/>
        <n v="0.19927653958944289"/>
        <n v="0.19639058823529421"/>
        <n v="0.19630914454277296"/>
        <n v="0.1955251479289942"/>
        <n v="0.20056587537091997"/>
        <n v="0.20213839285714291"/>
        <n v="0.2020328358208956"/>
        <n v="0.20356556886227553"/>
        <n v="0.21208378378378392"/>
        <n v="0.20978132530120489"/>
        <n v="0.21230302114803634"/>
        <n v="0.22045484848484859"/>
        <n v="0.22047173252279645"/>
        <n v="0.2276826219512196"/>
        <n v="0.2271100917431193"/>
        <n v="0.22469815950920252"/>
        <n v="0.22180400000000006"/>
        <n v="0.22053456790123474"/>
        <n v="0.21877678018575866"/>
        <n v="0.21616304347826096"/>
        <n v="0.21661619937694712"/>
        <n v="0.22470656250000012"/>
        <n v="0.22446771159874626"/>
        <n v="0.2248273584905662"/>
        <n v="0.22402902208201908"/>
        <n v="0.225932594936709"/>
        <n v="0.22662571428571443"/>
        <n v="0.22575477707006383"/>
        <n v="0.23035463258785946"/>
        <n v="0.22963717948717965"/>
        <n v="0.22668617363344068"/>
        <n v="0.22263129032258072"/>
        <n v="0.22056084142394833"/>
        <n v="0.22567337662337669"/>
        <n v="0.23003159609120538"/>
        <n v="0.23158235294117666"/>
        <n v="0.23326885245901655"/>
        <n v="0.24177368421052642"/>
        <n v="0.23960627062706277"/>
        <n v="0.23853145695364245"/>
        <n v="0.24021162790697681"/>
        <n v="0.23903500000000014"/>
        <n v="0.24120869565217398"/>
        <n v="0.24163355704697992"/>
        <n v="0.24402727272727284"/>
        <n v="0.24166554054054068"/>
        <n v="0.23917593220338998"/>
        <n v="0.2416782312925172"/>
        <n v="0.24148395904436876"/>
        <n v="0.24204006849315085"/>
        <n v="0.2410343642611685"/>
        <n v="0.23974724137931042"/>
        <n v="0.23735640138408309"/>
        <n v="0.24298333333333341"/>
        <n v="0.24158850174216037"/>
        <n v="0.23711853146853157"/>
        <n v="0.23739824561403516"/>
        <n v="0.23694718309859161"/>
        <n v="0.23669081272084819"/>
        <n v="0.23682198581560293"/>
        <n v="0.23769039145907483"/>
        <n v="0.23837107142857153"/>
        <n v="0.24222401433691768"/>
        <n v="0.23900935251798569"/>
        <n v="0.23942888086642608"/>
        <n v="0.23291268115942021"/>
        <n v="0.235148"/>
        <n v="0.23478868613138679"/>
        <n v="0.23274688644688643"/>
        <n v="0.23164191176470589"/>
        <n v="0.23317933579335795"/>
        <n v="0.2334859259259259"/>
        <n v="0.22639776951672869"/>
        <n v="0.23023992537313437"/>
        <n v="0.22990187265917608"/>
        <n v="0.22740864661654145"/>
        <n v="0.23573094339622644"/>
        <n v="0.22879621212121223"/>
        <n v="0.22832053231939176"/>
        <n v="0.23052519083969478"/>
        <n v="0.23215172413793111"/>
        <n v="0.2323103846153847"/>
        <n v="0.23651814671814675"/>
        <n v="0.23676976744186051"/>
        <n v="0.24321050583657589"/>
        <n v="0.24475781249999998"/>
        <n v="0.24388823529411763"/>
        <n v="0.24067440944881896"/>
        <n v="0.24334664031620556"/>
        <n v="0.24473611111111115"/>
        <n v="0.24444780876494029"/>
        <n v="0.24895799999999998"/>
        <n v="0.24611485943775105"/>
        <n v="0.24363145161290334"/>
        <n v="0.23671943319838065"/>
        <n v="0.23814308943089441"/>
        <n v="0.23701346938775522"/>
        <n v="0.23405860655737717"/>
        <n v="0.23338106995884789"/>
        <n v="0.23608099173553732"/>
        <n v="0.23845518672199181"/>
        <n v="0.23915958333333345"/>
        <n v="0.23922008368200848"/>
        <n v="0.24129201680672283"/>
        <n v="0.23614599156118152"/>
        <n v="0.23420635593220349"/>
        <n v="0.22987531914893627"/>
        <n v="0.23208675213675217"/>
        <n v="0.22905321888412025"/>
        <n v="0.23544568965517246"/>
        <n v="0.24956103896103912"/>
        <n v="0.25387478260869578"/>
        <n v="0.25909650655021843"/>
        <n v="0.24424649122807024"/>
        <n v="0.22981585903083709"/>
        <n v="0.22618849557522128"/>
        <n v="0.2271248888888889"/>
        <n v="0.22504330357142868"/>
        <n v="0.21127713004484303"/>
        <n v="0.21260585585585587"/>
        <n v="0.20273710407239817"/>
        <n v="0.21707363636363636"/>
        <n v="0.22023698630136987"/>
        <n v="0.21429449541284401"/>
        <n v="0.22503271889400925"/>
        <n v="0.21825138888888887"/>
        <n v="0.22223255813953485"/>
        <n v="0.22972009345794395"/>
        <n v="0.23553239436619725"/>
        <n v="0.23623584905660383"/>
        <n v="0.21940758293838861"/>
        <n v="0.21292523809523803"/>
        <n v="0.21796076555023924"/>
        <n v="0.23191442307692306"/>
        <n v="0.23278599033816422"/>
        <n v="0.24401990291262141"/>
        <n v="0.24505951219512198"/>
        <n v="0.25869362745098051"/>
        <n v="0.24797733990147794"/>
        <n v="0.24817722772277237"/>
        <n v="0.2517805970149255"/>
        <n v="0.24148300000000003"/>
        <n v="0.23752412060301506"/>
        <n v="0.23861767676767676"/>
        <n v="0.23914263959390863"/>
        <n v="0.24631836734693877"/>
        <n v="0.24912307692307692"/>
        <n v="0.24547835051546388"/>
        <n v="0.24959481865284971"/>
        <n v="0.23696145833333329"/>
        <n v="0.24285759162303663"/>
        <n v="0.24154736842105262"/>
        <n v="0.24395555555555554"/>
        <n v="0.25295319148936168"/>
        <n v="0.25649946524064171"/>
        <n v="0.25364516129032261"/>
        <n v="0.24933135135135132"/>
        <n v="0.24352717391304343"/>
        <n v="0.23929289617486332"/>
        <n v="0.24758351648351648"/>
        <n v="0.2510646408839779"/>
        <n v="0.25825222222222216"/>
        <n v="0.25704357541899442"/>
        <n v="0.25980617977528092"/>
        <n v="0.26739830508474577"/>
        <n v="0.26707045454545453"/>
        <n v="0.27094571428571429"/>
        <n v="0.28164655172413799"/>
        <n v="0.27545144508670522"/>
        <n v="0.27373313953488376"/>
        <n v="0.26953684210526313"/>
        <n v="0.2746217647058824"/>
        <n v="0.28270946745562126"/>
        <n v="0.27990833333333331"/>
        <n v="0.28895628742514967"/>
        <n v="0.28443373493975904"/>
        <n v="0.28489939393939395"/>
        <n v="0.27995426829268294"/>
        <n v="0.28640920245398771"/>
        <n v="0.28814012345679013"/>
        <n v="0.29502360248447201"/>
        <n v="0.29226562499999997"/>
        <n v="0.29182389937106917"/>
        <n v="0.28220379746835439"/>
        <n v="0.28039745222929935"/>
        <n v="0.2940237179487179"/>
        <n v="0.30032774193548389"/>
        <n v="0.30565649350649349"/>
        <n v="0.30828300653594776"/>
        <n v="0.30983618421052628"/>
        <n v="0.32242185430463577"/>
        <n v="0.32186199999999998"/>
        <n v="0.3073979865771812"/>
        <n v="0.30728783783783781"/>
        <n v="0.30893537414965982"/>
        <n v="0.31020068493150688"/>
        <n v="0.30135793103448272"/>
        <n v="0.31453749999999997"/>
        <n v="0.32246153846153847"/>
        <n v="0.32418661971830987"/>
        <n v="0.32901985815602836"/>
        <n v="0.33137"/>
        <n v="0.33661294964028776"/>
        <n v="0.33976956521739132"/>
        <n v="0.34654525547445258"/>
        <n v="0.34047573529411768"/>
        <n v="0.34299777777777779"/>
        <n v="0.34185895522388055"/>
        <n v="0.34154812030075193"/>
        <n v="0.34007727272727273"/>
        <n v="0.33997633587786258"/>
        <n v="0.33728846153846148"/>
        <n v="0.32788837209302324"/>
        <n v="0.31496249999999998"/>
        <n v="0.31852755905511809"/>
        <n v="0.31705396825396825"/>
        <n v="0.31360319999999997"/>
        <n v="0.3043314516129032"/>
        <n v="0.31173252032520327"/>
        <n v="0.31250163934426228"/>
        <n v="0.30994297520661152"/>
        <n v="0.31605916666666667"/>
        <n v="0.30915714285714285"/>
        <n v="0.31463135593220332"/>
        <n v="0.32067521367521362"/>
        <n v="0.322401724137931"/>
        <n v="0.3182660869565217"/>
        <n v="0.30707280701754391"/>
        <n v="0.3044053097345133"/>
        <n v="0.31351785714285718"/>
        <n v="0.3085198198198198"/>
        <n v="0.31626090909090909"/>
        <n v="0.30139908256880732"/>
        <n v="0.29548055555555552"/>
        <n v="0.30000747663551403"/>
        <n v="0.30308207547169819"/>
        <n v="0.28716857142857144"/>
        <n v="0.28305673076923077"/>
        <n v="0.27898834951456303"/>
        <n v="0.27582254901960779"/>
        <n v="0.2919316831683168"/>
        <n v="0.27994099999999994"/>
        <n v="0.25366767676767676"/>
        <n v="0.25297142857142857"/>
        <n v="0.24219896907216493"/>
        <n v="0.20604479166666659"/>
        <n v="0.2349484210526315"/>
        <n v="0.2152393617021276"/>
        <n v="0.2728967741935483"/>
        <n v="0.28414130434782603"/>
        <n v="0.27672857142857138"/>
        <n v="0.29531999999999997"/>
        <n v="0.33469887640449436"/>
        <n v="0.32288636363636358"/>
        <n v="0.33343563218390793"/>
        <n v="0.31543720930232544"/>
        <n v="0.33614823529411758"/>
        <n v="0.33476071428571419"/>
        <n v="0.35818915662650597"/>
        <n v="0.33956341463414624"/>
        <n v="0.35090864197530858"/>
        <n v="0.33042624999999998"/>
        <n v="0.30963544303797463"/>
        <n v="0.32119230769230761"/>
        <n v="0.28967402597402586"/>
        <n v="0.30313157894736836"/>
        <n v="0.34773466666666664"/>
        <n v="0.36325810810810799"/>
        <n v="0.35171095890410953"/>
        <n v="0.3705666666666666"/>
        <n v="0.38038169014084489"/>
        <n v="0.37564714285714279"/>
        <n v="0.35300144927536226"/>
        <n v="0.36195882352941172"/>
        <n v="0.35478059701492531"/>
        <n v="0.34010454545454538"/>
        <n v="0.34095999999999993"/>
        <n v="0.35175312499999994"/>
        <n v="0.35910634920634915"/>
        <n v="0.36754193548387093"/>
        <n v="0.37302131147540979"/>
        <n v="0.3851033333333333"/>
        <n v="0.38422881355932198"/>
        <n v="0.384708620689655"/>
        <n v="0.36969473684210519"/>
        <n v="0.36297499999999988"/>
        <n v="0.38552727272727261"/>
        <n v="0.37618888888888874"/>
        <n v="0.37343396226415076"/>
        <n v="0.37213461538461529"/>
        <n v="0.36996666666666655"/>
        <n v="0.31687799999999988"/>
        <n v="0.3245224489795917"/>
        <n v="0.32605208333333319"/>
        <n v="0.39924255319148932"/>
        <n v="0.42040434782608688"/>
        <n v="0.43634222222222208"/>
        <n v="0.43729090909090901"/>
        <n v="0.42816279069767438"/>
        <n v="0.40416190476190461"/>
        <n v="0.41385609756097541"/>
        <n v="0.41847249999999986"/>
        <n v="0.4218435897435896"/>
        <n v="0.37052368421052617"/>
        <n v="0.38083243243243226"/>
        <n v="0.37218055555555546"/>
        <n v="0.38120285714285707"/>
        <n v="0.39553823529411747"/>
        <n v="0.37188181818181815"/>
        <n v="0.24857500000000005"/>
        <n v="0.30408387096774186"/>
        <n v="0.20452000000000001"/>
        <n v="0.11967931034482754"/>
        <n v="0.12507857142857143"/>
        <n v="-3.192962962962969E-2"/>
        <n v="-0.11593461538461539"/>
        <n v="-9.1544000000000014E-2"/>
        <n v="0.34537916666666663"/>
        <n v="0.47588260869565202"/>
        <n v="0.26120909090909089"/>
        <n v="0.19104761904761908"/>
        <n v="0.44686999999999999"/>
        <n v="0.18811052631578948"/>
        <n v="0.2028777777777778"/>
        <n v="0.17210588235294119"/>
        <n v="0.16986875000000004"/>
        <n v="0.32268666666666662"/>
        <n v="0.2491142857142857"/>
        <n v="0.4947538461538461"/>
        <n v="0.29225000000000001"/>
        <n v="0.27386363636363636"/>
        <n v="0.14091999999999999"/>
        <n v="7.3033333333333297E-2"/>
        <n v="6.4712499999999992E-2"/>
        <n v="4.2985714285714259E-2"/>
        <n v="1.9566666666666659E-2"/>
        <n v="-0.59309999999999996"/>
        <n v="-0.51739999999999997"/>
        <n v="0.36699999999999999"/>
        <n v="0.17239999999999994"/>
        <n v="1.2829999999999999"/>
      </sharedItems>
    </cacheField>
    <cacheField name="Total Volume" numFmtId="1">
      <sharedItems containsSemiMixedTypes="0" containsString="0" containsNumber="1" containsInteger="1" minValue="135914" maxValue="5008781"/>
    </cacheField>
    <cacheField name="Maximum Price" numFmtId="0">
      <sharedItems containsSemiMixedTypes="0" containsString="0" containsNumber="1" minValue="5210.3999000000003" maxValue="5586.2002000000002"/>
    </cacheField>
    <cacheField name="Minimum Price" numFmtId="0">
      <sharedItems containsSemiMixedTypes="0" containsString="0" containsNumber="1" minValue="1615.1" maxValue="5021.2002000000002"/>
    </cacheField>
    <cacheField name="Matched Close Price" numFmtId="0">
      <sharedItems containsSemiMixedTypes="0" containsString="0" containsNumber="1" minValue="1620.4" maxValue="5415.7002000000002"/>
    </cacheField>
    <cacheField name="Number of Up Days" numFmtId="0">
      <sharedItems containsSemiMixedTypes="0" containsString="0" containsNumber="1" containsInteger="1" minValue="1" maxValue="505"/>
    </cacheField>
    <cacheField name="Total Volume on Up Days" numFmtId="0">
      <sharedItems containsSemiMixedTypes="0" containsString="0" containsNumber="1" containsInteger="1" minValue="135914" maxValue="1673232"/>
    </cacheField>
    <cacheField name="Formatted Date" numFmtId="0">
      <sharedItems/>
    </cacheField>
    <cacheField name="Close Price Lookup" numFmtId="0">
      <sharedItems containsSemiMixedTypes="0" containsString="0" containsNumber="1" minValue="1620.4" maxValue="5415.7002000000002"/>
    </cacheField>
    <cacheField name="Date Position" numFmtId="0">
      <sharedItems containsSemiMixedTypes="0" containsString="0" containsNumber="1" containsInteger="1" minValue="1" maxValue="1"/>
    </cacheField>
    <cacheField name="Extract Year" numFmtId="0">
      <sharedItems containsSemiMixedTypes="0" containsString="0" containsNumber="1" containsInteger="1" minValue="2021" maxValue="2026"/>
    </cacheField>
    <cacheField name="Rounded Return" numFmtId="2">
      <sharedItems containsSemiMixedTypes="0" containsString="0" containsNumber="1" minValue="-10.58" maxValue="5.36"/>
    </cacheField>
    <cacheField name="Up Trend Data" numFmtId="0">
      <sharedItems containsString="0" containsBlank="1" containsNumber="1" containsInteger="1" minValue="44392" maxValue="44417"/>
    </cacheField>
    <cacheField name="Months (Date)" numFmtId="0" databaseField="0">
      <fieldGroup base="0">
        <rangePr groupBy="months" startDate="2021-07-15T00:00:00" endDate="2026-03-10T00:00:00"/>
        <groupItems count="14">
          <s v="&lt;15-07-2021"/>
          <s v="Jan"/>
          <s v="Feb"/>
          <s v="Mar"/>
          <s v="Apr"/>
          <s v="May"/>
          <s v="Jun"/>
          <s v="Jul"/>
          <s v="Aug"/>
          <s v="Sep"/>
          <s v="Oct"/>
          <s v="Nov"/>
          <s v="Dec"/>
          <s v="&gt;10-03-2026"/>
        </groupItems>
      </fieldGroup>
    </cacheField>
    <cacheField name="Quarters (Date)" numFmtId="0" databaseField="0">
      <fieldGroup base="0">
        <rangePr groupBy="quarters" startDate="2021-07-15T00:00:00" endDate="2026-03-10T00:00:00"/>
        <groupItems count="6">
          <s v="&lt;15-07-2021"/>
          <s v="Qtr1"/>
          <s v="Qtr2"/>
          <s v="Qtr3"/>
          <s v="Qtr4"/>
          <s v="&gt;10-03-2026"/>
        </groupItems>
      </fieldGroup>
    </cacheField>
    <cacheField name="Years (Date)" numFmtId="0" databaseField="0">
      <fieldGroup base="0">
        <rangePr groupBy="years" startDate="2021-07-15T00:00:00" endDate="2026-03-10T00:00:00"/>
        <groupItems count="8">
          <s v="&lt;15-07-2021"/>
          <s v="2021"/>
          <s v="2022"/>
          <s v="2023"/>
          <s v="2024"/>
          <s v="2025"/>
          <s v="2026"/>
          <s v="&gt;10-03-2026"/>
        </groupItems>
      </fieldGroup>
    </cacheField>
  </cacheFields>
  <extLst>
    <ext xmlns:x14="http://schemas.microsoft.com/office/spreadsheetml/2009/9/main" uri="{725AE2AE-9491-48be-B2B4-4EB974FC3084}">
      <x14:pivotCacheDefinition pivotCacheId="26750110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69">
  <r>
    <x v="0"/>
    <n v="1828.4"/>
    <n v="1833"/>
    <n v="1823.4"/>
    <n v="1831.6"/>
    <n v="99"/>
    <n v="1807.8143"/>
    <n v="1821.03"/>
    <n v="1794.8378"/>
    <x v="0"/>
    <n v="0.3921"/>
    <n v="0.9204"/>
    <n v="77.025599999999997"/>
    <n v="-5.6307"/>
    <n v="-12.2447"/>
    <n v="1825.2034000000001"/>
    <n v="1753.8266000000001"/>
    <x v="0"/>
    <x v="0"/>
    <x v="0"/>
    <n v="5008781"/>
    <n v="5586.2002000000002"/>
    <n v="1615.1"/>
    <n v="1831.6"/>
    <n v="505"/>
    <n v="1673232"/>
    <s v="15-Jul-2021"/>
    <n v="1831.6"/>
    <n v="1"/>
    <n v="2021"/>
    <n v="1.02"/>
    <n v="44392"/>
  </r>
  <r>
    <x v="1"/>
    <n v="1814.5"/>
    <n v="1831.4"/>
    <n v="1814.5"/>
    <n v="1830.1"/>
    <n v="78"/>
    <n v="1812.3"/>
    <n v="1818.4067"/>
    <n v="1796.4367"/>
    <x v="1"/>
    <n v="0.39429999999999998"/>
    <n v="0.91290000000000004"/>
    <n v="76.789400000000001"/>
    <n v="-3.1756000000000002"/>
    <n v="-10.430899999999999"/>
    <n v="1829.3189"/>
    <n v="1751.5409999999999"/>
    <x v="0"/>
    <x v="0"/>
    <x v="1"/>
    <n v="5008682"/>
    <n v="5586.2002000000002"/>
    <n v="1615.1"/>
    <n v="1830.1"/>
    <n v="504"/>
    <n v="1673133"/>
    <s v="16-Jul-2021"/>
    <n v="1830.1"/>
    <n v="1"/>
    <n v="2021"/>
    <n v="-0.08"/>
    <n v="44393"/>
  </r>
  <r>
    <x v="2"/>
    <n v="1808.7"/>
    <n v="1813.4"/>
    <n v="1803.3"/>
    <n v="1803.3"/>
    <n v="33"/>
    <n v="1813.2"/>
    <n v="1816.2067"/>
    <n v="1797.4332999999999"/>
    <x v="2"/>
    <n v="0.76160000000000005"/>
    <n v="0.87460000000000004"/>
    <n v="59.657699999999998"/>
    <n v="-3.3538000000000001"/>
    <n v="-9.0153999999999996"/>
    <n v="1830.4561000000001"/>
    <n v="1753.1639"/>
    <x v="1"/>
    <x v="1"/>
    <x v="2"/>
    <n v="5008604"/>
    <n v="5586.2002000000002"/>
    <n v="1615.1"/>
    <n v="1803.3"/>
    <n v="503"/>
    <n v="1673055"/>
    <s v="19-Jul-2021"/>
    <n v="1803.3"/>
    <n v="1"/>
    <n v="2021"/>
    <n v="-1.46"/>
    <n v="44397"/>
  </r>
  <r>
    <x v="3"/>
    <n v="1810.9"/>
    <n v="1824"/>
    <n v="1810.9"/>
    <n v="1812.9"/>
    <n v="128"/>
    <n v="1814.5286000000001"/>
    <n v="1813.62"/>
    <n v="1798.4032999999999"/>
    <x v="3"/>
    <n v="0.77539999999999998"/>
    <n v="0.85160000000000002"/>
    <n v="63.938200000000002"/>
    <n v="-2.6894"/>
    <n v="-7.7502000000000004"/>
    <n v="1832.1623999999999"/>
    <n v="1755.8675000000001"/>
    <x v="0"/>
    <x v="1"/>
    <x v="3"/>
    <n v="5008571"/>
    <n v="5586.2002000000002"/>
    <n v="1615.1"/>
    <n v="1812.9"/>
    <n v="503"/>
    <n v="1673055"/>
    <s v="20-Jul-2021"/>
    <n v="1812.9"/>
    <n v="1"/>
    <n v="2021"/>
    <n v="0.53"/>
    <n v="44398"/>
  </r>
  <r>
    <x v="4"/>
    <n v="1802.9"/>
    <n v="1807"/>
    <n v="1800"/>
    <n v="1807"/>
    <n v="135"/>
    <n v="1815.1570999999999"/>
    <n v="1810.6367"/>
    <n v="1799.4156"/>
    <x v="4"/>
    <n v="0.78969999999999996"/>
    <n v="0.84789999999999999"/>
    <n v="69.173000000000002"/>
    <n v="-2.6088"/>
    <n v="-6.7220000000000004"/>
    <n v="1833.4197999999999"/>
    <n v="1756.9701"/>
    <x v="0"/>
    <x v="1"/>
    <x v="4"/>
    <n v="5008443"/>
    <n v="5586.2002000000002"/>
    <n v="1615.1"/>
    <n v="1807"/>
    <n v="502"/>
    <n v="1672927"/>
    <s v="21-Jul-2021"/>
    <n v="1807"/>
    <n v="1"/>
    <n v="2021"/>
    <n v="-0.33"/>
    <n v="44403"/>
  </r>
  <r>
    <x v="5"/>
    <n v="1805"/>
    <n v="1805"/>
    <n v="1793.6"/>
    <n v="1793.6"/>
    <n v="2"/>
    <n v="1813.0857000000001"/>
    <n v="1807.26"/>
    <n v="1800.1278"/>
    <x v="5"/>
    <n v="0.82869999999999999"/>
    <n v="0.85440000000000005"/>
    <n v="57.552799999999998"/>
    <n v="-3.585"/>
    <n v="-6.0945999999999998"/>
    <n v="1833.4656"/>
    <n v="1758.2143000000001"/>
    <x v="1"/>
    <x v="1"/>
    <x v="5"/>
    <n v="5008308"/>
    <n v="5586.2002000000002"/>
    <n v="1615.1"/>
    <n v="1793.6"/>
    <n v="501"/>
    <n v="1672792"/>
    <s v="22-Jul-2021"/>
    <n v="1793.6"/>
    <n v="1"/>
    <n v="2021"/>
    <n v="-0.74"/>
    <n v="44404"/>
  </r>
  <r>
    <x v="6"/>
    <n v="1801.4"/>
    <n v="1801.4"/>
    <n v="1800"/>
    <n v="1800"/>
    <n v="1"/>
    <n v="1811.2143000000001"/>
    <n v="1804.3367000000001"/>
    <n v="1800.88"/>
    <x v="6"/>
    <n v="0.83550000000000002"/>
    <n v="0.85899999999999999"/>
    <n v="58.736699999999999"/>
    <n v="-3.7982999999999998"/>
    <n v="-5.6353"/>
    <n v="1833.6949"/>
    <n v="1760.0951"/>
    <x v="1"/>
    <x v="1"/>
    <x v="6"/>
    <n v="5008306"/>
    <n v="5586.2002000000002"/>
    <n v="1615.1"/>
    <n v="1800"/>
    <n v="501"/>
    <n v="1672792"/>
    <s v="23-Jul-2021"/>
    <n v="1800"/>
    <n v="1"/>
    <n v="2021"/>
    <n v="0.36"/>
    <n v="44407"/>
  </r>
  <r>
    <x v="7"/>
    <n v="1798.7"/>
    <n v="1802.5"/>
    <n v="1797.2"/>
    <n v="1802.5"/>
    <n v="17"/>
    <n v="1807.0571"/>
    <n v="1801.0567000000001"/>
    <n v="1801.6267"/>
    <x v="7"/>
    <n v="0.69259999999999999"/>
    <n v="0.8458"/>
    <n v="56.786999999999999"/>
    <n v="-3.7227999999999999"/>
    <n v="-5.2527999999999997"/>
    <n v="1833.8674000000001"/>
    <n v="1762.4025999999999"/>
    <x v="0"/>
    <x v="1"/>
    <x v="7"/>
    <n v="5008305"/>
    <n v="5586.2002000000002"/>
    <n v="1615.1"/>
    <n v="1802.5"/>
    <n v="501"/>
    <n v="1672792"/>
    <s v="26-Jul-2021"/>
    <n v="1802.5"/>
    <n v="1"/>
    <n v="2021"/>
    <n v="0.14000000000000001"/>
    <n v="44411"/>
  </r>
  <r>
    <x v="8"/>
    <n v="1799.5"/>
    <n v="1803.7"/>
    <n v="1799.5"/>
    <n v="1803.7"/>
    <n v="1"/>
    <n v="1803.2856999999999"/>
    <n v="1798.9733000000001"/>
    <n v="1802.27"/>
    <x v="8"/>
    <n v="0.7"/>
    <n v="0.78680000000000005"/>
    <n v="52.367400000000004"/>
    <n v="-3.5253999999999999"/>
    <n v="-4.9073000000000002"/>
    <n v="1834.0515"/>
    <n v="1764.6285"/>
    <x v="0"/>
    <x v="1"/>
    <x v="8"/>
    <n v="5008288"/>
    <n v="5586.2002000000002"/>
    <n v="1615.1"/>
    <n v="1803.7"/>
    <n v="500"/>
    <n v="1672775"/>
    <s v="27-Jul-2021"/>
    <n v="1803.7"/>
    <n v="1"/>
    <n v="2021"/>
    <n v="7.0000000000000007E-2"/>
    <n v="44413"/>
  </r>
  <r>
    <x v="9"/>
    <n v="1799.5"/>
    <n v="1799.5"/>
    <n v="1799.5"/>
    <n v="1799.5"/>
    <n v="209783"/>
    <n v="1802.7429"/>
    <n v="1796.7433000000001"/>
    <n v="1802.9067"/>
    <x v="9"/>
    <n v="0.43559999999999999"/>
    <n v="0.78680000000000005"/>
    <n v="51.156300000000002"/>
    <n v="-3.6657000000000002"/>
    <n v="-4.6589999999999998"/>
    <n v="1833.5281"/>
    <n v="1767.4218000000001"/>
    <x v="1"/>
    <x v="1"/>
    <x v="9"/>
    <n v="5008287"/>
    <n v="5586.2002000000002"/>
    <n v="1615.1"/>
    <n v="1799.5"/>
    <n v="499"/>
    <n v="1672774"/>
    <s v="28-Jul-2021"/>
    <n v="1799.5"/>
    <n v="1"/>
    <n v="2021"/>
    <n v="-0.23"/>
    <n v="44414"/>
  </r>
  <r>
    <x v="10"/>
    <n v="1831.2"/>
    <n v="1832.6"/>
    <n v="1806.1"/>
    <n v="1806.6"/>
    <n v="30496"/>
    <n v="1801.8427999999999"/>
    <n v="1794.9833000000001"/>
    <n v="1803.6711"/>
    <x v="10"/>
    <n v="0.40820000000000001"/>
    <n v="0.79069999999999996"/>
    <n v="51.3812"/>
    <n v="-3.1674000000000002"/>
    <n v="-4.3606999999999996"/>
    <n v="1830.1766"/>
    <n v="1775.3234"/>
    <x v="1"/>
    <x v="1"/>
    <x v="10"/>
    <n v="4798504"/>
    <n v="5586.2002000000002"/>
    <n v="1615.1"/>
    <n v="1806.6"/>
    <n v="499"/>
    <n v="1672774"/>
    <s v="29-Jul-2021"/>
    <n v="1806.6"/>
    <n v="1"/>
    <n v="2021"/>
    <n v="0.39"/>
    <n v="44417"/>
  </r>
  <r>
    <x v="11"/>
    <n v="1812.6"/>
    <n v="1830.5"/>
    <n v="1808.9"/>
    <n v="1828"/>
    <n v="3100"/>
    <n v="1804.8427999999999"/>
    <n v="1795.5233000000001"/>
    <n v="1804.8189"/>
    <x v="11"/>
    <n v="0.59430000000000005"/>
    <n v="0.67490000000000006"/>
    <n v="59.844999999999999"/>
    <n v="-1.0338000000000001"/>
    <n v="-3.6953"/>
    <n v="1831.8905999999999"/>
    <n v="1778.8394000000001"/>
    <x v="0"/>
    <x v="1"/>
    <x v="11"/>
    <n v="4768008"/>
    <n v="5586.2002000000002"/>
    <n v="1615.1"/>
    <n v="1828"/>
    <n v="499"/>
    <n v="1672774"/>
    <s v="30-Jul-2021"/>
    <n v="1828"/>
    <n v="1"/>
    <n v="2021"/>
    <n v="1.18"/>
    <m/>
  </r>
  <r>
    <x v="12"/>
    <n v="1818.1"/>
    <n v="1818.7"/>
    <n v="1804.8"/>
    <n v="1812.4"/>
    <n v="1334"/>
    <n v="1807.5286000000001"/>
    <n v="1796.7466999999999"/>
    <n v="1805.7621999999999"/>
    <x v="12"/>
    <n v="0.62360000000000004"/>
    <n v="0.58279999999999998"/>
    <n v="51.545699999999997"/>
    <n v="-0.59489999999999998"/>
    <n v="-3.0752000000000002"/>
    <n v="1830.5527999999999"/>
    <n v="1783.5472"/>
    <x v="1"/>
    <x v="1"/>
    <x v="12"/>
    <n v="4764908"/>
    <n v="5586.2002000000002"/>
    <n v="1615.1"/>
    <n v="1812.4"/>
    <n v="498"/>
    <n v="1669674"/>
    <s v="02-Aug-2021"/>
    <n v="1812.4"/>
    <n v="1"/>
    <n v="2021"/>
    <n v="-0.85"/>
    <m/>
  </r>
  <r>
    <x v="13"/>
    <n v="1810.1"/>
    <n v="1813.5"/>
    <n v="1806"/>
    <n v="1812.3"/>
    <n v="3341"/>
    <n v="1809.2856999999999"/>
    <n v="1798.1967"/>
    <n v="1806.6467"/>
    <x v="13"/>
    <n v="0.61870000000000003"/>
    <n v="0.5766"/>
    <n v="49.701999999999998"/>
    <n v="-0.25209999999999999"/>
    <n v="-2.5106000000000002"/>
    <n v="1829.873"/>
    <n v="1786.787"/>
    <x v="0"/>
    <x v="1"/>
    <x v="13"/>
    <n v="4763574"/>
    <n v="5586.2002000000002"/>
    <n v="1615.1"/>
    <n v="1812.3"/>
    <n v="498"/>
    <n v="1669674"/>
    <s v="03-Aug-2021"/>
    <n v="1812.3"/>
    <n v="1"/>
    <n v="2021"/>
    <n v="-0.01"/>
    <m/>
  </r>
  <r>
    <x v="14"/>
    <n v="1810.5"/>
    <n v="1831.3"/>
    <n v="1806.3"/>
    <n v="1809.3"/>
    <n v="2860"/>
    <n v="1810.2571"/>
    <n v="1799.06"/>
    <n v="1807.6243999999999"/>
    <x v="14"/>
    <n v="0.62609999999999999"/>
    <n v="0.56069999999999998"/>
    <n v="40.6066"/>
    <n v="-0.22009999999999999"/>
    <n v="-2.0525000000000002"/>
    <n v="1829.9217000000001"/>
    <n v="1787.7982999999999"/>
    <x v="1"/>
    <x v="1"/>
    <x v="14"/>
    <n v="4760233"/>
    <n v="5586.2002000000002"/>
    <n v="1615.1"/>
    <n v="1809.3"/>
    <n v="497"/>
    <n v="1666333"/>
    <s v="04-Aug-2021"/>
    <n v="1809.3"/>
    <n v="1"/>
    <n v="2021"/>
    <n v="-0.17"/>
    <m/>
  </r>
  <r>
    <x v="15"/>
    <n v="1805.1"/>
    <n v="1813.7"/>
    <n v="1796"/>
    <n v="1810.8"/>
    <n v="588"/>
    <n v="1811.2714000000001"/>
    <n v="1800.0633"/>
    <n v="1808.7211"/>
    <x v="15"/>
    <n v="0.62609999999999999"/>
    <n v="0.5595"/>
    <n v="41.8703"/>
    <n v="-7.2800000000000004E-2"/>
    <n v="-1.6566000000000001"/>
    <n v="1829.8667"/>
    <n v="1789.2333000000001"/>
    <x v="0"/>
    <x v="1"/>
    <x v="15"/>
    <n v="4757373"/>
    <n v="5586.2002000000002"/>
    <n v="1615.1"/>
    <n v="1810.8"/>
    <n v="497"/>
    <n v="1666333"/>
    <s v="05-Aug-2021"/>
    <n v="1810.8"/>
    <n v="1"/>
    <n v="2021"/>
    <n v="0.08"/>
    <m/>
  </r>
  <r>
    <x v="16"/>
    <n v="1760"/>
    <n v="1800.1"/>
    <n v="1758.4"/>
    <n v="1799.8"/>
    <n v="859"/>
    <n v="1811.3143"/>
    <n v="1800.76"/>
    <n v="1809.7077999999999"/>
    <x v="16"/>
    <n v="0.66959999999999997"/>
    <n v="0.57189999999999996"/>
    <n v="48.299300000000002"/>
    <n v="-0.83399999999999996"/>
    <n v="-1.4921"/>
    <n v="1829.9798000000001"/>
    <n v="1788.7402"/>
    <x v="0"/>
    <x v="1"/>
    <x v="16"/>
    <n v="4756785"/>
    <n v="5586.2002000000002"/>
    <n v="1615.1"/>
    <n v="1799.8"/>
    <n v="496"/>
    <n v="1665745"/>
    <s v="06-Aug-2021"/>
    <n v="1799.8"/>
    <n v="1"/>
    <n v="2021"/>
    <n v="-0.61"/>
    <m/>
  </r>
  <r>
    <x v="17"/>
    <n v="1723.4"/>
    <n v="1753.8"/>
    <n v="1692.6"/>
    <n v="1753.5"/>
    <n v="1621"/>
    <n v="1803.7285999999999"/>
    <n v="1799.9532999999999"/>
    <n v="1810.4833000000001"/>
    <x v="17"/>
    <n v="1.1489"/>
    <n v="0.74490000000000001"/>
    <n v="28.724900000000002"/>
    <n v="-5.1143999999999998"/>
    <n v="-2.2164999999999999"/>
    <n v="1839.2637999999999"/>
    <n v="1774.5462"/>
    <x v="0"/>
    <x v="2"/>
    <x v="17"/>
    <n v="4755926"/>
    <n v="5586.2002000000002"/>
    <n v="1615.1"/>
    <n v="1753.5"/>
    <n v="495"/>
    <n v="1664886"/>
    <s v="09-Aug-2021"/>
    <n v="1753.5"/>
    <n v="1"/>
    <n v="2021"/>
    <n v="-2.57"/>
    <m/>
  </r>
  <r>
    <x v="18"/>
    <n v="1728.8"/>
    <n v="1735.2"/>
    <n v="1720.1"/>
    <n v="1728.6"/>
    <n v="1363"/>
    <n v="1789.5286000000001"/>
    <n v="1798.2533000000001"/>
    <n v="1810.7256"/>
    <x v="18"/>
    <n v="0.94679999999999997"/>
    <n v="0.78539999999999999"/>
    <n v="25.2837"/>
    <n v="-10.396000000000001"/>
    <n v="-3.8523999999999998"/>
    <n v="1850.5864999999999"/>
    <n v="1755.2735"/>
    <x v="1"/>
    <x v="2"/>
    <x v="18"/>
    <n v="4754305"/>
    <n v="5586.2002000000002"/>
    <n v="1615.1"/>
    <n v="1728.6"/>
    <n v="494"/>
    <n v="1663265"/>
    <s v="10-Aug-2021"/>
    <n v="1728.6"/>
    <n v="1"/>
    <n v="2021"/>
    <n v="-1.42"/>
    <m/>
  </r>
  <r>
    <x v="19"/>
    <n v="1750.4"/>
    <n v="1752.2"/>
    <n v="1727.3"/>
    <n v="1727.3"/>
    <n v="542"/>
    <n v="1777.3715"/>
    <n v="1796.6033"/>
    <n v="1810.7189000000001"/>
    <x v="19"/>
    <n v="0.98340000000000005"/>
    <n v="0.7853"/>
    <n v="27.372"/>
    <n v="-14.519299999999999"/>
    <n v="-5.9858000000000002"/>
    <n v="1856.7438999999999"/>
    <n v="1740.5361"/>
    <x v="1"/>
    <x v="2"/>
    <x v="19"/>
    <n v="4752942"/>
    <n v="5586.2002000000002"/>
    <n v="1615.1"/>
    <n v="1727.3"/>
    <n v="494"/>
    <n v="1663265"/>
    <s v="11-Aug-2021"/>
    <n v="1727.3"/>
    <n v="1"/>
    <n v="2021"/>
    <n v="-0.08"/>
    <m/>
  </r>
  <r>
    <x v="20"/>
    <n v="1749"/>
    <n v="1752.4"/>
    <n v="1745.5"/>
    <n v="1749.7"/>
    <n v="739"/>
    <n v="1768.4286"/>
    <n v="1796.2233000000001"/>
    <n v="1810.9721999999999"/>
    <x v="20"/>
    <n v="1.2257"/>
    <n v="0.80989999999999995"/>
    <n v="34.523000000000003"/>
    <n v="-15.7974"/>
    <n v="-7.9481000000000002"/>
    <n v="1854.3864000000001"/>
    <n v="1734.7036000000001"/>
    <x v="0"/>
    <x v="1"/>
    <x v="20"/>
    <n v="4752400"/>
    <n v="5586.2002000000002"/>
    <n v="1615.1"/>
    <n v="1749.7"/>
    <n v="494"/>
    <n v="1663265"/>
    <s v="12-Aug-2021"/>
    <n v="1749.7"/>
    <n v="1"/>
    <n v="2021"/>
    <n v="1.3"/>
    <m/>
  </r>
  <r>
    <x v="21"/>
    <n v="1775.2"/>
    <n v="1777.3"/>
    <n v="1757.4"/>
    <n v="1758.3"/>
    <n v="436"/>
    <n v="1761.1429000000001"/>
    <n v="1795.6433"/>
    <n v="1811.1456000000001"/>
    <x v="21"/>
    <n v="1.2790999999999999"/>
    <n v="0.80010000000000003"/>
    <n v="36.892099999999999"/>
    <n v="-15.932700000000001"/>
    <n v="-9.5449999999999999"/>
    <n v="1850.4290000000001"/>
    <n v="1731.481"/>
    <x v="1"/>
    <x v="1"/>
    <x v="21"/>
    <n v="4751661"/>
    <n v="5586.2002000000002"/>
    <n v="1615.1"/>
    <n v="1758.3"/>
    <n v="493"/>
    <n v="1662526"/>
    <s v="13-Aug-2021"/>
    <n v="1758.3"/>
    <n v="1"/>
    <n v="2021"/>
    <n v="0.49"/>
    <m/>
  </r>
  <r>
    <x v="22"/>
    <n v="1786.9"/>
    <n v="1787.8"/>
    <n v="1771.9"/>
    <n v="1776.9"/>
    <n v="219"/>
    <n v="1756.3"/>
    <n v="1795.5833"/>
    <n v="1811.6"/>
    <x v="22"/>
    <n v="1.3888"/>
    <n v="0.82379999999999998"/>
    <n v="42.795699999999997"/>
    <n v="-14.3734"/>
    <n v="-10.5107"/>
    <n v="1849.1271999999999"/>
    <n v="1730.1428000000001"/>
    <x v="1"/>
    <x v="1"/>
    <x v="22"/>
    <n v="4751225"/>
    <n v="5586.2002000000002"/>
    <n v="1615.1"/>
    <n v="1776.9"/>
    <n v="493"/>
    <n v="1662526"/>
    <s v="16-Aug-2021"/>
    <n v="1776.9"/>
    <n v="1"/>
    <n v="2021"/>
    <n v="1.06"/>
    <m/>
  </r>
  <r>
    <x v="23"/>
    <n v="1785"/>
    <n v="1794.2"/>
    <n v="1780"/>
    <n v="1787.7"/>
    <n v="200"/>
    <n v="1754.5714"/>
    <n v="1795.6167"/>
    <n v="1812.01"/>
    <x v="23"/>
    <n v="1.4140999999999999"/>
    <n v="0.82720000000000005"/>
    <n v="46.936599999999999"/>
    <n v="-12.126300000000001"/>
    <n v="-10.8338"/>
    <n v="1846.8513"/>
    <n v="1729.8987"/>
    <x v="0"/>
    <x v="1"/>
    <x v="23"/>
    <n v="4751006"/>
    <n v="5586.2002000000002"/>
    <n v="1615.1"/>
    <n v="1787.7"/>
    <n v="493"/>
    <n v="1662526"/>
    <s v="17-Aug-2021"/>
    <n v="1787.7"/>
    <n v="1"/>
    <n v="2021"/>
    <n v="0.61"/>
    <m/>
  </r>
  <r>
    <x v="24"/>
    <n v="1781.6"/>
    <n v="1791.5"/>
    <n v="1779"/>
    <n v="1787.8"/>
    <n v="263"/>
    <n v="1759.4713999999999"/>
    <n v="1795.2533000000001"/>
    <n v="1812.5322000000001"/>
    <x v="24"/>
    <n v="0.90210000000000001"/>
    <n v="0.81759999999999999"/>
    <n v="44.935400000000001"/>
    <n v="-10.2197"/>
    <n v="-10.711"/>
    <n v="1845.2304999999999"/>
    <n v="1729.5995"/>
    <x v="0"/>
    <x v="1"/>
    <x v="24"/>
    <n v="4750806"/>
    <n v="5586.2002000000002"/>
    <n v="1615.1"/>
    <n v="1787.8"/>
    <n v="492"/>
    <n v="1662326"/>
    <s v="18-Aug-2021"/>
    <n v="1787.8"/>
    <n v="1"/>
    <n v="2021"/>
    <n v="0.01"/>
    <m/>
  </r>
  <r>
    <x v="25"/>
    <n v="1780.2"/>
    <n v="1789.3"/>
    <n v="1775.5"/>
    <n v="1780"/>
    <n v="245"/>
    <n v="1766.8143"/>
    <n v="1794.6867"/>
    <n v="1813.0455999999999"/>
    <x v="25"/>
    <n v="0.628"/>
    <n v="0.82110000000000005"/>
    <n v="36.046500000000002"/>
    <n v="-9.2316000000000003"/>
    <n v="-10.415100000000001"/>
    <n v="1844.5641000000001"/>
    <n v="1728.9059"/>
    <x v="1"/>
    <x v="1"/>
    <x v="25"/>
    <n v="4750543"/>
    <n v="5586.2002000000002"/>
    <n v="1615.1"/>
    <n v="1780"/>
    <n v="491"/>
    <n v="1662063"/>
    <s v="19-Aug-2021"/>
    <n v="1780"/>
    <n v="1"/>
    <n v="2021"/>
    <n v="-0.44"/>
    <m/>
  </r>
  <r>
    <x v="26"/>
    <n v="1781"/>
    <n v="1787.5"/>
    <n v="1778.2"/>
    <n v="1784.1"/>
    <n v="235"/>
    <n v="1774.9286"/>
    <n v="1794.0367000000001"/>
    <n v="1813.5210999999999"/>
    <x v="26"/>
    <n v="0.59760000000000002"/>
    <n v="0.81920000000000004"/>
    <n v="41.183799999999998"/>
    <n v="-8.0251999999999999"/>
    <n v="-9.9370999999999992"/>
    <n v="1843.4375"/>
    <n v="1728.4425000000001"/>
    <x v="0"/>
    <x v="1"/>
    <x v="26"/>
    <n v="4750298"/>
    <n v="5586.2002000000002"/>
    <n v="1615.1"/>
    <n v="1784.1"/>
    <n v="491"/>
    <n v="1662063"/>
    <s v="20-Aug-2021"/>
    <n v="1784.1"/>
    <n v="1"/>
    <n v="2021"/>
    <n v="0.23"/>
    <m/>
  </r>
  <r>
    <x v="27"/>
    <n v="1803.2"/>
    <n v="1804.8"/>
    <n v="1776.8"/>
    <n v="1776.8"/>
    <n v="32"/>
    <n v="1778.8"/>
    <n v="1793.1767"/>
    <n v="1813.9289000000001"/>
    <x v="27"/>
    <n v="0.54749999999999999"/>
    <n v="0.82210000000000005"/>
    <n v="39.415599999999998"/>
    <n v="-7.5709"/>
    <n v="-9.4639000000000006"/>
    <n v="1841.7415000000001"/>
    <n v="1727.5685000000001"/>
    <x v="1"/>
    <x v="1"/>
    <x v="27"/>
    <n v="4750063"/>
    <n v="5586.2002000000002"/>
    <n v="1615.1"/>
    <n v="1776.8"/>
    <n v="490"/>
    <n v="1661828"/>
    <s v="23-Aug-2021"/>
    <n v="1776.8"/>
    <n v="1"/>
    <n v="2021"/>
    <n v="-0.41"/>
    <m/>
  </r>
  <r>
    <x v="28"/>
    <n v="1805.6"/>
    <n v="1805.6"/>
    <n v="1801"/>
    <n v="1801"/>
    <n v="22"/>
    <n v="1784.9"/>
    <n v="1792.94"/>
    <n v="1814.2689"/>
    <x v="28"/>
    <n v="0.69750000000000001"/>
    <n v="0.85940000000000005"/>
    <n v="47.803100000000001"/>
    <n v="-5.1981999999999999"/>
    <n v="-8.6106999999999996"/>
    <n v="1841.4294"/>
    <n v="1727.6107"/>
    <x v="1"/>
    <x v="1"/>
    <x v="28"/>
    <n v="4750031"/>
    <n v="5586.2002000000002"/>
    <n v="1615.1"/>
    <n v="1801"/>
    <n v="490"/>
    <n v="1661828"/>
    <s v="24-Aug-2021"/>
    <n v="1801"/>
    <n v="1"/>
    <n v="2021"/>
    <n v="1.36"/>
    <m/>
  </r>
  <r>
    <x v="29"/>
    <n v="1788.2"/>
    <n v="1792.9"/>
    <n v="1784"/>
    <n v="1792"/>
    <n v="812"/>
    <n v="1787.0571"/>
    <n v="1792.2366999999999"/>
    <n v="1814.3788999999999"/>
    <x v="29"/>
    <n v="0.68059999999999998"/>
    <n v="0.86219999999999997"/>
    <n v="45.213799999999999"/>
    <n v="-3.9980000000000002"/>
    <n v="-7.6882000000000001"/>
    <n v="1840.7366999999999"/>
    <n v="1727.5533"/>
    <x v="0"/>
    <x v="1"/>
    <x v="29"/>
    <n v="4750009"/>
    <n v="5586.2002000000002"/>
    <n v="1615.1"/>
    <n v="1792"/>
    <n v="490"/>
    <n v="1661828"/>
    <s v="25-Aug-2021"/>
    <n v="1792"/>
    <n v="1"/>
    <n v="2021"/>
    <n v="-0.5"/>
    <m/>
  </r>
  <r>
    <x v="30"/>
    <n v="1792.2"/>
    <n v="1792.2"/>
    <n v="1781"/>
    <n v="1787.4"/>
    <n v="61"/>
    <n v="1787.0143"/>
    <n v="1790.7633000000001"/>
    <n v="1814.58"/>
    <x v="30"/>
    <n v="0.65590000000000004"/>
    <n v="0.83950000000000002"/>
    <n v="46.736800000000002"/>
    <n v="-3.379"/>
    <n v="-6.8262999999999998"/>
    <n v="1838.8161"/>
    <n v="1727.5539000000001"/>
    <x v="1"/>
    <x v="1"/>
    <x v="30"/>
    <n v="4749197"/>
    <n v="5586.2002000000002"/>
    <n v="1615.1"/>
    <n v="1787.4"/>
    <n v="489"/>
    <n v="1661016"/>
    <s v="26-Aug-2021"/>
    <n v="1787.4"/>
    <n v="1"/>
    <n v="2021"/>
    <n v="-0.26"/>
    <m/>
  </r>
  <r>
    <x v="31"/>
    <n v="1816.6"/>
    <n v="1816.6"/>
    <n v="1803.1"/>
    <n v="1803.4"/>
    <n v="1219"/>
    <n v="1789.2429"/>
    <n v="1789.8733"/>
    <n v="1814.8067000000001"/>
    <x v="31"/>
    <n v="0.73829999999999996"/>
    <n v="0.85809999999999997"/>
    <n v="65.623099999999994"/>
    <n v="-1.5791999999999999"/>
    <n v="-5.7769000000000004"/>
    <n v="1834.4113"/>
    <n v="1729.4988000000001"/>
    <x v="1"/>
    <x v="1"/>
    <x v="31"/>
    <n v="4749136"/>
    <n v="5586.2002000000002"/>
    <n v="1615.1"/>
    <n v="1803.4"/>
    <n v="489"/>
    <n v="1661016"/>
    <s v="27-Aug-2021"/>
    <n v="1803.4"/>
    <n v="1"/>
    <n v="2021"/>
    <n v="0.9"/>
    <m/>
  </r>
  <r>
    <x v="32"/>
    <n v="1809"/>
    <n v="1820.3"/>
    <n v="1807.8"/>
    <n v="1818.2"/>
    <n v="684"/>
    <n v="1794.7"/>
    <n v="1790.37"/>
    <n v="1815.0733"/>
    <x v="32"/>
    <n v="0.73150000000000004"/>
    <n v="0.82869999999999999"/>
    <n v="79.946600000000004"/>
    <n v="1.0295000000000001"/>
    <n v="-4.4156000000000004"/>
    <n v="1835.4684999999999"/>
    <n v="1729.0216"/>
    <x v="0"/>
    <x v="0"/>
    <x v="32"/>
    <n v="4747917"/>
    <n v="5586.2002000000002"/>
    <n v="1615.1"/>
    <n v="1818.2"/>
    <n v="489"/>
    <n v="1661016"/>
    <s v="30-Aug-2021"/>
    <n v="1818.2"/>
    <n v="1"/>
    <n v="2021"/>
    <n v="0.82"/>
    <m/>
  </r>
  <r>
    <x v="33"/>
    <n v="1815"/>
    <n v="1815.9"/>
    <n v="1801.1"/>
    <n v="1815.9"/>
    <n v="82"/>
    <n v="1799.2429"/>
    <n v="1790.47"/>
    <n v="1815.4043999999999"/>
    <x v="33"/>
    <n v="0.74980000000000002"/>
    <n v="0.8236"/>
    <n v="79.415700000000001"/>
    <n v="2.8782000000000001"/>
    <n v="-2.9569000000000001"/>
    <n v="1836.0989"/>
    <n v="1728.7511"/>
    <x v="0"/>
    <x v="0"/>
    <x v="33"/>
    <n v="4747233"/>
    <n v="5586.2002000000002"/>
    <n v="1615.1"/>
    <n v="1815.9"/>
    <n v="488"/>
    <n v="1660332"/>
    <s v="31-Aug-2021"/>
    <n v="1815.9"/>
    <n v="1"/>
    <n v="2021"/>
    <n v="-0.13"/>
    <m/>
  </r>
  <r>
    <x v="34"/>
    <n v="1813.1"/>
    <n v="1815.9"/>
    <n v="1809.5"/>
    <n v="1813.5"/>
    <n v="114"/>
    <n v="1804.4857"/>
    <n v="1790.6867"/>
    <n v="1815.7989"/>
    <x v="34"/>
    <n v="0.71540000000000004"/>
    <n v="0.82169999999999999"/>
    <n v="74.425799999999995"/>
    <n v="4.1022999999999996"/>
    <n v="-1.5449999999999999"/>
    <n v="1836.7824000000001"/>
    <n v="1728.4875999999999"/>
    <x v="0"/>
    <x v="0"/>
    <x v="34"/>
    <n v="4747151"/>
    <n v="5586.2002000000002"/>
    <n v="1615.1"/>
    <n v="1813.5"/>
    <n v="487"/>
    <n v="1660250"/>
    <s v="01-Sep-2021"/>
    <n v="1813.5"/>
    <n v="1"/>
    <n v="2021"/>
    <n v="-0.13"/>
    <m/>
  </r>
  <r>
    <x v="35"/>
    <n v="1808.7"/>
    <n v="1813.9"/>
    <n v="1806.8"/>
    <n v="1813.2"/>
    <n v="26"/>
    <n v="1806.2285999999999"/>
    <n v="1791.34"/>
    <n v="1816.1677999999999"/>
    <x v="35"/>
    <n v="0.54120000000000001"/>
    <n v="0.80920000000000003"/>
    <n v="72.444800000000001"/>
    <n v="4.9907000000000004"/>
    <n v="-0.2379"/>
    <n v="1837.1750999999999"/>
    <n v="1728.3349000000001"/>
    <x v="0"/>
    <x v="0"/>
    <x v="35"/>
    <n v="4747037"/>
    <n v="5586.2002000000002"/>
    <n v="1615.1"/>
    <n v="1813.2"/>
    <n v="486"/>
    <n v="1660136"/>
    <s v="02-Sep-2021"/>
    <n v="1813.2"/>
    <n v="1"/>
    <n v="2021"/>
    <n v="-0.02"/>
    <m/>
  </r>
  <r>
    <x v="36"/>
    <n v="1830.9"/>
    <n v="1833.9"/>
    <n v="1818.9"/>
    <n v="1820.9"/>
    <n v="53"/>
    <n v="1810.3570999999999"/>
    <n v="1792.0367000000001"/>
    <n v="1816.7533000000001"/>
    <x v="36"/>
    <n v="0.48049999999999998"/>
    <n v="0.81020000000000003"/>
    <n v="69.748699999999999"/>
    <n v="6.2441000000000004"/>
    <n v="1.0585"/>
    <n v="1840.3964000000001"/>
    <n v="1727.2236"/>
    <x v="1"/>
    <x v="1"/>
    <x v="36"/>
    <n v="4747011"/>
    <n v="5586.2002000000002"/>
    <n v="1615.1"/>
    <n v="1820.9"/>
    <n v="485"/>
    <n v="1660110"/>
    <s v="03-Sep-2021"/>
    <n v="1820.9"/>
    <n v="1"/>
    <n v="2021"/>
    <n v="0.42"/>
    <m/>
  </r>
  <r>
    <x v="37"/>
    <n v="1795.9"/>
    <n v="1825.7"/>
    <n v="1792.7"/>
    <n v="1825.7"/>
    <n v="48"/>
    <n v="1815.8286000000001"/>
    <n v="1792.81"/>
    <n v="1817.25"/>
    <x v="37"/>
    <n v="0.43030000000000002"/>
    <n v="0.81110000000000004"/>
    <n v="68.026600000000002"/>
    <n v="7.5378999999999996"/>
    <n v="2.3544"/>
    <n v="1845.0669"/>
    <n v="1729.7731000000001"/>
    <x v="0"/>
    <x v="1"/>
    <x v="37"/>
    <n v="4746958"/>
    <n v="5586.2002000000002"/>
    <n v="1615.1"/>
    <n v="1825.7"/>
    <n v="485"/>
    <n v="1660110"/>
    <s v="07-Sep-2021"/>
    <n v="1825.7"/>
    <n v="1"/>
    <n v="2021"/>
    <n v="0.26"/>
    <m/>
  </r>
  <r>
    <x v="38"/>
    <n v="1790.7"/>
    <n v="1790.7"/>
    <n v="1781.7"/>
    <n v="1781.7"/>
    <n v="69"/>
    <n v="1812.7285999999999"/>
    <n v="1792.0767000000001"/>
    <n v="1817.36"/>
    <x v="38"/>
    <n v="1.0462"/>
    <n v="0.92669999999999997"/>
    <n v="47.957099999999997"/>
    <n v="4.9557000000000002"/>
    <n v="2.8746999999999998"/>
    <n v="1840.7899"/>
    <n v="1739.3601000000001"/>
    <x v="1"/>
    <x v="1"/>
    <x v="38"/>
    <n v="4746910"/>
    <n v="5586.2002000000002"/>
    <n v="1615.1"/>
    <n v="1781.7"/>
    <n v="484"/>
    <n v="1660062"/>
    <s v="08-Sep-2021"/>
    <n v="1781.7"/>
    <n v="1"/>
    <n v="2021"/>
    <n v="-2.41"/>
    <m/>
  </r>
  <r>
    <x v="39"/>
    <n v="1797.4"/>
    <n v="1798.7"/>
    <n v="1787.9"/>
    <n v="1798.7"/>
    <n v="49"/>
    <n v="1809.9428"/>
    <n v="1792.05"/>
    <n v="1817.4733000000001"/>
    <x v="39"/>
    <n v="1.0682"/>
    <n v="0.94320000000000004"/>
    <n v="55.899000000000001"/>
    <n v="4.2321999999999997"/>
    <n v="3.1461999999999999"/>
    <n v="1834.9291000000001"/>
    <n v="1752.3608999999999"/>
    <x v="0"/>
    <x v="1"/>
    <x v="39"/>
    <n v="4746841"/>
    <n v="5586.2002000000002"/>
    <n v="1615.1"/>
    <n v="1798.7"/>
    <n v="484"/>
    <n v="1660062"/>
    <s v="09-Sep-2021"/>
    <n v="1798.7"/>
    <n v="1"/>
    <n v="2021"/>
    <n v="0.95"/>
    <m/>
  </r>
  <r>
    <x v="40"/>
    <n v="1789.6"/>
    <n v="1789.6"/>
    <n v="1789.6"/>
    <n v="1789.6"/>
    <n v="0"/>
    <n v="1806.1857"/>
    <n v="1791.4833000000001"/>
    <n v="1817.4889000000001"/>
    <x v="40"/>
    <n v="1.0765"/>
    <n v="0.94469999999999998"/>
    <n v="51.682000000000002"/>
    <n v="2.8912"/>
    <n v="3.0952000000000002"/>
    <n v="1831.4799"/>
    <n v="1759.8000999999999"/>
    <x v="1"/>
    <x v="1"/>
    <x v="40"/>
    <n v="4746792"/>
    <n v="5586.2002000000002"/>
    <n v="1615.1"/>
    <n v="1789.6"/>
    <n v="483"/>
    <n v="1660013"/>
    <s v="10-Sep-2021"/>
    <n v="1789.6"/>
    <n v="1"/>
    <n v="2021"/>
    <n v="-0.51"/>
    <m/>
  </r>
  <r>
    <x v="41"/>
    <n v="1792"/>
    <n v="1796"/>
    <n v="1784"/>
    <n v="1789.8"/>
    <n v="533"/>
    <n v="1802.8"/>
    <n v="1790.21"/>
    <n v="1817.5811000000001"/>
    <x v="41"/>
    <n v="1.0793999999999999"/>
    <n v="0.91659999999999997"/>
    <n v="54.155999999999999"/>
    <n v="1.8236000000000001"/>
    <n v="2.8409"/>
    <n v="1828.6428000000001"/>
    <n v="1765.7872"/>
    <x v="1"/>
    <x v="1"/>
    <x v="41"/>
    <n v="4746792"/>
    <n v="5586.2002000000002"/>
    <n v="1615.1"/>
    <n v="1789.8"/>
    <n v="483"/>
    <n v="1660013"/>
    <s v="13-Sep-2021"/>
    <n v="1789.8"/>
    <n v="1"/>
    <n v="2021"/>
    <n v="0.01"/>
    <m/>
  </r>
  <r>
    <x v="42"/>
    <n v="1804.7"/>
    <n v="1806.2"/>
    <n v="1783"/>
    <n v="1791.4"/>
    <n v="764"/>
    <n v="1799.6857"/>
    <n v="1789.51"/>
    <n v="1817.6088999999999"/>
    <x v="42"/>
    <n v="1.0829"/>
    <n v="0.90480000000000005"/>
    <n v="46.412599999999998"/>
    <n v="1.0940000000000001"/>
    <n v="2.4914999999999998"/>
    <n v="1828.0353"/>
    <n v="1767.8447000000001"/>
    <x v="1"/>
    <x v="1"/>
    <x v="42"/>
    <n v="4746259"/>
    <n v="5586.2002000000002"/>
    <n v="1615.1"/>
    <n v="1791.4"/>
    <n v="483"/>
    <n v="1660013"/>
    <s v="14-Sep-2021"/>
    <n v="1791.4"/>
    <n v="1"/>
    <n v="2021"/>
    <n v="0.09"/>
    <m/>
  </r>
  <r>
    <x v="43"/>
    <n v="1792.4"/>
    <n v="1803.7"/>
    <n v="1792.4"/>
    <n v="1803.7"/>
    <n v="59"/>
    <n v="1797.2285999999999"/>
    <n v="1789.2233000000001"/>
    <n v="1817.1732999999999"/>
    <x v="43"/>
    <n v="1.1109"/>
    <n v="0.9143"/>
    <n v="54.2669"/>
    <n v="1.4911000000000001"/>
    <n v="2.2913999999999999"/>
    <n v="1828.5382999999999"/>
    <n v="1768.9417000000001"/>
    <x v="0"/>
    <x v="1"/>
    <x v="43"/>
    <n v="4745495"/>
    <n v="5586.2002000000002"/>
    <n v="1615.1"/>
    <n v="1803.7"/>
    <n v="483"/>
    <n v="1660013"/>
    <s v="15-Sep-2021"/>
    <n v="1803.7"/>
    <n v="1"/>
    <n v="2021"/>
    <n v="0.69"/>
    <m/>
  </r>
  <r>
    <x v="44"/>
    <n v="1754.6"/>
    <n v="1792.9"/>
    <n v="1743.9"/>
    <n v="1792.9"/>
    <n v="1645"/>
    <n v="1792.5427999999999"/>
    <n v="1788.6767"/>
    <n v="1816.6989000000001"/>
    <x v="44"/>
    <n v="1.1077999999999999"/>
    <n v="0.92030000000000001"/>
    <n v="51.9191"/>
    <n v="0.92369999999999997"/>
    <n v="2.0179"/>
    <n v="1828.4848"/>
    <n v="1769.5051000000001"/>
    <x v="0"/>
    <x v="1"/>
    <x v="44"/>
    <n v="4745436"/>
    <n v="5586.2002000000002"/>
    <n v="1615.1"/>
    <n v="1792.9"/>
    <n v="482"/>
    <n v="1659954"/>
    <s v="16-Sep-2021"/>
    <n v="1792.9"/>
    <n v="1"/>
    <n v="2021"/>
    <n v="-0.6"/>
    <m/>
  </r>
  <r>
    <x v="45"/>
    <n v="1749.4"/>
    <n v="1763"/>
    <n v="1749.4"/>
    <n v="1758.8"/>
    <n v="581"/>
    <n v="1789.2714000000001"/>
    <n v="1786.9432999999999"/>
    <n v="1815.8278"/>
    <x v="45"/>
    <n v="0.94810000000000005"/>
    <n v="0.98150000000000004"/>
    <n v="36.183399999999999"/>
    <n v="-2.2515999999999998"/>
    <n v="1.1639999999999999"/>
    <n v="1831.537"/>
    <n v="1764.3330000000001"/>
    <x v="0"/>
    <x v="1"/>
    <x v="45"/>
    <n v="4743791"/>
    <n v="5586.2002000000002"/>
    <n v="1615.1"/>
    <n v="1758.8"/>
    <n v="481"/>
    <n v="1658309"/>
    <s v="17-Sep-2021"/>
    <n v="1758.8"/>
    <n v="1"/>
    <n v="2021"/>
    <n v="-1.9"/>
    <m/>
  </r>
  <r>
    <x v="46"/>
    <n v="1761.8"/>
    <n v="1761.8"/>
    <n v="1750.9"/>
    <n v="1751.8"/>
    <n v="185"/>
    <n v="1782.5714"/>
    <n v="1785.3433"/>
    <n v="1815.0121999999999"/>
    <x v="46"/>
    <n v="0.80530000000000002"/>
    <n v="0.97840000000000005"/>
    <n v="28.385400000000001"/>
    <n v="-5.2721"/>
    <n v="-0.12330000000000001"/>
    <n v="1835.3829000000001"/>
    <n v="1757.2571"/>
    <x v="1"/>
    <x v="2"/>
    <x v="46"/>
    <n v="4743210"/>
    <n v="5586.2002000000002"/>
    <n v="1615.1"/>
    <n v="1751.8"/>
    <n v="480"/>
    <n v="1657728"/>
    <s v="20-Sep-2021"/>
    <n v="1751.8"/>
    <n v="1"/>
    <n v="2021"/>
    <n v="-0.4"/>
    <m/>
  </r>
  <r>
    <x v="47"/>
    <n v="1776"/>
    <n v="1776"/>
    <n v="1759"/>
    <n v="1762.2"/>
    <n v="106"/>
    <n v="1778.6572000000001"/>
    <n v="1785.6333"/>
    <n v="1814.4289000000001"/>
    <x v="47"/>
    <n v="0.87909999999999999"/>
    <n v="0.86509999999999998"/>
    <n v="33.395099999999999"/>
    <n v="-6.7488999999999999"/>
    <n v="-1.4483999999999999"/>
    <n v="1836.6818000000001"/>
    <n v="1754.4982"/>
    <x v="1"/>
    <x v="1"/>
    <x v="47"/>
    <n v="4743025"/>
    <n v="5586.2002000000002"/>
    <n v="1615.1"/>
    <n v="1762.2"/>
    <n v="480"/>
    <n v="1657728"/>
    <s v="21-Sep-2021"/>
    <n v="1762.2"/>
    <n v="1"/>
    <n v="2021"/>
    <n v="0.59"/>
    <m/>
  </r>
  <r>
    <x v="48"/>
    <n v="1776.7"/>
    <n v="1784.3"/>
    <n v="1767"/>
    <n v="1776.7"/>
    <n v="17"/>
    <n v="1776.7856999999999"/>
    <n v="1787.2366999999999"/>
    <n v="1813.8978"/>
    <x v="48"/>
    <n v="0.9637"/>
    <n v="0.83260000000000001"/>
    <n v="39.4131"/>
    <n v="-6.6723999999999997"/>
    <n v="-2.4931999999999999"/>
    <n v="1836.2233000000001"/>
    <n v="1752.5266999999999"/>
    <x v="1"/>
    <x v="1"/>
    <x v="48"/>
    <n v="4742919"/>
    <n v="5586.2002000000002"/>
    <n v="1615.1"/>
    <n v="1776.7"/>
    <n v="480"/>
    <n v="1657728"/>
    <s v="22-Sep-2021"/>
    <n v="1776.7"/>
    <n v="1"/>
    <n v="2021"/>
    <n v="0.82"/>
    <m/>
  </r>
  <r>
    <x v="49"/>
    <n v="1747.7"/>
    <n v="1766.8"/>
    <n v="1738.2"/>
    <n v="1766.8"/>
    <n v="31"/>
    <n v="1773.2714000000001"/>
    <n v="1788.5533"/>
    <n v="1812.9744000000001"/>
    <x v="49"/>
    <n v="0.97330000000000005"/>
    <n v="0.84060000000000001"/>
    <n v="37.350099999999998"/>
    <n v="-7.3261000000000003"/>
    <n v="-3.4598"/>
    <n v="1836.7439999999999"/>
    <n v="1749.4860000000001"/>
    <x v="0"/>
    <x v="1"/>
    <x v="49"/>
    <n v="4742902"/>
    <n v="5586.2002000000002"/>
    <n v="1615.1"/>
    <n v="1766.8"/>
    <n v="480"/>
    <n v="1657728"/>
    <s v="23-Sep-2021"/>
    <n v="1766.8"/>
    <n v="1"/>
    <n v="2021"/>
    <n v="-0.56000000000000005"/>
    <m/>
  </r>
  <r>
    <x v="50"/>
    <n v="1749.7"/>
    <n v="1749.7"/>
    <n v="1745"/>
    <n v="1749.7"/>
    <n v="76"/>
    <n v="1765.5571"/>
    <n v="1788.5533"/>
    <n v="1811.6322"/>
    <x v="50"/>
    <n v="0.92369999999999997"/>
    <n v="0.82909999999999995"/>
    <n v="31.5352"/>
    <n v="-9.1189"/>
    <n v="-4.5915999999999997"/>
    <n v="1838.9632999999999"/>
    <n v="1743.4966999999999"/>
    <x v="1"/>
    <x v="1"/>
    <x v="50"/>
    <n v="4742871"/>
    <n v="5586.2002000000002"/>
    <n v="1615.1"/>
    <n v="1749.7"/>
    <n v="479"/>
    <n v="1657697"/>
    <s v="24-Sep-2021"/>
    <n v="1749.7"/>
    <n v="1"/>
    <n v="2021"/>
    <n v="-0.97"/>
    <m/>
  </r>
  <r>
    <x v="51"/>
    <n v="1750"/>
    <n v="1754.4"/>
    <n v="1747.5"/>
    <n v="1751.7"/>
    <n v="808"/>
    <n v="1759.6713999999999"/>
    <n v="1788.3333"/>
    <n v="1810.3578"/>
    <x v="51"/>
    <n v="0.94110000000000005"/>
    <n v="0.82430000000000003"/>
    <n v="30.526299999999999"/>
    <n v="-10.26"/>
    <n v="-5.7252999999999998"/>
    <n v="1839.1239"/>
    <n v="1738.1660999999999"/>
    <x v="0"/>
    <x v="1"/>
    <x v="51"/>
    <n v="4742795"/>
    <n v="5586.2002000000002"/>
    <n v="1615.1"/>
    <n v="1751.7"/>
    <n v="479"/>
    <n v="1657697"/>
    <s v="27-Sep-2021"/>
    <n v="1751.7"/>
    <n v="1"/>
    <n v="2021"/>
    <n v="0.11"/>
    <m/>
  </r>
  <r>
    <x v="52"/>
    <n v="1735.8"/>
    <n v="1741.7"/>
    <n v="1726.8"/>
    <n v="1739.6"/>
    <n v="15748"/>
    <n v="1756.9286"/>
    <n v="1787.09"/>
    <n v="1808.9589000000001"/>
    <x v="52"/>
    <n v="0.67800000000000005"/>
    <n v="0.80789999999999995"/>
    <n v="36.685600000000001"/>
    <n v="-12.0024"/>
    <n v="-6.9806999999999997"/>
    <n v="1837.6829"/>
    <n v="1731.7471"/>
    <x v="0"/>
    <x v="1"/>
    <x v="52"/>
    <n v="4741987"/>
    <n v="5586.2002000000002"/>
    <n v="1615.1"/>
    <n v="1739.6"/>
    <n v="478"/>
    <n v="1656889"/>
    <s v="28-Sep-2021"/>
    <n v="1739.6"/>
    <n v="1"/>
    <n v="2021"/>
    <n v="-0.69"/>
    <m/>
  </r>
  <r>
    <x v="53"/>
    <n v="1721.5"/>
    <n v="1744.1"/>
    <n v="1721.4"/>
    <n v="1732.4"/>
    <n v="6634"/>
    <n v="1754.1570999999999"/>
    <n v="1785.2466999999999"/>
    <n v="1807.4067"/>
    <x v="53"/>
    <n v="0.67889999999999995"/>
    <n v="0.79990000000000006"/>
    <n v="27.646599999999999"/>
    <n v="-13.805099999999999"/>
    <n v="-8.3455999999999992"/>
    <n v="1836.2503999999999"/>
    <n v="1724.8296"/>
    <x v="0"/>
    <x v="2"/>
    <x v="53"/>
    <n v="4726239"/>
    <n v="5586.2002000000002"/>
    <n v="1615.1"/>
    <n v="1732.4"/>
    <n v="477"/>
    <n v="1641141"/>
    <s v="29-Sep-2021"/>
    <n v="1732.4"/>
    <n v="1"/>
    <n v="2021"/>
    <n v="-0.41"/>
    <m/>
  </r>
  <r>
    <x v="54"/>
    <n v="1755.3"/>
    <n v="1760.3"/>
    <n v="1724.5"/>
    <n v="1725.5"/>
    <n v="997"/>
    <n v="1748.9142999999999"/>
    <n v="1783.17"/>
    <n v="1805.6667"/>
    <x v="54"/>
    <n v="0.59440000000000004"/>
    <n v="0.80149999999999999"/>
    <n v="28.062899999999999"/>
    <n v="-15.6105"/>
    <n v="-9.7985000000000007"/>
    <n v="1834.7164"/>
    <n v="1717.5636"/>
    <x v="1"/>
    <x v="2"/>
    <x v="54"/>
    <n v="4719605"/>
    <n v="5586.2002000000002"/>
    <n v="1615.1"/>
    <n v="1725.5"/>
    <n v="476"/>
    <n v="1634507"/>
    <s v="30-Sep-2021"/>
    <n v="1725.5"/>
    <n v="1"/>
    <n v="2021"/>
    <n v="-0.4"/>
    <m/>
  </r>
  <r>
    <x v="55"/>
    <n v="1757"/>
    <n v="1762.6"/>
    <n v="1748.5"/>
    <n v="1754.3"/>
    <n v="2220"/>
    <n v="1745.7143000000001"/>
    <n v="1782.3133"/>
    <n v="1804.2421999999999"/>
    <x v="55"/>
    <n v="0.87860000000000005"/>
    <n v="0.86219999999999997"/>
    <n v="39.839700000000001"/>
    <n v="-14.5497"/>
    <n v="-10.748799999999999"/>
    <n v="1829.8161"/>
    <n v="1716.5739000000001"/>
    <x v="1"/>
    <x v="1"/>
    <x v="55"/>
    <n v="4718608"/>
    <n v="5586.2002000000002"/>
    <n v="1615.1"/>
    <n v="1754.3"/>
    <n v="476"/>
    <n v="1634507"/>
    <s v="01-Oct-2021"/>
    <n v="1754.3"/>
    <n v="1"/>
    <n v="2021"/>
    <n v="1.67"/>
    <m/>
  </r>
  <r>
    <x v="56"/>
    <n v="1766.2"/>
    <n v="1768.9"/>
    <n v="1749.5"/>
    <n v="1764.5"/>
    <n v="417"/>
    <n v="1745.3857"/>
    <n v="1781.66"/>
    <n v="1802.7221999999999"/>
    <x v="56"/>
    <n v="0.90180000000000005"/>
    <n v="0.86850000000000005"/>
    <n v="42.662300000000002"/>
    <n v="-12.739100000000001"/>
    <n v="-11.1469"/>
    <n v="1822.4257"/>
    <n v="1718.3243"/>
    <x v="1"/>
    <x v="1"/>
    <x v="56"/>
    <n v="4716388"/>
    <n v="5586.2002000000002"/>
    <n v="1615.1"/>
    <n v="1764.5"/>
    <n v="476"/>
    <n v="1634507"/>
    <s v="04-Oct-2021"/>
    <n v="1764.5"/>
    <n v="1"/>
    <n v="2021"/>
    <n v="0.57999999999999996"/>
    <m/>
  </r>
  <r>
    <x v="57"/>
    <n v="1759.6"/>
    <n v="1764.3"/>
    <n v="1749"/>
    <n v="1764.3"/>
    <n v="98"/>
    <n v="1747.4713999999999"/>
    <n v="1781.2433000000001"/>
    <n v="1801.25"/>
    <x v="57"/>
    <n v="0.80010000000000003"/>
    <n v="0.86560000000000004"/>
    <n v="38.493000000000002"/>
    <n v="-11.1913"/>
    <n v="-11.155799999999999"/>
    <n v="1812.3934999999999"/>
    <n v="1722.2165"/>
    <x v="0"/>
    <x v="1"/>
    <x v="57"/>
    <n v="4715971"/>
    <n v="5586.2002000000002"/>
    <n v="1615.1"/>
    <n v="1764.3"/>
    <n v="476"/>
    <n v="1634507"/>
    <s v="05-Oct-2021"/>
    <n v="1764.3"/>
    <n v="1"/>
    <n v="2021"/>
    <n v="-0.01"/>
    <m/>
  </r>
  <r>
    <x v="58"/>
    <n v="1760.5"/>
    <n v="1762.9"/>
    <n v="1744.7"/>
    <n v="1759.3"/>
    <n v="56"/>
    <n v="1748.5572"/>
    <n v="1779.8533"/>
    <n v="1799.7144000000001"/>
    <x v="58"/>
    <n v="0.81469999999999998"/>
    <n v="0.82620000000000005"/>
    <n v="39.842799999999997"/>
    <n v="-10.25"/>
    <n v="-10.974600000000001"/>
    <n v="1810.8789999999999"/>
    <n v="1721.491"/>
    <x v="1"/>
    <x v="1"/>
    <x v="58"/>
    <n v="4715873"/>
    <n v="5586.2002000000002"/>
    <n v="1615.1"/>
    <n v="1759.3"/>
    <n v="475"/>
    <n v="1634409"/>
    <s v="06-Oct-2021"/>
    <n v="1759.3"/>
    <n v="1"/>
    <n v="2021"/>
    <n v="-0.28000000000000003"/>
    <m/>
  </r>
  <r>
    <x v="59"/>
    <n v="1757.9"/>
    <n v="1762.4"/>
    <n v="1752.8"/>
    <n v="1762.4"/>
    <n v="336"/>
    <n v="1751.8143"/>
    <n v="1778.8667"/>
    <n v="1798.1288999999999"/>
    <x v="59"/>
    <n v="0.74350000000000005"/>
    <n v="0.82340000000000002"/>
    <n v="51.339300000000001"/>
    <n v="-9.1484000000000005"/>
    <n v="-10.609400000000001"/>
    <n v="1806.3715"/>
    <n v="1722.3685"/>
    <x v="0"/>
    <x v="1"/>
    <x v="59"/>
    <n v="4715817"/>
    <n v="5586.2002000000002"/>
    <n v="1615.1"/>
    <n v="1762.4"/>
    <n v="475"/>
    <n v="1634409"/>
    <s v="07-Oct-2021"/>
    <n v="1762.4"/>
    <n v="1"/>
    <n v="2021"/>
    <n v="0.18"/>
    <m/>
  </r>
  <r>
    <x v="60"/>
    <n v="1756.3"/>
    <n v="1780"/>
    <n v="1754.2"/>
    <n v="1757"/>
    <n v="254"/>
    <n v="1755.3286000000001"/>
    <n v="1777.8533"/>
    <n v="1796.5489"/>
    <x v="60"/>
    <n v="0.72989999999999999"/>
    <n v="0.82389999999999997"/>
    <n v="51.957799999999999"/>
    <n v="-8.6119000000000003"/>
    <n v="-10.209899999999999"/>
    <n v="1803.1178"/>
    <n v="1722.3622"/>
    <x v="0"/>
    <x v="1"/>
    <x v="60"/>
    <n v="4715481"/>
    <n v="5586.2002000000002"/>
    <n v="1615.1"/>
    <n v="1757"/>
    <n v="474"/>
    <n v="1634073"/>
    <s v="08-Oct-2021"/>
    <n v="1757"/>
    <n v="1"/>
    <n v="2021"/>
    <n v="-0.31"/>
    <m/>
  </r>
  <r>
    <x v="61"/>
    <n v="1754.6"/>
    <n v="1757.8"/>
    <n v="1752.2"/>
    <n v="1756.6"/>
    <n v="128"/>
    <n v="1759.7714000000001"/>
    <n v="1776.2933"/>
    <n v="1794.8578"/>
    <x v="61"/>
    <n v="0.69110000000000005"/>
    <n v="0.80430000000000001"/>
    <n v="47.719900000000003"/>
    <n v="-8.1251999999999995"/>
    <n v="-9.7928999999999995"/>
    <n v="1799.4537"/>
    <n v="1722.7063000000001"/>
    <x v="0"/>
    <x v="1"/>
    <x v="61"/>
    <n v="4715227"/>
    <n v="5586.2002000000002"/>
    <n v="1615.1"/>
    <n v="1756.6"/>
    <n v="473"/>
    <n v="1633819"/>
    <s v="11-Oct-2021"/>
    <n v="1756.6"/>
    <n v="1"/>
    <n v="2021"/>
    <n v="-0.02"/>
    <m/>
  </r>
  <r>
    <x v="62"/>
    <n v="1758.3"/>
    <n v="1768"/>
    <n v="1749.8"/>
    <n v="1751.9"/>
    <n v="139"/>
    <n v="1759.4286"/>
    <n v="1774.0833"/>
    <n v="1793.5533"/>
    <x v="62"/>
    <n v="0.3196"/>
    <n v="0.78639999999999999"/>
    <n v="39.026600000000002"/>
    <n v="-8.0263000000000009"/>
    <n v="-9.4396000000000004"/>
    <n v="1794.8866"/>
    <n v="1723.3234"/>
    <x v="1"/>
    <x v="1"/>
    <x v="62"/>
    <n v="4715099"/>
    <n v="5586.2002000000002"/>
    <n v="1615.1"/>
    <n v="1751.9"/>
    <n v="472"/>
    <n v="1633691"/>
    <s v="12-Oct-2021"/>
    <n v="1751.9"/>
    <n v="1"/>
    <n v="2021"/>
    <n v="-0.27"/>
    <m/>
  </r>
  <r>
    <x v="63"/>
    <n v="1793.7"/>
    <n v="1794.5"/>
    <n v="1760.8"/>
    <n v="1760.8"/>
    <n v="150"/>
    <n v="1758.9"/>
    <n v="1772.2466999999999"/>
    <n v="1792.1122"/>
    <x v="63"/>
    <n v="0.29699999999999999"/>
    <n v="0.79469999999999996"/>
    <n v="47.321399999999997"/>
    <n v="-7.1474000000000002"/>
    <n v="-8.9811999999999994"/>
    <n v="1785.9924000000001"/>
    <n v="1727.9277"/>
    <x v="1"/>
    <x v="1"/>
    <x v="63"/>
    <n v="4714960"/>
    <n v="5586.2002000000002"/>
    <n v="1615.1"/>
    <n v="1760.8"/>
    <n v="472"/>
    <n v="1633691"/>
    <s v="13-Oct-2021"/>
    <n v="1760.8"/>
    <n v="1"/>
    <n v="2021"/>
    <n v="0.51"/>
    <m/>
  </r>
  <r>
    <x v="64"/>
    <n v="1796.7"/>
    <n v="1799.9"/>
    <n v="1792"/>
    <n v="1792.2"/>
    <n v="337"/>
    <n v="1762.8857"/>
    <n v="1771.5367000000001"/>
    <n v="1790.9532999999999"/>
    <x v="64"/>
    <n v="0.74780000000000002"/>
    <n v="0.86580000000000001"/>
    <n v="66.825000000000003"/>
    <n v="-3.8725000000000001"/>
    <n v="-7.9593999999999996"/>
    <n v="1785.7760000000001"/>
    <n v="1728.0740000000001"/>
    <x v="1"/>
    <x v="1"/>
    <x v="64"/>
    <n v="4714810"/>
    <n v="5586.2002000000002"/>
    <n v="1615.1"/>
    <n v="1792.2"/>
    <n v="472"/>
    <n v="1633691"/>
    <s v="14-Oct-2021"/>
    <n v="1792.2"/>
    <n v="1"/>
    <n v="2021"/>
    <n v="1.78"/>
    <m/>
  </r>
  <r>
    <x v="65"/>
    <n v="1767.2"/>
    <n v="1795.4"/>
    <n v="1766.6"/>
    <n v="1794.5"/>
    <n v="874"/>
    <n v="1767.9142999999999"/>
    <n v="1770.9132999999999"/>
    <n v="1789.8378"/>
    <x v="65"/>
    <n v="0.71660000000000001"/>
    <n v="0.86629999999999996"/>
    <n v="66.903700000000001"/>
    <n v="-1.079"/>
    <n v="-6.5833000000000004"/>
    <n v="1792.1086"/>
    <n v="1725.3114"/>
    <x v="0"/>
    <x v="1"/>
    <x v="65"/>
    <n v="4714473"/>
    <n v="5586.2002000000002"/>
    <n v="1615.1"/>
    <n v="1794.5"/>
    <n v="472"/>
    <n v="1633691"/>
    <s v="15-Oct-2021"/>
    <n v="1794.5"/>
    <n v="1"/>
    <n v="2021"/>
    <n v="0.13"/>
    <m/>
  </r>
  <r>
    <x v="66"/>
    <n v="1764.8"/>
    <n v="1770.1"/>
    <n v="1759.5"/>
    <n v="1761.6"/>
    <n v="266"/>
    <n v="1767.8"/>
    <n v="1768.9367"/>
    <n v="1788.4367"/>
    <x v="66"/>
    <n v="1.0787"/>
    <n v="0.92169999999999996"/>
    <n v="57.462699999999998"/>
    <n v="-1.5025999999999999"/>
    <n v="-5.5671999999999997"/>
    <n v="1792.4590000000001"/>
    <n v="1725.941"/>
    <x v="1"/>
    <x v="1"/>
    <x v="66"/>
    <n v="4713599"/>
    <n v="5586.2002000000002"/>
    <n v="1615.1"/>
    <n v="1761.6"/>
    <n v="471"/>
    <n v="1632817"/>
    <s v="18-Oct-2021"/>
    <n v="1761.6"/>
    <n v="1"/>
    <n v="2021"/>
    <n v="-1.83"/>
    <m/>
  </r>
  <r>
    <x v="67"/>
    <n v="1769.7"/>
    <n v="1785"/>
    <n v="1767.5"/>
    <n v="1777.6"/>
    <n v="51"/>
    <n v="1770.7429"/>
    <n v="1767.3333"/>
    <n v="1787.0667000000001"/>
    <x v="67"/>
    <n v="1.1185"/>
    <n v="0.93789999999999996"/>
    <n v="64.468599999999995"/>
    <n v="-0.54110000000000003"/>
    <n v="-4.5620000000000003"/>
    <n v="1794.2197000000001"/>
    <n v="1725.7203"/>
    <x v="0"/>
    <x v="1"/>
    <x v="67"/>
    <n v="4713333"/>
    <n v="5586.2002000000002"/>
    <n v="1615.1"/>
    <n v="1777.6"/>
    <n v="471"/>
    <n v="1632817"/>
    <s v="19-Oct-2021"/>
    <n v="1777.6"/>
    <n v="1"/>
    <n v="2021"/>
    <n v="0.91"/>
    <m/>
  </r>
  <r>
    <x v="68"/>
    <n v="1784.1"/>
    <n v="1785.6"/>
    <n v="1774"/>
    <n v="1774.6"/>
    <n v="127"/>
    <n v="1773.3143"/>
    <n v="1767.0967000000001"/>
    <n v="1786.0489"/>
    <x v="68"/>
    <n v="1.1241000000000001"/>
    <n v="0.82930000000000004"/>
    <n v="66.119500000000002"/>
    <n v="-2.0799999999999999E-2"/>
    <n v="-3.6537999999999999"/>
    <n v="1793.9110000000001"/>
    <n v="1725.819"/>
    <x v="1"/>
    <x v="1"/>
    <x v="68"/>
    <n v="4713282"/>
    <n v="5586.2002000000002"/>
    <n v="1615.1"/>
    <n v="1774.6"/>
    <n v="470"/>
    <n v="1632766"/>
    <s v="20-Oct-2021"/>
    <n v="1774.6"/>
    <n v="1"/>
    <n v="2021"/>
    <n v="-0.17"/>
    <m/>
  </r>
  <r>
    <x v="69"/>
    <n v="1781.2"/>
    <n v="1785.7"/>
    <n v="1781"/>
    <n v="1782"/>
    <n v="146"/>
    <n v="1777.6143"/>
    <n v="1766.54"/>
    <n v="1785.1111000000001"/>
    <x v="69"/>
    <n v="1.1113"/>
    <n v="0.81340000000000001"/>
    <n v="60.580599999999997"/>
    <n v="0.97729999999999995"/>
    <n v="-2.7275"/>
    <n v="1795.9765"/>
    <n v="1725.2735"/>
    <x v="0"/>
    <x v="1"/>
    <x v="69"/>
    <n v="4713155"/>
    <n v="5586.2002000000002"/>
    <n v="1615.1"/>
    <n v="1782"/>
    <n v="470"/>
    <n v="1632766"/>
    <s v="21-Oct-2021"/>
    <n v="1782"/>
    <n v="1"/>
    <n v="2021"/>
    <n v="0.42"/>
    <m/>
  </r>
  <r>
    <x v="70"/>
    <n v="1795.5"/>
    <n v="1806.9"/>
    <n v="1784"/>
    <n v="1787.1"/>
    <n v="532"/>
    <n v="1781.3714"/>
    <n v="1766.4567"/>
    <n v="1784.3078"/>
    <x v="70"/>
    <n v="1.1057999999999999"/>
    <n v="0.81020000000000003"/>
    <n v="58.982500000000002"/>
    <n v="2.1549999999999998"/>
    <n v="-1.7509999999999999"/>
    <n v="1799.3384000000001"/>
    <n v="1725.6515999999999"/>
    <x v="1"/>
    <x v="1"/>
    <x v="70"/>
    <n v="4713009"/>
    <n v="5586.2002000000002"/>
    <n v="1615.1"/>
    <n v="1787.1"/>
    <n v="469"/>
    <n v="1632620"/>
    <s v="22-Oct-2021"/>
    <n v="1787.1"/>
    <n v="1"/>
    <n v="2021"/>
    <n v="0.28999999999999998"/>
    <m/>
  </r>
  <r>
    <x v="71"/>
    <n v="1806"/>
    <n v="1809"/>
    <n v="1794"/>
    <n v="1794.3"/>
    <n v="140"/>
    <n v="1781.6713999999999"/>
    <n v="1766.6067"/>
    <n v="1784.1133"/>
    <x v="71"/>
    <n v="0.88"/>
    <n v="0.81359999999999999"/>
    <n v="61.295200000000001"/>
    <n v="3.6274999999999999"/>
    <n v="-0.67530000000000001"/>
    <n v="1803.6987999999999"/>
    <n v="1725.5512000000001"/>
    <x v="1"/>
    <x v="1"/>
    <x v="71"/>
    <n v="4712477"/>
    <n v="5586.2002000000002"/>
    <n v="1615.1"/>
    <n v="1794.3"/>
    <n v="469"/>
    <n v="1632620"/>
    <s v="25-Oct-2021"/>
    <n v="1794.3"/>
    <n v="1"/>
    <n v="2021"/>
    <n v="0.4"/>
    <m/>
  </r>
  <r>
    <x v="72"/>
    <n v="1792.7"/>
    <n v="1808.8"/>
    <n v="1788.6"/>
    <n v="1808.8"/>
    <n v="359"/>
    <n v="1783.7143000000001"/>
    <n v="1767.1867"/>
    <n v="1784.4811"/>
    <x v="72"/>
    <n v="0.93"/>
    <n v="0.82640000000000002"/>
    <n v="67.392799999999994"/>
    <n v="5.8966000000000003"/>
    <n v="0.6391"/>
    <n v="1809.9818"/>
    <n v="1726.1882000000001"/>
    <x v="0"/>
    <x v="1"/>
    <x v="72"/>
    <n v="4712337"/>
    <n v="5586.2002000000002"/>
    <n v="1615.1"/>
    <n v="1808.8"/>
    <n v="469"/>
    <n v="1632620"/>
    <s v="26-Oct-2021"/>
    <n v="1808.8"/>
    <n v="1"/>
    <n v="2021"/>
    <n v="0.81"/>
    <m/>
  </r>
  <r>
    <x v="73"/>
    <n v="1797.9"/>
    <n v="1798.1"/>
    <n v="1791.5"/>
    <n v="1791.5"/>
    <n v="543"/>
    <n v="1787.9857"/>
    <n v="1766.78"/>
    <n v="1784.7333000000001"/>
    <x v="73"/>
    <n v="0.6361"/>
    <n v="0.83620000000000005"/>
    <n v="59.2971"/>
    <n v="6.2270000000000003"/>
    <n v="1.7566999999999999"/>
    <n v="1810.6116"/>
    <n v="1731.4684"/>
    <x v="1"/>
    <x v="1"/>
    <x v="73"/>
    <n v="4711978"/>
    <n v="5586.2002000000002"/>
    <n v="1615.1"/>
    <n v="1791.5"/>
    <n v="468"/>
    <n v="1632261"/>
    <s v="27-Oct-2021"/>
    <n v="1791.5"/>
    <n v="1"/>
    <n v="2021"/>
    <n v="-0.96"/>
    <m/>
  </r>
  <r>
    <x v="74"/>
    <n v="1801.6"/>
    <n v="1807.3"/>
    <n v="1795.5"/>
    <n v="1795.5"/>
    <n v="452"/>
    <n v="1790.5428999999999"/>
    <n v="1766.8667"/>
    <n v="1784.8678"/>
    <x v="74"/>
    <n v="0.56540000000000001"/>
    <n v="0.83"/>
    <n v="62.411299999999997"/>
    <n v="6.7340999999999998"/>
    <n v="2.7521"/>
    <n v="1809.2340999999999"/>
    <n v="1739.846"/>
    <x v="1"/>
    <x v="1"/>
    <x v="74"/>
    <n v="4711435"/>
    <n v="5586.2002000000002"/>
    <n v="1615.1"/>
    <n v="1795.5"/>
    <n v="468"/>
    <n v="1632261"/>
    <s v="28-Oct-2021"/>
    <n v="1795.5"/>
    <n v="1"/>
    <n v="2021"/>
    <n v="0.22"/>
    <m/>
  </r>
  <r>
    <x v="75"/>
    <n v="1783"/>
    <n v="1797"/>
    <n v="1774.6"/>
    <n v="1793.1"/>
    <n v="583"/>
    <n v="1793.1857"/>
    <n v="1768.01"/>
    <n v="1785.0056"/>
    <x v="75"/>
    <n v="0.56230000000000002"/>
    <n v="0.74839999999999995"/>
    <n v="61.616799999999998"/>
    <n v="6.8631000000000002"/>
    <n v="3.5743"/>
    <n v="1810.7453"/>
    <n v="1742.2148"/>
    <x v="0"/>
    <x v="1"/>
    <x v="75"/>
    <n v="4710983"/>
    <n v="5586.2002000000002"/>
    <n v="1615.1"/>
    <n v="1793.1"/>
    <n v="468"/>
    <n v="1632261"/>
    <s v="29-Oct-2021"/>
    <n v="1793.1"/>
    <n v="1"/>
    <n v="2021"/>
    <n v="-0.13"/>
    <m/>
  </r>
  <r>
    <x v="76"/>
    <n v="1795.1"/>
    <n v="1795.1"/>
    <n v="1786.7"/>
    <n v="1787.5"/>
    <n v="142"/>
    <n v="1793.9713999999999"/>
    <n v="1769.2"/>
    <n v="1785.1011000000001"/>
    <x v="76"/>
    <n v="0.57199999999999995"/>
    <n v="0.74680000000000002"/>
    <n v="61.265799999999999"/>
    <n v="6.4393000000000002"/>
    <n v="4.1473000000000004"/>
    <n v="1811.7457999999999"/>
    <n v="1743.5142000000001"/>
    <x v="1"/>
    <x v="1"/>
    <x v="76"/>
    <n v="4710400"/>
    <n v="5586.2002000000002"/>
    <n v="1615.1"/>
    <n v="1787.5"/>
    <n v="467"/>
    <n v="1631678"/>
    <s v="01-Nov-2021"/>
    <n v="1787.5"/>
    <n v="1"/>
    <n v="2021"/>
    <n v="-0.31"/>
    <m/>
  </r>
  <r>
    <x v="77"/>
    <n v="1788.7"/>
    <n v="1795.5"/>
    <n v="1787.7"/>
    <n v="1790.5"/>
    <n v="213"/>
    <n v="1794.4572000000001"/>
    <n v="1770.1433"/>
    <n v="1785.2433000000001"/>
    <x v="77"/>
    <n v="0.56540000000000001"/>
    <n v="0.74050000000000005"/>
    <n v="59.763300000000001"/>
    <n v="6.2732000000000001"/>
    <n v="4.5724999999999998"/>
    <n v="1812.9124999999999"/>
    <n v="1744.9675"/>
    <x v="0"/>
    <x v="1"/>
    <x v="77"/>
    <n v="4710258"/>
    <n v="5586.2002000000002"/>
    <n v="1615.1"/>
    <n v="1790.5"/>
    <n v="467"/>
    <n v="1631678"/>
    <s v="02-Nov-2021"/>
    <n v="1790.5"/>
    <n v="1"/>
    <n v="2021"/>
    <n v="0.17"/>
    <m/>
  </r>
  <r>
    <x v="78"/>
    <n v="1763.6"/>
    <n v="1768"/>
    <n v="1761.8"/>
    <n v="1768"/>
    <n v="108"/>
    <n v="1790.7"/>
    <n v="1769.8533"/>
    <n v="1785.1143999999999"/>
    <x v="78"/>
    <n v="0.71130000000000004"/>
    <n v="0.76319999999999999"/>
    <n v="41.5503"/>
    <n v="4.2766999999999999"/>
    <n v="4.5133000000000001"/>
    <n v="1812.5008"/>
    <n v="1746.2492"/>
    <x v="0"/>
    <x v="1"/>
    <x v="78"/>
    <n v="4710045"/>
    <n v="5586.2002000000002"/>
    <n v="1615.1"/>
    <n v="1768"/>
    <n v="466"/>
    <n v="1631465"/>
    <s v="03-Nov-2021"/>
    <n v="1768"/>
    <n v="1"/>
    <n v="2021"/>
    <n v="-1.26"/>
    <m/>
  </r>
  <r>
    <x v="79"/>
    <n v="1793"/>
    <n v="1798.2"/>
    <n v="1776.2"/>
    <n v="1776.6"/>
    <n v="103"/>
    <n v="1786.1"/>
    <n v="1770.18"/>
    <n v="1785.1122"/>
    <x v="79"/>
    <n v="0.64170000000000005"/>
    <n v="0.76129999999999998"/>
    <n v="44.013399999999997"/>
    <n v="3.3498000000000001"/>
    <n v="4.2805999999999997"/>
    <n v="1812.2744"/>
    <n v="1747.8956000000001"/>
    <x v="1"/>
    <x v="1"/>
    <x v="79"/>
    <n v="4709937"/>
    <n v="5586.2002000000002"/>
    <n v="1615.1"/>
    <n v="1776.6"/>
    <n v="465"/>
    <n v="1631357"/>
    <s v="04-Nov-2021"/>
    <n v="1776.6"/>
    <n v="1"/>
    <n v="2021"/>
    <n v="0.49"/>
    <m/>
  </r>
  <r>
    <x v="80"/>
    <n v="1816.4"/>
    <n v="1817.1"/>
    <n v="1794.9"/>
    <n v="1794.9"/>
    <n v="239"/>
    <n v="1786.5857000000001"/>
    <n v="1771.6867"/>
    <n v="1785.4878000000001"/>
    <x v="80"/>
    <n v="0.71460000000000001"/>
    <n v="0.75919999999999999"/>
    <n v="62.342500000000001"/>
    <n v="4.0452000000000004"/>
    <n v="4.2336"/>
    <n v="1812.8839"/>
    <n v="1751.0761"/>
    <x v="1"/>
    <x v="1"/>
    <x v="80"/>
    <n v="4709834"/>
    <n v="5586.2002000000002"/>
    <n v="1615.1"/>
    <n v="1794.9"/>
    <n v="465"/>
    <n v="1631357"/>
    <s v="05-Nov-2021"/>
    <n v="1794.9"/>
    <n v="1"/>
    <n v="2021"/>
    <n v="1.03"/>
    <m/>
  </r>
  <r>
    <x v="81"/>
    <n v="1827.4"/>
    <n v="1827.4"/>
    <n v="1816.9"/>
    <n v="1817"/>
    <n v="261"/>
    <n v="1789.6570999999999"/>
    <n v="1773.8633"/>
    <n v="1785.9467"/>
    <x v="81"/>
    <n v="0.84909999999999997"/>
    <n v="0.78739999999999999"/>
    <n v="63.971600000000002"/>
    <n v="6.3068999999999997"/>
    <n v="4.6482000000000001"/>
    <n v="1817.2371000000001"/>
    <n v="1752.7628999999999"/>
    <x v="1"/>
    <x v="1"/>
    <x v="81"/>
    <n v="4709595"/>
    <n v="5586.2002000000002"/>
    <n v="1615.1"/>
    <n v="1817"/>
    <n v="465"/>
    <n v="1631357"/>
    <s v="08-Nov-2021"/>
    <n v="1817"/>
    <n v="1"/>
    <n v="2021"/>
    <n v="1.23"/>
    <m/>
  </r>
  <r>
    <x v="82"/>
    <n v="1830.2"/>
    <n v="1832.7"/>
    <n v="1820.7"/>
    <n v="1826.1"/>
    <n v="170"/>
    <n v="1794.3714"/>
    <n v="1776.7466999999999"/>
    <n v="1786.4733000000001"/>
    <x v="82"/>
    <n v="0.8448"/>
    <n v="0.77480000000000004"/>
    <n v="67.505099999999999"/>
    <n v="8.7330000000000005"/>
    <n v="5.4652000000000003"/>
    <n v="1821.9702"/>
    <n v="1755.4498000000001"/>
    <x v="1"/>
    <x v="1"/>
    <x v="82"/>
    <n v="4709334"/>
    <n v="5586.2002000000002"/>
    <n v="1615.1"/>
    <n v="1826.1"/>
    <n v="465"/>
    <n v="1631357"/>
    <s v="09-Nov-2021"/>
    <n v="1826.1"/>
    <n v="1"/>
    <n v="2021"/>
    <n v="0.5"/>
    <m/>
  </r>
  <r>
    <x v="83"/>
    <n v="1847.6"/>
    <n v="1865"/>
    <n v="1824.9"/>
    <n v="1825.8"/>
    <n v="795"/>
    <n v="1799.8429000000001"/>
    <n v="1779.86"/>
    <n v="1786.9078"/>
    <x v="83"/>
    <n v="0.81810000000000005"/>
    <n v="0.76790000000000003"/>
    <n v="65.642899999999997"/>
    <n v="10.510300000000001"/>
    <n v="6.4741999999999997"/>
    <n v="1826.4186"/>
    <n v="1757.5014000000001"/>
    <x v="1"/>
    <x v="1"/>
    <x v="83"/>
    <n v="4709164"/>
    <n v="5586.2002000000002"/>
    <n v="1615.1"/>
    <n v="1825.8"/>
    <n v="465"/>
    <n v="1631357"/>
    <s v="10-Nov-2021"/>
    <n v="1825.8"/>
    <n v="1"/>
    <n v="2021"/>
    <n v="-0.02"/>
    <m/>
  </r>
  <r>
    <x v="84"/>
    <n v="1863.2"/>
    <n v="1866.5"/>
    <n v="1853.9"/>
    <n v="1853.9"/>
    <n v="292"/>
    <n v="1808.9"/>
    <n v="1784.14"/>
    <n v="1787.5210999999999"/>
    <x v="84"/>
    <n v="0.93520000000000003"/>
    <n v="0.79859999999999998"/>
    <n v="70.490799999999993"/>
    <n v="14.0246"/>
    <n v="7.9843000000000002"/>
    <n v="1839.2605000000001"/>
    <n v="1750.8295000000001"/>
    <x v="1"/>
    <x v="0"/>
    <x v="84"/>
    <n v="4708369"/>
    <n v="5586.2002000000002"/>
    <n v="1615.1"/>
    <n v="1853.9"/>
    <n v="465"/>
    <n v="1631357"/>
    <s v="11-Nov-2021"/>
    <n v="1853.9"/>
    <n v="1"/>
    <n v="2021"/>
    <n v="1.54"/>
    <m/>
  </r>
  <r>
    <x v="85"/>
    <n v="1867.9"/>
    <n v="1867.9"/>
    <n v="1847.6"/>
    <n v="1860.8"/>
    <n v="210"/>
    <n v="1822.1572000000001"/>
    <n v="1787.69"/>
    <n v="1788.23"/>
    <x v="85"/>
    <n v="0.54659999999999997"/>
    <n v="0.75249999999999995"/>
    <n v="70.436400000000006"/>
    <n v="17.168600000000001"/>
    <n v="9.8210999999999995"/>
    <n v="1851.4536000000001"/>
    <n v="1745.2664"/>
    <x v="1"/>
    <x v="0"/>
    <x v="85"/>
    <n v="4708077"/>
    <n v="5586.2002000000002"/>
    <n v="1615.1"/>
    <n v="1860.8"/>
    <n v="465"/>
    <n v="1631357"/>
    <s v="12-Nov-2021"/>
    <n v="1860.8"/>
    <n v="1"/>
    <n v="2021"/>
    <n v="0.37"/>
    <m/>
  </r>
  <r>
    <x v="86"/>
    <n v="1866.1"/>
    <n v="1866.9"/>
    <n v="1864.5"/>
    <n v="1864.5"/>
    <n v="87"/>
    <n v="1834.7143000000001"/>
    <n v="1791.0233000000001"/>
    <n v="1788.9067"/>
    <x v="86"/>
    <n v="0.57830000000000004"/>
    <n v="0.74909999999999999"/>
    <n v="68.334400000000002"/>
    <n v="19.731300000000001"/>
    <n v="11.8032"/>
    <n v="1861.3317999999999"/>
    <n v="1745.6782000000001"/>
    <x v="1"/>
    <x v="1"/>
    <x v="86"/>
    <n v="4707867"/>
    <n v="5586.2002000000002"/>
    <n v="1615.1"/>
    <n v="1864.5"/>
    <n v="465"/>
    <n v="1631357"/>
    <s v="15-Nov-2021"/>
    <n v="1864.5"/>
    <n v="1"/>
    <n v="2021"/>
    <n v="0.2"/>
    <m/>
  </r>
  <r>
    <x v="87"/>
    <n v="1853.6"/>
    <n v="1853.6"/>
    <n v="1853.6"/>
    <n v="1853.6"/>
    <n v="1"/>
    <n v="1843.1"/>
    <n v="1794"/>
    <n v="1789.4733000000001"/>
    <x v="87"/>
    <n v="0.72509999999999997"/>
    <n v="0.76149999999999995"/>
    <n v="71.340199999999996"/>
    <n v="20.6448"/>
    <n v="13.5715"/>
    <n v="1867.8869999999999"/>
    <n v="1746.723"/>
    <x v="1"/>
    <x v="0"/>
    <x v="87"/>
    <n v="4707780"/>
    <n v="5586.2002000000002"/>
    <n v="1615.1"/>
    <n v="1853.6"/>
    <n v="465"/>
    <n v="1631357"/>
    <s v="16-Nov-2021"/>
    <n v="1853.6"/>
    <n v="1"/>
    <n v="2021"/>
    <n v="-0.57999999999999996"/>
    <m/>
  </r>
  <r>
    <x v="88"/>
    <n v="1869.7"/>
    <n v="1869.7"/>
    <n v="1862.6"/>
    <n v="1862.6"/>
    <n v="2"/>
    <n v="1849.6143"/>
    <n v="1797.4432999999999"/>
    <n v="1790.0789"/>
    <x v="88"/>
    <n v="0.64370000000000005"/>
    <n v="0.75870000000000004"/>
    <n v="72.292400000000001"/>
    <n v="21.8431"/>
    <n v="15.2258"/>
    <n v="1875.0072"/>
    <n v="1748.4028000000001"/>
    <x v="1"/>
    <x v="0"/>
    <x v="88"/>
    <n v="4707779"/>
    <n v="5586.2002000000002"/>
    <n v="1615.1"/>
    <n v="1862.6"/>
    <n v="465"/>
    <n v="1631357"/>
    <s v="17-Nov-2021"/>
    <n v="1862.6"/>
    <n v="1"/>
    <n v="2021"/>
    <n v="0.49"/>
    <m/>
  </r>
  <r>
    <x v="89"/>
    <n v="1861"/>
    <n v="1861"/>
    <n v="1861"/>
    <n v="1861"/>
    <n v="9"/>
    <n v="1854.6"/>
    <n v="1800.73"/>
    <n v="1790.6111000000001"/>
    <x v="89"/>
    <n v="0.65969999999999995"/>
    <n v="0.76039999999999996"/>
    <n v="72.678700000000006"/>
    <n v="22.4054"/>
    <n v="16.6617"/>
    <n v="1880.9794999999999"/>
    <n v="1750.3305"/>
    <x v="1"/>
    <x v="0"/>
    <x v="89"/>
    <n v="4707777"/>
    <n v="5586.2002000000002"/>
    <n v="1615.1"/>
    <n v="1861"/>
    <n v="465"/>
    <n v="1631357"/>
    <s v="18-Nov-2021"/>
    <n v="1861"/>
    <n v="1"/>
    <n v="2021"/>
    <n v="-0.09"/>
    <m/>
  </r>
  <r>
    <x v="90"/>
    <n v="1851.2"/>
    <n v="1851.2"/>
    <n v="1851.2"/>
    <n v="1851.2"/>
    <n v="21"/>
    <n v="1858.2285999999999"/>
    <n v="1803.87"/>
    <n v="1790.8289"/>
    <x v="90"/>
    <n v="0.72219999999999995"/>
    <n v="0.76639999999999997"/>
    <n v="70.695300000000003"/>
    <n v="21.808900000000001"/>
    <n v="17.691199999999998"/>
    <n v="1884.5743"/>
    <n v="1753.1457"/>
    <x v="1"/>
    <x v="0"/>
    <x v="90"/>
    <n v="4707768"/>
    <n v="5586.2002000000002"/>
    <n v="1615.1"/>
    <n v="1851.2"/>
    <n v="465"/>
    <n v="1631357"/>
    <s v="19-Nov-2021"/>
    <n v="1851.2"/>
    <n v="1"/>
    <n v="2021"/>
    <n v="-0.53"/>
    <m/>
  </r>
  <r>
    <x v="91"/>
    <n v="1806"/>
    <n v="1841.6"/>
    <n v="1805.7"/>
    <n v="1841.6"/>
    <n v="14"/>
    <n v="1856.4713999999999"/>
    <n v="1806.7032999999999"/>
    <n v="1790.9567"/>
    <x v="91"/>
    <n v="0.45590000000000003"/>
    <n v="0.77610000000000001"/>
    <n v="65.918999999999997"/>
    <n v="20.327200000000001"/>
    <n v="18.218399999999999"/>
    <n v="1886.6214"/>
    <n v="1755.8286000000001"/>
    <x v="0"/>
    <x v="1"/>
    <x v="91"/>
    <n v="4707747"/>
    <n v="5586.2002000000002"/>
    <n v="1615.1"/>
    <n v="1841.6"/>
    <n v="465"/>
    <n v="1631357"/>
    <s v="22-Nov-2021"/>
    <n v="1841.6"/>
    <n v="1"/>
    <n v="2021"/>
    <n v="-0.52"/>
    <m/>
  </r>
  <r>
    <x v="92"/>
    <n v="1783.5"/>
    <n v="1795.5"/>
    <n v="1783.5"/>
    <n v="1795.5"/>
    <n v="264"/>
    <n v="1847.1428000000001"/>
    <n v="1808.1567"/>
    <n v="1790.87"/>
    <x v="92"/>
    <n v="0.97060000000000002"/>
    <n v="0.91379999999999995"/>
    <n v="57.468800000000002"/>
    <n v="15.257199999999999"/>
    <n v="17.626100000000001"/>
    <n v="1886.7539999999999"/>
    <n v="1754.366"/>
    <x v="0"/>
    <x v="1"/>
    <x v="92"/>
    <n v="4707733"/>
    <n v="5586.2002000000002"/>
    <n v="1615.1"/>
    <n v="1795.5"/>
    <n v="464"/>
    <n v="1631343"/>
    <s v="23-Nov-2021"/>
    <n v="1795.5"/>
    <n v="1"/>
    <n v="2021"/>
    <n v="-2.5"/>
    <m/>
  </r>
  <r>
    <x v="93"/>
    <n v="1784.1"/>
    <n v="1793"/>
    <n v="1781.4"/>
    <n v="1793"/>
    <n v="188"/>
    <n v="1836.9286"/>
    <n v="1809.23"/>
    <n v="1790.6488999999999"/>
    <x v="93"/>
    <n v="0.93759999999999999"/>
    <n v="0.91110000000000002"/>
    <n v="54.6068"/>
    <n v="10.9116"/>
    <n v="16.283200000000001"/>
    <n v="1886.6936000000001"/>
    <n v="1754.5763999999999"/>
    <x v="0"/>
    <x v="1"/>
    <x v="93"/>
    <n v="4707469"/>
    <n v="5586.2002000000002"/>
    <n v="1615.1"/>
    <n v="1793"/>
    <n v="463"/>
    <n v="1631079"/>
    <s v="24-Nov-2021"/>
    <n v="1793"/>
    <n v="1"/>
    <n v="2021"/>
    <n v="-0.14000000000000001"/>
    <m/>
  </r>
  <r>
    <x v="94"/>
    <n v="1785.3"/>
    <n v="1791.4"/>
    <n v="1785.3"/>
    <n v="1791.1"/>
    <n v="186800"/>
    <n v="1828"/>
    <n v="1809.1932999999999"/>
    <n v="1790.4721999999999"/>
    <x v="94"/>
    <n v="0.95220000000000005"/>
    <n v="0.85160000000000002"/>
    <n v="48.824199999999998"/>
    <n v="7.2310999999999996"/>
    <n v="14.472799999999999"/>
    <n v="1886.8543"/>
    <n v="1753.9757"/>
    <x v="0"/>
    <x v="1"/>
    <x v="94"/>
    <n v="4707281"/>
    <n v="5586.2002000000002"/>
    <n v="1615.1"/>
    <n v="1791.1"/>
    <n v="462"/>
    <n v="1630891"/>
    <s v="26-Nov-2021"/>
    <n v="1791.1"/>
    <n v="1"/>
    <n v="2021"/>
    <n v="-0.11"/>
    <m/>
  </r>
  <r>
    <x v="95"/>
    <n v="1782.3"/>
    <n v="1798.9"/>
    <n v="1779.1"/>
    <n v="1791.7"/>
    <n v="26926"/>
    <n v="1817.8714"/>
    <n v="1809.1"/>
    <n v="1790.4511"/>
    <x v="95"/>
    <n v="0.88870000000000005"/>
    <n v="0.85119999999999996"/>
    <n v="40.970700000000001"/>
    <n v="4.3129"/>
    <n v="12.440799999999999"/>
    <n v="1886.9083000000001"/>
    <n v="1753.7817"/>
    <x v="0"/>
    <x v="1"/>
    <x v="95"/>
    <n v="4520481"/>
    <n v="5586.2002000000002"/>
    <n v="1615.1"/>
    <n v="1791.7"/>
    <n v="461"/>
    <n v="1444091"/>
    <s v="29-Nov-2021"/>
    <n v="1791.7"/>
    <n v="1"/>
    <n v="2021"/>
    <n v="0.03"/>
    <m/>
  </r>
  <r>
    <x v="96"/>
    <n v="1773.6"/>
    <n v="1808.1"/>
    <n v="1768.7"/>
    <n v="1783.9"/>
    <n v="4903"/>
    <n v="1806.8570999999999"/>
    <n v="1809.8433"/>
    <n v="1790.2722000000001"/>
    <x v="96"/>
    <n v="0.8679"/>
    <n v="0.78300000000000003"/>
    <n v="34.798299999999998"/>
    <n v="1.3552"/>
    <n v="10.223699999999999"/>
    <n v="1887.1206"/>
    <n v="1753.2094"/>
    <x v="0"/>
    <x v="1"/>
    <x v="96"/>
    <n v="4493555"/>
    <n v="5586.2002000000002"/>
    <n v="1615.1"/>
    <n v="1783.9"/>
    <n v="460"/>
    <n v="1417165"/>
    <s v="30-Nov-2021"/>
    <n v="1783.9"/>
    <n v="1"/>
    <n v="2021"/>
    <n v="-0.44"/>
    <m/>
  </r>
  <r>
    <x v="97"/>
    <n v="1781.6"/>
    <n v="1790.5"/>
    <n v="1772.3"/>
    <n v="1774.8"/>
    <n v="1128"/>
    <n v="1795.9429"/>
    <n v="1809.75"/>
    <n v="1789.9644000000001"/>
    <x v="97"/>
    <n v="0.86809999999999998"/>
    <n v="0.77190000000000003"/>
    <n v="32.723599999999998"/>
    <n v="-1.7034"/>
    <n v="7.8383000000000003"/>
    <n v="1888.1437000000001"/>
    <n v="1750.6162999999999"/>
    <x v="1"/>
    <x v="1"/>
    <x v="97"/>
    <n v="4488652"/>
    <n v="5586.2002000000002"/>
    <n v="1615.1"/>
    <n v="1774.8"/>
    <n v="459"/>
    <n v="1412262"/>
    <s v="01-Dec-2021"/>
    <n v="1774.8"/>
    <n v="1"/>
    <n v="2021"/>
    <n v="-0.51"/>
    <m/>
  </r>
  <r>
    <x v="98"/>
    <n v="1760.7"/>
    <n v="1780.9"/>
    <n v="1760.6"/>
    <n v="1780.9"/>
    <n v="1557"/>
    <n v="1787.2714000000001"/>
    <n v="1809.96"/>
    <n v="1789.7111"/>
    <x v="98"/>
    <n v="0.93940000000000001"/>
    <n v="0.77370000000000005"/>
    <n v="20.939499999999999"/>
    <n v="-3.5937999999999999"/>
    <n v="5.5518999999999998"/>
    <n v="1886.9776999999999"/>
    <n v="1753.0723"/>
    <x v="0"/>
    <x v="2"/>
    <x v="98"/>
    <n v="4487524"/>
    <n v="5586.2002000000002"/>
    <n v="1615.1"/>
    <n v="1780.9"/>
    <n v="459"/>
    <n v="1412262"/>
    <s v="02-Dec-2021"/>
    <n v="1780.9"/>
    <n v="1"/>
    <n v="2021"/>
    <n v="0.34"/>
    <m/>
  </r>
  <r>
    <x v="99"/>
    <n v="1782"/>
    <n v="1785.1"/>
    <n v="1766.5"/>
    <n v="1767.5"/>
    <n v="694"/>
    <n v="1783.2714000000001"/>
    <n v="1809.4766999999999"/>
    <n v="1789.3556000000001"/>
    <x v="99"/>
    <n v="0.36870000000000003"/>
    <n v="0.78220000000000001"/>
    <n v="14.6858"/>
    <n v="-6.1028000000000002"/>
    <n v="3.2208999999999999"/>
    <n v="1887.8752999999999"/>
    <n v="1751.2646999999999"/>
    <x v="1"/>
    <x v="2"/>
    <x v="99"/>
    <n v="4485967"/>
    <n v="5586.2002000000002"/>
    <n v="1615.1"/>
    <n v="1767.5"/>
    <n v="458"/>
    <n v="1410705"/>
    <s v="03-Dec-2021"/>
    <n v="1767.5"/>
    <n v="1"/>
    <n v="2021"/>
    <n v="-0.75"/>
    <m/>
  </r>
  <r>
    <x v="100"/>
    <n v="1777.5"/>
    <n v="1783"/>
    <n v="1777.2"/>
    <n v="1780.2"/>
    <n v="381"/>
    <n v="1781.4429"/>
    <n v="1809.2466999999999"/>
    <n v="1789.0622000000001"/>
    <x v="100"/>
    <n v="0.51490000000000002"/>
    <n v="0.79200000000000004"/>
    <n v="20.127500000000001"/>
    <n v="-6.9859"/>
    <n v="1.1796"/>
    <n v="1888.5596"/>
    <n v="1749.1104"/>
    <x v="0"/>
    <x v="2"/>
    <x v="100"/>
    <n v="4485273"/>
    <n v="5586.2002000000002"/>
    <n v="1615.1"/>
    <n v="1780.2"/>
    <n v="458"/>
    <n v="1410705"/>
    <s v="06-Dec-2021"/>
    <n v="1780.2"/>
    <n v="1"/>
    <n v="2021"/>
    <n v="0.72"/>
    <m/>
  </r>
  <r>
    <x v="101"/>
    <n v="1782.6"/>
    <n v="1786.1"/>
    <n v="1772.3"/>
    <n v="1779.5"/>
    <n v="308"/>
    <n v="1779.7856999999999"/>
    <n v="1808.7533000000001"/>
    <n v="1788.5233000000001"/>
    <x v="101"/>
    <n v="0.51549999999999996"/>
    <n v="0.78820000000000001"/>
    <n v="21.695900000000002"/>
    <n v="-7.6539999999999999"/>
    <n v="-0.58720000000000006"/>
    <n v="1888.8748000000001"/>
    <n v="1745.0452"/>
    <x v="1"/>
    <x v="2"/>
    <x v="101"/>
    <n v="4484892"/>
    <n v="5586.2002000000002"/>
    <n v="1615.1"/>
    <n v="1779.5"/>
    <n v="457"/>
    <n v="1410324"/>
    <s v="07-Dec-2021"/>
    <n v="1779.5"/>
    <n v="1"/>
    <n v="2021"/>
    <n v="-0.04"/>
    <m/>
  </r>
  <r>
    <x v="102"/>
    <n v="1783.4"/>
    <n v="1789.9"/>
    <n v="1779"/>
    <n v="1789.9"/>
    <n v="1383"/>
    <n v="1779.5286000000001"/>
    <n v="1808.1233"/>
    <n v="1788.2733000000001"/>
    <x v="102"/>
    <n v="0.57620000000000005"/>
    <n v="0.78100000000000003"/>
    <n v="22.5245"/>
    <n v="-7.2606999999999999"/>
    <n v="-1.9218999999999999"/>
    <n v="1887.9133999999999"/>
    <n v="1742.3866"/>
    <x v="0"/>
    <x v="2"/>
    <x v="102"/>
    <n v="4484584"/>
    <n v="5586.2002000000002"/>
    <n v="1615.1"/>
    <n v="1789.9"/>
    <n v="457"/>
    <n v="1410324"/>
    <s v="08-Dec-2021"/>
    <n v="1789.9"/>
    <n v="1"/>
    <n v="2021"/>
    <n v="0.57999999999999996"/>
    <m/>
  </r>
  <r>
    <x v="103"/>
    <n v="1774.6"/>
    <n v="1783.5"/>
    <n v="1771.8"/>
    <n v="1783.5"/>
    <n v="455"/>
    <n v="1779.4713999999999"/>
    <n v="1807.8567"/>
    <n v="1787.9532999999999"/>
    <x v="103"/>
    <n v="0.56740000000000002"/>
    <n v="0.7641"/>
    <n v="21.735900000000001"/>
    <n v="-7.3802000000000003"/>
    <n v="-3.0135000000000001"/>
    <n v="1886.9449999999999"/>
    <n v="1739.125"/>
    <x v="0"/>
    <x v="2"/>
    <x v="103"/>
    <n v="4483201"/>
    <n v="5586.2002000000002"/>
    <n v="1615.1"/>
    <n v="1783.5"/>
    <n v="456"/>
    <n v="1408941"/>
    <s v="09-Dec-2021"/>
    <n v="1783.5"/>
    <n v="1"/>
    <n v="2021"/>
    <n v="-0.36"/>
    <m/>
  </r>
  <r>
    <x v="104"/>
    <n v="1782.9"/>
    <n v="1785.4"/>
    <n v="1769.1"/>
    <n v="1773.8"/>
    <n v="545"/>
    <n v="1779.3286000000001"/>
    <n v="1807.1333"/>
    <n v="1787.5589"/>
    <x v="104"/>
    <n v="0.5726"/>
    <n v="0.76870000000000005"/>
    <n v="21.751799999999999"/>
    <n v="-8.1636000000000006"/>
    <n v="-4.0434999999999999"/>
    <n v="1882.2944"/>
    <n v="1735.7655999999999"/>
    <x v="1"/>
    <x v="2"/>
    <x v="104"/>
    <n v="4482746"/>
    <n v="5586.2002000000002"/>
    <n v="1615.1"/>
    <n v="1773.8"/>
    <n v="455"/>
    <n v="1408486"/>
    <s v="10-Dec-2021"/>
    <n v="1773.8"/>
    <n v="1"/>
    <n v="2021"/>
    <n v="-0.54"/>
    <m/>
  </r>
  <r>
    <x v="105"/>
    <n v="1786.3"/>
    <n v="1787.1"/>
    <n v="1783.8"/>
    <n v="1784.4"/>
    <n v="206"/>
    <n v="1779.8286000000001"/>
    <n v="1806.8433"/>
    <n v="1787.2655999999999"/>
    <x v="105"/>
    <n v="0.60560000000000003"/>
    <n v="0.77710000000000001"/>
    <n v="29.275300000000001"/>
    <n v="-7.8387000000000002"/>
    <n v="-4.8026"/>
    <n v="1874.9931999999999"/>
    <n v="1735.4268"/>
    <x v="1"/>
    <x v="2"/>
    <x v="105"/>
    <n v="4482201"/>
    <n v="5586.2002000000002"/>
    <n v="1615.1"/>
    <n v="1784.4"/>
    <n v="455"/>
    <n v="1408486"/>
    <s v="13-Dec-2021"/>
    <n v="1784.4"/>
    <n v="1"/>
    <n v="2021"/>
    <n v="0.6"/>
    <m/>
  </r>
  <r>
    <x v="106"/>
    <n v="1770.4"/>
    <n v="1787"/>
    <n v="1769"/>
    <n v="1787"/>
    <n v="322"/>
    <n v="1782.6143"/>
    <n v="1806.8267000000001"/>
    <n v="1787.1233"/>
    <x v="106"/>
    <n v="0.49780000000000002"/>
    <n v="0.77559999999999996"/>
    <n v="45.502600000000001"/>
    <n v="-7.2874999999999996"/>
    <n v="-5.2995999999999999"/>
    <n v="1865.6485"/>
    <n v="1737.0215000000001"/>
    <x v="0"/>
    <x v="1"/>
    <x v="106"/>
    <n v="4481995"/>
    <n v="5586.2002000000002"/>
    <n v="1615.1"/>
    <n v="1787"/>
    <n v="455"/>
    <n v="1408486"/>
    <s v="14-Dec-2021"/>
    <n v="1787"/>
    <n v="1"/>
    <n v="2021"/>
    <n v="0.15"/>
    <m/>
  </r>
  <r>
    <x v="107"/>
    <n v="1762.6"/>
    <n v="1778.7"/>
    <n v="1753.9"/>
    <n v="1767.4"/>
    <n v="283"/>
    <n v="1780.7856999999999"/>
    <n v="1806.0567000000001"/>
    <n v="1787.2778000000001"/>
    <x v="107"/>
    <n v="0.6159"/>
    <n v="0.80020000000000002"/>
    <n v="38.5304"/>
    <n v="-8.3361000000000001"/>
    <n v="-5.9069000000000003"/>
    <n v="1858.0608"/>
    <n v="1735.9892"/>
    <x v="0"/>
    <x v="1"/>
    <x v="107"/>
    <n v="4481673"/>
    <n v="5586.2002000000002"/>
    <n v="1615.1"/>
    <n v="1767.4"/>
    <n v="454"/>
    <n v="1408164"/>
    <s v="15-Dec-2021"/>
    <n v="1767.4"/>
    <n v="1"/>
    <n v="2021"/>
    <n v="-1.1000000000000001"/>
    <m/>
  </r>
  <r>
    <x v="108"/>
    <n v="1796.6"/>
    <n v="1798.1"/>
    <n v="1781"/>
    <n v="1781"/>
    <n v="21"/>
    <n v="1781"/>
    <n v="1806.49"/>
    <n v="1787.86"/>
    <x v="108"/>
    <n v="0.69969999999999999"/>
    <n v="0.7792"/>
    <n v="45.904299999999999"/>
    <n v="-7.9776999999999996"/>
    <n v="-6.3209999999999997"/>
    <n v="1845.8984"/>
    <n v="1739.9916000000001"/>
    <x v="1"/>
    <x v="1"/>
    <x v="108"/>
    <n v="4481390"/>
    <n v="5586.2002000000002"/>
    <n v="1615.1"/>
    <n v="1781"/>
    <n v="453"/>
    <n v="1407881"/>
    <s v="16-Dec-2021"/>
    <n v="1781"/>
    <n v="1"/>
    <n v="2021"/>
    <n v="0.77"/>
    <m/>
  </r>
  <r>
    <x v="109"/>
    <n v="1803.8"/>
    <n v="1812.9"/>
    <n v="1803.8"/>
    <n v="1804"/>
    <n v="654"/>
    <n v="1783.0143"/>
    <n v="1807.4032999999999"/>
    <n v="1788.7121999999999"/>
    <x v="109"/>
    <n v="0.83389999999999997"/>
    <n v="0.80889999999999995"/>
    <n v="54.220999999999997"/>
    <n v="-5.7713000000000001"/>
    <n v="-6.2111000000000001"/>
    <n v="1832.7628"/>
    <n v="1747.4272000000001"/>
    <x v="0"/>
    <x v="1"/>
    <x v="109"/>
    <n v="4481369"/>
    <n v="5586.2002000000002"/>
    <n v="1615.1"/>
    <n v="1804"/>
    <n v="453"/>
    <n v="1407881"/>
    <s v="17-Dec-2021"/>
    <n v="1804"/>
    <n v="1"/>
    <n v="2021"/>
    <n v="1.29"/>
    <m/>
  </r>
  <r>
    <x v="110"/>
    <n v="1793.7"/>
    <n v="1799.8"/>
    <n v="1792"/>
    <n v="1796.8"/>
    <n v="226"/>
    <n v="1784.9142999999999"/>
    <n v="1807.4666999999999"/>
    <n v="1789.2356"/>
    <x v="110"/>
    <n v="0.83789999999999998"/>
    <n v="0.7913"/>
    <n v="54.4452"/>
    <n v="-4.5511999999999997"/>
    <n v="-5.8791000000000002"/>
    <n v="1819.1994"/>
    <n v="1755.5506"/>
    <x v="0"/>
    <x v="1"/>
    <x v="110"/>
    <n v="4480715"/>
    <n v="5586.2002000000002"/>
    <n v="1615.1"/>
    <n v="1796.8"/>
    <n v="452"/>
    <n v="1407227"/>
    <s v="20-Dec-2021"/>
    <n v="1796.8"/>
    <n v="1"/>
    <n v="2021"/>
    <n v="-0.4"/>
    <m/>
  </r>
  <r>
    <x v="111"/>
    <n v="1787.9"/>
    <n v="1796.5"/>
    <n v="1787.9"/>
    <n v="1791.4"/>
    <n v="575"/>
    <n v="1787.4286"/>
    <n v="1806.6133"/>
    <n v="1789.6033"/>
    <x v="111"/>
    <n v="0.81089999999999995"/>
    <n v="0.75829999999999997"/>
    <n v="55.869900000000001"/>
    <n v="-3.9742000000000002"/>
    <n v="-5.4981"/>
    <n v="1804.1174000000001"/>
    <n v="1765.6125999999999"/>
    <x v="0"/>
    <x v="1"/>
    <x v="111"/>
    <n v="4480489"/>
    <n v="5586.2002000000002"/>
    <n v="1615.1"/>
    <n v="1791.4"/>
    <n v="451"/>
    <n v="1407001"/>
    <s v="21-Dec-2021"/>
    <n v="1791.4"/>
    <n v="1"/>
    <n v="2021"/>
    <n v="-0.3"/>
    <m/>
  </r>
  <r>
    <x v="112"/>
    <n v="1801.6"/>
    <n v="1805.2"/>
    <n v="1785.5"/>
    <n v="1786"/>
    <n v="567"/>
    <n v="1787.6572000000001"/>
    <n v="1805.2766999999999"/>
    <n v="1789.7044000000001"/>
    <x v="112"/>
    <n v="0.79820000000000002"/>
    <n v="0.75249999999999995"/>
    <n v="51.812399999999997"/>
    <n v="-3.9076"/>
    <n v="-5.18"/>
    <n v="1802.9955"/>
    <n v="1765.7845"/>
    <x v="1"/>
    <x v="1"/>
    <x v="112"/>
    <n v="4479914"/>
    <n v="5586.2002000000002"/>
    <n v="1615.1"/>
    <n v="1786"/>
    <n v="450"/>
    <n v="1406426"/>
    <s v="22-Dec-2021"/>
    <n v="1786"/>
    <n v="1"/>
    <n v="2021"/>
    <n v="-0.3"/>
    <m/>
  </r>
  <r>
    <x v="113"/>
    <n v="1811.2"/>
    <n v="1811.2"/>
    <n v="1800.8"/>
    <n v="1806"/>
    <n v="193"/>
    <n v="1790.3714"/>
    <n v="1804.6167"/>
    <n v="1789.9078"/>
    <x v="113"/>
    <n v="0.90280000000000005"/>
    <n v="0.7833"/>
    <n v="63.068600000000004"/>
    <n v="-2.2153999999999998"/>
    <n v="-4.5871000000000004"/>
    <n v="1805.7062000000001"/>
    <n v="1764.3738000000001"/>
    <x v="1"/>
    <x v="1"/>
    <x v="113"/>
    <n v="4479347"/>
    <n v="5586.2002000000002"/>
    <n v="1615.1"/>
    <n v="1806"/>
    <n v="450"/>
    <n v="1406426"/>
    <s v="23-Dec-2021"/>
    <n v="1806"/>
    <n v="1"/>
    <n v="2021"/>
    <n v="1.1200000000000001"/>
    <m/>
  </r>
  <r>
    <x v="114"/>
    <n v="1808.1"/>
    <n v="1812.1"/>
    <n v="1807"/>
    <n v="1810"/>
    <n v="150"/>
    <n v="1796.4572000000001"/>
    <n v="1803.1532999999999"/>
    <n v="1790.1543999999999"/>
    <x v="114"/>
    <n v="0.71640000000000004"/>
    <n v="0.72709999999999997"/>
    <n v="60.750399999999999"/>
    <n v="-0.54530000000000001"/>
    <n v="-3.7787000000000002"/>
    <n v="1809.3679"/>
    <n v="1762.6021000000001"/>
    <x v="0"/>
    <x v="1"/>
    <x v="114"/>
    <n v="4479154"/>
    <n v="5586.2002000000002"/>
    <n v="1615.1"/>
    <n v="1810"/>
    <n v="450"/>
    <n v="1406426"/>
    <s v="27-Dec-2021"/>
    <n v="1810"/>
    <n v="1"/>
    <n v="2021"/>
    <n v="0.22"/>
    <m/>
  </r>
  <r>
    <x v="115"/>
    <n v="1810.2"/>
    <n v="1818"/>
    <n v="1805.5"/>
    <n v="1812"/>
    <n v="146"/>
    <n v="1800.8857"/>
    <n v="1801.5266999999999"/>
    <n v="1790.51"/>
    <x v="115"/>
    <n v="0.69399999999999995"/>
    <n v="0.72299999999999998"/>
    <n v="61.615400000000001"/>
    <n v="0.92889999999999995"/>
    <n v="-2.8372000000000002"/>
    <n v="1813.0389"/>
    <n v="1760.9611"/>
    <x v="0"/>
    <x v="1"/>
    <x v="115"/>
    <n v="4479004"/>
    <n v="5586.2002000000002"/>
    <n v="1615.1"/>
    <n v="1812"/>
    <n v="449"/>
    <n v="1406276"/>
    <s v="28-Dec-2021"/>
    <n v="1812"/>
    <n v="1"/>
    <n v="2021"/>
    <n v="0.11"/>
    <m/>
  </r>
  <r>
    <x v="116"/>
    <n v="1805.1"/>
    <n v="1805.1"/>
    <n v="1791.4"/>
    <n v="1803.2"/>
    <n v="623"/>
    <n v="1800.7714000000001"/>
    <n v="1799.4833000000001"/>
    <n v="1790.7221999999999"/>
    <x v="116"/>
    <n v="0.5615"/>
    <n v="0.72450000000000003"/>
    <n v="54.808399999999999"/>
    <n v="1.3713"/>
    <n v="-1.9955000000000001"/>
    <n v="1814.9340999999999"/>
    <n v="1760.9958999999999"/>
    <x v="1"/>
    <x v="1"/>
    <x v="116"/>
    <n v="4478858"/>
    <n v="5586.2002000000002"/>
    <n v="1615.1"/>
    <n v="1803.2"/>
    <n v="448"/>
    <n v="1406130"/>
    <s v="29-Dec-2021"/>
    <n v="1803.2"/>
    <n v="1"/>
    <n v="2021"/>
    <n v="-0.49"/>
    <m/>
  </r>
  <r>
    <x v="117"/>
    <n v="1812.7"/>
    <n v="1816"/>
    <n v="1796"/>
    <n v="1801.7"/>
    <n v="306"/>
    <n v="1801.4713999999999"/>
    <n v="1797.7533000000001"/>
    <n v="1790.9989"/>
    <x v="117"/>
    <n v="0.53659999999999997"/>
    <n v="0.71889999999999998"/>
    <n v="56.821599999999997"/>
    <n v="1.5827"/>
    <n v="-1.2799"/>
    <n v="1816.1976"/>
    <n v="1762.4223999999999"/>
    <x v="1"/>
    <x v="1"/>
    <x v="117"/>
    <n v="4478235"/>
    <n v="5586.2002000000002"/>
    <n v="1615.1"/>
    <n v="1801.7"/>
    <n v="448"/>
    <n v="1406130"/>
    <s v="30-Dec-2021"/>
    <n v="1801.7"/>
    <n v="1"/>
    <n v="2021"/>
    <n v="-0.08"/>
    <m/>
  </r>
  <r>
    <x v="118"/>
    <n v="1827.5"/>
    <n v="1827.8"/>
    <n v="1821.4"/>
    <n v="1825.1"/>
    <n v="80"/>
    <n v="1806.2856999999999"/>
    <n v="1796.5033000000001"/>
    <n v="1791.2666999999999"/>
    <x v="118"/>
    <n v="0.68689999999999996"/>
    <n v="0.75590000000000002"/>
    <n v="67.437100000000001"/>
    <n v="3.5969000000000002"/>
    <n v="-0.30449999999999999"/>
    <n v="1822.4579000000001"/>
    <n v="1760.5821000000001"/>
    <x v="1"/>
    <x v="1"/>
    <x v="118"/>
    <n v="4477929"/>
    <n v="5586.2002000000002"/>
    <n v="1615.1"/>
    <n v="1825.1"/>
    <n v="448"/>
    <n v="1406130"/>
    <s v="31-Dec-2021"/>
    <n v="1825.1"/>
    <n v="1"/>
    <n v="2021"/>
    <n v="1.3"/>
    <m/>
  </r>
  <r>
    <x v="119"/>
    <n v="1799.4"/>
    <n v="1830.1"/>
    <n v="1798.8"/>
    <n v="1830.1"/>
    <n v="116"/>
    <n v="1812.5857000000001"/>
    <n v="1795.4733000000001"/>
    <n v="1791.69"/>
    <x v="119"/>
    <n v="0.6401"/>
    <n v="0.75839999999999996"/>
    <n v="66.148399999999995"/>
    <n v="5.5328999999999997"/>
    <n v="0.86299999999999999"/>
    <n v="1827.9335000000001"/>
    <n v="1761.3665000000001"/>
    <x v="0"/>
    <x v="1"/>
    <x v="119"/>
    <n v="4477849"/>
    <n v="5586.2002000000002"/>
    <n v="1615.1"/>
    <n v="1830.1"/>
    <n v="448"/>
    <n v="1406130"/>
    <s v="03-Jan-2022"/>
    <n v="1830.1"/>
    <n v="1"/>
    <n v="2022"/>
    <n v="0.27"/>
    <m/>
  </r>
  <r>
    <x v="120"/>
    <n v="1814"/>
    <n v="1815.3"/>
    <n v="1800"/>
    <n v="1800.5"/>
    <n v="38"/>
    <n v="1811.8"/>
    <n v="1793.7833000000001"/>
    <n v="1791.8356000000001"/>
    <x v="120"/>
    <n v="0.88229999999999997"/>
    <n v="0.80649999999999999"/>
    <n v="54.005899999999997"/>
    <n v="4.6254"/>
    <n v="1.6154999999999999"/>
    <n v="1828.3253"/>
    <n v="1763.0047"/>
    <x v="1"/>
    <x v="1"/>
    <x v="120"/>
    <n v="4477733"/>
    <n v="5586.2002000000002"/>
    <n v="1615.1"/>
    <n v="1800.5"/>
    <n v="447"/>
    <n v="1406014"/>
    <s v="04-Jan-2022"/>
    <n v="1800.5"/>
    <n v="1"/>
    <n v="2022"/>
    <n v="-1.62"/>
    <m/>
  </r>
  <r>
    <x v="121"/>
    <n v="1824.6"/>
    <n v="1824.6"/>
    <n v="1813.1"/>
    <n v="1813.1"/>
    <n v="8"/>
    <n v="1812.2428"/>
    <n v="1792.8333"/>
    <n v="1791.9432999999999"/>
    <x v="121"/>
    <n v="0.92349999999999999"/>
    <n v="0.81479999999999997"/>
    <n v="64.148600000000002"/>
    <n v="4.8667999999999996"/>
    <n v="2.2656999999999998"/>
    <n v="1829.9609"/>
    <n v="1764.7291"/>
    <x v="1"/>
    <x v="1"/>
    <x v="121"/>
    <n v="4477695"/>
    <n v="5586.2002000000002"/>
    <n v="1615.1"/>
    <n v="1813.1"/>
    <n v="447"/>
    <n v="1406014"/>
    <s v="05-Jan-2022"/>
    <n v="1813.1"/>
    <n v="1"/>
    <n v="2022"/>
    <n v="0.7"/>
    <m/>
  </r>
  <r>
    <x v="122"/>
    <n v="1788.7"/>
    <n v="1791.3"/>
    <n v="1787.1"/>
    <n v="1787.1"/>
    <n v="30"/>
    <n v="1808.6857"/>
    <n v="1792.5533"/>
    <n v="1791.5978"/>
    <x v="122"/>
    <n v="1.0729"/>
    <n v="0.7218"/>
    <n v="51.753900000000002"/>
    <n v="2.9264000000000001"/>
    <n v="2.3978999999999999"/>
    <n v="1829.9791"/>
    <n v="1764.4309000000001"/>
    <x v="1"/>
    <x v="1"/>
    <x v="122"/>
    <n v="4477687"/>
    <n v="5586.2002000000002"/>
    <n v="1615.1"/>
    <n v="1787.1"/>
    <n v="447"/>
    <n v="1406014"/>
    <s v="06-Jan-2022"/>
    <n v="1787.1"/>
    <n v="1"/>
    <n v="2022"/>
    <n v="-1.43"/>
    <m/>
  </r>
  <r>
    <x v="123"/>
    <n v="1797"/>
    <n v="1797"/>
    <n v="1784.4"/>
    <n v="1791.8"/>
    <n v="17"/>
    <n v="1807.0571"/>
    <n v="1792.5133000000001"/>
    <n v="1791.33"/>
    <x v="123"/>
    <n v="1.0762"/>
    <n v="0.72309999999999997"/>
    <n v="46.079700000000003"/>
    <n v="1.7477"/>
    <n v="2.2677999999999998"/>
    <n v="1829.8694"/>
    <n v="1765.3706"/>
    <x v="1"/>
    <x v="1"/>
    <x v="123"/>
    <n v="4477657"/>
    <n v="5586.2002000000002"/>
    <n v="1615.1"/>
    <n v="1791.8"/>
    <n v="447"/>
    <n v="1406014"/>
    <s v="07-Jan-2022"/>
    <n v="1791.8"/>
    <n v="1"/>
    <n v="2022"/>
    <n v="0.26"/>
    <m/>
  </r>
  <r>
    <x v="124"/>
    <n v="1798.4"/>
    <n v="1798.7"/>
    <n v="1790.4"/>
    <n v="1794.9"/>
    <n v="534"/>
    <n v="1806.0857000000001"/>
    <n v="1792.64"/>
    <n v="1791.1233"/>
    <x v="124"/>
    <n v="1.0806"/>
    <n v="0.72350000000000003"/>
    <n v="49.372900000000001"/>
    <n v="1.0516000000000001"/>
    <n v="2.0246"/>
    <n v="1828.9644000000001"/>
    <n v="1768.3856000000001"/>
    <x v="1"/>
    <x v="1"/>
    <x v="124"/>
    <n v="4477640"/>
    <n v="5586.2002000000002"/>
    <n v="1615.1"/>
    <n v="1794.9"/>
    <n v="447"/>
    <n v="1406014"/>
    <s v="10-Jan-2022"/>
    <n v="1794.9"/>
    <n v="1"/>
    <n v="2022"/>
    <n v="0.17"/>
    <m/>
  </r>
  <r>
    <x v="125"/>
    <n v="1818.6"/>
    <n v="1822.5"/>
    <n v="1803"/>
    <n v="1803.9"/>
    <n v="743"/>
    <n v="1803.0571"/>
    <n v="1793.0467000000001"/>
    <n v="1791.02"/>
    <x v="125"/>
    <n v="0.94889999999999997"/>
    <n v="0.72899999999999998"/>
    <n v="54.029699999999998"/>
    <n v="1.2121999999999999"/>
    <n v="1.8621000000000001"/>
    <n v="1829.2521999999999"/>
    <n v="1770.0478000000001"/>
    <x v="1"/>
    <x v="1"/>
    <x v="125"/>
    <n v="4477106"/>
    <n v="5586.2002000000002"/>
    <n v="1615.1"/>
    <n v="1803.9"/>
    <n v="447"/>
    <n v="1406014"/>
    <s v="11-Jan-2022"/>
    <n v="1803.9"/>
    <n v="1"/>
    <n v="2022"/>
    <n v="0.5"/>
    <m/>
  </r>
  <r>
    <x v="126"/>
    <n v="1827.2"/>
    <n v="1827.2"/>
    <n v="1816.9"/>
    <n v="1819"/>
    <n v="1547"/>
    <n v="1801.4713999999999"/>
    <n v="1794.2166999999999"/>
    <n v="1790.9989"/>
    <x v="126"/>
    <n v="1.0137"/>
    <n v="0.73819999999999997"/>
    <n v="60.012099999999997"/>
    <n v="2.5287999999999999"/>
    <n v="1.9954000000000001"/>
    <n v="1831.4269999999999"/>
    <n v="1771.0730000000001"/>
    <x v="1"/>
    <x v="1"/>
    <x v="126"/>
    <n v="4476363"/>
    <n v="5586.2002000000002"/>
    <n v="1615.1"/>
    <n v="1819"/>
    <n v="447"/>
    <n v="1406014"/>
    <s v="12-Jan-2022"/>
    <n v="1819"/>
    <n v="1"/>
    <n v="2022"/>
    <n v="0.84"/>
    <m/>
  </r>
  <r>
    <x v="127"/>
    <n v="1821.2"/>
    <n v="1823"/>
    <n v="1815.4"/>
    <n v="1819.8"/>
    <n v="40"/>
    <n v="1804.2285999999999"/>
    <n v="1795.7166999999999"/>
    <n v="1790.9332999999999"/>
    <x v="127"/>
    <n v="0.75619999999999998"/>
    <n v="0.73019999999999996"/>
    <n v="54.738999999999997"/>
    <n v="3.5952999999999999"/>
    <n v="2.3153999999999999"/>
    <n v="1830.5714"/>
    <n v="1777.1686"/>
    <x v="1"/>
    <x v="1"/>
    <x v="127"/>
    <n v="4474816"/>
    <n v="5586.2002000000002"/>
    <n v="1615.1"/>
    <n v="1819.8"/>
    <n v="447"/>
    <n v="1406014"/>
    <s v="13-Jan-2022"/>
    <n v="1819.8"/>
    <n v="1"/>
    <n v="2022"/>
    <n v="0.04"/>
    <m/>
  </r>
  <r>
    <x v="128"/>
    <n v="1816.5"/>
    <n v="1822"/>
    <n v="1816.5"/>
    <n v="1821.5"/>
    <n v="816"/>
    <n v="1805.4286"/>
    <n v="1797.07"/>
    <n v="1791.3756000000001"/>
    <x v="128"/>
    <n v="0.71709999999999996"/>
    <n v="0.72860000000000003"/>
    <n v="54.012599999999999"/>
    <n v="4.5255000000000001"/>
    <n v="2.7574000000000001"/>
    <n v="1831.4101000000001"/>
    <n v="1780.3798999999999"/>
    <x v="0"/>
    <x v="1"/>
    <x v="128"/>
    <n v="4474776"/>
    <n v="5586.2002000000002"/>
    <n v="1615.1"/>
    <n v="1821.5"/>
    <n v="447"/>
    <n v="1406014"/>
    <s v="14-Jan-2022"/>
    <n v="1821.5"/>
    <n v="1"/>
    <n v="2022"/>
    <n v="0.09"/>
    <m/>
  </r>
  <r>
    <x v="129"/>
    <n v="1812.3"/>
    <n v="1820.1"/>
    <n v="1812.3"/>
    <n v="1816.8"/>
    <n v="900"/>
    <n v="1809.6714999999999"/>
    <n v="1798.7132999999999"/>
    <n v="1791.5767000000001"/>
    <x v="129"/>
    <n v="0.35060000000000002"/>
    <n v="0.71460000000000001"/>
    <n v="51.643900000000002"/>
    <n v="4.8277999999999999"/>
    <n v="3.1715"/>
    <n v="1832.4883"/>
    <n v="1780.5817"/>
    <x v="0"/>
    <x v="1"/>
    <x v="129"/>
    <n v="4473960"/>
    <n v="5586.2002000000002"/>
    <n v="1615.1"/>
    <n v="1816.8"/>
    <n v="446"/>
    <n v="1405198"/>
    <s v="18-Jan-2022"/>
    <n v="1816.8"/>
    <n v="1"/>
    <n v="2022"/>
    <n v="-0.26"/>
    <m/>
  </r>
  <r>
    <x v="130"/>
    <n v="1843.1"/>
    <n v="1843.1"/>
    <n v="1817.4"/>
    <n v="1817.4"/>
    <n v="4"/>
    <n v="1813.3286000000001"/>
    <n v="1799.9532999999999"/>
    <n v="1791.8856000000001"/>
    <x v="130"/>
    <n v="0.3584"/>
    <n v="0.70479999999999998"/>
    <n v="55.1524"/>
    <n v="5.0575000000000001"/>
    <n v="3.5487000000000002"/>
    <n v="1833.5266999999999"/>
    <n v="1781.6033"/>
    <x v="1"/>
    <x v="1"/>
    <x v="130"/>
    <n v="4473060"/>
    <n v="5586.2002000000002"/>
    <n v="1615.1"/>
    <n v="1817.4"/>
    <n v="445"/>
    <n v="1404298"/>
    <s v="19-Jan-2022"/>
    <n v="1817.4"/>
    <n v="1"/>
    <n v="2022"/>
    <n v="0.03"/>
    <m/>
  </r>
  <r>
    <x v="131"/>
    <n v="1842.5"/>
    <n v="1843"/>
    <n v="1838.2"/>
    <n v="1840.6"/>
    <n v="20"/>
    <n v="1819.8571999999999"/>
    <n v="1801.99"/>
    <n v="1792.45"/>
    <x v="131"/>
    <n v="0.53969999999999996"/>
    <n v="0.7379"/>
    <n v="62.194400000000002"/>
    <n v="7.0305"/>
    <n v="4.2450000000000001"/>
    <n v="1838.7175999999999"/>
    <n v="1781.3324"/>
    <x v="1"/>
    <x v="1"/>
    <x v="131"/>
    <n v="4473056"/>
    <n v="5586.2002000000002"/>
    <n v="1615.1"/>
    <n v="1840.6"/>
    <n v="445"/>
    <n v="1404298"/>
    <s v="20-Jan-2022"/>
    <n v="1840.6"/>
    <n v="1"/>
    <n v="2022"/>
    <n v="1.28"/>
    <m/>
  </r>
  <r>
    <x v="132"/>
    <n v="1831.8"/>
    <n v="1842.4"/>
    <n v="1828.9"/>
    <n v="1838"/>
    <n v="19"/>
    <n v="1824.7285999999999"/>
    <n v="1803.5933"/>
    <n v="1792.9677999999999"/>
    <x v="132"/>
    <n v="0.56579999999999997"/>
    <n v="0.7339"/>
    <n v="54.650300000000001"/>
    <n v="8.2888000000000002"/>
    <n v="5.0537999999999998"/>
    <n v="1841.5740000000001"/>
    <n v="1783.6759999999999"/>
    <x v="0"/>
    <x v="1"/>
    <x v="132"/>
    <n v="4473036"/>
    <n v="5586.2002000000002"/>
    <n v="1615.1"/>
    <n v="1838"/>
    <n v="445"/>
    <n v="1404298"/>
    <s v="21-Jan-2022"/>
    <n v="1838"/>
    <n v="1"/>
    <n v="2022"/>
    <n v="-0.14000000000000001"/>
    <m/>
  </r>
  <r>
    <x v="133"/>
    <n v="1841.7"/>
    <n v="1842.1"/>
    <n v="1837.9"/>
    <n v="1837.9"/>
    <n v="8"/>
    <n v="1827.4286"/>
    <n v="1805.4067"/>
    <n v="1793.3478"/>
    <x v="133"/>
    <n v="0.51200000000000001"/>
    <n v="0.72919999999999996"/>
    <n v="52.9148"/>
    <n v="9.1722000000000001"/>
    <n v="5.8775000000000004"/>
    <n v="1845.0840000000001"/>
    <n v="1783.356"/>
    <x v="1"/>
    <x v="1"/>
    <x v="133"/>
    <n v="4473017"/>
    <n v="5586.2002000000002"/>
    <n v="1615.1"/>
    <n v="1837.9"/>
    <n v="444"/>
    <n v="1404279"/>
    <s v="24-Jan-2022"/>
    <n v="1837.9"/>
    <n v="1"/>
    <n v="2022"/>
    <n v="-0.01"/>
    <m/>
  </r>
  <r>
    <x v="134"/>
    <n v="1852.7"/>
    <n v="1852.7"/>
    <n v="1842"/>
    <n v="1843"/>
    <n v="11"/>
    <n v="1830.7429"/>
    <n v="1807.7132999999999"/>
    <n v="1793.9043999999999"/>
    <x v="134"/>
    <n v="0.51160000000000005"/>
    <n v="0.71950000000000003"/>
    <n v="69.441900000000004"/>
    <n v="10.166600000000001"/>
    <n v="6.7352999999999996"/>
    <n v="1849.2129"/>
    <n v="1782.5271"/>
    <x v="1"/>
    <x v="1"/>
    <x v="134"/>
    <n v="4473009"/>
    <n v="5586.2002000000002"/>
    <n v="1615.1"/>
    <n v="1843"/>
    <n v="444"/>
    <n v="1404279"/>
    <s v="25-Jan-2022"/>
    <n v="1843"/>
    <n v="1"/>
    <n v="2022"/>
    <n v="0.28000000000000003"/>
    <m/>
  </r>
  <r>
    <x v="135"/>
    <n v="1829.9"/>
    <n v="1829.9"/>
    <n v="1829.9"/>
    <n v="1829.9"/>
    <n v="55"/>
    <n v="1831.9429"/>
    <n v="1809.23"/>
    <n v="1794.6944000000001"/>
    <x v="135"/>
    <n v="0.61480000000000001"/>
    <n v="0.72970000000000002"/>
    <n v="57.650300000000001"/>
    <n v="9.7849000000000004"/>
    <n v="7.3452000000000002"/>
    <n v="1850.6274000000001"/>
    <n v="1782.9025999999999"/>
    <x v="1"/>
    <x v="1"/>
    <x v="135"/>
    <n v="4472998"/>
    <n v="5586.2002000000002"/>
    <n v="1615.1"/>
    <n v="1829.9"/>
    <n v="444"/>
    <n v="1404279"/>
    <s v="26-Jan-2022"/>
    <n v="1829.9"/>
    <n v="1"/>
    <n v="2022"/>
    <n v="-0.71"/>
    <m/>
  </r>
  <r>
    <x v="136"/>
    <n v="1793.3"/>
    <n v="1793.3"/>
    <n v="1793.3"/>
    <n v="1793.3"/>
    <n v="196036"/>
    <n v="1828.5857000000001"/>
    <n v="1809.44"/>
    <n v="1795.1556"/>
    <x v="136"/>
    <n v="1.0002"/>
    <n v="0.82299999999999995"/>
    <n v="52.574800000000003"/>
    <n v="6.4546000000000001"/>
    <n v="7.1670999999999996"/>
    <n v="1851.2387000000001"/>
    <n v="1781.3013000000001"/>
    <x v="1"/>
    <x v="1"/>
    <x v="136"/>
    <n v="4472943"/>
    <n v="5586.2002000000002"/>
    <n v="1615.1"/>
    <n v="1793.3"/>
    <n v="444"/>
    <n v="1404279"/>
    <s v="27-Jan-2022"/>
    <n v="1793.3"/>
    <n v="1"/>
    <n v="2022"/>
    <n v="-2"/>
    <m/>
  </r>
  <r>
    <x v="137"/>
    <n v="1784.9"/>
    <n v="1798.4"/>
    <n v="1778.8"/>
    <n v="1797.5"/>
    <n v="28521"/>
    <n v="1825.7429"/>
    <n v="1810.4432999999999"/>
    <n v="1795.5478000000001"/>
    <x v="137"/>
    <n v="1.0103"/>
    <n v="0.7964"/>
    <n v="52.377000000000002"/>
    <n v="4.1069000000000004"/>
    <n v="6.5551000000000004"/>
    <n v="1851.4450999999999"/>
    <n v="1780.675"/>
    <x v="0"/>
    <x v="1"/>
    <x v="137"/>
    <n v="4276907"/>
    <n v="5586.2002000000002"/>
    <n v="1615.1"/>
    <n v="1797.5"/>
    <n v="444"/>
    <n v="1404279"/>
    <s v="28-Jan-2022"/>
    <n v="1797.5"/>
    <n v="1"/>
    <n v="2022"/>
    <n v="0.23"/>
    <m/>
  </r>
  <r>
    <x v="138"/>
    <n v="1795"/>
    <n v="1798.5"/>
    <n v="1785.1"/>
    <n v="1788.5"/>
    <n v="1735"/>
    <n v="1818.3"/>
    <n v="1810.6932999999999"/>
    <n v="1795.6789000000001"/>
    <x v="138"/>
    <n v="0.79059999999999997"/>
    <n v="0.79110000000000003"/>
    <n v="47.456299999999999"/>
    <n v="1.5027999999999999"/>
    <n v="5.5446"/>
    <n v="1851.3878"/>
    <n v="1777.0722000000001"/>
    <x v="1"/>
    <x v="1"/>
    <x v="138"/>
    <n v="4248386"/>
    <n v="5586.2002000000002"/>
    <n v="1615.1"/>
    <n v="1788.5"/>
    <n v="443"/>
    <n v="1375758"/>
    <s v="31-Jan-2022"/>
    <n v="1788.5"/>
    <n v="1"/>
    <n v="2022"/>
    <n v="-0.5"/>
    <m/>
  </r>
  <r>
    <x v="139"/>
    <n v="1800.3"/>
    <n v="1806.1"/>
    <n v="1797.1"/>
    <n v="1797.2"/>
    <n v="223"/>
    <n v="1812.4713999999999"/>
    <n v="1810.4666999999999"/>
    <n v="1796.0166999999999"/>
    <x v="79"/>
    <n v="0.85840000000000005"/>
    <n v="0.75939999999999996"/>
    <n v="47.330599999999997"/>
    <n v="0.1394"/>
    <n v="4.4635999999999996"/>
    <n v="1849.6976"/>
    <n v="1775.4724000000001"/>
    <x v="1"/>
    <x v="1"/>
    <x v="139"/>
    <n v="4246651"/>
    <n v="5586.2002000000002"/>
    <n v="1615.1"/>
    <n v="1797.2"/>
    <n v="443"/>
    <n v="1375758"/>
    <s v="01-Feb-2022"/>
    <n v="1797.2"/>
    <n v="1"/>
    <n v="2022"/>
    <n v="0.49"/>
    <m/>
  </r>
  <r>
    <x v="140"/>
    <n v="1809.2"/>
    <n v="1810.1"/>
    <n v="1795.1"/>
    <n v="1797.8"/>
    <n v="1690"/>
    <n v="1806.7429"/>
    <n v="1810.5"/>
    <n v="1796.5510999999999"/>
    <x v="139"/>
    <n v="0.8609"/>
    <n v="0.75580000000000003"/>
    <n v="40.450499999999998"/>
    <n v="-0.88239999999999996"/>
    <n v="3.3944000000000001"/>
    <n v="1849.7668000000001"/>
    <n v="1775.1333"/>
    <x v="1"/>
    <x v="1"/>
    <x v="140"/>
    <n v="4246428"/>
    <n v="5586.2002000000002"/>
    <n v="1615.1"/>
    <n v="1797.8"/>
    <n v="443"/>
    <n v="1375758"/>
    <s v="02-Feb-2022"/>
    <n v="1797.8"/>
    <n v="1"/>
    <n v="2022"/>
    <n v="0.03"/>
    <m/>
  </r>
  <r>
    <x v="141"/>
    <n v="1803"/>
    <n v="1808.1"/>
    <n v="1787.9"/>
    <n v="1805.8"/>
    <n v="466"/>
    <n v="1801.4286"/>
    <n v="1810.98"/>
    <n v="1797.1522"/>
    <x v="140"/>
    <n v="0.8821"/>
    <n v="0.75770000000000004"/>
    <n v="44.077800000000003"/>
    <n v="-1.0347999999999999"/>
    <n v="2.5085000000000002"/>
    <n v="1849.5175999999999"/>
    <n v="1774.6523999999999"/>
    <x v="0"/>
    <x v="1"/>
    <x v="141"/>
    <n v="4244738"/>
    <n v="5586.2002000000002"/>
    <n v="1615.1"/>
    <n v="1805.8"/>
    <n v="443"/>
    <n v="1375758"/>
    <s v="03-Feb-2022"/>
    <n v="1805.8"/>
    <n v="1"/>
    <n v="2022"/>
    <n v="0.45"/>
    <m/>
  </r>
  <r>
    <x v="142"/>
    <n v="1806.6"/>
    <n v="1813.7"/>
    <n v="1792.5"/>
    <n v="1806"/>
    <n v="571"/>
    <n v="1798.0143"/>
    <n v="1811.6467"/>
    <n v="1797.89"/>
    <x v="141"/>
    <n v="0.86639999999999995"/>
    <n v="0.75519999999999998"/>
    <n v="43.359000000000002"/>
    <n v="-1.1265000000000001"/>
    <n v="1.7815000000000001"/>
    <n v="1848.7206000000001"/>
    <n v="1777.3395"/>
    <x v="1"/>
    <x v="1"/>
    <x v="142"/>
    <n v="4244272"/>
    <n v="5586.2002000000002"/>
    <n v="1615.1"/>
    <n v="1806"/>
    <n v="442"/>
    <n v="1375292"/>
    <s v="04-Feb-2022"/>
    <n v="1806"/>
    <n v="1"/>
    <n v="2022"/>
    <n v="0.01"/>
    <m/>
  </r>
  <r>
    <x v="143"/>
    <n v="1820.6"/>
    <n v="1821.3"/>
    <n v="1809.1"/>
    <n v="1812.2"/>
    <n v="601"/>
    <n v="1800.7143000000001"/>
    <n v="1811.8533"/>
    <n v="1798.7766999999999"/>
    <x v="142"/>
    <n v="0.34179999999999999"/>
    <n v="0.72970000000000002"/>
    <n v="48.054099999999998"/>
    <n v="-0.69089999999999996"/>
    <n v="1.2870999999999999"/>
    <n v="1848.3237999999999"/>
    <n v="1779.7762"/>
    <x v="1"/>
    <x v="1"/>
    <x v="143"/>
    <n v="4243701"/>
    <n v="5586.2002000000002"/>
    <n v="1615.1"/>
    <n v="1812.2"/>
    <n v="442"/>
    <n v="1375292"/>
    <s v="07-Feb-2022"/>
    <n v="1812.2"/>
    <n v="1"/>
    <n v="2022"/>
    <n v="0.34"/>
    <m/>
  </r>
  <r>
    <x v="144"/>
    <n v="1826.6"/>
    <n v="1827.6"/>
    <n v="1815"/>
    <n v="1818.9"/>
    <n v="108"/>
    <n v="1803.7714000000001"/>
    <n v="1812.15"/>
    <n v="1799.8144"/>
    <x v="143"/>
    <n v="0.35110000000000002"/>
    <n v="0.73170000000000002"/>
    <n v="50.603400000000001"/>
    <n v="0.1928"/>
    <n v="1.0682"/>
    <n v="1848.3616"/>
    <n v="1782.1384"/>
    <x v="1"/>
    <x v="1"/>
    <x v="144"/>
    <n v="4243100"/>
    <n v="5586.2002000000002"/>
    <n v="1615.1"/>
    <n v="1818.9"/>
    <n v="442"/>
    <n v="1375292"/>
    <s v="08-Feb-2022"/>
    <n v="1818.9"/>
    <n v="1"/>
    <n v="2022"/>
    <n v="0.37"/>
    <m/>
  </r>
  <r>
    <x v="145"/>
    <n v="1835.2"/>
    <n v="1835.2"/>
    <n v="1825.3"/>
    <n v="1825.4"/>
    <n v="683"/>
    <n v="1809.0428999999999"/>
    <n v="1812.5967000000001"/>
    <n v="1800.6043999999999"/>
    <x v="144"/>
    <n v="0.1915"/>
    <n v="0.73409999999999997"/>
    <n v="42.936799999999998"/>
    <n v="1.4014"/>
    <n v="1.1348"/>
    <n v="1849.2807"/>
    <n v="1783.3693000000001"/>
    <x v="1"/>
    <x v="1"/>
    <x v="145"/>
    <n v="4242992"/>
    <n v="5586.2002000000002"/>
    <n v="1615.1"/>
    <n v="1825.4"/>
    <n v="442"/>
    <n v="1375292"/>
    <s v="09-Feb-2022"/>
    <n v="1825.4"/>
    <n v="1"/>
    <n v="2022"/>
    <n v="0.36"/>
    <m/>
  </r>
  <r>
    <x v="146"/>
    <n v="1836.2"/>
    <n v="1842.1"/>
    <n v="1820.8"/>
    <n v="1833.3"/>
    <n v="365"/>
    <n v="1814.2"/>
    <n v="1813.6"/>
    <n v="1801.3688999999999"/>
    <x v="145"/>
    <n v="0.18329999999999999"/>
    <n v="0.73119999999999996"/>
    <n v="47.918500000000002"/>
    <n v="2.9626000000000001"/>
    <n v="1.5004"/>
    <n v="1850.8495"/>
    <n v="1783.2304999999999"/>
    <x v="1"/>
    <x v="1"/>
    <x v="146"/>
    <n v="4242309"/>
    <n v="5586.2002000000002"/>
    <n v="1615.1"/>
    <n v="1833.3"/>
    <n v="442"/>
    <n v="1375292"/>
    <s v="10-Feb-2022"/>
    <n v="1833.3"/>
    <n v="1"/>
    <n v="2022"/>
    <n v="0.43"/>
    <m/>
  </r>
  <r>
    <x v="147"/>
    <n v="1840.8"/>
    <n v="1864.8"/>
    <n v="1822"/>
    <n v="1822"/>
    <n v="181"/>
    <n v="1817.6572000000001"/>
    <n v="1814.2766999999999"/>
    <n v="1802.01"/>
    <x v="146"/>
    <n v="0.3851"/>
    <n v="0.74109999999999998"/>
    <n v="43.593899999999998"/>
    <n v="3.2505000000000002"/>
    <n v="1.8504"/>
    <n v="1851.0116"/>
    <n v="1783.2883999999999"/>
    <x v="1"/>
    <x v="1"/>
    <x v="147"/>
    <n v="4241944"/>
    <n v="5586.2002000000002"/>
    <n v="1615.1"/>
    <n v="1822"/>
    <n v="442"/>
    <n v="1375292"/>
    <s v="11-Feb-2022"/>
    <n v="1822"/>
    <n v="1"/>
    <n v="2022"/>
    <n v="-0.62"/>
    <m/>
  </r>
  <r>
    <x v="148"/>
    <n v="1868"/>
    <n v="1870.6"/>
    <n v="1854.6"/>
    <n v="1861.8"/>
    <n v="79"/>
    <n v="1825.6572000000001"/>
    <n v="1815.5"/>
    <n v="1803.1488999999999"/>
    <x v="147"/>
    <n v="0.8528"/>
    <n v="0.80759999999999998"/>
    <n v="55.919400000000003"/>
    <n v="6.6139999999999999"/>
    <n v="2.8031000000000001"/>
    <n v="1858.4746"/>
    <n v="1779.8554999999999"/>
    <x v="1"/>
    <x v="1"/>
    <x v="148"/>
    <n v="4241763"/>
    <n v="5586.2002000000002"/>
    <n v="1615.1"/>
    <n v="1861.8"/>
    <n v="442"/>
    <n v="1375292"/>
    <s v="14-Feb-2022"/>
    <n v="1861.8"/>
    <n v="1"/>
    <n v="2022"/>
    <n v="2.1800000000000002"/>
    <m/>
  </r>
  <r>
    <x v="149"/>
    <n v="1854.8"/>
    <n v="1879.7"/>
    <n v="1847.4"/>
    <n v="1872.6"/>
    <n v="86"/>
    <n v="1835.1713999999999"/>
    <n v="1816.9167"/>
    <n v="1804.3733"/>
    <x v="148"/>
    <n v="0.83199999999999996"/>
    <n v="0.81220000000000003"/>
    <n v="63.642200000000003"/>
    <n v="10.035399999999999"/>
    <n v="4.2496"/>
    <n v="1867.9159"/>
    <n v="1775.9940999999999"/>
    <x v="0"/>
    <x v="1"/>
    <x v="149"/>
    <n v="4241684"/>
    <n v="5586.2002000000002"/>
    <n v="1615.1"/>
    <n v="1872.6"/>
    <n v="442"/>
    <n v="1375292"/>
    <s v="15-Feb-2022"/>
    <n v="1872.6"/>
    <n v="1"/>
    <n v="2022"/>
    <n v="0.57999999999999996"/>
    <m/>
  </r>
  <r>
    <x v="150"/>
    <n v="1870.2"/>
    <n v="1870.2"/>
    <n v="1856.3"/>
    <n v="1858.7"/>
    <n v="34"/>
    <n v="1841.8143"/>
    <n v="1818.8567"/>
    <n v="1805.5033000000001"/>
    <x v="149"/>
    <n v="0.96179999999999999"/>
    <n v="0.76339999999999997"/>
    <n v="74.439400000000006"/>
    <n v="11.492800000000001"/>
    <n v="5.6981999999999999"/>
    <n v="1872.7471"/>
    <n v="1775.2928999999999"/>
    <x v="1"/>
    <x v="0"/>
    <x v="150"/>
    <n v="4241598"/>
    <n v="5586.2002000000002"/>
    <n v="1615.1"/>
    <n v="1858.7"/>
    <n v="441"/>
    <n v="1375206"/>
    <s v="16-Feb-2022"/>
    <n v="1858.7"/>
    <n v="1"/>
    <n v="2022"/>
    <n v="-0.74"/>
    <m/>
  </r>
  <r>
    <x v="151"/>
    <n v="1900.7"/>
    <n v="1900.7"/>
    <n v="1876.2"/>
    <n v="1876.3"/>
    <n v="393"/>
    <n v="1850.0143"/>
    <n v="1820.9632999999999"/>
    <n v="1806.8333"/>
    <x v="150"/>
    <n v="0.98650000000000004"/>
    <n v="0.77129999999999999"/>
    <n v="76.766300000000001"/>
    <n v="13.9076"/>
    <n v="7.3400999999999996"/>
    <n v="1879.4562000000001"/>
    <n v="1772.1538"/>
    <x v="1"/>
    <x v="0"/>
    <x v="151"/>
    <n v="4241564"/>
    <n v="5586.2002000000002"/>
    <n v="1615.1"/>
    <n v="1876.3"/>
    <n v="441"/>
    <n v="1375206"/>
    <s v="17-Feb-2022"/>
    <n v="1876.3"/>
    <n v="1"/>
    <n v="2022"/>
    <n v="0.95"/>
    <m/>
  </r>
  <r>
    <x v="152"/>
    <n v="1898.6"/>
    <n v="1899.4"/>
    <n v="1890.7"/>
    <n v="1899.4"/>
    <n v="51"/>
    <n v="1860.5857000000001"/>
    <n v="1824.7067"/>
    <n v="1808.4721999999999"/>
    <x v="151"/>
    <n v="1.0274000000000001"/>
    <n v="0.73929999999999996"/>
    <n v="84.376900000000006"/>
    <n v="17.483799999999999"/>
    <n v="9.3688000000000002"/>
    <n v="1891.7058999999999"/>
    <n v="1766.0441000000001"/>
    <x v="0"/>
    <x v="0"/>
    <x v="152"/>
    <n v="4241171"/>
    <n v="5586.2002000000002"/>
    <n v="1615.1"/>
    <n v="1899.4"/>
    <n v="441"/>
    <n v="1375206"/>
    <s v="18-Feb-2022"/>
    <n v="1899.4"/>
    <n v="1"/>
    <n v="2022"/>
    <n v="1.23"/>
    <m/>
  </r>
  <r>
    <x v="153"/>
    <n v="1906.1"/>
    <n v="1912"/>
    <n v="1890.8"/>
    <n v="1908.1"/>
    <n v="173"/>
    <n v="1871.2714000000001"/>
    <n v="1828.5833"/>
    <n v="1810.1088999999999"/>
    <x v="152"/>
    <n v="1.0268999999999999"/>
    <n v="0.74070000000000003"/>
    <n v="84.376900000000006"/>
    <n v="20.7804"/>
    <n v="11.651199999999999"/>
    <n v="1904.4965999999999"/>
    <n v="1760.2734"/>
    <x v="0"/>
    <x v="0"/>
    <x v="153"/>
    <n v="4241120"/>
    <n v="5586.2002000000002"/>
    <n v="1615.1"/>
    <n v="1908.1"/>
    <n v="440"/>
    <n v="1375155"/>
    <s v="22-Feb-2022"/>
    <n v="1908.1"/>
    <n v="1"/>
    <n v="2022"/>
    <n v="0.46"/>
    <m/>
  </r>
  <r>
    <x v="154"/>
    <n v="1909.2"/>
    <n v="1910.6"/>
    <n v="1895.7"/>
    <n v="1896.6"/>
    <n v="73"/>
    <n v="1881.9286"/>
    <n v="1831.9733000000001"/>
    <n v="1811.2689"/>
    <x v="153"/>
    <n v="1.0243"/>
    <n v="0.75549999999999995"/>
    <n v="78.6875"/>
    <n v="22.209099999999999"/>
    <n v="13.762700000000001"/>
    <n v="1912.6165000000001"/>
    <n v="1757.5135"/>
    <x v="1"/>
    <x v="0"/>
    <x v="154"/>
    <n v="4240947"/>
    <n v="5586.2002000000002"/>
    <n v="1615.1"/>
    <n v="1896.6"/>
    <n v="439"/>
    <n v="1374982"/>
    <s v="23-Feb-2022"/>
    <n v="1896.6"/>
    <n v="1"/>
    <n v="2022"/>
    <n v="-0.6"/>
    <m/>
  </r>
  <r>
    <x v="155"/>
    <n v="1925.1"/>
    <n v="1972.5"/>
    <n v="1911.7"/>
    <n v="1911.9"/>
    <n v="2706"/>
    <n v="1889.0857000000001"/>
    <n v="1835.5733"/>
    <n v="1812.5733"/>
    <x v="154"/>
    <n v="0.76370000000000005"/>
    <n v="0.76190000000000002"/>
    <n v="79.554299999999998"/>
    <n v="24.2958"/>
    <n v="15.869400000000001"/>
    <n v="1923.9041"/>
    <n v="1754.4259"/>
    <x v="1"/>
    <x v="0"/>
    <x v="155"/>
    <n v="4240874"/>
    <n v="5586.2002000000002"/>
    <n v="1615.1"/>
    <n v="1911.9"/>
    <n v="439"/>
    <n v="1374982"/>
    <s v="24-Feb-2022"/>
    <n v="1911.9"/>
    <n v="1"/>
    <n v="2022"/>
    <n v="0.81"/>
    <m/>
  </r>
  <r>
    <x v="156"/>
    <n v="1886.5"/>
    <n v="1920"/>
    <n v="1883.6"/>
    <n v="1906.9"/>
    <n v="586"/>
    <n v="1893.9857"/>
    <n v="1838.5033000000001"/>
    <n v="1814.1877999999999"/>
    <x v="155"/>
    <n v="0.79310000000000003"/>
    <n v="0.75649999999999995"/>
    <n v="77.373800000000003"/>
    <n v="25.254999999999999"/>
    <n v="17.746500000000001"/>
    <n v="1931.8387"/>
    <n v="1757.8513"/>
    <x v="0"/>
    <x v="0"/>
    <x v="156"/>
    <n v="4238168"/>
    <n v="5586.2002000000002"/>
    <n v="1615.1"/>
    <n v="1906.9"/>
    <n v="439"/>
    <n v="1374982"/>
    <s v="25-Feb-2022"/>
    <n v="1906.9"/>
    <n v="1"/>
    <n v="2022"/>
    <n v="-0.26"/>
    <m/>
  </r>
  <r>
    <x v="157"/>
    <n v="1899.4"/>
    <n v="1928.4"/>
    <n v="1894.2"/>
    <n v="1928.3"/>
    <n v="390"/>
    <n v="1903.9286"/>
    <n v="1842.12"/>
    <n v="1815.8622"/>
    <x v="156"/>
    <n v="0.70799999999999996"/>
    <n v="0.77610000000000001"/>
    <n v="79.097700000000003"/>
    <n v="27.425799999999999"/>
    <n v="19.682300000000001"/>
    <n v="1942.9392"/>
    <n v="1759.8308"/>
    <x v="0"/>
    <x v="0"/>
    <x v="157"/>
    <n v="4237582"/>
    <n v="5586.2002000000002"/>
    <n v="1615.1"/>
    <n v="1928.3"/>
    <n v="438"/>
    <n v="1374396"/>
    <s v="28-Feb-2022"/>
    <n v="1928.3"/>
    <n v="1"/>
    <n v="2022"/>
    <n v="1.1200000000000001"/>
    <m/>
  </r>
  <r>
    <x v="158"/>
    <n v="1942.4"/>
    <n v="1942.4"/>
    <n v="1903.8"/>
    <n v="1908.3"/>
    <n v="547"/>
    <n v="1908.5"/>
    <n v="1845.0133000000001"/>
    <n v="1817.3478"/>
    <x v="157"/>
    <n v="0.8871"/>
    <n v="0.80810000000000004"/>
    <n v="71.005600000000001"/>
    <n v="27.218599999999999"/>
    <n v="21.189599999999999"/>
    <n v="1947.2668000000001"/>
    <n v="1767.4831999999999"/>
    <x v="1"/>
    <x v="0"/>
    <x v="158"/>
    <n v="4237192"/>
    <n v="5586.2002000000002"/>
    <n v="1615.1"/>
    <n v="1908.3"/>
    <n v="437"/>
    <n v="1374006"/>
    <s v="01-Mar-2022"/>
    <n v="1908.3"/>
    <n v="1"/>
    <n v="2022"/>
    <n v="-1.04"/>
    <m/>
  </r>
  <r>
    <x v="159"/>
    <n v="1920.9"/>
    <n v="1948.2"/>
    <n v="1919.8"/>
    <n v="1945.6"/>
    <n v="109"/>
    <n v="1915.1"/>
    <n v="1849.3067000000001"/>
    <n v="1819.1656"/>
    <x v="158"/>
    <n v="1.0486"/>
    <n v="0.86750000000000005"/>
    <n v="74.671599999999998"/>
    <n v="29.721499999999999"/>
    <n v="22.896000000000001"/>
    <n v="1958.203"/>
    <n v="1771.3869999999999"/>
    <x v="0"/>
    <x v="0"/>
    <x v="159"/>
    <n v="4236645"/>
    <n v="5586.2002000000002"/>
    <n v="1615.1"/>
    <n v="1945.6"/>
    <n v="437"/>
    <n v="1374006"/>
    <s v="02-Mar-2022"/>
    <n v="1945.6"/>
    <n v="1"/>
    <n v="2022"/>
    <n v="1.95"/>
    <m/>
  </r>
  <r>
    <x v="160"/>
    <n v="1934.4"/>
    <n v="1940.3"/>
    <n v="1924.8"/>
    <n v="1930.5"/>
    <n v="122"/>
    <n v="1918.3"/>
    <n v="1853.0767000000001"/>
    <n v="1820.7589"/>
    <x v="159"/>
    <n v="1.1278999999999999"/>
    <n v="0.88629999999999998"/>
    <n v="69.378"/>
    <n v="30.139299999999999"/>
    <n v="24.3446"/>
    <n v="1963.6452999999999"/>
    <n v="1779.2147"/>
    <x v="1"/>
    <x v="1"/>
    <x v="160"/>
    <n v="4236536"/>
    <n v="5586.2002000000002"/>
    <n v="1615.1"/>
    <n v="1930.5"/>
    <n v="436"/>
    <n v="1373897"/>
    <s v="03-Mar-2022"/>
    <n v="1930.5"/>
    <n v="1"/>
    <n v="2022"/>
    <n v="-0.78"/>
    <m/>
  </r>
  <r>
    <x v="161"/>
    <n v="1965.1"/>
    <n v="1970.9"/>
    <n v="1935.6"/>
    <n v="1937"/>
    <n v="47"/>
    <n v="1924.0714"/>
    <n v="1856.29"/>
    <n v="1822.3444"/>
    <x v="160"/>
    <n v="1.0749"/>
    <n v="0.86350000000000005"/>
    <n v="73.373999999999995"/>
    <n v="30.6416"/>
    <n v="25.603999999999999"/>
    <n v="1969.2085"/>
    <n v="1786.7716"/>
    <x v="1"/>
    <x v="0"/>
    <x v="161"/>
    <n v="4236414"/>
    <n v="5586.2002000000002"/>
    <n v="1615.1"/>
    <n v="1937"/>
    <n v="436"/>
    <n v="1373897"/>
    <s v="04-Mar-2022"/>
    <n v="1937"/>
    <n v="1"/>
    <n v="2022"/>
    <n v="0.34"/>
    <m/>
  </r>
  <r>
    <x v="162"/>
    <n v="1993.9"/>
    <n v="2001.1"/>
    <n v="1963"/>
    <n v="1989"/>
    <n v="2516"/>
    <n v="1935.0857000000001"/>
    <n v="1861.3233"/>
    <n v="1824.3467000000001"/>
    <x v="161"/>
    <n v="1.4044000000000001"/>
    <n v="0.9748"/>
    <n v="74.632099999999994"/>
    <n v="34.834099999999999"/>
    <n v="27.45"/>
    <n v="1984.4621"/>
    <n v="1789.8179"/>
    <x v="1"/>
    <x v="0"/>
    <x v="162"/>
    <n v="4236367"/>
    <n v="5586.2002000000002"/>
    <n v="1615.1"/>
    <n v="1989"/>
    <n v="436"/>
    <n v="1373897"/>
    <s v="07-Mar-2022"/>
    <n v="1989"/>
    <n v="1"/>
    <n v="2022"/>
    <n v="2.68"/>
    <m/>
  </r>
  <r>
    <x v="163"/>
    <n v="2040.1"/>
    <n v="2072"/>
    <n v="1998"/>
    <n v="1999.4"/>
    <n v="1813"/>
    <n v="1948.3"/>
    <n v="1866.7067"/>
    <n v="1826.6567"/>
    <x v="162"/>
    <n v="1.3571"/>
    <n v="0.97450000000000003"/>
    <n v="74.592699999999994"/>
    <n v="38.551600000000001"/>
    <n v="29.670400000000001"/>
    <n v="1999.3275000000001"/>
    <n v="1793.6724999999999"/>
    <x v="1"/>
    <x v="0"/>
    <x v="163"/>
    <n v="4233851"/>
    <n v="5586.2002000000002"/>
    <n v="1615.1"/>
    <n v="1999.4"/>
    <n v="436"/>
    <n v="1373897"/>
    <s v="08-Mar-2022"/>
    <n v="1999.4"/>
    <n v="1"/>
    <n v="2022"/>
    <n v="0.52"/>
    <m/>
  </r>
  <r>
    <x v="164"/>
    <n v="1985.9"/>
    <n v="2063"/>
    <n v="1980.8"/>
    <n v="2053.6001000000001"/>
    <n v="1022"/>
    <n v="1966.2"/>
    <n v="1873.7266999999999"/>
    <n v="1829.5245"/>
    <x v="163"/>
    <n v="1.5597000000000001"/>
    <n v="1.0703"/>
    <n v="82.690399999999997"/>
    <n v="45.348399999999998"/>
    <n v="32.805999999999997"/>
    <n v="2026.2257"/>
    <n v="1790.2443000000001"/>
    <x v="0"/>
    <x v="0"/>
    <x v="164"/>
    <n v="4232038"/>
    <n v="5586.2002000000002"/>
    <n v="1615.1"/>
    <n v="2053.6001000000001"/>
    <n v="436"/>
    <n v="1373897"/>
    <s v="09-Mar-2022"/>
    <n v="2053.6001000000001"/>
    <n v="1"/>
    <n v="2022"/>
    <n v="2.71"/>
    <m/>
  </r>
  <r>
    <x v="165"/>
    <n v="1998.1"/>
    <n v="2010.5"/>
    <n v="1978.1"/>
    <n v="1978.1"/>
    <n v="670"/>
    <n v="1976.1713999999999"/>
    <n v="1878.6667"/>
    <n v="1831.58"/>
    <x v="164"/>
    <n v="2.2681"/>
    <n v="1.2881"/>
    <n v="64.297700000000006"/>
    <n v="44.133899999999997"/>
    <n v="35.0715"/>
    <n v="2031.0195000000001"/>
    <n v="1800.7204999999999"/>
    <x v="1"/>
    <x v="1"/>
    <x v="165"/>
    <n v="4231016"/>
    <n v="5586.2002000000002"/>
    <n v="1615.1"/>
    <n v="1978.1"/>
    <n v="435"/>
    <n v="1372875"/>
    <s v="10-Mar-2022"/>
    <n v="1978.1"/>
    <n v="1"/>
    <n v="2022"/>
    <n v="-3.68"/>
    <m/>
  </r>
  <r>
    <x v="166"/>
    <n v="1982.7"/>
    <n v="1996"/>
    <n v="1959.9"/>
    <n v="1985"/>
    <n v="865"/>
    <n v="1981.8"/>
    <n v="1885.0567000000001"/>
    <n v="1833.7745"/>
    <x v="165"/>
    <n v="2.1802999999999999"/>
    <n v="1.2148000000000001"/>
    <n v="62.595599999999997"/>
    <n v="43.229900000000001"/>
    <n v="36.703200000000002"/>
    <n v="2035.6510000000001"/>
    <n v="1811.259"/>
    <x v="0"/>
    <x v="1"/>
    <x v="166"/>
    <n v="4230346"/>
    <n v="5586.2002000000002"/>
    <n v="1615.1"/>
    <n v="1985"/>
    <n v="435"/>
    <n v="1372875"/>
    <s v="11-Mar-2022"/>
    <n v="1985"/>
    <n v="1"/>
    <n v="2022"/>
    <n v="0.35"/>
    <m/>
  </r>
  <r>
    <x v="167"/>
    <n v="1959.6"/>
    <n v="1977.7"/>
    <n v="1959.6"/>
    <n v="1976.5"/>
    <n v="145"/>
    <n v="1988.3714"/>
    <n v="1891.0233000000001"/>
    <n v="1835.8411000000001"/>
    <x v="166"/>
    <n v="2.1553"/>
    <n v="1.2229000000000001"/>
    <n v="60.070700000000002"/>
    <n v="41.350900000000003"/>
    <n v="37.632800000000003"/>
    <n v="2034.9204"/>
    <n v="1827.4395999999999"/>
    <x v="0"/>
    <x v="1"/>
    <x v="167"/>
    <n v="4229481"/>
    <n v="5586.2002000000002"/>
    <n v="1615.1"/>
    <n v="1976.5"/>
    <n v="434"/>
    <n v="1372010"/>
    <s v="14-Mar-2022"/>
    <n v="1976.5"/>
    <n v="1"/>
    <n v="2022"/>
    <n v="-0.43"/>
    <m/>
  </r>
  <r>
    <x v="168"/>
    <n v="1928.5"/>
    <n v="1939.9"/>
    <n v="1910.7"/>
    <n v="1939.8"/>
    <n v="71"/>
    <n v="1988.7714000000001"/>
    <n v="1896.0667000000001"/>
    <n v="1837.75"/>
    <x v="167"/>
    <n v="2.3125"/>
    <n v="1.2782"/>
    <n v="55.921100000000003"/>
    <n v="36.479900000000001"/>
    <n v="37.402200000000001"/>
    <n v="2033.5700999999999"/>
    <n v="1836.5898999999999"/>
    <x v="0"/>
    <x v="1"/>
    <x v="168"/>
    <n v="4229336"/>
    <n v="5586.2002000000002"/>
    <n v="1615.1"/>
    <n v="1939.8"/>
    <n v="433"/>
    <n v="1371865"/>
    <s v="15-Mar-2022"/>
    <n v="1939.8"/>
    <n v="1"/>
    <n v="2022"/>
    <n v="-1.86"/>
    <m/>
  </r>
  <r>
    <x v="169"/>
    <n v="1908"/>
    <n v="1922.4"/>
    <n v="1907.2"/>
    <n v="1922.4"/>
    <n v="104"/>
    <n v="1979.2572"/>
    <n v="1900.24"/>
    <n v="1839.37"/>
    <x v="168"/>
    <n v="2.0068000000000001"/>
    <n v="1.2952999999999999"/>
    <n v="51.430900000000001"/>
    <n v="30.8598"/>
    <n v="36.093699999999998"/>
    <n v="2031.8366000000001"/>
    <n v="1843.3034"/>
    <x v="0"/>
    <x v="1"/>
    <x v="169"/>
    <n v="4229265"/>
    <n v="5586.2002000000002"/>
    <n v="1615.1"/>
    <n v="1922.4"/>
    <n v="432"/>
    <n v="1371794"/>
    <s v="16-Mar-2022"/>
    <n v="1922.4"/>
    <n v="1"/>
    <n v="2022"/>
    <n v="-0.9"/>
    <m/>
  </r>
  <r>
    <x v="170"/>
    <n v="1942.1"/>
    <n v="1947.2"/>
    <n v="1933.9"/>
    <n v="1933.9"/>
    <n v="39"/>
    <n v="1969.9"/>
    <n v="1904.7766999999999"/>
    <n v="1840.9145000000001"/>
    <x v="169"/>
    <n v="2.0131999999999999"/>
    <n v="1.2965"/>
    <n v="53.615400000000001"/>
    <n v="27.022300000000001"/>
    <n v="34.279400000000003"/>
    <n v="2028.0474999999999"/>
    <n v="1854.6125"/>
    <x v="1"/>
    <x v="1"/>
    <x v="170"/>
    <n v="4229161"/>
    <n v="5586.2002000000002"/>
    <n v="1615.1"/>
    <n v="1933.9"/>
    <n v="431"/>
    <n v="1371690"/>
    <s v="17-Mar-2022"/>
    <n v="1933.9"/>
    <n v="1"/>
    <n v="2022"/>
    <n v="0.6"/>
    <m/>
  </r>
  <r>
    <x v="171"/>
    <n v="1928.2"/>
    <n v="1939.3"/>
    <n v="1928.2"/>
    <n v="1934.5"/>
    <n v="28"/>
    <n v="1952.8857"/>
    <n v="1909.0667000000001"/>
    <n v="1842.22"/>
    <x v="170"/>
    <n v="1.4996"/>
    <n v="1.2965"/>
    <n v="50.879199999999997"/>
    <n v="23.755700000000001"/>
    <n v="32.174700000000001"/>
    <n v="2025.5038"/>
    <n v="1862.9763"/>
    <x v="0"/>
    <x v="1"/>
    <x v="171"/>
    <n v="4229122"/>
    <n v="5586.2002000000002"/>
    <n v="1615.1"/>
    <n v="1934.5"/>
    <n v="431"/>
    <n v="1371690"/>
    <s v="18-Mar-2022"/>
    <n v="1934.5"/>
    <n v="1"/>
    <n v="2022"/>
    <n v="0.03"/>
    <m/>
  </r>
  <r>
    <x v="172"/>
    <n v="1928.6"/>
    <n v="1928.6"/>
    <n v="1925"/>
    <n v="1925.4"/>
    <n v="5"/>
    <n v="1945.3571999999999"/>
    <n v="1913.0467000000001"/>
    <n v="1843.3233"/>
    <x v="171"/>
    <n v="0.82820000000000005"/>
    <n v="1.3024"/>
    <n v="52.502200000000002"/>
    <n v="20.1997"/>
    <n v="29.779699999999998"/>
    <n v="2024.5851"/>
    <n v="1866.4949999999999"/>
    <x v="1"/>
    <x v="1"/>
    <x v="172"/>
    <n v="4229094"/>
    <n v="5586.2002000000002"/>
    <n v="1615.1"/>
    <n v="1925.4"/>
    <n v="430"/>
    <n v="1371662"/>
    <s v="21-Mar-2022"/>
    <n v="1925.4"/>
    <n v="1"/>
    <n v="2022"/>
    <n v="-0.47"/>
    <m/>
  </r>
  <r>
    <x v="173"/>
    <n v="1920.7"/>
    <n v="1920.7"/>
    <n v="1920.7"/>
    <n v="1920.7"/>
    <n v="26"/>
    <n v="1936.1713999999999"/>
    <n v="1916.6632999999999"/>
    <n v="1844.3778"/>
    <x v="172"/>
    <n v="0.76919999999999999"/>
    <n v="1.3048999999999999"/>
    <n v="45.972200000000001"/>
    <n v="16.808499999999999"/>
    <n v="27.185500000000001"/>
    <n v="2024.1523"/>
    <n v="1868.1876999999999"/>
    <x v="1"/>
    <x v="1"/>
    <x v="173"/>
    <n v="4229089"/>
    <n v="5586.2002000000002"/>
    <n v="1615.1"/>
    <n v="1920.7"/>
    <n v="430"/>
    <n v="1371662"/>
    <s v="22-Mar-2022"/>
    <n v="1920.7"/>
    <n v="1"/>
    <n v="2022"/>
    <n v="-0.24"/>
    <m/>
  </r>
  <r>
    <x v="174"/>
    <n v="1936.6"/>
    <n v="1936.6"/>
    <n v="1936.6"/>
    <n v="1936.6"/>
    <n v="204"/>
    <n v="1930.4713999999999"/>
    <n v="1920.5867000000001"/>
    <n v="1845.2967000000001"/>
    <x v="173"/>
    <n v="0.91279999999999994"/>
    <n v="1.3096000000000001"/>
    <n v="50.984200000000001"/>
    <n v="15.228400000000001"/>
    <n v="24.7941"/>
    <n v="2022.7782"/>
    <n v="1873.5618999999999"/>
    <x v="1"/>
    <x v="1"/>
    <x v="174"/>
    <n v="4229063"/>
    <n v="5586.2002000000002"/>
    <n v="1615.1"/>
    <n v="1936.6"/>
    <n v="430"/>
    <n v="1371662"/>
    <s v="23-Mar-2022"/>
    <n v="1936.6"/>
    <n v="1"/>
    <n v="2022"/>
    <n v="0.83"/>
    <m/>
  </r>
  <r>
    <x v="175"/>
    <n v="1961.6"/>
    <n v="1964"/>
    <n v="1961.6"/>
    <n v="1963.6"/>
    <n v="8"/>
    <n v="1933.8714"/>
    <n v="1925.1932999999999"/>
    <n v="1846.4389000000001"/>
    <x v="174"/>
    <n v="0.8014"/>
    <n v="1.327"/>
    <n v="54.025399999999998"/>
    <n v="15.970800000000001"/>
    <n v="23.029399999999999"/>
    <n v="2023.6344999999999"/>
    <n v="1877.8756000000001"/>
    <x v="0"/>
    <x v="1"/>
    <x v="175"/>
    <n v="4228859"/>
    <n v="5586.2002000000002"/>
    <n v="1615.1"/>
    <n v="1963.6"/>
    <n v="430"/>
    <n v="1371662"/>
    <s v="24-Mar-2022"/>
    <n v="1963.6"/>
    <n v="1"/>
    <n v="2022"/>
    <n v="1.39"/>
    <m/>
  </r>
  <r>
    <x v="176"/>
    <n v="1953.8"/>
    <n v="1953.8"/>
    <n v="1953.8"/>
    <n v="1953.8"/>
    <n v="83"/>
    <n v="1938.3570999999999"/>
    <n v="1929.21"/>
    <n v="1847.4311"/>
    <x v="175"/>
    <n v="0.7228"/>
    <n v="1.3334999999999999"/>
    <n v="43.893099999999997"/>
    <n v="15.5886"/>
    <n v="21.5412"/>
    <n v="2022.9951000000001"/>
    <n v="1883.2049999999999"/>
    <x v="1"/>
    <x v="1"/>
    <x v="176"/>
    <n v="4228851"/>
    <n v="5586.2002000000002"/>
    <n v="1615.1"/>
    <n v="1953.8"/>
    <n v="429"/>
    <n v="1371654"/>
    <s v="25-Mar-2022"/>
    <n v="1953.8"/>
    <n v="1"/>
    <n v="2022"/>
    <n v="-0.5"/>
    <m/>
  </r>
  <r>
    <x v="177"/>
    <n v="1939.6"/>
    <n v="1939.6"/>
    <n v="1932.6"/>
    <n v="1932.6"/>
    <n v="7"/>
    <n v="1938.1713999999999"/>
    <n v="1932.8967"/>
    <n v="1848.3089"/>
    <x v="176"/>
    <n v="0.85019999999999996"/>
    <n v="1.3464"/>
    <n v="38.8294"/>
    <n v="13.420400000000001"/>
    <n v="19.917100000000001"/>
    <n v="2022.9147"/>
    <n v="1883.7153000000001"/>
    <x v="1"/>
    <x v="1"/>
    <x v="177"/>
    <n v="4228768"/>
    <n v="5586.2002000000002"/>
    <n v="1615.1"/>
    <n v="1932.6"/>
    <n v="429"/>
    <n v="1371654"/>
    <s v="28-Mar-2022"/>
    <n v="1932.6"/>
    <n v="1"/>
    <n v="2022"/>
    <n v="-1.0900000000000001"/>
    <m/>
  </r>
  <r>
    <x v="178"/>
    <n v="1912"/>
    <n v="1912"/>
    <n v="1893.5"/>
    <n v="1893.5"/>
    <n v="128051"/>
    <n v="1932.3143"/>
    <n v="1933.9532999999999"/>
    <n v="1848.6522"/>
    <x v="177"/>
    <n v="1.1402000000000001"/>
    <n v="1.3522000000000001"/>
    <n v="21.8034"/>
    <n v="8.4496000000000002"/>
    <n v="17.6236"/>
    <n v="2024.4668999999999"/>
    <n v="1880.6831999999999"/>
    <x v="1"/>
    <x v="2"/>
    <x v="178"/>
    <n v="4228761"/>
    <n v="5586.2002000000002"/>
    <n v="1615.1"/>
    <n v="1893.5"/>
    <n v="429"/>
    <n v="1371654"/>
    <s v="29-Mar-2022"/>
    <n v="1893.5"/>
    <n v="1"/>
    <n v="2022"/>
    <n v="-2.02"/>
    <m/>
  </r>
  <r>
    <x v="179"/>
    <n v="1933.5"/>
    <n v="1937"/>
    <n v="1914.5"/>
    <n v="1918.4"/>
    <n v="17765"/>
    <n v="1931.3143"/>
    <n v="1935.48"/>
    <n v="1849.29"/>
    <x v="178"/>
    <n v="1.2861"/>
    <n v="1.3684000000000001"/>
    <n v="37.205300000000001"/>
    <n v="6.4451999999999998"/>
    <n v="15.3879"/>
    <n v="2024.6744000000001"/>
    <n v="1877.7556"/>
    <x v="1"/>
    <x v="1"/>
    <x v="179"/>
    <n v="4100710"/>
    <n v="5586.2002000000002"/>
    <n v="1615.1"/>
    <n v="1918.4"/>
    <n v="429"/>
    <n v="1371654"/>
    <s v="30-Mar-2022"/>
    <n v="1918.4"/>
    <n v="1"/>
    <n v="2022"/>
    <n v="1.32"/>
    <m/>
  </r>
  <r>
    <x v="180"/>
    <n v="1949.2"/>
    <n v="1949.9"/>
    <n v="1919.1"/>
    <n v="1933.5"/>
    <n v="3617"/>
    <n v="1933.1429000000001"/>
    <n v="1937.9733000000001"/>
    <n v="1850.2045000000001"/>
    <x v="179"/>
    <n v="1.3181"/>
    <n v="1.3649"/>
    <n v="39.337499999999999"/>
    <n v="6.0058999999999996"/>
    <n v="13.5115"/>
    <n v="2024.6584"/>
    <n v="1878.0716"/>
    <x v="1"/>
    <x v="1"/>
    <x v="180"/>
    <n v="4082945"/>
    <n v="5586.2002000000002"/>
    <n v="1615.1"/>
    <n v="1933.5"/>
    <n v="429"/>
    <n v="1371654"/>
    <s v="31-Mar-2022"/>
    <n v="1933.5"/>
    <n v="1"/>
    <n v="2022"/>
    <n v="0.79"/>
    <m/>
  </r>
  <r>
    <x v="181"/>
    <n v="1919.1"/>
    <n v="1938"/>
    <n v="1917"/>
    <n v="1935"/>
    <n v="1016"/>
    <n v="1932.9142999999999"/>
    <n v="1939.93"/>
    <n v="1851.2421999999999"/>
    <x v="180"/>
    <n v="1.2791999999999999"/>
    <n v="1.3564000000000001"/>
    <n v="41.151400000000002"/>
    <n v="5.7129000000000003"/>
    <n v="11.9518"/>
    <n v="2024.6463000000001"/>
    <n v="1877.8837000000001"/>
    <x v="0"/>
    <x v="1"/>
    <x v="181"/>
    <n v="4079328"/>
    <n v="5586.2002000000002"/>
    <n v="1615.1"/>
    <n v="1935"/>
    <n v="429"/>
    <n v="1371654"/>
    <s v="01-Apr-2022"/>
    <n v="1935"/>
    <n v="1"/>
    <n v="2022"/>
    <n v="0.08"/>
    <m/>
  </r>
  <r>
    <x v="182"/>
    <n v="1929.2"/>
    <n v="1936.1"/>
    <n v="1915.6"/>
    <n v="1921.2"/>
    <n v="371"/>
    <n v="1926.8570999999999"/>
    <n v="1940.6567"/>
    <n v="1852.6388999999999"/>
    <x v="181"/>
    <n v="1.1349"/>
    <n v="1.3473999999999999"/>
    <n v="45.604900000000001"/>
    <n v="4.3174000000000001"/>
    <n v="10.424899999999999"/>
    <n v="2020.1727000000001"/>
    <n v="1875.5772999999999"/>
    <x v="1"/>
    <x v="1"/>
    <x v="182"/>
    <n v="4078312"/>
    <n v="5586.2002000000002"/>
    <n v="1615.1"/>
    <n v="1921.2"/>
    <n v="428"/>
    <n v="1370638"/>
    <s v="04-Apr-2022"/>
    <n v="1921.2"/>
    <n v="1"/>
    <n v="2022"/>
    <n v="-0.71"/>
    <m/>
  </r>
  <r>
    <x v="183"/>
    <n v="1922.9"/>
    <n v="1943.5"/>
    <n v="1918.4"/>
    <n v="1927.1"/>
    <n v="412"/>
    <n v="1923.0427999999999"/>
    <n v="1941.29"/>
    <n v="1854.1288999999999"/>
    <x v="182"/>
    <n v="1.1528"/>
    <n v="1.3461000000000001"/>
    <n v="51.174399999999999"/>
    <n v="3.6455000000000002"/>
    <n v="9.0690000000000008"/>
    <n v="2012.8448000000001"/>
    <n v="1875.6751999999999"/>
    <x v="0"/>
    <x v="1"/>
    <x v="183"/>
    <n v="4077941"/>
    <n v="5586.2002000000002"/>
    <n v="1615.1"/>
    <n v="1927.1"/>
    <n v="428"/>
    <n v="1370638"/>
    <s v="05-Apr-2022"/>
    <n v="1927.1"/>
    <n v="1"/>
    <n v="2022"/>
    <n v="0.31"/>
    <m/>
  </r>
  <r>
    <x v="184"/>
    <n v="1918.4"/>
    <n v="1931.8"/>
    <n v="1916.7"/>
    <n v="1916.7"/>
    <n v="138"/>
    <n v="1920.7714000000001"/>
    <n v="1941.96"/>
    <n v="1855.5245"/>
    <x v="183"/>
    <n v="1.0994999999999999"/>
    <n v="1.3451"/>
    <n v="45.678400000000003"/>
    <n v="2.2479"/>
    <n v="7.7047999999999996"/>
    <n v="1983.7789"/>
    <n v="1891.0510999999999"/>
    <x v="1"/>
    <x v="1"/>
    <x v="184"/>
    <n v="4077529"/>
    <n v="5586.2002000000002"/>
    <n v="1615.1"/>
    <n v="1916.7"/>
    <n v="427"/>
    <n v="1370226"/>
    <s v="06-Apr-2022"/>
    <n v="1916.7"/>
    <n v="1"/>
    <n v="2022"/>
    <n v="-0.54"/>
    <m/>
  </r>
  <r>
    <x v="185"/>
    <n v="1933.8"/>
    <n v="1934.8"/>
    <n v="1919.5"/>
    <n v="1919.5"/>
    <n v="311"/>
    <n v="1924.4857"/>
    <n v="1942.2132999999999"/>
    <n v="1856.9445000000001"/>
    <x v="184"/>
    <n v="0.70689999999999997"/>
    <n v="1.3375999999999999"/>
    <n v="46.272399999999998"/>
    <n v="1.3506"/>
    <n v="6.4340000000000002"/>
    <n v="1977.2933"/>
    <n v="1891.6767"/>
    <x v="1"/>
    <x v="1"/>
    <x v="185"/>
    <n v="4077391"/>
    <n v="5586.2002000000002"/>
    <n v="1615.1"/>
    <n v="1919.5"/>
    <n v="427"/>
    <n v="1370226"/>
    <s v="07-Apr-2022"/>
    <n v="1919.5"/>
    <n v="1"/>
    <n v="2022"/>
    <n v="0.15"/>
    <m/>
  </r>
  <r>
    <x v="186"/>
    <n v="1941.6"/>
    <n v="1947.7"/>
    <n v="1928.8"/>
    <n v="1928.8"/>
    <n v="153"/>
    <n v="1925.9713999999999"/>
    <n v="1942.9432999999999"/>
    <n v="1858.5545"/>
    <x v="185"/>
    <n v="0.53739999999999999"/>
    <n v="1.3391"/>
    <n v="50.844099999999997"/>
    <n v="1.3742000000000001"/>
    <n v="5.4219999999999997"/>
    <n v="1967.2965999999999"/>
    <n v="1896.0534"/>
    <x v="1"/>
    <x v="1"/>
    <x v="186"/>
    <n v="4077080"/>
    <n v="5586.2002000000002"/>
    <n v="1615.1"/>
    <n v="1928.8"/>
    <n v="427"/>
    <n v="1370226"/>
    <s v="08-Apr-2022"/>
    <n v="1928.8"/>
    <n v="1"/>
    <n v="2022"/>
    <n v="0.48"/>
    <m/>
  </r>
  <r>
    <x v="187"/>
    <n v="1944.3"/>
    <n v="1968.4"/>
    <n v="1941.8"/>
    <n v="1946.6"/>
    <n v="163"/>
    <n v="1927.8427999999999"/>
    <n v="1943.5533"/>
    <n v="1860.4632999999999"/>
    <x v="186"/>
    <n v="0.56869999999999998"/>
    <n v="1.3341000000000001"/>
    <n v="56.037300000000002"/>
    <n v="2.7968999999999999"/>
    <n v="4.8970000000000002"/>
    <n v="1959.9015999999999"/>
    <n v="1900.4584"/>
    <x v="0"/>
    <x v="1"/>
    <x v="187"/>
    <n v="4076927"/>
    <n v="5586.2002000000002"/>
    <n v="1615.1"/>
    <n v="1946.6"/>
    <n v="427"/>
    <n v="1370226"/>
    <s v="11-Apr-2022"/>
    <n v="1946.6"/>
    <n v="1"/>
    <n v="2022"/>
    <n v="0.92"/>
    <m/>
  </r>
  <r>
    <x v="188"/>
    <n v="1972.1"/>
    <n v="1977.1"/>
    <n v="1950.6"/>
    <n v="1952.5"/>
    <n v="246"/>
    <n v="1930.3427999999999"/>
    <n v="1945.0266999999999"/>
    <n v="1862.37"/>
    <x v="187"/>
    <n v="0.57379999999999998"/>
    <n v="1.3190999999999999"/>
    <n v="53.887500000000003"/>
    <n v="4.3503999999999996"/>
    <n v="4.7877000000000001"/>
    <n v="1961.9128000000001"/>
    <n v="1899.7172"/>
    <x v="1"/>
    <x v="1"/>
    <x v="188"/>
    <n v="4076764"/>
    <n v="5586.2002000000002"/>
    <n v="1615.1"/>
    <n v="1952.5"/>
    <n v="426"/>
    <n v="1370063"/>
    <s v="12-Apr-2022"/>
    <n v="1952.5"/>
    <n v="1"/>
    <n v="2022"/>
    <n v="0.3"/>
    <m/>
  </r>
  <r>
    <x v="189"/>
    <n v="1981"/>
    <n v="1981"/>
    <n v="1969.5"/>
    <n v="1969.5"/>
    <n v="204"/>
    <n v="1937.2429"/>
    <n v="1945.8233"/>
    <n v="1864.6144999999999"/>
    <x v="188"/>
    <n v="0.49230000000000002"/>
    <n v="1.2804"/>
    <n v="51.5167"/>
    <n v="6.8739999999999997"/>
    <n v="5.2049000000000003"/>
    <n v="1968.4386"/>
    <n v="1897.9014"/>
    <x v="1"/>
    <x v="1"/>
    <x v="189"/>
    <n v="4076518"/>
    <n v="5586.2002000000002"/>
    <n v="1615.1"/>
    <n v="1969.5"/>
    <n v="426"/>
    <n v="1370063"/>
    <s v="13-Apr-2022"/>
    <n v="1969.5"/>
    <n v="1"/>
    <n v="2022"/>
    <n v="0.87"/>
    <m/>
  </r>
  <r>
    <x v="190"/>
    <n v="1970.9"/>
    <n v="1978.7"/>
    <n v="1963"/>
    <n v="1977.2"/>
    <n v="101"/>
    <n v="1944.4"/>
    <n v="1947.38"/>
    <n v="1866.8033"/>
    <x v="189"/>
    <n v="0.4919"/>
    <n v="1.2722"/>
    <n v="56.081099999999999"/>
    <n v="9.3871000000000002"/>
    <n v="6.0414000000000003"/>
    <n v="1975.7349999999999"/>
    <n v="1894.9349999999999"/>
    <x v="0"/>
    <x v="1"/>
    <x v="190"/>
    <n v="4076314"/>
    <n v="5586.2002000000002"/>
    <n v="1615.1"/>
    <n v="1977.2"/>
    <n v="426"/>
    <n v="1370063"/>
    <s v="14-Apr-2022"/>
    <n v="1977.2"/>
    <n v="1"/>
    <n v="2022"/>
    <n v="0.39"/>
    <m/>
  </r>
  <r>
    <x v="191"/>
    <n v="1982.9"/>
    <n v="1997.1"/>
    <n v="1972.8"/>
    <n v="1973.4"/>
    <n v="196"/>
    <n v="1952.5"/>
    <n v="1948.5933"/>
    <n v="1868.9577999999999"/>
    <x v="190"/>
    <n v="0.39250000000000002"/>
    <n v="1.2723"/>
    <n v="61.657200000000003"/>
    <n v="10.946"/>
    <n v="7.0223000000000004"/>
    <n v="1981.1107"/>
    <n v="1893.4493"/>
    <x v="1"/>
    <x v="1"/>
    <x v="191"/>
    <n v="4076213"/>
    <n v="5586.2002000000002"/>
    <n v="1615.1"/>
    <n v="1973.4"/>
    <n v="425"/>
    <n v="1369962"/>
    <s v="18-Apr-2022"/>
    <n v="1973.4"/>
    <n v="1"/>
    <n v="2022"/>
    <n v="-0.19"/>
    <m/>
  </r>
  <r>
    <x v="192"/>
    <n v="1955.7"/>
    <n v="1978.3"/>
    <n v="1945.7"/>
    <n v="1973.8"/>
    <n v="130"/>
    <n v="1960.2571"/>
    <n v="1948.0867000000001"/>
    <n v="1871.0011"/>
    <x v="191"/>
    <n v="0.40960000000000002"/>
    <n v="1.1725000000000001"/>
    <n v="79.457099999999997"/>
    <n v="12.0745"/>
    <n v="8.0327000000000002"/>
    <n v="1986.0415"/>
    <n v="1893.3585"/>
    <x v="0"/>
    <x v="0"/>
    <x v="192"/>
    <n v="4076017"/>
    <n v="5586.2002000000002"/>
    <n v="1615.1"/>
    <n v="1973.8"/>
    <n v="425"/>
    <n v="1369962"/>
    <s v="19-Apr-2022"/>
    <n v="1973.8"/>
    <n v="1"/>
    <n v="2022"/>
    <n v="0.02"/>
    <m/>
  </r>
  <r>
    <x v="193"/>
    <n v="1952.3"/>
    <n v="1953.6"/>
    <n v="1945.5"/>
    <n v="1945.5"/>
    <n v="621"/>
    <n v="1962.6429000000001"/>
    <n v="1946.29"/>
    <n v="1872.8010999999999"/>
    <x v="192"/>
    <n v="0.79959999999999998"/>
    <n v="1.1956"/>
    <n v="59.699300000000001"/>
    <n v="10.563499999999999"/>
    <n v="8.5388999999999999"/>
    <n v="1986.4608000000001"/>
    <n v="1895.4192"/>
    <x v="1"/>
    <x v="1"/>
    <x v="193"/>
    <n v="4075887"/>
    <n v="5586.2002000000002"/>
    <n v="1615.1"/>
    <n v="1945.5"/>
    <n v="424"/>
    <n v="1369832"/>
    <s v="20-Apr-2022"/>
    <n v="1945.5"/>
    <n v="1"/>
    <n v="2022"/>
    <n v="-1.43"/>
    <m/>
  </r>
  <r>
    <x v="194"/>
    <n v="1944.9"/>
    <n v="1944.9"/>
    <n v="1942.5"/>
    <n v="1942.5"/>
    <n v="4"/>
    <n v="1962.0571"/>
    <n v="1942.5867000000001"/>
    <n v="1874.6756"/>
    <x v="193"/>
    <n v="0.72040000000000004"/>
    <n v="1.0727"/>
    <n v="53.526600000000002"/>
    <n v="9.0198999999999998"/>
    <n v="8.6350999999999996"/>
    <n v="1986.7139"/>
    <n v="1895.7561000000001"/>
    <x v="1"/>
    <x v="1"/>
    <x v="194"/>
    <n v="4075266"/>
    <n v="5586.2002000000002"/>
    <n v="1615.1"/>
    <n v="1942.5"/>
    <n v="424"/>
    <n v="1369832"/>
    <s v="21-Apr-2022"/>
    <n v="1942.5"/>
    <n v="1"/>
    <n v="2022"/>
    <n v="-0.15"/>
    <m/>
  </r>
  <r>
    <x v="195"/>
    <n v="1931"/>
    <n v="1950.4"/>
    <n v="1930.2"/>
    <n v="1949.6"/>
    <n v="178"/>
    <n v="1961.6429000000001"/>
    <n v="1941.6367"/>
    <n v="1876.5110999999999"/>
    <x v="194"/>
    <n v="0.72560000000000002"/>
    <n v="0.8488"/>
    <n v="55.480499999999999"/>
    <n v="8.2742000000000004"/>
    <n v="8.5629000000000008"/>
    <n v="1984.9837"/>
    <n v="1896.0862999999999"/>
    <x v="0"/>
    <x v="1"/>
    <x v="195"/>
    <n v="4075262"/>
    <n v="5586.2002000000002"/>
    <n v="1615.1"/>
    <n v="1949.6"/>
    <n v="424"/>
    <n v="1369832"/>
    <s v="22-Apr-2022"/>
    <n v="1949.6"/>
    <n v="1"/>
    <n v="2022"/>
    <n v="0.37"/>
    <m/>
  </r>
  <r>
    <x v="196"/>
    <n v="1893.2"/>
    <n v="1925"/>
    <n v="1889.3"/>
    <n v="1925"/>
    <n v="748"/>
    <n v="1955.2856999999999"/>
    <n v="1939.6367"/>
    <n v="1878.0444"/>
    <x v="195"/>
    <n v="0.73740000000000006"/>
    <n v="0.87370000000000003"/>
    <n v="51.319499999999998"/>
    <n v="5.6333000000000002"/>
    <n v="7.9770000000000003"/>
    <n v="1983.6003000000001"/>
    <n v="1894.5897"/>
    <x v="0"/>
    <x v="1"/>
    <x v="196"/>
    <n v="4075084"/>
    <n v="5586.2002000000002"/>
    <n v="1615.1"/>
    <n v="1925"/>
    <n v="423"/>
    <n v="1369654"/>
    <s v="25-Apr-2022"/>
    <n v="1925"/>
    <n v="1"/>
    <n v="2022"/>
    <n v="-1.26"/>
    <m/>
  </r>
  <r>
    <x v="197"/>
    <n v="1901.4"/>
    <n v="1909.1"/>
    <n v="1894"/>
    <n v="1900.5"/>
    <n v="302"/>
    <n v="1944.3286000000001"/>
    <n v="1937.1033"/>
    <n v="1879.5233000000001"/>
    <x v="196"/>
    <n v="0.73680000000000001"/>
    <n v="0.89790000000000003"/>
    <n v="41.820399999999999"/>
    <n v="1.5455000000000001"/>
    <n v="6.6906999999999996"/>
    <n v="1985.1827000000001"/>
    <n v="1889.7973"/>
    <x v="1"/>
    <x v="1"/>
    <x v="197"/>
    <n v="4074336"/>
    <n v="5586.2002000000002"/>
    <n v="1615.1"/>
    <n v="1900.5"/>
    <n v="422"/>
    <n v="1368906"/>
    <s v="26-Apr-2022"/>
    <n v="1900.5"/>
    <n v="1"/>
    <n v="2022"/>
    <n v="-1.27"/>
    <m/>
  </r>
  <r>
    <x v="198"/>
    <n v="1885.9"/>
    <n v="1900.6"/>
    <n v="1882.2"/>
    <n v="1897.8"/>
    <n v="1786"/>
    <n v="1933.5286000000001"/>
    <n v="1935.7032999999999"/>
    <n v="1880.8210999999999"/>
    <x v="197"/>
    <n v="0.74119999999999997"/>
    <n v="0.83650000000000002"/>
    <n v="43.899299999999997"/>
    <n v="-1.8900999999999999"/>
    <n v="4.9744999999999999"/>
    <n v="1984.5947000000001"/>
    <n v="1890.8153"/>
    <x v="0"/>
    <x v="1"/>
    <x v="198"/>
    <n v="4074034"/>
    <n v="5586.2002000000002"/>
    <n v="1615.1"/>
    <n v="1897.8"/>
    <n v="422"/>
    <n v="1368906"/>
    <s v="27-Apr-2022"/>
    <n v="1897.8"/>
    <n v="1"/>
    <n v="2022"/>
    <n v="-0.14000000000000001"/>
    <m/>
  </r>
  <r>
    <x v="199"/>
    <n v="1888.7"/>
    <n v="1893"/>
    <n v="1872.9"/>
    <n v="1883.8"/>
    <n v="513"/>
    <n v="1920.6713999999999"/>
    <n v="1934.4167"/>
    <n v="1881.7077999999999"/>
    <x v="198"/>
    <n v="0.69740000000000002"/>
    <n v="0.83150000000000002"/>
    <n v="39.253500000000003"/>
    <n v="-5.6771000000000003"/>
    <n v="2.8441999999999998"/>
    <n v="1988.1221"/>
    <n v="1883.8279"/>
    <x v="1"/>
    <x v="1"/>
    <x v="199"/>
    <n v="4072248"/>
    <n v="5586.2002000000002"/>
    <n v="1615.1"/>
    <n v="1883.8"/>
    <n v="421"/>
    <n v="1367120"/>
    <s v="28-Apr-2022"/>
    <n v="1883.8"/>
    <n v="1"/>
    <n v="2022"/>
    <n v="-0.74"/>
    <m/>
  </r>
  <r>
    <x v="200"/>
    <n v="1909.3"/>
    <n v="1918.2"/>
    <n v="1902.4"/>
    <n v="1902.7"/>
    <n v="132"/>
    <n v="1914.5571"/>
    <n v="1933.3767"/>
    <n v="1882.8843999999999"/>
    <x v="199"/>
    <n v="0.84150000000000003"/>
    <n v="0.8458"/>
    <n v="42.572499999999998"/>
    <n v="-7.0717999999999996"/>
    <n v="0.86099999999999999"/>
    <n v="1988.6673000000001"/>
    <n v="1880.2027"/>
    <x v="1"/>
    <x v="1"/>
    <x v="200"/>
    <n v="4071735"/>
    <n v="5586.2002000000002"/>
    <n v="1615.1"/>
    <n v="1902.7"/>
    <n v="421"/>
    <n v="1367120"/>
    <s v="29-Apr-2022"/>
    <n v="1902.7"/>
    <n v="1"/>
    <n v="2022"/>
    <n v="1"/>
    <m/>
  </r>
  <r>
    <x v="201"/>
    <n v="1861.8"/>
    <n v="1896.8"/>
    <n v="1853"/>
    <n v="1896.7"/>
    <n v="385"/>
    <n v="1908.0143"/>
    <n v="1932.1167"/>
    <n v="1884.0544"/>
    <x v="200"/>
    <n v="0.83860000000000001"/>
    <n v="0.84699999999999998"/>
    <n v="34.777299999999997"/>
    <n v="-8.5625"/>
    <n v="-1.0237000000000001"/>
    <n v="1989.3126999999999"/>
    <n v="1875.7273"/>
    <x v="0"/>
    <x v="1"/>
    <x v="201"/>
    <n v="4071603"/>
    <n v="5586.2002000000002"/>
    <n v="1615.1"/>
    <n v="1896.7"/>
    <n v="421"/>
    <n v="1367120"/>
    <s v="02-May-2022"/>
    <n v="1896.7"/>
    <n v="1"/>
    <n v="2022"/>
    <n v="-0.32"/>
    <m/>
  </r>
  <r>
    <x v="202"/>
    <n v="1868.8"/>
    <n v="1868.8"/>
    <n v="1868.8"/>
    <n v="1868.8"/>
    <n v="466"/>
    <n v="1896.4713999999999"/>
    <n v="1930.23"/>
    <n v="1884.9744000000001"/>
    <x v="201"/>
    <n v="0.86880000000000002"/>
    <n v="0.88260000000000005"/>
    <n v="27.4879"/>
    <n v="-11.858499999999999"/>
    <n v="-3.1905999999999999"/>
    <n v="1993.3375000000001"/>
    <n v="1866.4625000000001"/>
    <x v="1"/>
    <x v="2"/>
    <x v="202"/>
    <n v="4071218"/>
    <n v="5586.2002000000002"/>
    <n v="1615.1"/>
    <n v="1868.8"/>
    <n v="420"/>
    <n v="1366735"/>
    <s v="03-May-2022"/>
    <n v="1868.8"/>
    <n v="1"/>
    <n v="2022"/>
    <n v="-1.47"/>
    <m/>
  </r>
  <r>
    <x v="203"/>
    <n v="1867"/>
    <n v="1867"/>
    <n v="1867"/>
    <n v="1867"/>
    <n v="1"/>
    <n v="1888.1857"/>
    <n v="1928.44"/>
    <n v="1885.6522"/>
    <x v="202"/>
    <n v="0.83169999999999999"/>
    <n v="0.8821"/>
    <n v="19.976500000000001"/>
    <n v="-14.449199999999999"/>
    <n v="-5.4424000000000001"/>
    <n v="1996.3036999999999"/>
    <n v="1857.4863"/>
    <x v="1"/>
    <x v="2"/>
    <x v="203"/>
    <n v="4070752"/>
    <n v="5586.2002000000002"/>
    <n v="1615.1"/>
    <n v="1867"/>
    <n v="420"/>
    <n v="1366735"/>
    <s v="04-May-2022"/>
    <n v="1867"/>
    <n v="1"/>
    <n v="2022"/>
    <n v="-0.1"/>
    <m/>
  </r>
  <r>
    <x v="204"/>
    <n v="1874"/>
    <n v="1904.3"/>
    <n v="1874"/>
    <n v="1897"/>
    <n v="80"/>
    <n v="1887.6857"/>
    <n v="1927.12"/>
    <n v="1886.6188999999999"/>
    <x v="203"/>
    <n v="1.0346"/>
    <n v="0.92069999999999996"/>
    <n v="29.222799999999999"/>
    <n v="-13.921200000000001"/>
    <n v="-7.1380999999999997"/>
    <n v="1996.4774"/>
    <n v="1855.3425999999999"/>
    <x v="0"/>
    <x v="2"/>
    <x v="204"/>
    <n v="4070751"/>
    <n v="5586.2002000000002"/>
    <n v="1615.1"/>
    <n v="1897"/>
    <n v="420"/>
    <n v="1366735"/>
    <s v="05-May-2022"/>
    <n v="1897"/>
    <n v="1"/>
    <n v="2022"/>
    <n v="1.61"/>
    <m/>
  </r>
  <r>
    <x v="205"/>
    <n v="1881.2"/>
    <n v="1890.3"/>
    <n v="1871.5"/>
    <n v="1874.7"/>
    <n v="214"/>
    <n v="1884.3857"/>
    <n v="1924.1567"/>
    <n v="1887.3155999999999"/>
    <x v="204"/>
    <n v="1.1244000000000001"/>
    <n v="0.89959999999999996"/>
    <n v="26.666599999999999"/>
    <n v="-15.127800000000001"/>
    <n v="-8.7361000000000004"/>
    <n v="1997.846"/>
    <n v="1849.4939999999999"/>
    <x v="1"/>
    <x v="2"/>
    <x v="205"/>
    <n v="4070671"/>
    <n v="5586.2002000000002"/>
    <n v="1615.1"/>
    <n v="1874.7"/>
    <n v="419"/>
    <n v="1366655"/>
    <s v="06-May-2022"/>
    <n v="1874.7"/>
    <n v="1"/>
    <n v="2022"/>
    <n v="-1.18"/>
    <m/>
  </r>
  <r>
    <x v="206"/>
    <n v="1857.1"/>
    <n v="1867.5"/>
    <n v="1854"/>
    <n v="1866.6"/>
    <n v="304"/>
    <n v="1881.9286"/>
    <n v="1921.25"/>
    <n v="1888.02"/>
    <x v="205"/>
    <n v="1.1045"/>
    <n v="0.89880000000000004"/>
    <n v="25.5474"/>
    <n v="-16.546900000000001"/>
    <n v="-10.2982"/>
    <n v="1998.9277"/>
    <n v="1842.1922999999999"/>
    <x v="0"/>
    <x v="2"/>
    <x v="206"/>
    <n v="4070457"/>
    <n v="5586.2002000000002"/>
    <n v="1615.1"/>
    <n v="1866.6"/>
    <n v="419"/>
    <n v="1366655"/>
    <s v="09-May-2022"/>
    <n v="1866.6"/>
    <n v="1"/>
    <n v="2022"/>
    <n v="-0.43"/>
    <m/>
  </r>
  <r>
    <x v="207"/>
    <n v="1839.9"/>
    <n v="1839.9"/>
    <n v="1839.9"/>
    <n v="1839.9"/>
    <n v="1540"/>
    <n v="1872.9571000000001"/>
    <n v="1918.16"/>
    <n v="1888.4444000000001"/>
    <x v="206"/>
    <n v="1.0724"/>
    <n v="0.9133"/>
    <n v="25.735299999999999"/>
    <n v="-19.600100000000001"/>
    <n v="-12.1586"/>
    <n v="2000.3635999999999"/>
    <n v="1830.0863999999999"/>
    <x v="1"/>
    <x v="2"/>
    <x v="207"/>
    <n v="4070153"/>
    <n v="5586.2002000000002"/>
    <n v="1615.1"/>
    <n v="1839.9"/>
    <n v="418"/>
    <n v="1366351"/>
    <s v="10-May-2022"/>
    <n v="1839.9"/>
    <n v="1"/>
    <n v="2022"/>
    <n v="-1.43"/>
    <m/>
  </r>
  <r>
    <x v="208"/>
    <n v="1852.6"/>
    <n v="1852.6"/>
    <n v="1841"/>
    <n v="1841.5"/>
    <n v="892"/>
    <n v="1865.0714"/>
    <n v="1916.4267"/>
    <n v="1888.6267"/>
    <x v="207"/>
    <n v="1.0929"/>
    <n v="0.84340000000000004"/>
    <n v="26.641999999999999"/>
    <n v="-21.641200000000001"/>
    <n v="-14.055099999999999"/>
    <n v="1998.9536000000001"/>
    <n v="1820.3964000000001"/>
    <x v="1"/>
    <x v="2"/>
    <x v="208"/>
    <n v="4068613"/>
    <n v="5586.2002000000002"/>
    <n v="1615.1"/>
    <n v="1841.5"/>
    <n v="418"/>
    <n v="1366351"/>
    <s v="11-May-2022"/>
    <n v="1841.5"/>
    <n v="1"/>
    <n v="2022"/>
    <n v="0.09"/>
    <m/>
  </r>
  <r>
    <x v="209"/>
    <n v="1823.8"/>
    <n v="1851.9"/>
    <n v="1822.2"/>
    <n v="1849.8"/>
    <n v="153"/>
    <n v="1862.3570999999999"/>
    <n v="1914.14"/>
    <n v="1888.8456000000001"/>
    <x v="208"/>
    <n v="1.0227999999999999"/>
    <n v="0.80779999999999996"/>
    <n v="27.046900000000001"/>
    <n v="-22.331600000000002"/>
    <n v="-15.7104"/>
    <n v="1992.127"/>
    <n v="1815.2529999999999"/>
    <x v="0"/>
    <x v="2"/>
    <x v="209"/>
    <n v="4067721"/>
    <n v="5586.2002000000002"/>
    <n v="1615.1"/>
    <n v="1849.8"/>
    <n v="418"/>
    <n v="1366351"/>
    <s v="12-May-2022"/>
    <n v="1849.8"/>
    <n v="1"/>
    <n v="2022"/>
    <n v="0.45"/>
    <m/>
  </r>
  <r>
    <x v="210"/>
    <n v="1807.4"/>
    <n v="1825"/>
    <n v="1807.4"/>
    <n v="1825"/>
    <n v="335"/>
    <n v="1856.3570999999999"/>
    <n v="1910.5233000000001"/>
    <n v="1889.1178"/>
    <x v="209"/>
    <n v="1.1173999999999999"/>
    <n v="0.81889999999999996"/>
    <n v="27.021999999999998"/>
    <n v="-24.596399999999999"/>
    <n v="-17.4876"/>
    <n v="1984.0757000000001"/>
    <n v="1808.0843"/>
    <x v="0"/>
    <x v="2"/>
    <x v="210"/>
    <n v="4067568"/>
    <n v="5586.2002000000002"/>
    <n v="1615.1"/>
    <n v="1825"/>
    <n v="417"/>
    <n v="1366198"/>
    <s v="13-May-2022"/>
    <n v="1825"/>
    <n v="1"/>
    <n v="2022"/>
    <n v="-1.34"/>
    <m/>
  </r>
  <r>
    <x v="211"/>
    <n v="1813.5"/>
    <n v="1813.5"/>
    <n v="1787"/>
    <n v="1790.5"/>
    <n v="34"/>
    <n v="1841.1429000000001"/>
    <n v="1905.7067"/>
    <n v="1888.8667"/>
    <x v="210"/>
    <n v="0.86639999999999995"/>
    <n v="0.87380000000000002"/>
    <n v="25.834800000000001"/>
    <n v="-28.842600000000001"/>
    <n v="-19.758600000000001"/>
    <n v="1979.018"/>
    <n v="1794.8520000000001"/>
    <x v="1"/>
    <x v="2"/>
    <x v="211"/>
    <n v="4067233"/>
    <n v="5586.2002000000002"/>
    <n v="1615.1"/>
    <n v="1790.5"/>
    <n v="416"/>
    <n v="1365863"/>
    <s v="16-May-2022"/>
    <n v="1790.5"/>
    <n v="1"/>
    <n v="2022"/>
    <n v="-1.89"/>
    <m/>
  </r>
  <r>
    <x v="212"/>
    <n v="1818.2"/>
    <n v="1828.6"/>
    <n v="1816.7"/>
    <n v="1824.9"/>
    <n v="121"/>
    <n v="1834.0286000000001"/>
    <n v="1902.4966999999999"/>
    <n v="1889.2867000000001"/>
    <x v="211"/>
    <n v="1.3238000000000001"/>
    <n v="0.95479999999999998"/>
    <n v="35.942900000000002"/>
    <n v="-29.096599999999999"/>
    <n v="-21.626200000000001"/>
    <n v="1965.9049"/>
    <n v="1793.0751"/>
    <x v="0"/>
    <x v="1"/>
    <x v="212"/>
    <n v="4067199"/>
    <n v="5586.2002000000002"/>
    <n v="1615.1"/>
    <n v="1824.9"/>
    <n v="416"/>
    <n v="1365863"/>
    <s v="17-May-2022"/>
    <n v="1824.9"/>
    <n v="1"/>
    <n v="2022"/>
    <n v="1.92"/>
    <m/>
  </r>
  <r>
    <x v="213"/>
    <n v="1815.9"/>
    <n v="1819.7"/>
    <n v="1805"/>
    <n v="1815"/>
    <n v="311"/>
    <n v="1826.6572000000001"/>
    <n v="1898.76"/>
    <n v="1889.5445"/>
    <x v="212"/>
    <n v="1.3251999999999999"/>
    <n v="0.95279999999999998"/>
    <n v="36.520400000000002"/>
    <n v="-29.753699999999998"/>
    <n v="-23.2517"/>
    <n v="1958.0915"/>
    <n v="1787.8386"/>
    <x v="1"/>
    <x v="1"/>
    <x v="213"/>
    <n v="4067078"/>
    <n v="5586.2002000000002"/>
    <n v="1615.1"/>
    <n v="1815"/>
    <n v="415"/>
    <n v="1365742"/>
    <s v="18-May-2022"/>
    <n v="1815"/>
    <n v="1"/>
    <n v="2022"/>
    <n v="-0.54"/>
    <m/>
  </r>
  <r>
    <x v="214"/>
    <n v="1841.2"/>
    <n v="1841.2"/>
    <n v="1810.7"/>
    <n v="1810.9"/>
    <n v="138"/>
    <n v="1822.5143"/>
    <n v="1895.2333000000001"/>
    <n v="1889.7221999999999"/>
    <x v="213"/>
    <n v="1.2436"/>
    <n v="0.9506"/>
    <n v="30.9068"/>
    <n v="-30.256499999999999"/>
    <n v="-24.652699999999999"/>
    <n v="1949.1935000000001"/>
    <n v="1783.5764999999999"/>
    <x v="1"/>
    <x v="1"/>
    <x v="214"/>
    <n v="4066767"/>
    <n v="5586.2002000000002"/>
    <n v="1615.1"/>
    <n v="1810.9"/>
    <n v="415"/>
    <n v="1365742"/>
    <s v="19-May-2022"/>
    <n v="1810.9"/>
    <n v="1"/>
    <n v="2022"/>
    <n v="-0.23"/>
    <m/>
  </r>
  <r>
    <x v="215"/>
    <n v="1841.8"/>
    <n v="1841.8"/>
    <n v="1836.3"/>
    <n v="1839.1"/>
    <n v="110"/>
    <n v="1822.1713999999999"/>
    <n v="1892.5533"/>
    <n v="1890.1133"/>
    <x v="214"/>
    <n v="1.4162999999999999"/>
    <n v="1.0011000000000001"/>
    <n v="39.032800000000002"/>
    <n v="-28.056100000000001"/>
    <n v="-25.333400000000001"/>
    <n v="1934.5324000000001"/>
    <n v="1787.1876"/>
    <x v="1"/>
    <x v="1"/>
    <x v="215"/>
    <n v="4066629"/>
    <n v="5586.2002000000002"/>
    <n v="1615.1"/>
    <n v="1839.1"/>
    <n v="415"/>
    <n v="1365742"/>
    <s v="20-May-2022"/>
    <n v="1839.1"/>
    <n v="1"/>
    <n v="2022"/>
    <n v="1.56"/>
    <m/>
  </r>
  <r>
    <x v="216"/>
    <n v="1847.8"/>
    <n v="1863"/>
    <n v="1845.8"/>
    <n v="1846.3"/>
    <n v="216"/>
    <n v="1821.6713999999999"/>
    <n v="1889.8033"/>
    <n v="1890.4167"/>
    <x v="215"/>
    <n v="1.4132"/>
    <n v="0.99929999999999997"/>
    <n v="45.349299999999999"/>
    <n v="-25.438099999999999"/>
    <n v="-25.354299999999999"/>
    <n v="1924.3116"/>
    <n v="1789.5383999999999"/>
    <x v="1"/>
    <x v="1"/>
    <x v="216"/>
    <n v="4066519"/>
    <n v="5586.2002000000002"/>
    <n v="1615.1"/>
    <n v="1846.3"/>
    <n v="415"/>
    <n v="1365742"/>
    <s v="23-May-2022"/>
    <n v="1846.3"/>
    <n v="1"/>
    <n v="2022"/>
    <n v="0.39"/>
    <m/>
  </r>
  <r>
    <x v="217"/>
    <n v="1865.1"/>
    <n v="1867"/>
    <n v="1852.5"/>
    <n v="1852.5"/>
    <n v="33"/>
    <n v="1825.6"/>
    <n v="1886.6667"/>
    <n v="1890.78"/>
    <x v="216"/>
    <n v="1.2884"/>
    <n v="0.98340000000000005"/>
    <n v="47.056399999999996"/>
    <n v="-22.602399999999999"/>
    <n v="-24.803899999999999"/>
    <n v="1918.7207000000001"/>
    <n v="1790.3293000000001"/>
    <x v="1"/>
    <x v="1"/>
    <x v="217"/>
    <n v="4066303"/>
    <n v="5586.2002000000002"/>
    <n v="1615.1"/>
    <n v="1852.5"/>
    <n v="415"/>
    <n v="1365742"/>
    <s v="24-May-2022"/>
    <n v="1852.5"/>
    <n v="1"/>
    <n v="2022"/>
    <n v="0.34"/>
    <m/>
  </r>
  <r>
    <x v="218"/>
    <n v="1846.2"/>
    <n v="1846.2"/>
    <n v="1846.2"/>
    <n v="1846.2"/>
    <n v="0"/>
    <n v="1833.5571"/>
    <n v="1883.1233"/>
    <n v="1891.0545"/>
    <x v="217"/>
    <n v="0.95509999999999995"/>
    <n v="0.97989999999999999"/>
    <n v="38.589399999999998"/>
    <n v="-20.625699999999998"/>
    <n v="-23.968299999999999"/>
    <n v="1912.8825999999999"/>
    <n v="1791.0074"/>
    <x v="1"/>
    <x v="1"/>
    <x v="218"/>
    <n v="4066270"/>
    <n v="5586.2002000000002"/>
    <n v="1615.1"/>
    <n v="1846.2"/>
    <n v="415"/>
    <n v="1365742"/>
    <s v="25-May-2022"/>
    <n v="1846.2"/>
    <n v="1"/>
    <n v="2022"/>
    <n v="-0.34"/>
    <m/>
  </r>
  <r>
    <x v="219"/>
    <n v="1847.4"/>
    <n v="1847.4"/>
    <n v="1840.4"/>
    <n v="1840.4"/>
    <n v="123355"/>
    <n v="1835.7714000000001"/>
    <n v="1878.82"/>
    <n v="1891.3167000000001"/>
    <x v="218"/>
    <n v="0.72389999999999999"/>
    <n v="0.9597"/>
    <n v="41.678800000000003"/>
    <n v="-19.3047"/>
    <n v="-23.035599999999999"/>
    <n v="1909.0033000000001"/>
    <n v="1790.5467000000001"/>
    <x v="1"/>
    <x v="1"/>
    <x v="219"/>
    <n v="4066270"/>
    <n v="5586.2002000000002"/>
    <n v="1615.1"/>
    <n v="1840.4"/>
    <n v="415"/>
    <n v="1365742"/>
    <s v="26-May-2022"/>
    <n v="1840.4"/>
    <n v="1"/>
    <n v="2022"/>
    <n v="-0.31"/>
    <m/>
  </r>
  <r>
    <x v="220"/>
    <n v="1851.3"/>
    <n v="1860.7"/>
    <n v="1845.9"/>
    <n v="1848.3"/>
    <n v="30091"/>
    <n v="1840.5286000000001"/>
    <n v="1874.5233000000001"/>
    <n v="1891.66"/>
    <x v="219"/>
    <n v="0.66590000000000005"/>
    <n v="0.96060000000000001"/>
    <n v="45.556100000000001"/>
    <n v="-17.419499999999999"/>
    <n v="-21.912299999999998"/>
    <n v="1900.7914000000001"/>
    <n v="1793.3186000000001"/>
    <x v="1"/>
    <x v="1"/>
    <x v="220"/>
    <n v="3942915"/>
    <n v="5586.2002000000002"/>
    <n v="1615.1"/>
    <n v="1848.3"/>
    <n v="415"/>
    <n v="1365742"/>
    <s v="27-May-2022"/>
    <n v="1848.3"/>
    <n v="1"/>
    <n v="2022"/>
    <n v="0.43"/>
    <m/>
  </r>
  <r>
    <x v="221"/>
    <n v="1842.7"/>
    <n v="1862.1"/>
    <n v="1832.8"/>
    <n v="1850.3"/>
    <n v="4073"/>
    <n v="1846.1572000000001"/>
    <n v="1870.42"/>
    <n v="1891.7678000000001"/>
    <x v="220"/>
    <n v="0.63639999999999997"/>
    <n v="0.96240000000000003"/>
    <n v="52.869799999999998"/>
    <n v="-15.5844"/>
    <n v="-20.646699999999999"/>
    <n v="1893.1941999999999"/>
    <n v="1796.2757999999999"/>
    <x v="0"/>
    <x v="1"/>
    <x v="221"/>
    <n v="3912824"/>
    <n v="5586.2002000000002"/>
    <n v="1615.1"/>
    <n v="1850.3"/>
    <n v="415"/>
    <n v="1365742"/>
    <s v="31-May-2022"/>
    <n v="1850.3"/>
    <n v="1"/>
    <n v="2022"/>
    <n v="0.11"/>
    <m/>
  </r>
  <r>
    <x v="222"/>
    <n v="1843.3"/>
    <n v="1847.9"/>
    <n v="1825.3"/>
    <n v="1831"/>
    <n v="1623"/>
    <n v="1845"/>
    <n v="1865.66"/>
    <n v="1891.69"/>
    <x v="221"/>
    <n v="0.53820000000000001"/>
    <n v="0.97319999999999995"/>
    <n v="47.360500000000002"/>
    <n v="-15.508599999999999"/>
    <n v="-19.6191"/>
    <n v="1890.2901999999999"/>
    <n v="1795.3997999999999"/>
    <x v="1"/>
    <x v="1"/>
    <x v="222"/>
    <n v="3908751"/>
    <n v="5586.2002000000002"/>
    <n v="1615.1"/>
    <n v="1831"/>
    <n v="414"/>
    <n v="1361669"/>
    <s v="01-Jun-2022"/>
    <n v="1831"/>
    <n v="1"/>
    <n v="2022"/>
    <n v="-1.04"/>
    <m/>
  </r>
  <r>
    <x v="223"/>
    <n v="1866.5"/>
    <n v="1868.7"/>
    <n v="1842.1"/>
    <n v="1845.4"/>
    <n v="551"/>
    <n v="1844.8714"/>
    <n v="1862.3233"/>
    <n v="1891.7733000000001"/>
    <x v="222"/>
    <n v="0.60960000000000003"/>
    <n v="0.96409999999999996"/>
    <n v="48.9268"/>
    <n v="-14.123799999999999"/>
    <n v="-18.520099999999999"/>
    <n v="1887.8592000000001"/>
    <n v="1795.6708000000001"/>
    <x v="1"/>
    <x v="1"/>
    <x v="223"/>
    <n v="3907128"/>
    <n v="5586.2002000000002"/>
    <n v="1615.1"/>
    <n v="1845.4"/>
    <n v="414"/>
    <n v="1361669"/>
    <s v="02-Jun-2022"/>
    <n v="1845.4"/>
    <n v="1"/>
    <n v="2022"/>
    <n v="0.79"/>
    <m/>
  </r>
  <r>
    <x v="224"/>
    <n v="1845.4"/>
    <n v="1871.8"/>
    <n v="1845.4"/>
    <n v="1867.6"/>
    <n v="53"/>
    <n v="1847.0286000000001"/>
    <n v="1859.8267000000001"/>
    <n v="1892.0467000000001"/>
    <x v="223"/>
    <n v="0.76"/>
    <n v="0.99619999999999997"/>
    <n v="60.523699999999998"/>
    <n v="-11.106999999999999"/>
    <n v="-17.037500000000001"/>
    <n v="1880.4671000000001"/>
    <n v="1800.1229000000001"/>
    <x v="0"/>
    <x v="1"/>
    <x v="224"/>
    <n v="3906577"/>
    <n v="5586.2002000000002"/>
    <n v="1615.1"/>
    <n v="1867.6"/>
    <n v="414"/>
    <n v="1361669"/>
    <s v="03-Jun-2022"/>
    <n v="1867.6"/>
    <n v="1"/>
    <n v="2022"/>
    <n v="1.2"/>
    <m/>
  </r>
  <r>
    <x v="225"/>
    <n v="1839.2"/>
    <n v="1854.1"/>
    <n v="1839.2"/>
    <n v="1849"/>
    <n v="142"/>
    <n v="1847.4286"/>
    <n v="1856.4733000000001"/>
    <n v="1892.2589"/>
    <x v="224"/>
    <n v="0.85980000000000001"/>
    <n v="1.004"/>
    <n v="65.683599999999998"/>
    <n v="-10.1006"/>
    <n v="-15.6501"/>
    <n v="1876.0721000000001"/>
    <n v="1801.9480000000001"/>
    <x v="0"/>
    <x v="1"/>
    <x v="225"/>
    <n v="3906524"/>
    <n v="5586.2002000000002"/>
    <n v="1615.1"/>
    <n v="1849"/>
    <n v="413"/>
    <n v="1361616"/>
    <s v="06-Jun-2022"/>
    <n v="1849"/>
    <n v="1"/>
    <n v="2022"/>
    <n v="-1"/>
    <m/>
  </r>
  <r>
    <x v="226"/>
    <n v="1847.5"/>
    <n v="1851.6"/>
    <n v="1835"/>
    <n v="1836.9"/>
    <n v="1168"/>
    <n v="1846.9286"/>
    <n v="1853.5367000000001"/>
    <n v="1892.7433000000001"/>
    <x v="225"/>
    <n v="0.89119999999999999"/>
    <n v="0.98729999999999996"/>
    <n v="53.6541"/>
    <n v="-10.1622"/>
    <n v="-14.5525"/>
    <n v="1872.2380000000001"/>
    <n v="1802.8119999999999"/>
    <x v="1"/>
    <x v="1"/>
    <x v="226"/>
    <n v="3906382"/>
    <n v="5586.2002000000002"/>
    <n v="1615.1"/>
    <n v="1836.9"/>
    <n v="412"/>
    <n v="1361474"/>
    <s v="07-Jun-2022"/>
    <n v="1836.9"/>
    <n v="1"/>
    <n v="2022"/>
    <n v="-0.65"/>
    <m/>
  </r>
  <r>
    <x v="227"/>
    <n v="1851.9"/>
    <n v="1855"/>
    <n v="1844.4"/>
    <n v="1844.8"/>
    <n v="218"/>
    <n v="1846.4286"/>
    <n v="1851.68"/>
    <n v="1893.2689"/>
    <x v="226"/>
    <n v="0.89129999999999998"/>
    <n v="0.96940000000000004"/>
    <n v="59.186199999999999"/>
    <n v="-9.4643999999999995"/>
    <n v="-13.5349"/>
    <n v="1872.6224999999999"/>
    <n v="1802.9175"/>
    <x v="1"/>
    <x v="1"/>
    <x v="227"/>
    <n v="3905214"/>
    <n v="5586.2002000000002"/>
    <n v="1615.1"/>
    <n v="1844.8"/>
    <n v="412"/>
    <n v="1361474"/>
    <s v="08-Jun-2022"/>
    <n v="1844.8"/>
    <n v="1"/>
    <n v="2022"/>
    <n v="0.43"/>
    <m/>
  </r>
  <r>
    <x v="228"/>
    <n v="1848.8"/>
    <n v="1850.1"/>
    <n v="1837.9"/>
    <n v="1846.1"/>
    <n v="159"/>
    <n v="1845.8286000000001"/>
    <n v="1849.9567"/>
    <n v="1893.9088999999999"/>
    <x v="227"/>
    <n v="0.89049999999999996"/>
    <n v="0.9698"/>
    <n v="61.041400000000003"/>
    <n v="-8.7062000000000008"/>
    <n v="-12.5692"/>
    <n v="1873.0165"/>
    <n v="1802.9836"/>
    <x v="1"/>
    <x v="1"/>
    <x v="228"/>
    <n v="3904996"/>
    <n v="5586.2002000000002"/>
    <n v="1615.1"/>
    <n v="1846.1"/>
    <n v="412"/>
    <n v="1361474"/>
    <s v="09-Jun-2022"/>
    <n v="1846.1"/>
    <n v="1"/>
    <n v="2022"/>
    <n v="7.0000000000000007E-2"/>
    <m/>
  </r>
  <r>
    <x v="229"/>
    <n v="1871.5"/>
    <n v="1875.6"/>
    <n v="1823.9"/>
    <n v="1842.7"/>
    <n v="1490"/>
    <n v="1847.5"/>
    <n v="1848.5867000000001"/>
    <n v="1894.4145000000001"/>
    <x v="228"/>
    <n v="0.77980000000000005"/>
    <n v="0.96220000000000006"/>
    <n v="51.337299999999999"/>
    <n v="-8.2842000000000002"/>
    <n v="-11.712199999999999"/>
    <n v="1872.2998"/>
    <n v="1802.9902"/>
    <x v="1"/>
    <x v="1"/>
    <x v="229"/>
    <n v="3904837"/>
    <n v="5586.2002000000002"/>
    <n v="1615.1"/>
    <n v="1842.7"/>
    <n v="412"/>
    <n v="1361474"/>
    <s v="10-Jun-2022"/>
    <n v="1842.7"/>
    <n v="1"/>
    <n v="2022"/>
    <n v="-0.18"/>
    <m/>
  </r>
  <r>
    <x v="230"/>
    <n v="1828"/>
    <n v="1873.8"/>
    <n v="1818.7"/>
    <n v="1873.8"/>
    <n v="127"/>
    <n v="1851.5571"/>
    <n v="1847.6233"/>
    <n v="1895.2589"/>
    <x v="229"/>
    <n v="0.96550000000000002"/>
    <n v="0.996"/>
    <n v="58.6751"/>
    <n v="-5.3781999999999996"/>
    <n v="-10.445399999999999"/>
    <n v="1877.7337"/>
    <n v="1802.4363000000001"/>
    <x v="0"/>
    <x v="1"/>
    <x v="230"/>
    <n v="3903347"/>
    <n v="5586.2002000000002"/>
    <n v="1615.1"/>
    <n v="1873.8"/>
    <n v="412"/>
    <n v="1361474"/>
    <s v="13-Jun-2022"/>
    <n v="1873.8"/>
    <n v="1"/>
    <n v="2022"/>
    <n v="1.69"/>
    <m/>
  </r>
  <r>
    <x v="231"/>
    <n v="1809.5"/>
    <n v="1825.5"/>
    <n v="1805.3"/>
    <n v="1825"/>
    <n v="536"/>
    <n v="1845.4713999999999"/>
    <n v="1845.2333000000001"/>
    <n v="1895.4721999999999"/>
    <x v="230"/>
    <n v="1.3261000000000001"/>
    <n v="1.0996999999999999"/>
    <n v="43.162599999999998"/>
    <n v="-6.9329999999999998"/>
    <n v="-9.7429000000000006"/>
    <n v="1872.3907999999999"/>
    <n v="1811.2292"/>
    <x v="0"/>
    <x v="1"/>
    <x v="231"/>
    <n v="3903220"/>
    <n v="5586.2002000000002"/>
    <n v="1615.1"/>
    <n v="1825"/>
    <n v="411"/>
    <n v="1361347"/>
    <s v="14-Jun-2022"/>
    <n v="1825"/>
    <n v="1"/>
    <n v="2022"/>
    <n v="-2.6"/>
    <m/>
  </r>
  <r>
    <x v="232"/>
    <n v="1815.3"/>
    <n v="1839"/>
    <n v="1810.8"/>
    <n v="1814.1"/>
    <n v="108"/>
    <n v="1840.4857"/>
    <n v="1843.41"/>
    <n v="1895.5622000000001"/>
    <x v="231"/>
    <n v="1.3006"/>
    <n v="1.0740000000000001"/>
    <n v="42.197400000000002"/>
    <n v="-8.9417000000000009"/>
    <n v="-9.5827000000000009"/>
    <n v="1873.4477999999999"/>
    <n v="1809.0922"/>
    <x v="1"/>
    <x v="1"/>
    <x v="232"/>
    <n v="3902684"/>
    <n v="5586.2002000000002"/>
    <n v="1615.1"/>
    <n v="1814.1"/>
    <n v="410"/>
    <n v="1360811"/>
    <s v="15-Jun-2022"/>
    <n v="1814.1"/>
    <n v="1"/>
    <n v="2022"/>
    <n v="-0.6"/>
    <m/>
  </r>
  <r>
    <x v="233"/>
    <n v="1845.7"/>
    <n v="1850.6"/>
    <n v="1814.9"/>
    <n v="1819.2"/>
    <n v="136"/>
    <n v="1837.9571000000001"/>
    <n v="1841.8167000000001"/>
    <n v="1895.64"/>
    <x v="232"/>
    <n v="1.302"/>
    <n v="1.0762"/>
    <n v="44.829300000000003"/>
    <n v="-10.0067"/>
    <n v="-9.6675000000000004"/>
    <n v="1872.9837"/>
    <n v="1809.9763"/>
    <x v="1"/>
    <x v="1"/>
    <x v="233"/>
    <n v="3902576"/>
    <n v="5586.2002000000002"/>
    <n v="1615.1"/>
    <n v="1819.2"/>
    <n v="410"/>
    <n v="1360811"/>
    <s v="16-Jun-2022"/>
    <n v="1819.2"/>
    <n v="1"/>
    <n v="2022"/>
    <n v="0.28000000000000003"/>
    <m/>
  </r>
  <r>
    <x v="234"/>
    <n v="1835.6"/>
    <n v="1853.7"/>
    <n v="1833.6"/>
    <n v="1853.7"/>
    <n v="170"/>
    <n v="1839.2285999999999"/>
    <n v="1840.3733"/>
    <n v="1896.0266999999999"/>
    <x v="233"/>
    <n v="1.5087999999999999"/>
    <n v="1.093"/>
    <n v="51.165799999999997"/>
    <n v="-7.9749999999999996"/>
    <n v="-9.3290000000000006"/>
    <n v="1872.0413000000001"/>
    <n v="1815.1986999999999"/>
    <x v="0"/>
    <x v="1"/>
    <x v="234"/>
    <n v="3902440"/>
    <n v="5586.2002000000002"/>
    <n v="1615.1"/>
    <n v="1853.7"/>
    <n v="410"/>
    <n v="1360811"/>
    <s v="17-Jun-2022"/>
    <n v="1853.7"/>
    <n v="1"/>
    <n v="2022"/>
    <n v="1.9"/>
    <m/>
  </r>
  <r>
    <x v="235"/>
    <n v="1834.6"/>
    <n v="1838.6"/>
    <n v="1830.1"/>
    <n v="1835.3"/>
    <n v="216"/>
    <n v="1837.6857"/>
    <n v="1839.06"/>
    <n v="1896.1367"/>
    <x v="234"/>
    <n v="1.5623"/>
    <n v="1.0871"/>
    <n v="46.9758"/>
    <n v="-7.7601000000000004"/>
    <n v="-9.0152000000000001"/>
    <n v="1872.0287000000001"/>
    <n v="1814.8313000000001"/>
    <x v="0"/>
    <x v="1"/>
    <x v="235"/>
    <n v="3902270"/>
    <n v="5586.2002000000002"/>
    <n v="1615.1"/>
    <n v="1835.3"/>
    <n v="409"/>
    <n v="1360641"/>
    <s v="21-Jun-2022"/>
    <n v="1835.3"/>
    <n v="1"/>
    <n v="2022"/>
    <n v="-0.99"/>
    <m/>
  </r>
  <r>
    <x v="236"/>
    <n v="1834.3"/>
    <n v="1842.7"/>
    <n v="1821.6"/>
    <n v="1829.5"/>
    <n v="115"/>
    <n v="1835.8"/>
    <n v="1837.8233"/>
    <n v="1896.0944"/>
    <x v="235"/>
    <n v="1.5647"/>
    <n v="1.0860000000000001"/>
    <n v="49.680199999999999"/>
    <n v="-7.9659000000000004"/>
    <n v="-8.8053000000000008"/>
    <n v="1871.8139000000001"/>
    <n v="1813.3661"/>
    <x v="1"/>
    <x v="1"/>
    <x v="236"/>
    <n v="3902054"/>
    <n v="5586.2002000000002"/>
    <n v="1615.1"/>
    <n v="1829.5"/>
    <n v="408"/>
    <n v="1360425"/>
    <s v="22-Jun-2022"/>
    <n v="1829.5"/>
    <n v="1"/>
    <n v="2022"/>
    <n v="-0.32"/>
    <m/>
  </r>
  <r>
    <x v="237"/>
    <n v="1825.7"/>
    <n v="1841.2"/>
    <n v="1825.7"/>
    <n v="1835.5"/>
    <n v="9"/>
    <n v="1830.3286000000001"/>
    <n v="1837.6767"/>
    <n v="1896.2444"/>
    <x v="236"/>
    <n v="1.3804000000000001"/>
    <n v="1.0566"/>
    <n v="47.810699999999997"/>
    <n v="-7.5578000000000003"/>
    <n v="-8.5557999999999996"/>
    <n v="1870.7383"/>
    <n v="1812.7417"/>
    <x v="0"/>
    <x v="1"/>
    <x v="237"/>
    <n v="3901939"/>
    <n v="5586.2002000000002"/>
    <n v="1615.1"/>
    <n v="1835.5"/>
    <n v="408"/>
    <n v="1360425"/>
    <s v="23-Jun-2022"/>
    <n v="1835.5"/>
    <n v="1"/>
    <n v="2022"/>
    <n v="0.33"/>
    <m/>
  </r>
  <r>
    <x v="238"/>
    <n v="1826.5"/>
    <n v="1826.5"/>
    <n v="1815.8"/>
    <n v="1820.5"/>
    <n v="61"/>
    <n v="1829.6857"/>
    <n v="1836.9766999999999"/>
    <n v="1895.7855999999999"/>
    <x v="237"/>
    <n v="0.99050000000000005"/>
    <n v="1.0668"/>
    <n v="39.241700000000002"/>
    <n v="-8.3484999999999996"/>
    <n v="-8.5144000000000002"/>
    <n v="1870.8644999999999"/>
    <n v="1810.0454999999999"/>
    <x v="1"/>
    <x v="1"/>
    <x v="238"/>
    <n v="3901930"/>
    <n v="5586.2002000000002"/>
    <n v="1615.1"/>
    <n v="1820.5"/>
    <n v="407"/>
    <n v="1360416"/>
    <s v="24-Jun-2022"/>
    <n v="1820.5"/>
    <n v="1"/>
    <n v="2022"/>
    <n v="-0.82"/>
    <m/>
  </r>
  <r>
    <x v="239"/>
    <n v="1820.9"/>
    <n v="1830.7"/>
    <n v="1819.9"/>
    <n v="1830.5"/>
    <n v="77"/>
    <n v="1832.0286000000001"/>
    <n v="1836.3333"/>
    <n v="1895.3178"/>
    <x v="238"/>
    <n v="0.97589999999999999"/>
    <n v="1.0685"/>
    <n v="45.601500000000001"/>
    <n v="-8.0751000000000008"/>
    <n v="-8.4265000000000008"/>
    <n v="1870.6938"/>
    <n v="1809.2262000000001"/>
    <x v="0"/>
    <x v="1"/>
    <x v="239"/>
    <n v="3901869"/>
    <n v="5586.2002000000002"/>
    <n v="1615.1"/>
    <n v="1830.5"/>
    <n v="407"/>
    <n v="1360416"/>
    <s v="27-Jun-2022"/>
    <n v="1830.5"/>
    <n v="1"/>
    <n v="2022"/>
    <n v="0.55000000000000004"/>
    <m/>
  </r>
  <r>
    <x v="240"/>
    <n v="1817.5"/>
    <n v="1826"/>
    <n v="1817.5"/>
    <n v="1824.2"/>
    <n v="391"/>
    <n v="1832.7429"/>
    <n v="1836.3067000000001"/>
    <n v="1894.9344000000001"/>
    <x v="239"/>
    <n v="0.98860000000000003"/>
    <n v="1.0414000000000001"/>
    <n v="46.894799999999996"/>
    <n v="-8.2714999999999996"/>
    <n v="-8.3955000000000002"/>
    <n v="1869.9975999999999"/>
    <n v="1807.5124000000001"/>
    <x v="0"/>
    <x v="1"/>
    <x v="240"/>
    <n v="3901792"/>
    <n v="5586.2002000000002"/>
    <n v="1615.1"/>
    <n v="1824.2"/>
    <n v="406"/>
    <n v="1360339"/>
    <s v="28-Jun-2022"/>
    <n v="1824.2"/>
    <n v="1"/>
    <n v="2022"/>
    <n v="-0.34"/>
    <m/>
  </r>
  <r>
    <x v="241"/>
    <n v="1813.7"/>
    <n v="1830.3"/>
    <n v="1812.8"/>
    <n v="1818.3"/>
    <n v="173"/>
    <n v="1827.6857"/>
    <n v="1837.2333000000001"/>
    <n v="1894.29"/>
    <x v="240"/>
    <n v="0.55689999999999995"/>
    <n v="0.98070000000000002"/>
    <n v="43.456800000000001"/>
    <n v="-8.8017000000000003"/>
    <n v="-8.4768000000000008"/>
    <n v="1869.1759999999999"/>
    <n v="1805.134"/>
    <x v="0"/>
    <x v="1"/>
    <x v="241"/>
    <n v="3901401"/>
    <n v="5586.2002000000002"/>
    <n v="1615.1"/>
    <n v="1818.3"/>
    <n v="405"/>
    <n v="1359948"/>
    <s v="29-Jun-2022"/>
    <n v="1818.3"/>
    <n v="1"/>
    <n v="2022"/>
    <n v="-0.32"/>
    <m/>
  </r>
  <r>
    <x v="242"/>
    <n v="1804.1"/>
    <n v="1817.3"/>
    <n v="1801"/>
    <n v="1809.6"/>
    <n v="328"/>
    <n v="1824.0143"/>
    <n v="1836.7233000000001"/>
    <n v="1893.2922000000001"/>
    <x v="241"/>
    <n v="0.47399999999999998"/>
    <n v="0.91920000000000002"/>
    <n v="41.305399999999999"/>
    <n v="-9.8109000000000002"/>
    <n v="-8.7436000000000007"/>
    <n v="1870.3253"/>
    <n v="1801.8447000000001"/>
    <x v="0"/>
    <x v="1"/>
    <x v="242"/>
    <n v="3901228"/>
    <n v="5586.2002000000002"/>
    <n v="1615.1"/>
    <n v="1809.6"/>
    <n v="404"/>
    <n v="1359775"/>
    <s v="30-Jun-2022"/>
    <n v="1809.6"/>
    <n v="1"/>
    <n v="2022"/>
    <n v="-0.48"/>
    <m/>
  </r>
  <r>
    <x v="243"/>
    <n v="1798.9"/>
    <n v="1806.1"/>
    <n v="1791.6"/>
    <n v="1795.5"/>
    <n v="77"/>
    <n v="1819.1570999999999"/>
    <n v="1836.0733"/>
    <n v="1892.0410999999999"/>
    <x v="242"/>
    <n v="0.52270000000000005"/>
    <n v="0.92479999999999996"/>
    <n v="39.301900000000003"/>
    <n v="-11.6145"/>
    <n v="-9.3178000000000001"/>
    <n v="1871.9916000000001"/>
    <n v="1795.1883"/>
    <x v="1"/>
    <x v="1"/>
    <x v="243"/>
    <n v="3900900"/>
    <n v="5586.2002000000002"/>
    <n v="1615.1"/>
    <n v="1795.5"/>
    <n v="403"/>
    <n v="1359447"/>
    <s v="01-Jul-2022"/>
    <n v="1795.5"/>
    <n v="1"/>
    <n v="2022"/>
    <n v="-0.78"/>
    <m/>
  </r>
  <r>
    <x v="244"/>
    <n v="1761.8"/>
    <n v="1805.4"/>
    <n v="1761.8"/>
    <n v="1805.4"/>
    <n v="64"/>
    <n v="1814.8570999999999"/>
    <n v="1835.89"/>
    <n v="1891.0278000000001"/>
    <x v="243"/>
    <n v="0.56969999999999998"/>
    <n v="0.93010000000000004"/>
    <n v="32.848500000000001"/>
    <n v="-12.105499999999999"/>
    <n v="-9.8752999999999993"/>
    <n v="1867.3277"/>
    <n v="1793.6323"/>
    <x v="0"/>
    <x v="1"/>
    <x v="244"/>
    <n v="3900823"/>
    <n v="5586.2002000000002"/>
    <n v="1615.1"/>
    <n v="1805.4"/>
    <n v="403"/>
    <n v="1359447"/>
    <s v="05-Jul-2022"/>
    <n v="1805.4"/>
    <n v="1"/>
    <n v="2022"/>
    <n v="0.55000000000000004"/>
    <m/>
  </r>
  <r>
    <x v="245"/>
    <n v="1734.9"/>
    <n v="1768"/>
    <n v="1734"/>
    <n v="1762.5"/>
    <n v="1729"/>
    <n v="1806.5714"/>
    <n v="1833.3367000000001"/>
    <n v="1889.3678"/>
    <x v="244"/>
    <n v="0.98719999999999997"/>
    <n v="0.97809999999999997"/>
    <n v="33.850099999999998"/>
    <n v="-15.7744"/>
    <n v="-11.055099999999999"/>
    <n v="1872.8421000000001"/>
    <n v="1779.4679000000001"/>
    <x v="0"/>
    <x v="1"/>
    <x v="245"/>
    <n v="3900759"/>
    <n v="5586.2002000000002"/>
    <n v="1615.1"/>
    <n v="1762.5"/>
    <n v="402"/>
    <n v="1359383"/>
    <s v="06-Jul-2022"/>
    <n v="1762.5"/>
    <n v="1"/>
    <n v="2022"/>
    <n v="-2.38"/>
    <m/>
  </r>
  <r>
    <x v="246"/>
    <n v="1737.9"/>
    <n v="1745.2"/>
    <n v="1737"/>
    <n v="1745.2"/>
    <n v="1869"/>
    <n v="1794.3857"/>
    <n v="1829.9666999999999"/>
    <n v="1887.5710999999999"/>
    <x v="245"/>
    <n v="0.8921"/>
    <n v="0.98460000000000003"/>
    <n v="32.766399999999997"/>
    <n v="-19.849299999999999"/>
    <n v="-12.814"/>
    <n v="1880.2777000000001"/>
    <n v="1762.8623"/>
    <x v="0"/>
    <x v="1"/>
    <x v="246"/>
    <n v="3899030"/>
    <n v="5586.2002000000002"/>
    <n v="1615.1"/>
    <n v="1745.2"/>
    <n v="401"/>
    <n v="1357654"/>
    <s v="07-Jul-2022"/>
    <n v="1745.2"/>
    <n v="1"/>
    <n v="2022"/>
    <n v="-0.98"/>
    <m/>
  </r>
  <r>
    <x v="247"/>
    <n v="1740.6"/>
    <n v="1749.3"/>
    <n v="1732.1"/>
    <n v="1738.1"/>
    <n v="370"/>
    <n v="1782.0857000000001"/>
    <n v="1826.1532999999999"/>
    <n v="1885.4577999999999"/>
    <x v="246"/>
    <n v="0.88849999999999996"/>
    <n v="0.98050000000000004"/>
    <n v="29.915800000000001"/>
    <n v="-23.382000000000001"/>
    <n v="-14.9276"/>
    <n v="1884.645"/>
    <n v="1747.825"/>
    <x v="1"/>
    <x v="2"/>
    <x v="247"/>
    <n v="3897161"/>
    <n v="5586.2002000000002"/>
    <n v="1615.1"/>
    <n v="1738.1"/>
    <n v="400"/>
    <n v="1355785"/>
    <s v="08-Jul-2022"/>
    <n v="1738.1"/>
    <n v="1"/>
    <n v="2022"/>
    <n v="-0.41"/>
    <m/>
  </r>
  <r>
    <x v="248"/>
    <n v="1730"/>
    <n v="1736.7"/>
    <n v="1730"/>
    <n v="1732.5"/>
    <n v="75"/>
    <n v="1769.8286000000001"/>
    <n v="1822.3633"/>
    <n v="1883.5044"/>
    <x v="247"/>
    <n v="0.88859999999999995"/>
    <n v="0.98040000000000005"/>
    <n v="14.9711"/>
    <n v="-26.33"/>
    <n v="-17.207999999999998"/>
    <n v="1886.9254000000001"/>
    <n v="1734.1846"/>
    <x v="0"/>
    <x v="2"/>
    <x v="248"/>
    <n v="3896791"/>
    <n v="5586.2002000000002"/>
    <n v="1615.1"/>
    <n v="1732.5"/>
    <n v="400"/>
    <n v="1355785"/>
    <s v="11-Jul-2022"/>
    <n v="1732.5"/>
    <n v="1"/>
    <n v="2022"/>
    <n v="-0.32"/>
    <m/>
  </r>
  <r>
    <x v="249"/>
    <n v="1723.3"/>
    <n v="1735.5"/>
    <n v="1723.3"/>
    <n v="1734.2"/>
    <n v="451"/>
    <n v="1759.0571"/>
    <n v="1818.8233"/>
    <n v="1881.1556"/>
    <x v="248"/>
    <n v="0.93630000000000002"/>
    <n v="0.98170000000000002"/>
    <n v="17.658300000000001"/>
    <n v="-28.2041"/>
    <n v="-19.407299999999999"/>
    <n v="1887.0956000000001"/>
    <n v="1723.1643999999999"/>
    <x v="0"/>
    <x v="2"/>
    <x v="249"/>
    <n v="3896716"/>
    <n v="5586.2002000000002"/>
    <n v="1615.1"/>
    <n v="1734.2"/>
    <n v="399"/>
    <n v="1355710"/>
    <s v="12-Jul-2022"/>
    <n v="1734.2"/>
    <n v="1"/>
    <n v="2022"/>
    <n v="0.1"/>
    <m/>
  </r>
  <r>
    <x v="250"/>
    <n v="1734.2"/>
    <n v="1734.2"/>
    <n v="1710"/>
    <n v="1710"/>
    <n v="368"/>
    <n v="1746.8427999999999"/>
    <n v="1814.2132999999999"/>
    <n v="1878.7056"/>
    <x v="249"/>
    <n v="0.98350000000000004"/>
    <n v="0.99819999999999998"/>
    <n v="15.798500000000001"/>
    <n v="-31.281400000000001"/>
    <n v="-21.7821"/>
    <n v="1882.6627000000001"/>
    <n v="1711.2172"/>
    <x v="1"/>
    <x v="2"/>
    <x v="250"/>
    <n v="3896265"/>
    <n v="5586.2002000000002"/>
    <n v="1615.1"/>
    <n v="1710"/>
    <n v="398"/>
    <n v="1355259"/>
    <s v="13-Jul-2022"/>
    <n v="1710"/>
    <n v="1"/>
    <n v="2022"/>
    <n v="-1.4"/>
    <m/>
  </r>
  <r>
    <x v="251"/>
    <n v="1704.5"/>
    <n v="1710.5"/>
    <n v="1704.5"/>
    <n v="1710.3"/>
    <n v="1289"/>
    <n v="1733.2571"/>
    <n v="1809.5467000000001"/>
    <n v="1876.1867"/>
    <x v="250"/>
    <n v="0.8871"/>
    <n v="0.99719999999999998"/>
    <n v="12.958600000000001"/>
    <n v="-33.311999999999998"/>
    <n v="-24.088100000000001"/>
    <n v="1884.0728999999999"/>
    <n v="1698.337"/>
    <x v="0"/>
    <x v="2"/>
    <x v="251"/>
    <n v="3895897"/>
    <n v="5586.2002000000002"/>
    <n v="1615.1"/>
    <n v="1710.3"/>
    <n v="398"/>
    <n v="1355259"/>
    <s v="14-Jul-2022"/>
    <n v="1710.3"/>
    <n v="1"/>
    <n v="2022"/>
    <n v="0.02"/>
    <m/>
  </r>
  <r>
    <x v="252"/>
    <n v="1702.4"/>
    <n v="1709.7"/>
    <n v="1701.1"/>
    <n v="1705.4"/>
    <n v="721"/>
    <n v="1725.1"/>
    <n v="1805.36"/>
    <n v="1873.0355999999999"/>
    <x v="251"/>
    <n v="0.53820000000000001"/>
    <n v="0.98619999999999997"/>
    <n v="13.782299999999999"/>
    <n v="-34.914200000000001"/>
    <n v="-26.253299999999999"/>
    <n v="1885.4682"/>
    <n v="1686.0717999999999"/>
    <x v="0"/>
    <x v="2"/>
    <x v="252"/>
    <n v="3894608"/>
    <n v="5586.2002000000002"/>
    <n v="1615.1"/>
    <n v="1705.4"/>
    <n v="397"/>
    <n v="1353970"/>
    <s v="15-Jul-2022"/>
    <n v="1705.4"/>
    <n v="1"/>
    <n v="2022"/>
    <n v="-0.28999999999999998"/>
    <m/>
  </r>
  <r>
    <x v="253"/>
    <n v="1709.2"/>
    <n v="1712.4"/>
    <n v="1709.2"/>
    <n v="1712.2"/>
    <n v="264"/>
    <n v="1720.3857"/>
    <n v="1800.92"/>
    <n v="1869.8444"/>
    <x v="252"/>
    <n v="0.5706"/>
    <n v="0.9748"/>
    <n v="12.010199999999999"/>
    <n v="-35.229199999999999"/>
    <n v="-28.048500000000001"/>
    <n v="1883.9739"/>
    <n v="1676.8661"/>
    <x v="0"/>
    <x v="2"/>
    <x v="253"/>
    <n v="3893887"/>
    <n v="5586.2002000000002"/>
    <n v="1615.1"/>
    <n v="1712.2"/>
    <n v="396"/>
    <n v="1353249"/>
    <s v="18-Jul-2022"/>
    <n v="1712.2"/>
    <n v="1"/>
    <n v="2022"/>
    <n v="0.4"/>
    <m/>
  </r>
  <r>
    <x v="254"/>
    <n v="1710"/>
    <n v="1714.4"/>
    <n v="1706.1"/>
    <n v="1712.3"/>
    <n v="1684"/>
    <n v="1716.7"/>
    <n v="1795.7433000000001"/>
    <n v="1866.0522000000001"/>
    <x v="253"/>
    <n v="0.5756"/>
    <n v="0.93730000000000002"/>
    <n v="12.5753"/>
    <n v="-35.066499999999998"/>
    <n v="-29.452100000000002"/>
    <n v="1875.1309000000001"/>
    <n v="1671.5690999999999"/>
    <x v="0"/>
    <x v="2"/>
    <x v="254"/>
    <n v="3893623"/>
    <n v="5586.2002000000002"/>
    <n v="1615.1"/>
    <n v="1712.3"/>
    <n v="395"/>
    <n v="1352985"/>
    <s v="19-Jul-2022"/>
    <n v="1712.3"/>
    <n v="1"/>
    <n v="2022"/>
    <n v="0.01"/>
    <m/>
  </r>
  <r>
    <x v="255"/>
    <n v="1699.5"/>
    <n v="1708.5"/>
    <n v="1699.5"/>
    <n v="1707.1"/>
    <n v="130"/>
    <n v="1713.0714"/>
    <n v="1791.0133000000001"/>
    <n v="1863.0410999999999"/>
    <x v="254"/>
    <n v="0.57499999999999996"/>
    <n v="0.92769999999999997"/>
    <n v="12.634399999999999"/>
    <n v="-34.9542"/>
    <n v="-30.552499999999998"/>
    <n v="1868.4407000000001"/>
    <n v="1665.4392"/>
    <x v="0"/>
    <x v="2"/>
    <x v="255"/>
    <n v="3891939"/>
    <n v="5586.2002000000002"/>
    <n v="1615.1"/>
    <n v="1707.1"/>
    <n v="394"/>
    <n v="1351301"/>
    <s v="20-Jul-2022"/>
    <n v="1707.1"/>
    <n v="1"/>
    <n v="2022"/>
    <n v="-0.3"/>
    <m/>
  </r>
  <r>
    <x v="256"/>
    <n v="1712.7"/>
    <n v="1715.5"/>
    <n v="1679.8"/>
    <n v="1687"/>
    <n v="183"/>
    <n v="1706.3286000000001"/>
    <n v="1786.0166999999999"/>
    <n v="1859.73"/>
    <x v="255"/>
    <n v="0.65749999999999997"/>
    <n v="0.94010000000000005"/>
    <n v="11.7354"/>
    <n v="-36.071300000000001"/>
    <n v="-31.656300000000002"/>
    <n v="1862.8200999999999"/>
    <n v="1656.8099"/>
    <x v="1"/>
    <x v="2"/>
    <x v="256"/>
    <n v="3891809"/>
    <n v="5586.2002000000002"/>
    <n v="1615.1"/>
    <n v="1687"/>
    <n v="393"/>
    <n v="1351171"/>
    <s v="21-Jul-2022"/>
    <n v="1687"/>
    <n v="1"/>
    <n v="2022"/>
    <n v="-1.18"/>
    <m/>
  </r>
  <r>
    <x v="257"/>
    <n v="1727.1"/>
    <n v="1735"/>
    <n v="1713"/>
    <n v="1713.3"/>
    <n v="61"/>
    <n v="1706.8"/>
    <n v="1781.6333"/>
    <n v="1856.8055999999999"/>
    <x v="256"/>
    <n v="0.83109999999999995"/>
    <n v="0.99070000000000003"/>
    <n v="26.1601"/>
    <n v="-34.4375"/>
    <n v="-32.212499999999999"/>
    <n v="1852.2058999999999"/>
    <n v="1655.2040999999999"/>
    <x v="1"/>
    <x v="2"/>
    <x v="257"/>
    <n v="3891626"/>
    <n v="5586.2002000000002"/>
    <n v="1615.1"/>
    <n v="1713.3"/>
    <n v="393"/>
    <n v="1351171"/>
    <s v="22-Jul-2022"/>
    <n v="1713.3"/>
    <n v="1"/>
    <n v="2022"/>
    <n v="1.56"/>
    <m/>
  </r>
  <r>
    <x v="258"/>
    <n v="1719"/>
    <n v="1732"/>
    <n v="1719"/>
    <n v="1727"/>
    <n v="67"/>
    <n v="1709.1857"/>
    <n v="1777.6632999999999"/>
    <n v="1854.4411"/>
    <x v="257"/>
    <n v="0.88009999999999999"/>
    <n v="1.0075000000000001"/>
    <n v="27.752600000000001"/>
    <n v="-31.6721"/>
    <n v="-32.104399999999998"/>
    <n v="1842.9516000000001"/>
    <n v="1655.1084000000001"/>
    <x v="0"/>
    <x v="2"/>
    <x v="258"/>
    <n v="3891565"/>
    <n v="5586.2002000000002"/>
    <n v="1615.1"/>
    <n v="1727"/>
    <n v="393"/>
    <n v="1351171"/>
    <s v="25-Jul-2022"/>
    <n v="1727"/>
    <n v="1"/>
    <n v="2022"/>
    <n v="0.8"/>
    <m/>
  </r>
  <r>
    <x v="259"/>
    <n v="1717.7"/>
    <n v="1718"/>
    <n v="1717.7"/>
    <n v="1718"/>
    <n v="1"/>
    <n v="1710.9857"/>
    <n v="1773.5066999999999"/>
    <n v="1852.17"/>
    <x v="258"/>
    <n v="0.90339999999999998"/>
    <n v="1.0089999999999999"/>
    <n v="34.363999999999997"/>
    <n v="-29.862500000000001"/>
    <n v="-31.655999999999999"/>
    <n v="1829.9694999999999"/>
    <n v="1656.8405"/>
    <x v="0"/>
    <x v="1"/>
    <x v="259"/>
    <n v="3891498"/>
    <n v="5586.2002000000002"/>
    <n v="1615.1"/>
    <n v="1718"/>
    <n v="392"/>
    <n v="1351104"/>
    <s v="26-Jul-2022"/>
    <n v="1718"/>
    <n v="1"/>
    <n v="2022"/>
    <n v="-0.52"/>
    <m/>
  </r>
  <r>
    <x v="260"/>
    <n v="1719.1"/>
    <n v="1719.1"/>
    <n v="1719.1"/>
    <n v="1719.1"/>
    <n v="144865"/>
    <n v="1711.9713999999999"/>
    <n v="1768.35"/>
    <n v="1849.7833000000001"/>
    <x v="259"/>
    <n v="0.89429999999999998"/>
    <n v="0.94410000000000005"/>
    <n v="39.6511"/>
    <n v="-28.0166"/>
    <n v="-30.928100000000001"/>
    <n v="1816.4266"/>
    <n v="1659.8733999999999"/>
    <x v="1"/>
    <x v="1"/>
    <x v="260"/>
    <n v="3891497"/>
    <n v="5586.2002000000002"/>
    <n v="1615.1"/>
    <n v="1719.1"/>
    <n v="391"/>
    <n v="1351103"/>
    <s v="27-Jul-2022"/>
    <n v="1719.1"/>
    <n v="1"/>
    <n v="2022"/>
    <n v="0.06"/>
    <m/>
  </r>
  <r>
    <x v="261"/>
    <n v="1750.3"/>
    <n v="1755"/>
    <n v="1732"/>
    <n v="1732.3"/>
    <n v="37236"/>
    <n v="1714.8286000000001"/>
    <n v="1765.26"/>
    <n v="1847.5367000000001"/>
    <x v="260"/>
    <n v="0.93200000000000005"/>
    <n v="0.85460000000000003"/>
    <n v="47.806399999999996"/>
    <n v="-25.1982"/>
    <n v="-29.7822"/>
    <n v="1802.4367999999999"/>
    <n v="1665.2632000000001"/>
    <x v="1"/>
    <x v="1"/>
    <x v="261"/>
    <n v="3746632"/>
    <n v="5586.2002000000002"/>
    <n v="1615.1"/>
    <n v="1732.3"/>
    <n v="391"/>
    <n v="1351103"/>
    <s v="28-Jul-2022"/>
    <n v="1732.3"/>
    <n v="1"/>
    <n v="2022"/>
    <n v="0.77"/>
    <m/>
  </r>
  <r>
    <x v="262"/>
    <n v="1762.9"/>
    <n v="1765.7"/>
    <n v="1750"/>
    <n v="1754"/>
    <n v="3485"/>
    <n v="1721.5286000000001"/>
    <n v="1763.2566999999999"/>
    <n v="1845.6322"/>
    <x v="261"/>
    <n v="0.98440000000000005"/>
    <n v="0.88880000000000003"/>
    <n v="57.248800000000003"/>
    <n v="-20.971800000000002"/>
    <n v="-28.020099999999999"/>
    <n v="1790.6441"/>
    <n v="1671.4958999999999"/>
    <x v="1"/>
    <x v="1"/>
    <x v="262"/>
    <n v="3709396"/>
    <n v="5586.2002000000002"/>
    <n v="1615.1"/>
    <n v="1754"/>
    <n v="391"/>
    <n v="1351103"/>
    <s v="29-Jul-2022"/>
    <n v="1754"/>
    <n v="1"/>
    <n v="2022"/>
    <n v="1.25"/>
    <m/>
  </r>
  <r>
    <x v="263"/>
    <n v="1769"/>
    <n v="1772.5"/>
    <n v="1756.1"/>
    <n v="1763.9"/>
    <n v="705"/>
    <n v="1732.5143"/>
    <n v="1761.4132999999999"/>
    <n v="1843.89"/>
    <x v="262"/>
    <n v="0.70089999999999997"/>
    <n v="0.89459999999999995"/>
    <n v="59.488799999999998"/>
    <n v="-16.631799999999998"/>
    <n v="-25.7424"/>
    <n v="1783.2628999999999"/>
    <n v="1675.7171000000001"/>
    <x v="1"/>
    <x v="1"/>
    <x v="263"/>
    <n v="3705911"/>
    <n v="5586.2002000000002"/>
    <n v="1615.1"/>
    <n v="1763.9"/>
    <n v="391"/>
    <n v="1351103"/>
    <s v="01-Aug-2022"/>
    <n v="1763.9"/>
    <n v="1"/>
    <n v="2022"/>
    <n v="0.56000000000000005"/>
    <m/>
  </r>
  <r>
    <x v="264"/>
    <n v="1771.1"/>
    <n v="1786.6"/>
    <n v="1759.4"/>
    <n v="1772.1"/>
    <n v="1078"/>
    <n v="1740.9142999999999"/>
    <n v="1758.6932999999999"/>
    <n v="1842.0622000000001"/>
    <x v="263"/>
    <n v="0.57220000000000004"/>
    <n v="0.81950000000000001"/>
    <n v="72.099599999999995"/>
    <n v="-12.3878"/>
    <n v="-23.0715"/>
    <n v="1773.0905"/>
    <n v="1682.5595000000001"/>
    <x v="0"/>
    <x v="0"/>
    <x v="264"/>
    <n v="3705206"/>
    <n v="5586.2002000000002"/>
    <n v="1615.1"/>
    <n v="1772.1"/>
    <n v="391"/>
    <n v="1351103"/>
    <s v="02-Aug-2022"/>
    <n v="1772.1"/>
    <n v="1"/>
    <n v="2022"/>
    <n v="0.46"/>
    <m/>
  </r>
  <r>
    <x v="265"/>
    <n v="1758"/>
    <n v="1770.5"/>
    <n v="1753"/>
    <n v="1756.7"/>
    <n v="399"/>
    <n v="1745.1570999999999"/>
    <n v="1756.0733"/>
    <n v="1839.7633000000001"/>
    <x v="264"/>
    <n v="0.74160000000000004"/>
    <n v="0.81540000000000001"/>
    <n v="64.91"/>
    <n v="-10.1501"/>
    <n v="-20.487200000000001"/>
    <n v="1771.9311"/>
    <n v="1683.1388999999999"/>
    <x v="1"/>
    <x v="1"/>
    <x v="265"/>
    <n v="3704128"/>
    <n v="5586.2002000000002"/>
    <n v="1615.1"/>
    <n v="1756.7"/>
    <n v="390"/>
    <n v="1350025"/>
    <s v="03-Aug-2022"/>
    <n v="1756.7"/>
    <n v="1"/>
    <n v="2022"/>
    <n v="-0.87"/>
    <m/>
  </r>
  <r>
    <x v="266"/>
    <n v="1788.5"/>
    <n v="1792.1"/>
    <n v="1767.7"/>
    <n v="1769.4"/>
    <n v="285"/>
    <n v="1752.5"/>
    <n v="1754.07"/>
    <n v="1837.7144000000001"/>
    <x v="265"/>
    <n v="0.67300000000000004"/>
    <n v="0.82969999999999999"/>
    <n v="69.583799999999997"/>
    <n v="-7.2680999999999996"/>
    <n v="-17.843399999999999"/>
    <n v="1776.37"/>
    <n v="1681.1201000000001"/>
    <x v="1"/>
    <x v="1"/>
    <x v="266"/>
    <n v="3703729"/>
    <n v="5586.2002000000002"/>
    <n v="1615.1"/>
    <n v="1769.4"/>
    <n v="390"/>
    <n v="1350025"/>
    <s v="04-Aug-2022"/>
    <n v="1769.4"/>
    <n v="1"/>
    <n v="2022"/>
    <n v="0.72"/>
    <m/>
  </r>
  <r>
    <x v="267"/>
    <n v="1772.9"/>
    <n v="1791.4"/>
    <n v="1764.2"/>
    <n v="1791.2"/>
    <n v="645"/>
    <n v="1762.8"/>
    <n v="1752.5933"/>
    <n v="1836.1433"/>
    <x v="266"/>
    <n v="0.71250000000000002"/>
    <n v="0.8619"/>
    <n v="72.141199999999998"/>
    <n v="-3.1882999999999999"/>
    <n v="-14.9124"/>
    <n v="1786.5472"/>
    <n v="1676.2528"/>
    <x v="0"/>
    <x v="0"/>
    <x v="267"/>
    <n v="3703444"/>
    <n v="5586.2002000000002"/>
    <n v="1615.1"/>
    <n v="1791.2"/>
    <n v="390"/>
    <n v="1350025"/>
    <s v="05-Aug-2022"/>
    <n v="1791.2"/>
    <n v="1"/>
    <n v="2022"/>
    <n v="1.23"/>
    <m/>
  </r>
  <r>
    <x v="268"/>
    <n v="1786.8"/>
    <n v="1786.8"/>
    <n v="1771.8"/>
    <n v="1771.8"/>
    <n v="127"/>
    <n v="1768.4429"/>
    <n v="1750.97"/>
    <n v="1834.7910999999999"/>
    <x v="267"/>
    <n v="0.94220000000000004"/>
    <n v="0.87109999999999999"/>
    <n v="65.048100000000005"/>
    <n v="-1.5031000000000001"/>
    <n v="-12.230499999999999"/>
    <n v="1791.4022"/>
    <n v="1675.3278"/>
    <x v="1"/>
    <x v="1"/>
    <x v="268"/>
    <n v="3702799"/>
    <n v="5586.2002000000002"/>
    <n v="1615.1"/>
    <n v="1771.8"/>
    <n v="389"/>
    <n v="1349380"/>
    <s v="08-Aug-2022"/>
    <n v="1771.8"/>
    <n v="1"/>
    <n v="2022"/>
    <n v="-1.08"/>
    <m/>
  </r>
  <r>
    <x v="269"/>
    <n v="1794"/>
    <n v="1796.1"/>
    <n v="1789"/>
    <n v="1790"/>
    <n v="249"/>
    <n v="1773.5857000000001"/>
    <n v="1749.62"/>
    <n v="1833.3643999999999"/>
    <x v="268"/>
    <n v="0.90859999999999996"/>
    <n v="0.88729999999999998"/>
    <n v="69.672499999999999"/>
    <n v="1.2862"/>
    <n v="-9.5272000000000006"/>
    <n v="1799.4848"/>
    <n v="1672.8252"/>
    <x v="1"/>
    <x v="1"/>
    <x v="269"/>
    <n v="3702672"/>
    <n v="5586.2002000000002"/>
    <n v="1615.1"/>
    <n v="1790"/>
    <n v="389"/>
    <n v="1349380"/>
    <s v="09-Aug-2022"/>
    <n v="1790"/>
    <n v="1"/>
    <n v="2022"/>
    <n v="1.03"/>
    <m/>
  </r>
  <r>
    <x v="270"/>
    <n v="1795.6"/>
    <n v="1804.9"/>
    <n v="1787.8"/>
    <n v="1804.4"/>
    <n v="601"/>
    <n v="1779.3714"/>
    <n v="1748.96"/>
    <n v="1831.93"/>
    <x v="269"/>
    <n v="0.92479999999999996"/>
    <n v="0.89980000000000004"/>
    <n v="78.634200000000007"/>
    <n v="4.6055999999999999"/>
    <n v="-6.7005999999999997"/>
    <n v="1809.8195000000001"/>
    <n v="1671.9304999999999"/>
    <x v="0"/>
    <x v="0"/>
    <x v="270"/>
    <n v="3702423"/>
    <n v="5586.2002000000002"/>
    <n v="1615.1"/>
    <n v="1804.4"/>
    <n v="389"/>
    <n v="1349380"/>
    <s v="10-Aug-2022"/>
    <n v="1804.4"/>
    <n v="1"/>
    <n v="2022"/>
    <n v="0.8"/>
    <m/>
  </r>
  <r>
    <x v="271"/>
    <n v="1789.7"/>
    <n v="1794.3"/>
    <n v="1785.7"/>
    <n v="1794.3"/>
    <n v="1235"/>
    <n v="1782.5428999999999"/>
    <n v="1748.16"/>
    <n v="1830.3667"/>
    <x v="270"/>
    <n v="0.97909999999999997"/>
    <n v="0.90349999999999997"/>
    <n v="71.451300000000003"/>
    <n v="6.3480999999999996"/>
    <n v="-4.0909000000000004"/>
    <n v="1816.3712"/>
    <n v="1673.7788"/>
    <x v="0"/>
    <x v="0"/>
    <x v="271"/>
    <n v="3701822"/>
    <n v="5586.2002000000002"/>
    <n v="1615.1"/>
    <n v="1794.3"/>
    <n v="388"/>
    <n v="1348779"/>
    <s v="11-Aug-2022"/>
    <n v="1794.3"/>
    <n v="1"/>
    <n v="2022"/>
    <n v="-0.56000000000000005"/>
    <m/>
  </r>
  <r>
    <x v="272"/>
    <n v="1798.6"/>
    <n v="1800.4"/>
    <n v="1784.3"/>
    <n v="1786.3"/>
    <n v="187"/>
    <n v="1786.7714000000001"/>
    <n v="1747.3833"/>
    <n v="1828.8678"/>
    <x v="271"/>
    <n v="0.9143"/>
    <n v="0.90290000000000004"/>
    <n v="66.193399999999997"/>
    <n v="7.0027999999999997"/>
    <n v="-1.8721000000000001"/>
    <n v="1820.1176"/>
    <n v="1678.1224"/>
    <x v="1"/>
    <x v="1"/>
    <x v="272"/>
    <n v="3700587"/>
    <n v="5586.2002000000002"/>
    <n v="1615.1"/>
    <n v="1786.3"/>
    <n v="387"/>
    <n v="1347544"/>
    <s v="12-Aug-2022"/>
    <n v="1786.3"/>
    <n v="1"/>
    <n v="2022"/>
    <n v="-0.45"/>
    <m/>
  </r>
  <r>
    <x v="273"/>
    <n v="1781.4"/>
    <n v="1799"/>
    <n v="1774.7"/>
    <n v="1799"/>
    <n v="64"/>
    <n v="1791"/>
    <n v="1747.5"/>
    <n v="1827.4444000000001"/>
    <x v="272"/>
    <n v="0.9133"/>
    <n v="0.90180000000000005"/>
    <n v="71.680999999999997"/>
    <n v="8.4489999999999998"/>
    <n v="0.19209999999999999"/>
    <n v="1825.5583999999999"/>
    <n v="1681.3616"/>
    <x v="0"/>
    <x v="0"/>
    <x v="273"/>
    <n v="3700400"/>
    <n v="5586.2002000000002"/>
    <n v="1615.1"/>
    <n v="1799"/>
    <n v="387"/>
    <n v="1347544"/>
    <s v="15-Aug-2022"/>
    <n v="1799"/>
    <n v="1"/>
    <n v="2022"/>
    <n v="0.71"/>
    <m/>
  </r>
  <r>
    <x v="274"/>
    <n v="1773.2"/>
    <n v="1777.4"/>
    <n v="1771.4"/>
    <n v="1777.4"/>
    <n v="308"/>
    <n v="1789.0286000000001"/>
    <n v="1746.5667000000001"/>
    <n v="1825.8967"/>
    <x v="273"/>
    <n v="0.93579999999999997"/>
    <n v="0.92210000000000003"/>
    <n v="64.061800000000005"/>
    <n v="7.7626999999999997"/>
    <n v="1.7061999999999999"/>
    <n v="1826.8404"/>
    <n v="1686.5897"/>
    <x v="0"/>
    <x v="1"/>
    <x v="274"/>
    <n v="3700336"/>
    <n v="5586.2002000000002"/>
    <n v="1615.1"/>
    <n v="1777.4"/>
    <n v="386"/>
    <n v="1347480"/>
    <s v="16-Aug-2022"/>
    <n v="1777.4"/>
    <n v="1"/>
    <n v="2022"/>
    <n v="-1.2"/>
    <m/>
  </r>
  <r>
    <x v="275"/>
    <n v="1760.3"/>
    <n v="1769.7"/>
    <n v="1760"/>
    <n v="1769.7"/>
    <n v="23"/>
    <n v="1788.7285999999999"/>
    <n v="1746.8067000000001"/>
    <n v="1824.2321999999999"/>
    <x v="274"/>
    <n v="0.85129999999999995"/>
    <n v="0.81489999999999996"/>
    <n v="59.266599999999997"/>
    <n v="6.5223000000000004"/>
    <n v="2.6695000000000002"/>
    <n v="1826.1289999999999"/>
    <n v="1693.5609999999999"/>
    <x v="0"/>
    <x v="1"/>
    <x v="275"/>
    <n v="3700028"/>
    <n v="5586.2002000000002"/>
    <n v="1615.1"/>
    <n v="1769.7"/>
    <n v="385"/>
    <n v="1347172"/>
    <s v="17-Aug-2022"/>
    <n v="1769.7"/>
    <n v="1"/>
    <n v="2022"/>
    <n v="-0.43"/>
    <m/>
  </r>
  <r>
    <x v="276"/>
    <n v="1755.3"/>
    <n v="1762.9"/>
    <n v="1753.4"/>
    <n v="1762.9"/>
    <n v="321"/>
    <n v="1784.8571999999999"/>
    <n v="1747.3967"/>
    <n v="1822.3888999999999"/>
    <x v="275"/>
    <n v="0.72070000000000001"/>
    <n v="0.79679999999999995"/>
    <n v="52.381"/>
    <n v="4.9337"/>
    <n v="3.1223000000000001"/>
    <n v="1820.3652999999999"/>
    <n v="1706.9147"/>
    <x v="0"/>
    <x v="1"/>
    <x v="276"/>
    <n v="3700005"/>
    <n v="5586.2002000000002"/>
    <n v="1615.1"/>
    <n v="1762.9"/>
    <n v="384"/>
    <n v="1347149"/>
    <s v="18-Aug-2022"/>
    <n v="1762.9"/>
    <n v="1"/>
    <n v="2022"/>
    <n v="-0.38"/>
    <m/>
  </r>
  <r>
    <x v="277"/>
    <n v="1747.6"/>
    <n v="1754.3"/>
    <n v="1747.5"/>
    <n v="1753.7"/>
    <n v="49"/>
    <n v="1777.6143"/>
    <n v="1747.9167"/>
    <n v="1820.2456"/>
    <x v="276"/>
    <n v="0.5655"/>
    <n v="0.79930000000000001"/>
    <n v="47.261000000000003"/>
    <n v="2.899"/>
    <n v="3.0775999999999999"/>
    <n v="1817.5047999999999"/>
    <n v="1713.8152"/>
    <x v="0"/>
    <x v="1"/>
    <x v="277"/>
    <n v="3699684"/>
    <n v="5586.2002000000002"/>
    <n v="1615.1"/>
    <n v="1753.7"/>
    <n v="383"/>
    <n v="1346828"/>
    <s v="19-Aug-2022"/>
    <n v="1753.7"/>
    <n v="1"/>
    <n v="2022"/>
    <n v="-0.52"/>
    <m/>
  </r>
  <r>
    <x v="278"/>
    <n v="1734"/>
    <n v="1740.5"/>
    <n v="1726.5"/>
    <n v="1740.5"/>
    <n v="347"/>
    <n v="1769.9286"/>
    <n v="1748.1832999999999"/>
    <n v="1817.89"/>
    <x v="277"/>
    <n v="0.57889999999999997"/>
    <n v="0.80959999999999999"/>
    <n v="41.736400000000003"/>
    <n v="0.21879999999999999"/>
    <n v="2.5059"/>
    <n v="1816.3807999999999"/>
    <n v="1716.2891999999999"/>
    <x v="0"/>
    <x v="1"/>
    <x v="278"/>
    <n v="3699635"/>
    <n v="5586.2002000000002"/>
    <n v="1615.1"/>
    <n v="1740.5"/>
    <n v="382"/>
    <n v="1346779"/>
    <s v="22-Aug-2022"/>
    <n v="1740.5"/>
    <n v="1"/>
    <n v="2022"/>
    <n v="-0.75"/>
    <m/>
  </r>
  <r>
    <x v="279"/>
    <n v="1746.8"/>
    <n v="1748.9"/>
    <n v="1731.9"/>
    <n v="1738"/>
    <n v="509"/>
    <n v="1763.0286000000001"/>
    <n v="1748.31"/>
    <n v="1815.3178"/>
    <x v="278"/>
    <n v="0.58889999999999998"/>
    <n v="0.81"/>
    <n v="44.756"/>
    <n v="-2.0830000000000002"/>
    <n v="1.5881000000000001"/>
    <n v="1813.9992"/>
    <n v="1720.6708000000001"/>
    <x v="1"/>
    <x v="1"/>
    <x v="279"/>
    <n v="3699288"/>
    <n v="5586.2002000000002"/>
    <n v="1615.1"/>
    <n v="1738"/>
    <n v="381"/>
    <n v="1346432"/>
    <s v="23-Aug-2022"/>
    <n v="1738"/>
    <n v="1"/>
    <n v="2022"/>
    <n v="-0.14000000000000001"/>
    <m/>
  </r>
  <r>
    <x v="280"/>
    <n v="1747.8"/>
    <n v="1751.8"/>
    <n v="1743.6"/>
    <n v="1745"/>
    <n v="187"/>
    <n v="1755.3143"/>
    <n v="1749.4766999999999"/>
    <n v="1812.7378000000001"/>
    <x v="279"/>
    <n v="0.49730000000000002"/>
    <n v="0.76780000000000004"/>
    <n v="42.931600000000003"/>
    <n v="-3.3043"/>
    <n v="0.60960000000000003"/>
    <n v="1810.8875"/>
    <n v="1726.3724999999999"/>
    <x v="1"/>
    <x v="1"/>
    <x v="280"/>
    <n v="3698779"/>
    <n v="5586.2002000000002"/>
    <n v="1615.1"/>
    <n v="1745"/>
    <n v="381"/>
    <n v="1346432"/>
    <s v="24-Aug-2022"/>
    <n v="1745"/>
    <n v="1"/>
    <n v="2022"/>
    <n v="0.4"/>
    <m/>
  </r>
  <r>
    <x v="281"/>
    <n v="1757.7"/>
    <n v="1761.8"/>
    <n v="1755"/>
    <n v="1761.6"/>
    <n v="172"/>
    <n v="1753.0571"/>
    <n v="1751.1867"/>
    <n v="1810.3843999999999"/>
    <x v="280"/>
    <n v="0.59870000000000001"/>
    <n v="0.78439999999999999"/>
    <n v="41.158900000000003"/>
    <n v="-2.8993000000000002"/>
    <n v="-9.2200000000000004E-2"/>
    <n v="1808.9434000000001"/>
    <n v="1731.2465999999999"/>
    <x v="0"/>
    <x v="1"/>
    <x v="281"/>
    <n v="3698592"/>
    <n v="5586.2002000000002"/>
    <n v="1615.1"/>
    <n v="1761.6"/>
    <n v="381"/>
    <n v="1346432"/>
    <s v="25-Aug-2022"/>
    <n v="1761.6"/>
    <n v="1"/>
    <n v="2022"/>
    <n v="0.95"/>
    <m/>
  </r>
  <r>
    <x v="282"/>
    <n v="1736.1"/>
    <n v="1755"/>
    <n v="1736.1"/>
    <n v="1754"/>
    <n v="202"/>
    <n v="1750.8143"/>
    <n v="1752.8067000000001"/>
    <n v="1807.9422"/>
    <x v="281"/>
    <n v="0.59860000000000002"/>
    <n v="0.7873"/>
    <n v="44.280200000000001"/>
    <n v="-3.1551"/>
    <n v="-0.70479999999999998"/>
    <n v="1808.9434000000001"/>
    <n v="1731.2465999999999"/>
    <x v="0"/>
    <x v="1"/>
    <x v="282"/>
    <n v="3698420"/>
    <n v="5586.2002000000002"/>
    <n v="1615.1"/>
    <n v="1754"/>
    <n v="380"/>
    <n v="1346260"/>
    <s v="26-Aug-2022"/>
    <n v="1754"/>
    <n v="1"/>
    <n v="2022"/>
    <n v="-0.43"/>
    <m/>
  </r>
  <r>
    <x v="283"/>
    <n v="1736.6"/>
    <n v="1741.2"/>
    <n v="1732.1"/>
    <n v="1732.4"/>
    <n v="950"/>
    <n v="1746.4571000000001"/>
    <n v="1753.48"/>
    <n v="1805.5744"/>
    <x v="282"/>
    <n v="0.73070000000000002"/>
    <n v="0.82120000000000004"/>
    <n v="31.886800000000001"/>
    <n v="-5.0427"/>
    <n v="-1.5724"/>
    <n v="1810.8261"/>
    <n v="1726.2139"/>
    <x v="1"/>
    <x v="1"/>
    <x v="283"/>
    <n v="3698218"/>
    <n v="5586.2002000000002"/>
    <n v="1615.1"/>
    <n v="1732.4"/>
    <n v="379"/>
    <n v="1346058"/>
    <s v="29-Aug-2022"/>
    <n v="1732.4"/>
    <n v="1"/>
    <n v="2022"/>
    <n v="-1.23"/>
    <m/>
  </r>
  <r>
    <x v="284"/>
    <n v="1723.2"/>
    <n v="1739"/>
    <n v="1720.7"/>
    <n v="1736.4"/>
    <n v="385"/>
    <n v="1743.9857"/>
    <n v="1754.2833000000001"/>
    <n v="1803.2844"/>
    <x v="283"/>
    <n v="0.73880000000000001"/>
    <n v="0.82189999999999996"/>
    <n v="27.119800000000001"/>
    <n v="-6.1451000000000002"/>
    <n v="-2.4868999999999999"/>
    <n v="1811.3543999999999"/>
    <n v="1722.1156000000001"/>
    <x v="0"/>
    <x v="2"/>
    <x v="284"/>
    <n v="3697268"/>
    <n v="5586.2002000000002"/>
    <n v="1615.1"/>
    <n v="1736.4"/>
    <n v="379"/>
    <n v="1346058"/>
    <s v="30-Aug-2022"/>
    <n v="1736.4"/>
    <n v="1"/>
    <n v="2022"/>
    <n v="0.23"/>
    <m/>
  </r>
  <r>
    <x v="285"/>
    <n v="1712.8"/>
    <n v="1720.9"/>
    <n v="1708.5"/>
    <n v="1718.3"/>
    <n v="2133"/>
    <n v="1740.8143"/>
    <n v="1754.6567"/>
    <n v="1800.7144000000001"/>
    <x v="284"/>
    <n v="0.78549999999999998"/>
    <n v="0.84370000000000001"/>
    <n v="25.734300000000001"/>
    <n v="-8.3826000000000001"/>
    <n v="-3.6659999999999999"/>
    <n v="1814.2927999999999"/>
    <n v="1715.3371999999999"/>
    <x v="0"/>
    <x v="2"/>
    <x v="285"/>
    <n v="3696883"/>
    <n v="5586.2002000000002"/>
    <n v="1615.1"/>
    <n v="1718.3"/>
    <n v="378"/>
    <n v="1345673"/>
    <s v="31-Aug-2022"/>
    <n v="1718.3"/>
    <n v="1"/>
    <n v="2022"/>
    <n v="-1.04"/>
    <m/>
  </r>
  <r>
    <x v="286"/>
    <n v="1696.6"/>
    <n v="1707.9"/>
    <n v="1693.9"/>
    <n v="1707.9"/>
    <n v="683"/>
    <n v="1736.5143"/>
    <n v="1755.3533"/>
    <n v="1798.3022000000001"/>
    <x v="285"/>
    <n v="0.80110000000000003"/>
    <n v="0.82169999999999999"/>
    <n v="25.3459"/>
    <n v="-10.8697"/>
    <n v="-5.1067999999999998"/>
    <n v="1817.2898"/>
    <n v="1706.1902"/>
    <x v="0"/>
    <x v="2"/>
    <x v="286"/>
    <n v="3694750"/>
    <n v="5586.2002000000002"/>
    <n v="1615.1"/>
    <n v="1707.9"/>
    <n v="377"/>
    <n v="1343540"/>
    <s v="01-Sep-2022"/>
    <n v="1707.9"/>
    <n v="1"/>
    <n v="2022"/>
    <n v="-0.61"/>
    <m/>
  </r>
  <r>
    <x v="287"/>
    <n v="1709.8"/>
    <n v="1715.7"/>
    <n v="1703.1"/>
    <n v="1703.4"/>
    <n v="182"/>
    <n v="1730.5714"/>
    <n v="1755.0233000000001"/>
    <n v="1796.1122"/>
    <x v="286"/>
    <n v="0.749"/>
    <n v="0.77170000000000005"/>
    <n v="18.302399999999999"/>
    <n v="-13.0534"/>
    <n v="-6.6961000000000004"/>
    <n v="1816.8349000000001"/>
    <n v="1697.8651"/>
    <x v="1"/>
    <x v="2"/>
    <x v="287"/>
    <n v="3694067"/>
    <n v="5586.2002000000002"/>
    <n v="1615.1"/>
    <n v="1703.4"/>
    <n v="376"/>
    <n v="1342857"/>
    <s v="02-Sep-2022"/>
    <n v="1703.4"/>
    <n v="1"/>
    <n v="2022"/>
    <n v="-0.26"/>
    <m/>
  </r>
  <r>
    <x v="288"/>
    <n v="1700.4"/>
    <n v="1717.4"/>
    <n v="1699.7"/>
    <n v="1709.7"/>
    <n v="697"/>
    <n v="1723.1572000000001"/>
    <n v="1754.4467"/>
    <n v="1794.0222000000001"/>
    <x v="287"/>
    <n v="0.59889999999999999"/>
    <n v="0.75990000000000002"/>
    <n v="25.0184"/>
    <n v="-14.113"/>
    <n v="-8.1795000000000009"/>
    <n v="1816.95"/>
    <n v="1691.5400999999999"/>
    <x v="0"/>
    <x v="2"/>
    <x v="288"/>
    <n v="3693885"/>
    <n v="5586.2002000000002"/>
    <n v="1615.1"/>
    <n v="1709.7"/>
    <n v="376"/>
    <n v="1342857"/>
    <s v="06-Sep-2022"/>
    <n v="1709.7"/>
    <n v="1"/>
    <n v="2022"/>
    <n v="0.37"/>
    <m/>
  </r>
  <r>
    <x v="289"/>
    <n v="1715.3"/>
    <n v="1715.3"/>
    <n v="1694.7"/>
    <n v="1694.8"/>
    <n v="651"/>
    <n v="1714.7"/>
    <n v="1753.6732999999999"/>
    <n v="1791.9222"/>
    <x v="288"/>
    <n v="0.62239999999999995"/>
    <n v="0.77039999999999997"/>
    <n v="23.7561"/>
    <n v="-15.9709"/>
    <n v="-9.7377000000000002"/>
    <n v="1815.1455000000001"/>
    <n v="1683.8244999999999"/>
    <x v="1"/>
    <x v="2"/>
    <x v="289"/>
    <n v="3693188"/>
    <n v="5586.2002000000002"/>
    <n v="1615.1"/>
    <n v="1694.8"/>
    <n v="375"/>
    <n v="1342160"/>
    <s v="07-Sep-2022"/>
    <n v="1694.8"/>
    <n v="1"/>
    <n v="2022"/>
    <n v="-0.87"/>
    <m/>
  </r>
  <r>
    <x v="290"/>
    <n v="1708"/>
    <n v="1718.2"/>
    <n v="1705.3"/>
    <n v="1718.2"/>
    <n v="1193"/>
    <n v="1712.6713999999999"/>
    <n v="1753.6433"/>
    <n v="1789.8722"/>
    <x v="289"/>
    <n v="0.84519999999999995"/>
    <n v="0.81299999999999994"/>
    <n v="35.969799999999999"/>
    <n v="-15.377800000000001"/>
    <n v="-10.8658"/>
    <n v="1806.8538000000001"/>
    <n v="1683.4962"/>
    <x v="0"/>
    <x v="1"/>
    <x v="290"/>
    <n v="3692537"/>
    <n v="5586.2002000000002"/>
    <n v="1615.1"/>
    <n v="1718.2"/>
    <n v="375"/>
    <n v="1342160"/>
    <s v="08-Sep-2022"/>
    <n v="1718.2"/>
    <n v="1"/>
    <n v="2022"/>
    <n v="1.38"/>
    <m/>
  </r>
  <r>
    <x v="291"/>
    <n v="1716.2"/>
    <n v="1720"/>
    <n v="1712.8"/>
    <n v="1719.2"/>
    <n v="635"/>
    <n v="1710.2143000000001"/>
    <n v="1753.2067"/>
    <n v="1787.9"/>
    <x v="290"/>
    <n v="0.83589999999999998"/>
    <n v="0.80010000000000003"/>
    <n v="38.5837"/>
    <n v="-14.658200000000001"/>
    <n v="-11.6243"/>
    <n v="1799.5482"/>
    <n v="1683.2918"/>
    <x v="0"/>
    <x v="1"/>
    <x v="291"/>
    <n v="3691344"/>
    <n v="5586.2002000000002"/>
    <n v="1615.1"/>
    <n v="1719.2"/>
    <n v="374"/>
    <n v="1340967"/>
    <s v="09-Sep-2022"/>
    <n v="1719.2"/>
    <n v="1"/>
    <n v="2022"/>
    <n v="0.06"/>
    <m/>
  </r>
  <r>
    <x v="292"/>
    <n v="1728.1"/>
    <n v="1728.1"/>
    <n v="1727.4"/>
    <n v="1727.4"/>
    <n v="68"/>
    <n v="1711.5143"/>
    <n v="1752.32"/>
    <n v="1786.3289"/>
    <x v="291"/>
    <n v="0.75570000000000004"/>
    <n v="0.76939999999999997"/>
    <n v="45.516800000000003"/>
    <n v="-13.273199999999999"/>
    <n v="-11.954000000000001"/>
    <n v="1792.8782000000001"/>
    <n v="1684.0717999999999"/>
    <x v="1"/>
    <x v="1"/>
    <x v="292"/>
    <n v="3690709"/>
    <n v="5586.2002000000002"/>
    <n v="1615.1"/>
    <n v="1727.4"/>
    <n v="373"/>
    <n v="1340332"/>
    <s v="12-Sep-2022"/>
    <n v="1727.4"/>
    <n v="1"/>
    <n v="2022"/>
    <n v="0.48"/>
    <m/>
  </r>
  <r>
    <x v="293"/>
    <n v="1705"/>
    <n v="1720.5"/>
    <n v="1697.3"/>
    <n v="1720.5"/>
    <n v="432"/>
    <n v="1713.3143"/>
    <n v="1750.8733"/>
    <n v="1784.7011"/>
    <x v="292"/>
    <n v="0.72819999999999996"/>
    <n v="0.7631"/>
    <n v="44.186"/>
    <n v="-12.587199999999999"/>
    <n v="-12.0807"/>
    <n v="1781.365"/>
    <n v="1687.7349999999999"/>
    <x v="0"/>
    <x v="1"/>
    <x v="293"/>
    <n v="3690641"/>
    <n v="5586.2002000000002"/>
    <n v="1615.1"/>
    <n v="1720.5"/>
    <n v="373"/>
    <n v="1340332"/>
    <s v="13-Sep-2022"/>
    <n v="1720.5"/>
    <n v="1"/>
    <n v="2022"/>
    <n v="-0.4"/>
    <m/>
  </r>
  <r>
    <x v="294"/>
    <n v="1696.5"/>
    <n v="1701.8"/>
    <n v="1696.5"/>
    <n v="1698.7"/>
    <n v="532"/>
    <n v="1712.6428000000001"/>
    <n v="1748.4267"/>
    <n v="1782.4978000000001"/>
    <x v="293"/>
    <n v="0.89339999999999997"/>
    <n v="0.78559999999999997"/>
    <n v="35.995100000000001"/>
    <n v="-13.6454"/>
    <n v="-12.393599999999999"/>
    <n v="1775.4531999999999"/>
    <n v="1685.7768000000001"/>
    <x v="0"/>
    <x v="1"/>
    <x v="294"/>
    <n v="3690209"/>
    <n v="5586.2002000000002"/>
    <n v="1615.1"/>
    <n v="1698.7"/>
    <n v="372"/>
    <n v="1339900"/>
    <s v="14-Sep-2022"/>
    <n v="1698.7"/>
    <n v="1"/>
    <n v="2022"/>
    <n v="-1.27"/>
    <m/>
  </r>
  <r>
    <x v="295"/>
    <n v="1665.4"/>
    <n v="1686"/>
    <n v="1662.3"/>
    <n v="1685.5"/>
    <n v="1125"/>
    <n v="1709.1857"/>
    <n v="1746.0533"/>
    <n v="1780.3956000000001"/>
    <x v="294"/>
    <n v="0.91159999999999997"/>
    <n v="0.78280000000000005"/>
    <n v="26.497800000000002"/>
    <n v="-15.3719"/>
    <n v="-12.9893"/>
    <n v="1771.6016"/>
    <n v="1681.2084"/>
    <x v="0"/>
    <x v="2"/>
    <x v="295"/>
    <n v="3689677"/>
    <n v="5586.2002000000002"/>
    <n v="1615.1"/>
    <n v="1685.5"/>
    <n v="371"/>
    <n v="1339368"/>
    <s v="15-Sep-2022"/>
    <n v="1685.5"/>
    <n v="1"/>
    <n v="2022"/>
    <n v="-0.78"/>
    <m/>
  </r>
  <r>
    <x v="296"/>
    <n v="1671.7"/>
    <n v="1674.9"/>
    <n v="1651.7"/>
    <n v="1660.4"/>
    <n v="464"/>
    <n v="1704.2714000000001"/>
    <n v="1742.42"/>
    <n v="1778.1043999999999"/>
    <x v="295"/>
    <n v="1.0118"/>
    <n v="0.80320000000000003"/>
    <n v="23.913"/>
    <n v="-18.5517"/>
    <n v="-14.101800000000001"/>
    <n v="1771.9646"/>
    <n v="1670.5953999999999"/>
    <x v="1"/>
    <x v="2"/>
    <x v="296"/>
    <n v="3688552"/>
    <n v="5586.2002000000002"/>
    <n v="1615.1"/>
    <n v="1660.4"/>
    <n v="370"/>
    <n v="1338243"/>
    <s v="16-Sep-2022"/>
    <n v="1660.4"/>
    <n v="1"/>
    <n v="2022"/>
    <n v="-1.49"/>
    <m/>
  </r>
  <r>
    <x v="297"/>
    <n v="1666.2"/>
    <n v="1669.4"/>
    <n v="1658.5"/>
    <n v="1661.8"/>
    <n v="580"/>
    <n v="1696.2143000000001"/>
    <n v="1738.1067"/>
    <n v="1776.1256000000001"/>
    <x v="296"/>
    <n v="0.73670000000000002"/>
    <n v="0.75829999999999997"/>
    <n v="27.826599999999999"/>
    <n v="-20.719899999999999"/>
    <n v="-15.4254"/>
    <n v="1771.4898000000001"/>
    <n v="1661.8802000000001"/>
    <x v="1"/>
    <x v="2"/>
    <x v="297"/>
    <n v="3688088"/>
    <n v="5586.2002000000002"/>
    <n v="1615.1"/>
    <n v="1661.8"/>
    <n v="370"/>
    <n v="1338243"/>
    <s v="19-Sep-2022"/>
    <n v="1661.8"/>
    <n v="1"/>
    <n v="2022"/>
    <n v="0.08"/>
    <m/>
  </r>
  <r>
    <x v="298"/>
    <n v="1659.7"/>
    <n v="1659.7"/>
    <n v="1659.7"/>
    <n v="1659.7"/>
    <n v="2830"/>
    <n v="1687.7143000000001"/>
    <n v="1734.37"/>
    <n v="1774.1056000000001"/>
    <x v="297"/>
    <n v="0.71750000000000003"/>
    <n v="0.74180000000000001"/>
    <n v="25.619800000000001"/>
    <n v="-22.35"/>
    <n v="-16.810300000000002"/>
    <n v="1771.7981"/>
    <n v="1653.4919"/>
    <x v="1"/>
    <x v="2"/>
    <x v="298"/>
    <n v="3687508"/>
    <n v="5586.2002000000002"/>
    <n v="1615.1"/>
    <n v="1659.7"/>
    <n v="370"/>
    <n v="1338243"/>
    <s v="20-Sep-2022"/>
    <n v="1659.7"/>
    <n v="1"/>
    <n v="2022"/>
    <n v="-0.13"/>
    <m/>
  </r>
  <r>
    <x v="299"/>
    <n v="1664.6"/>
    <n v="1680.1"/>
    <n v="1664.6"/>
    <n v="1665.5"/>
    <n v="2337"/>
    <n v="1678.8714"/>
    <n v="1730.22"/>
    <n v="1772.0578"/>
    <x v="298"/>
    <n v="0.68969999999999998"/>
    <n v="0.71240000000000003"/>
    <n v="31.793099999999999"/>
    <n v="-22.909800000000001"/>
    <n v="-18.030200000000001"/>
    <n v="1770.472"/>
    <n v="1647.568"/>
    <x v="0"/>
    <x v="1"/>
    <x v="299"/>
    <n v="3684678"/>
    <n v="5586.2002000000002"/>
    <n v="1615.1"/>
    <n v="1665.5"/>
    <n v="370"/>
    <n v="1338243"/>
    <s v="21-Sep-2022"/>
    <n v="1665.5"/>
    <n v="1"/>
    <n v="2022"/>
    <n v="0.35"/>
    <m/>
  </r>
  <r>
    <x v="300"/>
    <n v="1670.8"/>
    <n v="1670.8"/>
    <n v="1668.3"/>
    <n v="1668.3"/>
    <n v="973"/>
    <n v="1671.4142999999999"/>
    <n v="1725.6832999999999"/>
    <n v="1770.3167000000001"/>
    <x v="299"/>
    <n v="0.73760000000000003"/>
    <n v="0.68940000000000001"/>
    <n v="35.589500000000001"/>
    <n v="-22.864000000000001"/>
    <n v="-18.997"/>
    <n v="1766.7556999999999"/>
    <n v="1643.6143"/>
    <x v="1"/>
    <x v="1"/>
    <x v="300"/>
    <n v="3682341"/>
    <n v="5586.2002000000002"/>
    <n v="1615.1"/>
    <n v="1668.3"/>
    <n v="369"/>
    <n v="1335906"/>
    <s v="22-Sep-2022"/>
    <n v="1668.3"/>
    <n v="1"/>
    <n v="2022"/>
    <n v="0.17"/>
    <m/>
  </r>
  <r>
    <x v="301"/>
    <n v="1645.3"/>
    <n v="1667"/>
    <n v="1645.3"/>
    <n v="1667"/>
    <n v="1224"/>
    <n v="1666.8857"/>
    <n v="1721.44"/>
    <n v="1768.9444000000001"/>
    <x v="300"/>
    <n v="0.64580000000000004"/>
    <n v="0.68779999999999997"/>
    <n v="36.438200000000002"/>
    <n v="-22.671199999999999"/>
    <n v="-19.7318"/>
    <n v="1758.1931"/>
    <n v="1642.7168999999999"/>
    <x v="0"/>
    <x v="1"/>
    <x v="301"/>
    <n v="3681368"/>
    <n v="5586.2002000000002"/>
    <n v="1615.1"/>
    <n v="1667"/>
    <n v="369"/>
    <n v="1335906"/>
    <s v="23-Sep-2022"/>
    <n v="1667"/>
    <n v="1"/>
    <n v="2022"/>
    <n v="-0.08"/>
    <m/>
  </r>
  <r>
    <x v="302"/>
    <n v="1623.3"/>
    <n v="1623.3"/>
    <n v="1623.3"/>
    <n v="1623.3"/>
    <n v="1205"/>
    <n v="1658"/>
    <n v="1716.0066999999999"/>
    <n v="1766.7044000000001"/>
    <x v="301"/>
    <n v="1.103"/>
    <n v="0.81320000000000003"/>
    <n v="24.825199999999999"/>
    <n v="-25.747800000000002"/>
    <n v="-20.934999999999999"/>
    <n v="1755.5926999999999"/>
    <n v="1632.2473"/>
    <x v="1"/>
    <x v="2"/>
    <x v="302"/>
    <n v="3680144"/>
    <n v="5586.2002000000002"/>
    <n v="1615.1"/>
    <n v="1623.3"/>
    <n v="368"/>
    <n v="1334682"/>
    <s v="26-Sep-2022"/>
    <n v="1623.3"/>
    <n v="1"/>
    <n v="2022"/>
    <n v="-2.62"/>
    <m/>
  </r>
  <r>
    <x v="303"/>
    <n v="1626.7"/>
    <n v="1636.6"/>
    <n v="1626.7"/>
    <n v="1632.2"/>
    <n v="888"/>
    <n v="1653.9713999999999"/>
    <n v="1710.4467"/>
    <n v="1764.6732999999999"/>
    <x v="302"/>
    <n v="1.0763"/>
    <n v="0.80659999999999998"/>
    <n v="31.099"/>
    <n v="-27.154900000000001"/>
    <n v="-22.178999999999998"/>
    <n v="1753.6253999999999"/>
    <n v="1624.1946"/>
    <x v="0"/>
    <x v="1"/>
    <x v="303"/>
    <n v="3678939"/>
    <n v="5586.2002000000002"/>
    <n v="1615.1"/>
    <n v="1632.2"/>
    <n v="368"/>
    <n v="1334682"/>
    <s v="27-Sep-2022"/>
    <n v="1632.2"/>
    <n v="1"/>
    <n v="2022"/>
    <n v="0.55000000000000004"/>
    <m/>
  </r>
  <r>
    <x v="304"/>
    <n v="1660.4"/>
    <n v="1660.4"/>
    <n v="1620.4"/>
    <n v="1620.4"/>
    <n v="18311"/>
    <n v="1648.0571"/>
    <n v="1705.2132999999999"/>
    <n v="1762.5567000000001"/>
    <x v="303"/>
    <n v="1.0790999999999999"/>
    <n v="0.79330000000000001"/>
    <n v="18.2468"/>
    <n v="-28.889099999999999"/>
    <n v="-23.521000000000001"/>
    <n v="1750.636"/>
    <n v="1615.5840000000001"/>
    <x v="1"/>
    <x v="2"/>
    <x v="304"/>
    <n v="3678051"/>
    <n v="5586.2002000000002"/>
    <n v="1615.1"/>
    <n v="1620.4"/>
    <n v="367"/>
    <n v="1333794"/>
    <s v="28-Sep-2022"/>
    <n v="1620.4"/>
    <n v="1"/>
    <n v="2022"/>
    <n v="-0.72"/>
    <m/>
  </r>
  <r>
    <x v="305"/>
    <n v="1658.5"/>
    <n v="1662.6"/>
    <n v="1640"/>
    <n v="1657"/>
    <n v="6028"/>
    <n v="1647.6713999999999"/>
    <n v="1701.4567"/>
    <n v="1760.5333000000001"/>
    <x v="304"/>
    <n v="1.4693000000000001"/>
    <n v="0.92030000000000001"/>
    <n v="33.597099999999998"/>
    <n v="-26.998999999999999"/>
    <n v="-24.2166"/>
    <n v="1746.4003"/>
    <n v="1613.6896999999999"/>
    <x v="1"/>
    <x v="1"/>
    <x v="305"/>
    <n v="3659740"/>
    <n v="5586.2002000000002"/>
    <n v="1615.1"/>
    <n v="1657"/>
    <n v="367"/>
    <n v="1333794"/>
    <s v="29-Sep-2022"/>
    <n v="1657"/>
    <n v="1"/>
    <n v="2022"/>
    <n v="2.2599999999999998"/>
    <m/>
  </r>
  <r>
    <x v="306"/>
    <n v="1662.4"/>
    <n v="1672.7"/>
    <n v="1658"/>
    <n v="1661.7"/>
    <n v="548"/>
    <n v="1647.1286"/>
    <n v="1698.0833"/>
    <n v="1758.4821999999999"/>
    <x v="305"/>
    <n v="1.4666999999999999"/>
    <n v="0.92420000000000002"/>
    <n v="32.348199999999999"/>
    <n v="-24.8355"/>
    <n v="-24.340399999999999"/>
    <n v="1743.2183"/>
    <n v="1612.2517"/>
    <x v="1"/>
    <x v="1"/>
    <x v="306"/>
    <n v="3653712"/>
    <n v="5586.2002000000002"/>
    <n v="1615.1"/>
    <n v="1661.7"/>
    <n v="367"/>
    <n v="1333794"/>
    <s v="30-Sep-2022"/>
    <n v="1661.7"/>
    <n v="1"/>
    <n v="2022"/>
    <n v="0.28000000000000003"/>
    <m/>
  </r>
  <r>
    <x v="307"/>
    <n v="1692.9"/>
    <n v="1700"/>
    <n v="1661.9"/>
    <n v="1667.2"/>
    <n v="410"/>
    <n v="1646.9713999999999"/>
    <n v="1695.2"/>
    <n v="1756.4232999999999"/>
    <x v="306"/>
    <n v="1.4716"/>
    <n v="0.92679999999999996"/>
    <n v="35.571199999999997"/>
    <n v="-22.418700000000001"/>
    <n v="-23.956099999999999"/>
    <n v="1740.415"/>
    <n v="1611.4349999999999"/>
    <x v="1"/>
    <x v="1"/>
    <x v="307"/>
    <n v="3653164"/>
    <n v="5586.2002000000002"/>
    <n v="1615.1"/>
    <n v="1667.2"/>
    <n v="367"/>
    <n v="1333794"/>
    <s v="03-Oct-2022"/>
    <n v="1667.2"/>
    <n v="1"/>
    <n v="2022"/>
    <n v="0.33"/>
    <m/>
  </r>
  <r>
    <x v="308"/>
    <n v="1721.1"/>
    <n v="1728"/>
    <n v="1696"/>
    <n v="1701.2"/>
    <n v="291"/>
    <n v="1651.8570999999999"/>
    <n v="1693.89"/>
    <n v="1754.8122000000001"/>
    <x v="307"/>
    <n v="1.6586000000000001"/>
    <n v="1.0026999999999999"/>
    <n v="50.634799999999998"/>
    <n v="-17.557500000000001"/>
    <n v="-22.676400000000001"/>
    <n v="1739.1595"/>
    <n v="1611.8405"/>
    <x v="1"/>
    <x v="1"/>
    <x v="308"/>
    <n v="3652754"/>
    <n v="5586.2002000000002"/>
    <n v="1615.1"/>
    <n v="1701.2"/>
    <n v="367"/>
    <n v="1333794"/>
    <s v="04-Oct-2022"/>
    <n v="1701.2"/>
    <n v="1"/>
    <n v="2022"/>
    <n v="2.04"/>
    <m/>
  </r>
  <r>
    <x v="309"/>
    <n v="1711.4"/>
    <n v="1726.6"/>
    <n v="1703"/>
    <n v="1724.1"/>
    <n v="418"/>
    <n v="1666.2571"/>
    <n v="1693.4267"/>
    <n v="1753.52"/>
    <x v="308"/>
    <n v="1.0644"/>
    <n v="1.0354000000000001"/>
    <n v="59.341700000000003"/>
    <n v="-11.722"/>
    <n v="-20.485499999999998"/>
    <n v="1743.7656999999999"/>
    <n v="1610.1642999999999"/>
    <x v="0"/>
    <x v="1"/>
    <x v="309"/>
    <n v="3652463"/>
    <n v="5586.2002000000002"/>
    <n v="1615.1"/>
    <n v="1724.1"/>
    <n v="367"/>
    <n v="1333794"/>
    <s v="05-Oct-2022"/>
    <n v="1724.1"/>
    <n v="1"/>
    <n v="2022"/>
    <n v="1.35"/>
    <m/>
  </r>
  <r>
    <x v="310"/>
    <n v="1711.7"/>
    <n v="1723.3"/>
    <n v="1709.1"/>
    <n v="1721"/>
    <n v="133"/>
    <n v="1678.9428"/>
    <n v="1692.6267"/>
    <n v="1752.1056000000001"/>
    <x v="309"/>
    <n v="1.1343000000000001"/>
    <n v="1.0326"/>
    <n v="66.413899999999998"/>
    <n v="-7.2637"/>
    <n v="-17.841100000000001"/>
    <n v="1744.2802999999999"/>
    <n v="1609.9296999999999"/>
    <x v="0"/>
    <x v="1"/>
    <x v="310"/>
    <n v="3652045"/>
    <n v="5586.2002000000002"/>
    <n v="1615.1"/>
    <n v="1721"/>
    <n v="366"/>
    <n v="1333376"/>
    <s v="06-Oct-2022"/>
    <n v="1721"/>
    <n v="1"/>
    <n v="2022"/>
    <n v="-0.18"/>
    <m/>
  </r>
  <r>
    <x v="311"/>
    <n v="1700.5"/>
    <n v="1710.1"/>
    <n v="1693.7"/>
    <n v="1710.1"/>
    <n v="179"/>
    <n v="1691.7571"/>
    <n v="1690.91"/>
    <n v="1750.5478000000001"/>
    <x v="310"/>
    <n v="1.115"/>
    <n v="1.0206"/>
    <n v="62.442"/>
    <n v="-4.5575000000000001"/>
    <n v="-15.1844"/>
    <n v="1742.7392"/>
    <n v="1610.5607"/>
    <x v="0"/>
    <x v="1"/>
    <x v="311"/>
    <n v="3651912"/>
    <n v="5586.2002000000002"/>
    <n v="1615.1"/>
    <n v="1710.1"/>
    <n v="365"/>
    <n v="1333243"/>
    <s v="07-Oct-2022"/>
    <n v="1710.1"/>
    <n v="1"/>
    <n v="2022"/>
    <n v="-0.63"/>
    <m/>
  </r>
  <r>
    <x v="312"/>
    <n v="1667.3"/>
    <n v="1693.4"/>
    <n v="1667"/>
    <n v="1693.4"/>
    <n v="195"/>
    <n v="1696.9571000000001"/>
    <n v="1688.89"/>
    <n v="1749.0189"/>
    <x v="311"/>
    <n v="1.0685"/>
    <n v="1.0316000000000001"/>
    <n v="58.073799999999999"/>
    <n v="-3.7174"/>
    <n v="-12.891"/>
    <n v="1737.1791000000001"/>
    <n v="1612.7209"/>
    <x v="0"/>
    <x v="1"/>
    <x v="312"/>
    <n v="3651733"/>
    <n v="5586.2002000000002"/>
    <n v="1615.1"/>
    <n v="1693.4"/>
    <n v="364"/>
    <n v="1333064"/>
    <s v="10-Oct-2022"/>
    <n v="1693.4"/>
    <n v="1"/>
    <n v="2022"/>
    <n v="-0.98"/>
    <m/>
  </r>
  <r>
    <x v="313"/>
    <n v="1678.7"/>
    <n v="1678.7"/>
    <n v="1661"/>
    <n v="1661.8"/>
    <n v="167"/>
    <n v="1696.9713999999999"/>
    <n v="1686.5367000000001"/>
    <n v="1746.9789000000001"/>
    <x v="312"/>
    <n v="1.3509"/>
    <n v="1.0613999999999999"/>
    <n v="49.211100000000002"/>
    <n v="-5.5377999999999998"/>
    <n v="-11.420400000000001"/>
    <n v="1730.6306999999999"/>
    <n v="1613.3993"/>
    <x v="1"/>
    <x v="1"/>
    <x v="313"/>
    <n v="3651538"/>
    <n v="5586.2002000000002"/>
    <n v="1615.1"/>
    <n v="1661.8"/>
    <n v="363"/>
    <n v="1332869"/>
    <s v="11-Oct-2022"/>
    <n v="1661.8"/>
    <n v="1"/>
    <n v="2022"/>
    <n v="-1.87"/>
    <m/>
  </r>
  <r>
    <x v="314"/>
    <n v="1670.3"/>
    <n v="1672.7"/>
    <n v="1668"/>
    <n v="1668"/>
    <n v="149"/>
    <n v="1697.0857000000001"/>
    <n v="1684.2566999999999"/>
    <n v="1744.7610999999999"/>
    <x v="313"/>
    <n v="1.3526"/>
    <n v="1.0633999999999999"/>
    <n v="49.936900000000001"/>
    <n v="-6.4062000000000001"/>
    <n v="-10.4175"/>
    <n v="1727.7456999999999"/>
    <n v="1613.2143000000001"/>
    <x v="1"/>
    <x v="1"/>
    <x v="314"/>
    <n v="3651371"/>
    <n v="5586.2002000000002"/>
    <n v="1615.1"/>
    <n v="1668"/>
    <n v="363"/>
    <n v="1332869"/>
    <s v="12-Oct-2022"/>
    <n v="1668"/>
    <n v="1"/>
    <n v="2022"/>
    <n v="0.37"/>
    <m/>
  </r>
  <r>
    <x v="315"/>
    <n v="1670"/>
    <n v="1675.3"/>
    <n v="1641.5"/>
    <n v="1675.2"/>
    <n v="729"/>
    <n v="1693.3714"/>
    <n v="1682.82"/>
    <n v="1742.83"/>
    <x v="314"/>
    <n v="1.0553999999999999"/>
    <n v="1.0537000000000001"/>
    <n v="51.681699999999999"/>
    <n v="-6.4393000000000002"/>
    <n v="-9.6219000000000001"/>
    <n v="1726.8459"/>
    <n v="1613.0841"/>
    <x v="0"/>
    <x v="1"/>
    <x v="315"/>
    <n v="3651222"/>
    <n v="5586.2002000000002"/>
    <n v="1615.1"/>
    <n v="1675.2"/>
    <n v="363"/>
    <n v="1332869"/>
    <s v="13-Oct-2022"/>
    <n v="1675.2"/>
    <n v="1"/>
    <n v="2022"/>
    <n v="0.43"/>
    <m/>
  </r>
  <r>
    <x v="316"/>
    <n v="1641.7"/>
    <n v="1667"/>
    <n v="1640"/>
    <n v="1665.3"/>
    <n v="82"/>
    <n v="1684.9713999999999"/>
    <n v="1681.4"/>
    <n v="1740.9232999999999"/>
    <x v="315"/>
    <n v="0.80120000000000002"/>
    <n v="1.0535000000000001"/>
    <n v="60"/>
    <n v="-7.1816000000000004"/>
    <n v="-9.1338000000000008"/>
    <n v="1726.9594999999999"/>
    <n v="1613.4604999999999"/>
    <x v="0"/>
    <x v="1"/>
    <x v="316"/>
    <n v="3650493"/>
    <n v="5586.2002000000002"/>
    <n v="1615.1"/>
    <n v="1665.3"/>
    <n v="362"/>
    <n v="1332140"/>
    <s v="14-Oct-2022"/>
    <n v="1665.3"/>
    <n v="1"/>
    <n v="2022"/>
    <n v="-0.59"/>
    <m/>
  </r>
  <r>
    <x v="317"/>
    <n v="1657"/>
    <n v="1657"/>
    <n v="1646.8"/>
    <n v="1650.2"/>
    <n v="238"/>
    <n v="1674.8570999999999"/>
    <n v="1679.6267"/>
    <n v="1738.7610999999999"/>
    <x v="316"/>
    <n v="0.80120000000000002"/>
    <n v="1.0639000000000001"/>
    <n v="54.162799999999997"/>
    <n v="-8.8857999999999997"/>
    <n v="-9.0841999999999992"/>
    <n v="1726.9754"/>
    <n v="1612.2846"/>
    <x v="1"/>
    <x v="1"/>
    <x v="317"/>
    <n v="3650411"/>
    <n v="5586.2002000000002"/>
    <n v="1615.1"/>
    <n v="1650.2"/>
    <n v="361"/>
    <n v="1332058"/>
    <s v="17-Oct-2022"/>
    <n v="1650.2"/>
    <n v="1"/>
    <n v="2022"/>
    <n v="-0.91"/>
    <m/>
  </r>
  <r>
    <x v="318"/>
    <n v="1649"/>
    <n v="1655.2"/>
    <n v="1649"/>
    <n v="1651.4"/>
    <n v="597"/>
    <n v="1666.4713999999999"/>
    <n v="1677.6832999999999"/>
    <n v="1736.5978"/>
    <x v="317"/>
    <n v="0.83909999999999996"/>
    <n v="1.0607"/>
    <n v="57.538899999999998"/>
    <n v="-10.024100000000001"/>
    <n v="-9.2721999999999998"/>
    <n v="1726.9815000000001"/>
    <n v="1611.4485"/>
    <x v="0"/>
    <x v="1"/>
    <x v="318"/>
    <n v="3650173"/>
    <n v="5586.2002000000002"/>
    <n v="1615.1"/>
    <n v="1651.4"/>
    <n v="361"/>
    <n v="1332058"/>
    <s v="18-Oct-2022"/>
    <n v="1651.4"/>
    <n v="1"/>
    <n v="2022"/>
    <n v="7.0000000000000007E-2"/>
    <m/>
  </r>
  <r>
    <x v="319"/>
    <n v="1627.5"/>
    <n v="1637.5"/>
    <n v="1627.5"/>
    <n v="1637.5"/>
    <n v="84"/>
    <n v="1658.4857"/>
    <n v="1675.7733000000001"/>
    <n v="1734.3178"/>
    <x v="318"/>
    <n v="0.82769999999999999"/>
    <n v="1.06"/>
    <n v="44.669199999999996"/>
    <n v="-11.910500000000001"/>
    <n v="-9.7998999999999992"/>
    <n v="1727.2925"/>
    <n v="1608.3375000000001"/>
    <x v="0"/>
    <x v="1"/>
    <x v="319"/>
    <n v="3649576"/>
    <n v="5586.2002000000002"/>
    <n v="1615.1"/>
    <n v="1637.5"/>
    <n v="360"/>
    <n v="1331461"/>
    <s v="19-Oct-2022"/>
    <n v="1637.5"/>
    <n v="1"/>
    <n v="2022"/>
    <n v="-0.84"/>
    <m/>
  </r>
  <r>
    <x v="320"/>
    <n v="1630.8"/>
    <n v="1641.4"/>
    <n v="1622.8"/>
    <n v="1622.8"/>
    <n v="477"/>
    <n v="1652.9142999999999"/>
    <n v="1672.5933"/>
    <n v="1731.5289"/>
    <x v="319"/>
    <n v="0.60840000000000005"/>
    <n v="1.0307999999999999"/>
    <n v="39.917099999999998"/>
    <n v="-14.4253"/>
    <n v="-10.725"/>
    <n v="1728.3279"/>
    <n v="1602.752"/>
    <x v="1"/>
    <x v="1"/>
    <x v="320"/>
    <n v="3649492"/>
    <n v="5586.2002000000002"/>
    <n v="1615.1"/>
    <n v="1622.8"/>
    <n v="359"/>
    <n v="1331377"/>
    <s v="20-Oct-2022"/>
    <n v="1622.8"/>
    <n v="1"/>
    <n v="2022"/>
    <n v="-0.9"/>
    <m/>
  </r>
  <r>
    <x v="321"/>
    <n v="1651"/>
    <n v="1653.9"/>
    <n v="1634.1"/>
    <n v="1634.1"/>
    <n v="224"/>
    <n v="1648.0714"/>
    <n v="1669.7566999999999"/>
    <n v="1729.4078"/>
    <x v="320"/>
    <n v="0.6794"/>
    <n v="1.0425"/>
    <n v="41.670900000000003"/>
    <n v="-15.3299"/>
    <n v="-11.645899999999999"/>
    <n v="1728.2267999999999"/>
    <n v="1599.5632000000001"/>
    <x v="1"/>
    <x v="1"/>
    <x v="321"/>
    <n v="3649015"/>
    <n v="5586.2002000000002"/>
    <n v="1615.1"/>
    <n v="1634.1"/>
    <n v="359"/>
    <n v="1331377"/>
    <s v="21-Oct-2022"/>
    <n v="1634.1"/>
    <n v="1"/>
    <n v="2022"/>
    <n v="0.7"/>
    <m/>
  </r>
  <r>
    <x v="322"/>
    <n v="1648.7"/>
    <n v="1662.7"/>
    <n v="1648.7"/>
    <n v="1662.7"/>
    <n v="29"/>
    <n v="1646.2856999999999"/>
    <n v="1667.6"/>
    <n v="1727.7256"/>
    <x v="321"/>
    <n v="1.0137"/>
    <n v="1.0941000000000001"/>
    <n v="40.041400000000003"/>
    <n v="-13.5824"/>
    <n v="-12.033200000000001"/>
    <n v="1727.3109999999999"/>
    <n v="1604.4190000000001"/>
    <x v="0"/>
    <x v="1"/>
    <x v="322"/>
    <n v="3648791"/>
    <n v="5586.2002000000002"/>
    <n v="1615.1"/>
    <n v="1662.7"/>
    <n v="359"/>
    <n v="1331377"/>
    <s v="24-Oct-2022"/>
    <n v="1662.7"/>
    <n v="1"/>
    <n v="2022"/>
    <n v="1.75"/>
    <m/>
  </r>
  <r>
    <x v="323"/>
    <n v="1652.8"/>
    <n v="1652.8"/>
    <n v="1637.3"/>
    <n v="1648.2"/>
    <n v="880"/>
    <n v="1643.8427999999999"/>
    <n v="1665.19"/>
    <n v="1725.8255999999999"/>
    <x v="322"/>
    <n v="1.0415000000000001"/>
    <n v="1.1015999999999999"/>
    <n v="29.4754"/>
    <n v="-13.2151"/>
    <n v="-12.269600000000001"/>
    <n v="1726.6650999999999"/>
    <n v="1606.6649"/>
    <x v="1"/>
    <x v="2"/>
    <x v="323"/>
    <n v="3648762"/>
    <n v="5586.2002000000002"/>
    <n v="1615.1"/>
    <n v="1648.2"/>
    <n v="358"/>
    <n v="1331348"/>
    <s v="25-Oct-2022"/>
    <n v="1648.2"/>
    <n v="1"/>
    <n v="2022"/>
    <n v="-0.87"/>
    <m/>
  </r>
  <r>
    <x v="324"/>
    <n v="1664"/>
    <n v="1667"/>
    <n v="1649.8"/>
    <n v="1649.8"/>
    <n v="89"/>
    <n v="1643.7856999999999"/>
    <n v="1663.56"/>
    <n v="1723.56"/>
    <x v="323"/>
    <n v="0.98640000000000005"/>
    <n v="1.0813999999999999"/>
    <n v="30.588899999999999"/>
    <n v="-12.6492"/>
    <n v="-12.345499999999999"/>
    <n v="1724.7050999999999"/>
    <n v="1611.5649000000001"/>
    <x v="1"/>
    <x v="1"/>
    <x v="324"/>
    <n v="3647882"/>
    <n v="5586.2002000000002"/>
    <n v="1615.1"/>
    <n v="1649.8"/>
    <n v="358"/>
    <n v="1331348"/>
    <s v="26-Oct-2022"/>
    <n v="1649.8"/>
    <n v="1"/>
    <n v="2022"/>
    <n v="0.1"/>
    <m/>
  </r>
  <r>
    <x v="325"/>
    <n v="1660.7"/>
    <n v="1660.7"/>
    <n v="1660.7"/>
    <n v="1660.7"/>
    <n v="2298"/>
    <n v="1645.1143"/>
    <n v="1662.7333000000001"/>
    <n v="1721.62"/>
    <x v="324"/>
    <n v="1.0181"/>
    <n v="1.0818000000000001"/>
    <n v="36.5321"/>
    <n v="-11.1921"/>
    <n v="-12.114800000000001"/>
    <n v="1724.7608"/>
    <n v="1611.8792000000001"/>
    <x v="1"/>
    <x v="1"/>
    <x v="325"/>
    <n v="3647793"/>
    <n v="5586.2002000000002"/>
    <n v="1615.1"/>
    <n v="1660.7"/>
    <n v="358"/>
    <n v="1331348"/>
    <s v="27-Oct-2022"/>
    <n v="1660.7"/>
    <n v="1"/>
    <n v="2022"/>
    <n v="0.66"/>
    <m/>
  </r>
  <r>
    <x v="326"/>
    <n v="1639.6"/>
    <n v="1661"/>
    <n v="1638.7"/>
    <n v="1661"/>
    <n v="626"/>
    <n v="1648.4713999999999"/>
    <n v="1662.7533000000001"/>
    <n v="1719.7478000000001"/>
    <x v="325"/>
    <n v="0.93620000000000003"/>
    <n v="1.0468"/>
    <n v="40.299399999999999"/>
    <n v="-9.8991000000000007"/>
    <n v="-11.6717"/>
    <n v="1724.7438999999999"/>
    <n v="1611.8261"/>
    <x v="0"/>
    <x v="1"/>
    <x v="326"/>
    <n v="3645495"/>
    <n v="5586.2002000000002"/>
    <n v="1615.1"/>
    <n v="1661"/>
    <n v="358"/>
    <n v="1331348"/>
    <s v="28-Oct-2022"/>
    <n v="1661"/>
    <n v="1"/>
    <n v="2022"/>
    <n v="0.02"/>
    <m/>
  </r>
  <r>
    <x v="327"/>
    <n v="1635.9"/>
    <n v="1641.8"/>
    <n v="1633.4"/>
    <n v="1641.8"/>
    <n v="522"/>
    <n v="1651.1857"/>
    <n v="1662.0867000000001"/>
    <n v="1717.5956000000001"/>
    <x v="326"/>
    <n v="0.99060000000000004"/>
    <n v="1.0679000000000001"/>
    <n v="43.531700000000001"/>
    <n v="-10.3048"/>
    <n v="-11.398300000000001"/>
    <n v="1724.7059999999999"/>
    <n v="1609.3240000000001"/>
    <x v="0"/>
    <x v="1"/>
    <x v="327"/>
    <n v="3644869"/>
    <n v="5586.2002000000002"/>
    <n v="1615.1"/>
    <n v="1641.8"/>
    <n v="357"/>
    <n v="1330722"/>
    <s v="31-Oct-2022"/>
    <n v="1641.8"/>
    <n v="1"/>
    <n v="2022"/>
    <n v="-1.1599999999999999"/>
    <m/>
  </r>
  <r>
    <x v="328"/>
    <n v="1645"/>
    <n v="1653.7"/>
    <n v="1630.8"/>
    <n v="1630.8"/>
    <n v="985"/>
    <n v="1650.7143000000001"/>
    <n v="1661.1233"/>
    <n v="1715.4878000000001"/>
    <x v="327"/>
    <n v="1.0042"/>
    <n v="1.0741000000000001"/>
    <n v="38.331299999999999"/>
    <n v="-11.3827"/>
    <n v="-11.395200000000001"/>
    <n v="1720.9943000000001"/>
    <n v="1605.9957999999999"/>
    <x v="1"/>
    <x v="1"/>
    <x v="328"/>
    <n v="3644347"/>
    <n v="5586.2002000000002"/>
    <n v="1615.1"/>
    <n v="1630.8"/>
    <n v="356"/>
    <n v="1330200"/>
    <s v="01-Nov-2022"/>
    <n v="1630.8"/>
    <n v="1"/>
    <n v="2022"/>
    <n v="-0.67"/>
    <m/>
  </r>
  <r>
    <x v="329"/>
    <n v="1645.7"/>
    <n v="1664.7"/>
    <n v="1634"/>
    <n v="1650.8"/>
    <n v="612"/>
    <n v="1649.0143"/>
    <n v="1660.6333"/>
    <n v="1713.4911"/>
    <x v="328"/>
    <n v="0.8589"/>
    <n v="1.0971"/>
    <n v="42.915199999999999"/>
    <n v="-10.5021"/>
    <n v="-11.2166"/>
    <n v="1709.9327000000001"/>
    <n v="1609.7273"/>
    <x v="0"/>
    <x v="1"/>
    <x v="329"/>
    <n v="3643362"/>
    <n v="5586.2002000000002"/>
    <n v="1615.1"/>
    <n v="1650.8"/>
    <n v="356"/>
    <n v="1330200"/>
    <s v="02-Nov-2022"/>
    <n v="1650.8"/>
    <n v="1"/>
    <n v="2022"/>
    <n v="1.23"/>
    <m/>
  </r>
  <r>
    <x v="330"/>
    <n v="1627.3"/>
    <n v="1629.2"/>
    <n v="1615.1"/>
    <n v="1629.2"/>
    <n v="1427"/>
    <n v="1646.3"/>
    <n v="1659.33"/>
    <n v="1711.3244"/>
    <x v="329"/>
    <n v="0.93669999999999998"/>
    <n v="1.1211"/>
    <n v="40.184899999999999"/>
    <n v="-11.4156"/>
    <n v="-11.256399999999999"/>
    <n v="1698.0343"/>
    <n v="1612.4458"/>
    <x v="0"/>
    <x v="1"/>
    <x v="330"/>
    <n v="3642750"/>
    <n v="5586.2002000000002"/>
    <n v="1615.1"/>
    <n v="1629.2"/>
    <n v="355"/>
    <n v="1329588"/>
    <s v="03-Nov-2022"/>
    <n v="1629.2"/>
    <n v="1"/>
    <n v="2022"/>
    <n v="-1.31"/>
    <m/>
  </r>
  <r>
    <x v="331"/>
    <n v="1672.5"/>
    <n v="1674.5"/>
    <n v="1629"/>
    <n v="1630.2"/>
    <n v="159"/>
    <n v="1643.5"/>
    <n v="1658.1033"/>
    <n v="1709.2344000000001"/>
    <x v="330"/>
    <n v="0.93510000000000004"/>
    <n v="1.1213"/>
    <n v="44.110700000000001"/>
    <n v="-11.9214"/>
    <n v="-11.3894"/>
    <n v="1686.7773"/>
    <n v="1615.7127"/>
    <x v="1"/>
    <x v="1"/>
    <x v="331"/>
    <n v="3641323"/>
    <n v="5586.2002000000002"/>
    <n v="1629"/>
    <n v="1630.2"/>
    <n v="354"/>
    <n v="1328161"/>
    <s v="04-Nov-2022"/>
    <n v="1630.2"/>
    <n v="1"/>
    <n v="2022"/>
    <n v="0.06"/>
    <m/>
  </r>
  <r>
    <x v="332"/>
    <n v="1676.5"/>
    <n v="1677.9"/>
    <n v="1672.9"/>
    <n v="1676.9"/>
    <n v="42"/>
    <n v="1645.8143"/>
    <n v="1659.89"/>
    <n v="1707.76"/>
    <x v="331"/>
    <n v="1.4753000000000001"/>
    <n v="1.1377999999999999"/>
    <n v="55.921999999999997"/>
    <n v="-8.4565000000000001"/>
    <n v="-10.8028"/>
    <n v="1682.422"/>
    <n v="1618.4179999999999"/>
    <x v="0"/>
    <x v="1"/>
    <x v="332"/>
    <n v="3641164"/>
    <n v="5586.2002000000002"/>
    <n v="1672.9"/>
    <n v="1676.9"/>
    <n v="354"/>
    <n v="1328161"/>
    <s v="07-Nov-2022"/>
    <n v="1676.9"/>
    <n v="1"/>
    <n v="2022"/>
    <n v="2.86"/>
    <m/>
  </r>
  <r>
    <x v="333"/>
    <n v="1712.1"/>
    <n v="1712.1"/>
    <n v="1703.2"/>
    <n v="1703.2"/>
    <n v="23"/>
    <n v="1651.8429000000001"/>
    <n v="1662.2566999999999"/>
    <n v="1706.7344000000001"/>
    <x v="332"/>
    <n v="1.5661"/>
    <n v="1.1660999999999999"/>
    <n v="64.426900000000003"/>
    <n v="-3.5474000000000001"/>
    <n v="-9.3516999999999992"/>
    <n v="1692.0537999999999"/>
    <n v="1612.9262000000001"/>
    <x v="1"/>
    <x v="1"/>
    <x v="333"/>
    <n v="3641122"/>
    <n v="5586.2002000000002"/>
    <n v="1703.2"/>
    <n v="1703.2"/>
    <n v="353"/>
    <n v="1328119"/>
    <s v="08-Nov-2022"/>
    <n v="1703.2"/>
    <n v="1"/>
    <n v="2022"/>
    <n v="1.57"/>
    <m/>
  </r>
  <r>
    <x v="334"/>
    <n v="1710.1"/>
    <n v="1720.2"/>
    <n v="1706"/>
    <n v="1707.4"/>
    <n v="497"/>
    <n v="1661.2143000000001"/>
    <n v="1665.1567"/>
    <n v="1705.6456000000001"/>
    <x v="333"/>
    <n v="1.4214"/>
    <n v="1.1545000000000001"/>
    <n v="69.475099999999998"/>
    <n v="0.67420000000000002"/>
    <n v="-7.3464999999999998"/>
    <n v="1700.6451"/>
    <n v="1608.2748999999999"/>
    <x v="1"/>
    <x v="1"/>
    <x v="334"/>
    <n v="3641099"/>
    <n v="5586.2002000000002"/>
    <n v="1706"/>
    <n v="1707.4"/>
    <n v="353"/>
    <n v="1328119"/>
    <s v="09-Nov-2022"/>
    <n v="1707.4"/>
    <n v="1"/>
    <n v="2022"/>
    <n v="0.25"/>
    <m/>
  </r>
  <r>
    <x v="335"/>
    <n v="1750.3"/>
    <n v="1750.3"/>
    <n v="1708.2"/>
    <n v="1708.2"/>
    <n v="325"/>
    <n v="1672.2714000000001"/>
    <n v="1666.8633"/>
    <n v="1705.0422000000001"/>
    <x v="334"/>
    <n v="1.3407"/>
    <n v="1.0858000000000001"/>
    <n v="67.924499999999995"/>
    <n v="4.0378999999999996"/>
    <n v="-5.0697000000000001"/>
    <n v="1707.4816000000001"/>
    <n v="1604.7384"/>
    <x v="1"/>
    <x v="1"/>
    <x v="335"/>
    <n v="3640602"/>
    <n v="5586.2002000000002"/>
    <n v="1708.2"/>
    <n v="1708.2"/>
    <n v="353"/>
    <n v="1328119"/>
    <s v="10-Nov-2022"/>
    <n v="1708.2"/>
    <n v="1"/>
    <n v="2022"/>
    <n v="0.05"/>
    <m/>
  </r>
  <r>
    <x v="336"/>
    <n v="1766"/>
    <n v="1766"/>
    <n v="1757.6"/>
    <n v="1763.8"/>
    <n v="257"/>
    <n v="1688.4142999999999"/>
    <n v="1670.2666999999999"/>
    <n v="1705.2489"/>
    <x v="335"/>
    <n v="1.6614"/>
    <n v="1.2285999999999999"/>
    <n v="71.630300000000005"/>
    <n v="11.0625"/>
    <n v="-1.8431999999999999"/>
    <n v="1731.4667999999999"/>
    <n v="1590.6032"/>
    <x v="1"/>
    <x v="0"/>
    <x v="336"/>
    <n v="3640277"/>
    <n v="5586.2002000000002"/>
    <n v="1736.1"/>
    <n v="1763.8"/>
    <n v="353"/>
    <n v="1328119"/>
    <s v="11-Nov-2022"/>
    <n v="1763.8"/>
    <n v="1"/>
    <n v="2022"/>
    <n v="3.25"/>
    <m/>
  </r>
  <r>
    <x v="337"/>
    <n v="1773.6"/>
    <n v="1773.6"/>
    <n v="1761.6"/>
    <n v="1762"/>
    <n v="358"/>
    <n v="1707.3857"/>
    <n v="1673.4267"/>
    <n v="1705.5144"/>
    <x v="336"/>
    <n v="1.4335"/>
    <n v="1.2296"/>
    <n v="75.746600000000001"/>
    <n v="16.296500000000002"/>
    <n v="1.7847"/>
    <n v="1749.9943000000001"/>
    <n v="1583.2556999999999"/>
    <x v="1"/>
    <x v="0"/>
    <x v="337"/>
    <n v="3640020"/>
    <n v="5586.2002000000002"/>
    <n v="1736.1"/>
    <n v="1762"/>
    <n v="353"/>
    <n v="1328119"/>
    <s v="14-Nov-2022"/>
    <n v="1762"/>
    <n v="1"/>
    <n v="2022"/>
    <n v="-0.1"/>
    <m/>
  </r>
  <r>
    <x v="338"/>
    <n v="1773.8"/>
    <n v="1773.8"/>
    <n v="1769.9"/>
    <n v="1770.8"/>
    <n v="57"/>
    <n v="1727.4713999999999"/>
    <n v="1675.7466999999999"/>
    <n v="1705.94"/>
    <x v="337"/>
    <n v="1.3876999999999999"/>
    <n v="1.181"/>
    <n v="76.511799999999994"/>
    <n v="20.913499999999999"/>
    <n v="5.6105"/>
    <n v="1767.6545000000001"/>
    <n v="1577.5355"/>
    <x v="1"/>
    <x v="0"/>
    <x v="338"/>
    <n v="3639662"/>
    <n v="5586.2002000000002"/>
    <n v="1736.1"/>
    <n v="1770.8"/>
    <n v="353"/>
    <n v="1328119"/>
    <s v="15-Nov-2022"/>
    <n v="1770.8"/>
    <n v="1"/>
    <n v="2022"/>
    <n v="0.5"/>
    <m/>
  </r>
  <r>
    <x v="339"/>
    <n v="1773"/>
    <n v="1778.9"/>
    <n v="1773"/>
    <n v="1776.6"/>
    <n v="303"/>
    <n v="1741.7143000000001"/>
    <n v="1677.4966999999999"/>
    <n v="1706.4111"/>
    <x v="338"/>
    <n v="1.1979"/>
    <n v="1.1596"/>
    <n v="75.974900000000005"/>
    <n v="24.755099999999999"/>
    <n v="9.4393999999999991"/>
    <n v="1783.7162000000001"/>
    <n v="1575.3838000000001"/>
    <x v="0"/>
    <x v="0"/>
    <x v="339"/>
    <n v="3639605"/>
    <n v="5586.2002000000002"/>
    <n v="1736.1"/>
    <n v="1776.6"/>
    <n v="353"/>
    <n v="1328119"/>
    <s v="16-Nov-2022"/>
    <n v="1776.6"/>
    <n v="1"/>
    <n v="2022"/>
    <n v="0.33"/>
    <m/>
  </r>
  <r>
    <x v="340"/>
    <n v="1760.8"/>
    <n v="1763"/>
    <n v="1756"/>
    <n v="1763"/>
    <n v="18"/>
    <n v="1750.2571"/>
    <n v="1678.8967"/>
    <n v="1707"/>
    <x v="339"/>
    <n v="1.2815000000000001"/>
    <n v="1.1695"/>
    <n v="71.573599999999999"/>
    <n v="26.398"/>
    <n v="12.831099999999999"/>
    <n v="1793.4793999999999"/>
    <n v="1579.6405"/>
    <x v="0"/>
    <x v="0"/>
    <x v="340"/>
    <n v="3639302"/>
    <n v="5586.2002000000002"/>
    <n v="1736.1"/>
    <n v="1763"/>
    <n v="352"/>
    <n v="1327816"/>
    <s v="17-Nov-2022"/>
    <n v="1763"/>
    <n v="1"/>
    <n v="2022"/>
    <n v="-0.77"/>
    <m/>
  </r>
  <r>
    <x v="341"/>
    <n v="1751.9"/>
    <n v="1763.3"/>
    <n v="1747.6"/>
    <n v="1763.3"/>
    <n v="414"/>
    <n v="1758.2429"/>
    <n v="1680.67"/>
    <n v="1707.5889"/>
    <x v="340"/>
    <n v="1.2919"/>
    <n v="1.1617"/>
    <n v="77.930999999999997"/>
    <n v="27.408200000000001"/>
    <n v="15.746499999999999"/>
    <n v="1802.1826000000001"/>
    <n v="1583.8574000000001"/>
    <x v="0"/>
    <x v="0"/>
    <x v="341"/>
    <n v="3639284"/>
    <n v="5586.2002000000002"/>
    <n v="1736.1"/>
    <n v="1763.3"/>
    <n v="351"/>
    <n v="1327798"/>
    <s v="18-Nov-2022"/>
    <n v="1763.3"/>
    <n v="1"/>
    <n v="2022"/>
    <n v="0.02"/>
    <m/>
  </r>
  <r>
    <x v="342"/>
    <n v="1737.4"/>
    <n v="1744.9"/>
    <n v="1736.1"/>
    <n v="1739"/>
    <n v="544"/>
    <n v="1762.6429000000001"/>
    <n v="1682.19"/>
    <n v="1707.9621999999999"/>
    <x v="341"/>
    <n v="1.4695"/>
    <n v="1.1768000000000001"/>
    <n v="73.440200000000004"/>
    <n v="25.948799999999999"/>
    <n v="17.786999999999999"/>
    <n v="1806.8656000000001"/>
    <n v="1586.8044"/>
    <x v="0"/>
    <x v="0"/>
    <x v="342"/>
    <n v="3638870"/>
    <n v="5586.2002000000002"/>
    <n v="1736.1"/>
    <n v="1739"/>
    <n v="350"/>
    <n v="1327384"/>
    <s v="21-Nov-2022"/>
    <n v="1739"/>
    <n v="1"/>
    <n v="2022"/>
    <n v="-1.38"/>
    <m/>
  </r>
  <r>
    <x v="343"/>
    <n v="1738.3"/>
    <n v="1741.7"/>
    <n v="1738.3"/>
    <n v="1741.7"/>
    <n v="15"/>
    <n v="1759.4857"/>
    <n v="1684.8533"/>
    <n v="1708.29"/>
    <x v="342"/>
    <n v="0.66520000000000001"/>
    <n v="1.117"/>
    <n v="71.287999999999997"/>
    <n v="24.725200000000001"/>
    <n v="19.174600000000002"/>
    <n v="1810.7826"/>
    <n v="1592.2374"/>
    <x v="0"/>
    <x v="0"/>
    <x v="343"/>
    <n v="3638326"/>
    <n v="5586.2002000000002"/>
    <n v="1736.5"/>
    <n v="1741.7"/>
    <n v="349"/>
    <n v="1326840"/>
    <s v="22-Nov-2022"/>
    <n v="1741.7"/>
    <n v="1"/>
    <n v="2022"/>
    <n v="0.16"/>
    <m/>
  </r>
  <r>
    <x v="344"/>
    <n v="1744.9"/>
    <n v="1750.9"/>
    <n v="1736.5"/>
    <n v="1736.5"/>
    <n v="39"/>
    <n v="1755.8429000000001"/>
    <n v="1687.1367"/>
    <n v="1708.5589"/>
    <x v="343"/>
    <n v="0.66559999999999997"/>
    <n v="1.1194"/>
    <n v="77.219700000000003"/>
    <n v="23.069900000000001"/>
    <n v="19.953700000000001"/>
    <n v="1813.3448000000001"/>
    <n v="1598.3452"/>
    <x v="1"/>
    <x v="0"/>
    <x v="344"/>
    <n v="3638311"/>
    <n v="5586.2002000000002"/>
    <n v="1736.5"/>
    <n v="1736.5"/>
    <n v="348"/>
    <n v="1326825"/>
    <s v="23-Nov-2022"/>
    <n v="1736.5"/>
    <n v="1"/>
    <n v="2022"/>
    <n v="-0.3"/>
    <m/>
  </r>
  <r>
    <x v="345"/>
    <n v="1753.3"/>
    <n v="1757.9"/>
    <n v="1749.2"/>
    <n v="1753"/>
    <n v="216"/>
    <n v="1753.3"/>
    <n v="1689.73"/>
    <n v="1709.0689"/>
    <x v="344"/>
    <n v="0.76029999999999998"/>
    <n v="1.1279999999999999"/>
    <n v="78.880499999999998"/>
    <n v="22.8263"/>
    <n v="20.528199999999998"/>
    <n v="1817.7240999999999"/>
    <n v="1603.1958999999999"/>
    <x v="1"/>
    <x v="0"/>
    <x v="345"/>
    <n v="3638272"/>
    <n v="5586.2002000000002"/>
    <n v="1737.9"/>
    <n v="1753"/>
    <n v="348"/>
    <n v="1326825"/>
    <s v="25-Nov-2022"/>
    <n v="1753"/>
    <n v="1"/>
    <n v="2022"/>
    <n v="0.95"/>
    <m/>
  </r>
  <r>
    <x v="346"/>
    <n v="1740.1"/>
    <n v="1741.3"/>
    <n v="1740.1"/>
    <n v="1741.3"/>
    <n v="132767"/>
    <n v="1748.2571"/>
    <n v="1692.2633000000001"/>
    <n v="1709.6722"/>
    <x v="345"/>
    <n v="0.75090000000000001"/>
    <n v="1.1297999999999999"/>
    <n v="68.130600000000001"/>
    <n v="21.442"/>
    <n v="20.710999999999999"/>
    <n v="1819.9403"/>
    <n v="1609.0097000000001"/>
    <x v="0"/>
    <x v="1"/>
    <x v="346"/>
    <n v="3638056"/>
    <n v="5586.2002000000002"/>
    <n v="1737.9"/>
    <n v="1741.3"/>
    <n v="348"/>
    <n v="1326825"/>
    <s v="28-Nov-2022"/>
    <n v="1741.3"/>
    <n v="1"/>
    <n v="2022"/>
    <n v="-0.67"/>
    <m/>
  </r>
  <r>
    <x v="347"/>
    <n v="1748.4"/>
    <n v="1758.2"/>
    <n v="1737.9"/>
    <n v="1739.5"/>
    <n v="19416"/>
    <n v="1744.9"/>
    <n v="1695.24"/>
    <n v="1709.9632999999999"/>
    <x v="346"/>
    <n v="0.72119999999999995"/>
    <n v="1.1132"/>
    <n v="61.854999999999997"/>
    <n v="19.9695"/>
    <n v="20.5627"/>
    <n v="1819.5716"/>
    <n v="1619.1484"/>
    <x v="1"/>
    <x v="1"/>
    <x v="347"/>
    <n v="3505289"/>
    <n v="5586.2002000000002"/>
    <n v="1737.9"/>
    <n v="1739.5"/>
    <n v="347"/>
    <n v="1194058"/>
    <s v="29-Nov-2022"/>
    <n v="1739.5"/>
    <n v="1"/>
    <n v="2022"/>
    <n v="-0.1"/>
    <m/>
  </r>
  <r>
    <x v="348"/>
    <n v="1746"/>
    <n v="1769.4"/>
    <n v="1745.1"/>
    <n v="1748.1"/>
    <n v="3339"/>
    <n v="1742.7285999999999"/>
    <n v="1698.4632999999999"/>
    <n v="1710.1977999999999"/>
    <x v="347"/>
    <n v="0.76519999999999999"/>
    <n v="1.1144000000000001"/>
    <n v="62.9206"/>
    <n v="19.2743"/>
    <n v="20.305"/>
    <n v="1816.9872"/>
    <n v="1633.4628"/>
    <x v="0"/>
    <x v="1"/>
    <x v="348"/>
    <n v="3485873"/>
    <n v="5586.2002000000002"/>
    <n v="1745.1"/>
    <n v="1748.1"/>
    <n v="347"/>
    <n v="1194058"/>
    <s v="30-Nov-2022"/>
    <n v="1748.1"/>
    <n v="1"/>
    <n v="2022"/>
    <n v="0.49"/>
    <m/>
  </r>
  <r>
    <x v="349"/>
    <n v="1801.1"/>
    <n v="1803.7"/>
    <n v="1768.7"/>
    <n v="1768.7"/>
    <n v="1053"/>
    <n v="1746.9713999999999"/>
    <n v="1702.8367000000001"/>
    <n v="1710.7610999999999"/>
    <x v="348"/>
    <n v="0.66930000000000001"/>
    <n v="1.1106"/>
    <n v="67.061499999999995"/>
    <n v="20.153300000000002"/>
    <n v="20.274699999999999"/>
    <n v="1817.7557999999999"/>
    <n v="1644.4842000000001"/>
    <x v="1"/>
    <x v="1"/>
    <x v="349"/>
    <n v="3482534"/>
    <n v="5586.2002000000002"/>
    <n v="1764.3"/>
    <n v="1768.7"/>
    <n v="346"/>
    <n v="1190719"/>
    <s v="01-Dec-2022"/>
    <n v="1768.7"/>
    <n v="1"/>
    <n v="2022"/>
    <n v="1.18"/>
    <m/>
  </r>
  <r>
    <x v="350"/>
    <n v="1795.9"/>
    <n v="1802.3"/>
    <n v="1779.4"/>
    <n v="1802"/>
    <n v="1725"/>
    <n v="1755.5857000000001"/>
    <n v="1708.81"/>
    <n v="1711.6822"/>
    <x v="349"/>
    <n v="0.9073"/>
    <n v="1.1263000000000001"/>
    <n v="62.322600000000001"/>
    <n v="23.268699999999999"/>
    <n v="20.8735"/>
    <n v="1817.6204"/>
    <n v="1661.8996"/>
    <x v="0"/>
    <x v="1"/>
    <x v="350"/>
    <n v="3481481"/>
    <n v="5586.2002000000002"/>
    <n v="1764.3"/>
    <n v="1802"/>
    <n v="346"/>
    <n v="1190719"/>
    <s v="02-Dec-2022"/>
    <n v="1802"/>
    <n v="1"/>
    <n v="2022"/>
    <n v="1.88"/>
    <m/>
  </r>
  <r>
    <x v="351"/>
    <n v="1767.4"/>
    <n v="1808"/>
    <n v="1764.3"/>
    <n v="1795.7"/>
    <n v="1713"/>
    <n v="1764.0427999999999"/>
    <n v="1714.1967"/>
    <n v="1712.3867"/>
    <x v="350"/>
    <n v="0.91490000000000005"/>
    <n v="1.1315999999999999"/>
    <n v="60.5642"/>
    <n v="24.941800000000001"/>
    <n v="21.687100000000001"/>
    <n v="1810.5305000000001"/>
    <n v="1685.5395000000001"/>
    <x v="0"/>
    <x v="1"/>
    <x v="351"/>
    <n v="3479756"/>
    <n v="5586.2002000000002"/>
    <n v="1764.3"/>
    <n v="1795.7"/>
    <n v="345"/>
    <n v="1188994"/>
    <s v="05-Dec-2022"/>
    <n v="1795.7"/>
    <n v="1"/>
    <n v="2022"/>
    <n v="-0.35"/>
    <m/>
  </r>
  <r>
    <x v="352"/>
    <n v="1769.3"/>
    <n v="1779.4"/>
    <n v="1767.9"/>
    <n v="1768.6"/>
    <n v="105"/>
    <n v="1766.2714000000001"/>
    <n v="1717.7266999999999"/>
    <n v="1712.5489"/>
    <x v="351"/>
    <n v="1.1483000000000001"/>
    <n v="1.1459999999999999"/>
    <n v="49.381300000000003"/>
    <n v="23.8066"/>
    <n v="22.111000000000001"/>
    <n v="1805.9202"/>
    <n v="1699.3198"/>
    <x v="1"/>
    <x v="1"/>
    <x v="352"/>
    <n v="3478043"/>
    <n v="5586.2002000000002"/>
    <n v="1767.9"/>
    <n v="1768.6"/>
    <n v="344"/>
    <n v="1187281"/>
    <s v="06-Dec-2022"/>
    <n v="1768.6"/>
    <n v="1"/>
    <n v="2022"/>
    <n v="-1.51"/>
    <m/>
  </r>
  <r>
    <x v="353"/>
    <n v="1785.5"/>
    <n v="1790.3"/>
    <n v="1769.3"/>
    <n v="1769.3"/>
    <n v="422"/>
    <n v="1770.2714000000001"/>
    <n v="1721.7633000000001"/>
    <n v="1712.6088999999999"/>
    <x v="352"/>
    <n v="1.0961000000000001"/>
    <n v="1.1282000000000001"/>
    <n v="47.886499999999998"/>
    <n v="22.701699999999999"/>
    <n v="22.229199999999999"/>
    <n v="1804.2914000000001"/>
    <n v="1707.5586000000001"/>
    <x v="1"/>
    <x v="1"/>
    <x v="353"/>
    <n v="3477938"/>
    <n v="5586.2002000000002"/>
    <n v="1769.3"/>
    <n v="1769.3"/>
    <n v="344"/>
    <n v="1187281"/>
    <s v="07-Dec-2022"/>
    <n v="1769.3"/>
    <n v="1"/>
    <n v="2022"/>
    <n v="0.04"/>
    <m/>
  </r>
  <r>
    <x v="354"/>
    <n v="1788.7"/>
    <n v="1790.9"/>
    <n v="1782"/>
    <n v="1782"/>
    <n v="713"/>
    <n v="1776.3427999999999"/>
    <n v="1726.17"/>
    <n v="1712.7189000000001"/>
    <x v="353"/>
    <n v="1.0980000000000001"/>
    <n v="1.1311"/>
    <n v="55.529699999999998"/>
    <n v="22.590499999999999"/>
    <n v="22.301400000000001"/>
    <n v="1803.5657000000001"/>
    <n v="1715.7443000000001"/>
    <x v="1"/>
    <x v="1"/>
    <x v="354"/>
    <n v="3477516"/>
    <n v="5586.2002000000002"/>
    <n v="1774.8"/>
    <n v="1782"/>
    <n v="344"/>
    <n v="1187281"/>
    <s v="08-Dec-2022"/>
    <n v="1782"/>
    <n v="1"/>
    <n v="2022"/>
    <n v="0.72"/>
    <m/>
  </r>
  <r>
    <x v="355"/>
    <n v="1798.1"/>
    <n v="1804.3"/>
    <n v="1791.1"/>
    <n v="1794.9"/>
    <n v="125"/>
    <n v="1783.0286000000001"/>
    <n v="1730.6433"/>
    <n v="1713.1433"/>
    <x v="354"/>
    <n v="1.1064000000000001"/>
    <n v="1.1318999999999999"/>
    <n v="58.568300000000001"/>
    <n v="23.274899999999999"/>
    <n v="22.496099999999998"/>
    <n v="1803.4"/>
    <n v="1724.58"/>
    <x v="1"/>
    <x v="1"/>
    <x v="355"/>
    <n v="3476803"/>
    <n v="5586.2002000000002"/>
    <n v="1774.8"/>
    <n v="1794.9"/>
    <n v="344"/>
    <n v="1187281"/>
    <s v="09-Dec-2022"/>
    <n v="1794.9"/>
    <n v="1"/>
    <n v="2022"/>
    <n v="0.72"/>
    <m/>
  </r>
  <r>
    <x v="356"/>
    <n v="1780.5"/>
    <n v="1793.9"/>
    <n v="1777.7"/>
    <n v="1787.3"/>
    <n v="85"/>
    <n v="1785.6857"/>
    <n v="1734.8533"/>
    <n v="1713.3422"/>
    <x v="355"/>
    <n v="1.0799000000000001"/>
    <n v="1.1380999999999999"/>
    <n v="64.400700000000001"/>
    <n v="22.939699999999998"/>
    <n v="22.584800000000001"/>
    <n v="1805.9292"/>
    <n v="1724.4007999999999"/>
    <x v="0"/>
    <x v="1"/>
    <x v="356"/>
    <n v="3476678"/>
    <n v="5586.2002000000002"/>
    <n v="1774.8"/>
    <n v="1787.3"/>
    <n v="344"/>
    <n v="1187281"/>
    <s v="12-Dec-2022"/>
    <n v="1787.3"/>
    <n v="1"/>
    <n v="2022"/>
    <n v="-0.42"/>
    <m/>
  </r>
  <r>
    <x v="357"/>
    <n v="1813.9"/>
    <n v="1819.8"/>
    <n v="1780.5"/>
    <n v="1780.7"/>
    <n v="205"/>
    <n v="1782.6429000000001"/>
    <n v="1739.4833000000001"/>
    <n v="1713.2256"/>
    <x v="356"/>
    <n v="0.77039999999999997"/>
    <n v="1.1133999999999999"/>
    <n v="61.363599999999998"/>
    <n v="21.889099999999999"/>
    <n v="22.445699999999999"/>
    <n v="1807.4127000000001"/>
    <n v="1724.7873"/>
    <x v="1"/>
    <x v="1"/>
    <x v="357"/>
    <n v="3476593"/>
    <n v="5586.2002000000002"/>
    <n v="1774.8"/>
    <n v="1780.7"/>
    <n v="343"/>
    <n v="1187196"/>
    <s v="13-Dec-2022"/>
    <n v="1780.7"/>
    <n v="1"/>
    <n v="2022"/>
    <n v="-0.37"/>
    <m/>
  </r>
  <r>
    <x v="358"/>
    <n v="1807.5"/>
    <n v="1812.8"/>
    <n v="1797.9"/>
    <n v="1810.8"/>
    <n v="1074"/>
    <n v="1784.8"/>
    <n v="1745.4833000000001"/>
    <n v="1713.6588999999999"/>
    <x v="357"/>
    <n v="1.0314000000000001"/>
    <n v="1.1274999999999999"/>
    <n v="68.905799999999999"/>
    <n v="23.217700000000001"/>
    <n v="22.600100000000001"/>
    <n v="1813.99"/>
    <n v="1722.21"/>
    <x v="0"/>
    <x v="1"/>
    <x v="358"/>
    <n v="3476388"/>
    <n v="5586.2002000000002"/>
    <n v="1774.8"/>
    <n v="1810.8"/>
    <n v="343"/>
    <n v="1187196"/>
    <s v="14-Dec-2022"/>
    <n v="1810.8"/>
    <n v="1"/>
    <n v="2022"/>
    <n v="1.69"/>
    <m/>
  </r>
  <r>
    <x v="359"/>
    <n v="1777.2"/>
    <n v="1801"/>
    <n v="1774.8"/>
    <n v="1801"/>
    <n v="421"/>
    <n v="1789.4286"/>
    <n v="1750.49"/>
    <n v="1713.7810999999999"/>
    <x v="358"/>
    <n v="0.81899999999999995"/>
    <n v="1.1266"/>
    <n v="62.6449"/>
    <n v="23.212299999999999"/>
    <n v="22.7225"/>
    <n v="1817.4063000000001"/>
    <n v="1721.2337"/>
    <x v="0"/>
    <x v="1"/>
    <x v="359"/>
    <n v="3475314"/>
    <n v="5586.2002000000002"/>
    <n v="1774.8"/>
    <n v="1801"/>
    <n v="342"/>
    <n v="1186122"/>
    <s v="15-Dec-2022"/>
    <n v="1801"/>
    <n v="1"/>
    <n v="2022"/>
    <n v="-0.54"/>
    <m/>
  </r>
  <r>
    <x v="360"/>
    <n v="1790"/>
    <n v="1791.4"/>
    <n v="1777.9"/>
    <n v="1777.9"/>
    <n v="206"/>
    <n v="1790.6572000000001"/>
    <n v="1755.4467"/>
    <n v="1713.4866999999999"/>
    <x v="359"/>
    <n v="1.0093000000000001"/>
    <n v="1.1253"/>
    <n v="59.095399999999998"/>
    <n v="21.1007"/>
    <n v="22.398199999999999"/>
    <n v="1818.2007000000001"/>
    <n v="1721.9293"/>
    <x v="1"/>
    <x v="1"/>
    <x v="360"/>
    <n v="3474893"/>
    <n v="5586.2002000000002"/>
    <n v="1777.9"/>
    <n v="1777.9"/>
    <n v="341"/>
    <n v="1185701"/>
    <s v="16-Dec-2022"/>
    <n v="1777.9"/>
    <n v="1"/>
    <n v="2022"/>
    <n v="-1.28"/>
    <m/>
  </r>
  <r>
    <x v="361"/>
    <n v="1787.7"/>
    <n v="1796.3"/>
    <n v="1785.6"/>
    <n v="1791.6"/>
    <n v="79"/>
    <n v="1792.0286000000001"/>
    <n v="1760.8267000000001"/>
    <n v="1713.4567"/>
    <x v="360"/>
    <n v="1.0150999999999999"/>
    <n v="1.1275999999999999"/>
    <n v="62.224299999999999"/>
    <n v="20.2988"/>
    <n v="21.978300000000001"/>
    <n v="1820.4351999999999"/>
    <n v="1722.5247999999999"/>
    <x v="0"/>
    <x v="1"/>
    <x v="361"/>
    <n v="3474687"/>
    <n v="5586.2002000000002"/>
    <n v="1785"/>
    <n v="1791.6"/>
    <n v="341"/>
    <n v="1185701"/>
    <s v="19-Dec-2022"/>
    <n v="1791.6"/>
    <n v="1"/>
    <n v="2022"/>
    <n v="0.77"/>
    <m/>
  </r>
  <r>
    <x v="362"/>
    <n v="1815.9"/>
    <n v="1821.4"/>
    <n v="1786.5"/>
    <n v="1786.5"/>
    <n v="51"/>
    <n v="1790.8286000000001"/>
    <n v="1764.48"/>
    <n v="1713.4589000000001"/>
    <x v="361"/>
    <n v="0.97960000000000003"/>
    <n v="1.0246"/>
    <n v="59.160299999999999"/>
    <n v="19.032399999999999"/>
    <n v="21.389099999999999"/>
    <n v="1820.7406000000001"/>
    <n v="1726.9694"/>
    <x v="1"/>
    <x v="1"/>
    <x v="362"/>
    <n v="3474608"/>
    <n v="5586.2002000000002"/>
    <n v="1785"/>
    <n v="1786.5"/>
    <n v="340"/>
    <n v="1185622"/>
    <s v="20-Dec-2022"/>
    <n v="1786.5"/>
    <n v="1"/>
    <n v="2022"/>
    <n v="-0.28000000000000003"/>
    <m/>
  </r>
  <r>
    <x v="363"/>
    <n v="1815.9"/>
    <n v="1821.4"/>
    <n v="1814.4"/>
    <n v="1817.4"/>
    <n v="35"/>
    <n v="1795.1286"/>
    <n v="1768.2867000000001"/>
    <n v="1713.6632999999999"/>
    <x v="362"/>
    <n v="1.1675"/>
    <n v="1.0323"/>
    <n v="61.0732"/>
    <n v="20.2882"/>
    <n v="21.168900000000001"/>
    <n v="1825.8008"/>
    <n v="1729.4792"/>
    <x v="0"/>
    <x v="1"/>
    <x v="363"/>
    <n v="3474557"/>
    <n v="5586.2002000000002"/>
    <n v="1785"/>
    <n v="1817.4"/>
    <n v="340"/>
    <n v="1185622"/>
    <s v="21-Dec-2022"/>
    <n v="1817.4"/>
    <n v="1"/>
    <n v="2022"/>
    <n v="1.73"/>
    <m/>
  </r>
  <r>
    <x v="364"/>
    <n v="1787"/>
    <n v="1818.1"/>
    <n v="1785"/>
    <n v="1818.1"/>
    <n v="411"/>
    <n v="1800.4713999999999"/>
    <n v="1771.9766999999999"/>
    <n v="1714.1156000000001"/>
    <x v="363"/>
    <n v="1.1416999999999999"/>
    <n v="1.0327999999999999"/>
    <n v="54.297899999999998"/>
    <n v="21.096800000000002"/>
    <n v="21.154499999999999"/>
    <n v="1829.0242000000001"/>
    <n v="1734.4158"/>
    <x v="0"/>
    <x v="1"/>
    <x v="364"/>
    <n v="3474522"/>
    <n v="5586.2002000000002"/>
    <n v="1785"/>
    <n v="1818.1"/>
    <n v="339"/>
    <n v="1185587"/>
    <s v="22-Dec-2022"/>
    <n v="1818.1"/>
    <n v="1"/>
    <n v="2022"/>
    <n v="0.04"/>
    <m/>
  </r>
  <r>
    <x v="365"/>
    <n v="1795.9"/>
    <n v="1802.8"/>
    <n v="1794.1"/>
    <n v="1794.3"/>
    <n v="49"/>
    <n v="1798.1143"/>
    <n v="1774.8467000000001"/>
    <n v="1714.3888999999999"/>
    <x v="364"/>
    <n v="1.0961000000000001"/>
    <n v="1.0693999999999999"/>
    <n v="49.658200000000001"/>
    <n v="19.5913"/>
    <n v="20.841899999999999"/>
    <n v="1829.3855000000001"/>
    <n v="1738.1845000000001"/>
    <x v="1"/>
    <x v="1"/>
    <x v="365"/>
    <n v="3474111"/>
    <n v="5586.2002000000002"/>
    <n v="1794.1"/>
    <n v="1794.3"/>
    <n v="338"/>
    <n v="1185176"/>
    <s v="23-Dec-2022"/>
    <n v="1794.3"/>
    <n v="1"/>
    <n v="2022"/>
    <n v="-1.31"/>
    <m/>
  </r>
  <r>
    <x v="366"/>
    <n v="1814.8"/>
    <n v="1826.3"/>
    <n v="1803.4"/>
    <n v="1803.4"/>
    <n v="69"/>
    <n v="1798.4572000000001"/>
    <n v="1776.1667"/>
    <n v="1714.8389"/>
    <x v="365"/>
    <n v="1.1014999999999999"/>
    <n v="0.90039999999999998"/>
    <n v="59.314799999999998"/>
    <n v="18.914400000000001"/>
    <n v="20.456399999999999"/>
    <n v="1828.6011000000001"/>
    <n v="1745.1789000000001"/>
    <x v="1"/>
    <x v="1"/>
    <x v="366"/>
    <n v="3474062"/>
    <n v="5586.2002000000002"/>
    <n v="1803.1"/>
    <n v="1803.4"/>
    <n v="338"/>
    <n v="1185176"/>
    <s v="27-Dec-2022"/>
    <n v="1803.4"/>
    <n v="1"/>
    <n v="2022"/>
    <n v="0.51"/>
    <m/>
  </r>
  <r>
    <x v="367"/>
    <n v="1807.9"/>
    <n v="1807.9"/>
    <n v="1803.1"/>
    <n v="1803.2"/>
    <n v="434"/>
    <n v="1802.0714"/>
    <n v="1777.54"/>
    <n v="1715.3888999999999"/>
    <x v="366"/>
    <n v="0.94359999999999999"/>
    <n v="0.89990000000000003"/>
    <n v="59.098199999999999"/>
    <n v="18.1526"/>
    <n v="19.9956"/>
    <n v="1825.8562999999999"/>
    <n v="1754.2936999999999"/>
    <x v="1"/>
    <x v="1"/>
    <x v="367"/>
    <n v="3473993"/>
    <n v="5586.2002000000002"/>
    <n v="1803.1"/>
    <n v="1803.2"/>
    <n v="338"/>
    <n v="1185176"/>
    <s v="28-Dec-2022"/>
    <n v="1803.2"/>
    <n v="1"/>
    <n v="2022"/>
    <n v="-0.01"/>
    <m/>
  </r>
  <r>
    <x v="368"/>
    <n v="1819.5"/>
    <n v="1819.5"/>
    <n v="1805.8"/>
    <n v="1805.8"/>
    <n v="277"/>
    <n v="1804.1"/>
    <n v="1778.7067"/>
    <n v="1716.1143999999999"/>
    <x v="367"/>
    <n v="0.91020000000000001"/>
    <n v="0.89659999999999995"/>
    <n v="56.753700000000002"/>
    <n v="17.5563"/>
    <n v="19.5077"/>
    <n v="1823.3967"/>
    <n v="1762.5234"/>
    <x v="1"/>
    <x v="1"/>
    <x v="368"/>
    <n v="3473559"/>
    <n v="5586.2002000000002"/>
    <n v="1805.8"/>
    <n v="1805.8"/>
    <n v="338"/>
    <n v="1185176"/>
    <s v="29-Dec-2022"/>
    <n v="1805.8"/>
    <n v="1"/>
    <n v="2022"/>
    <n v="0.14000000000000001"/>
    <m/>
  </r>
  <r>
    <x v="369"/>
    <n v="1819.7"/>
    <n v="1822.3"/>
    <n v="1816.8"/>
    <n v="1817"/>
    <n v="95"/>
    <n v="1808.4572000000001"/>
    <n v="1780.0533"/>
    <n v="1716.9921999999999"/>
    <x v="368"/>
    <n v="0.90800000000000003"/>
    <n v="0.90100000000000002"/>
    <n v="56.3324"/>
    <n v="17.782399999999999"/>
    <n v="19.162700000000001"/>
    <n v="1825.3683000000001"/>
    <n v="1765.3818000000001"/>
    <x v="1"/>
    <x v="1"/>
    <x v="369"/>
    <n v="3473282"/>
    <n v="5586.2002000000002"/>
    <n v="1808.1"/>
    <n v="1817"/>
    <n v="338"/>
    <n v="1185176"/>
    <s v="30-Dec-2022"/>
    <n v="1817"/>
    <n v="1"/>
    <n v="2022"/>
    <n v="0.62"/>
    <m/>
  </r>
  <r>
    <x v="370"/>
    <n v="1839.7"/>
    <n v="1839.7"/>
    <n v="1836.2"/>
    <n v="1836.2"/>
    <n v="29"/>
    <n v="1811.1429000000001"/>
    <n v="1782.4933000000001"/>
    <n v="1718.0056"/>
    <x v="369"/>
    <n v="0.74590000000000001"/>
    <n v="0.90359999999999996"/>
    <n v="63.138100000000001"/>
    <n v="19.288599999999999"/>
    <n v="19.187899999999999"/>
    <n v="1832.1410000000001"/>
    <n v="1762.029"/>
    <x v="1"/>
    <x v="1"/>
    <x v="370"/>
    <n v="3473187"/>
    <n v="5586.2002000000002"/>
    <n v="1808.1"/>
    <n v="1836.2"/>
    <n v="338"/>
    <n v="1185176"/>
    <s v="03-Jan-2023"/>
    <n v="1836.2"/>
    <n v="1"/>
    <n v="2023"/>
    <n v="1.06"/>
    <m/>
  </r>
  <r>
    <x v="371"/>
    <n v="1852.8"/>
    <n v="1859.1"/>
    <n v="1845.6"/>
    <n v="1845.6"/>
    <n v="25"/>
    <n v="1815.0714"/>
    <n v="1785.2366999999999"/>
    <n v="1718.9389000000001"/>
    <x v="370"/>
    <n v="0.75549999999999995"/>
    <n v="0.90580000000000005"/>
    <n v="67.178399999999996"/>
    <n v="20.998699999999999"/>
    <n v="19.55"/>
    <n v="1840.7846999999999"/>
    <n v="1758.3752999999999"/>
    <x v="1"/>
    <x v="1"/>
    <x v="371"/>
    <n v="3473158"/>
    <n v="5586.2002000000002"/>
    <n v="1808.1"/>
    <n v="1845.6"/>
    <n v="338"/>
    <n v="1185176"/>
    <s v="04-Jan-2023"/>
    <n v="1845.6"/>
    <n v="1"/>
    <n v="2023"/>
    <n v="0.51"/>
    <m/>
  </r>
  <r>
    <x v="372"/>
    <n v="1834.8"/>
    <n v="1855.2"/>
    <n v="1834.8"/>
    <n v="1855.2"/>
    <n v="24"/>
    <n v="1823.7714000000001"/>
    <n v="1789.11"/>
    <n v="1720.0633"/>
    <x v="371"/>
    <n v="0.34389999999999998"/>
    <n v="0.86009999999999998"/>
    <n v="63.182899999999997"/>
    <n v="22.864999999999998"/>
    <n v="20.213000000000001"/>
    <n v="1849.3864000000001"/>
    <n v="1758.4336000000001"/>
    <x v="0"/>
    <x v="1"/>
    <x v="372"/>
    <n v="3473133"/>
    <n v="5586.2002000000002"/>
    <n v="1808.1"/>
    <n v="1855.2"/>
    <n v="338"/>
    <n v="1185176"/>
    <s v="05-Jan-2023"/>
    <n v="1855.2"/>
    <n v="1"/>
    <n v="2023"/>
    <n v="0.52"/>
    <m/>
  </r>
  <r>
    <x v="373"/>
    <n v="1864.2"/>
    <n v="1868.2"/>
    <n v="1835.3"/>
    <n v="1838.4"/>
    <n v="26"/>
    <n v="1828.7714000000001"/>
    <n v="1792.3333"/>
    <n v="1721.2411"/>
    <x v="372"/>
    <n v="0.62439999999999996"/>
    <n v="0.88419999999999999"/>
    <n v="60.6614"/>
    <n v="22.726500000000001"/>
    <n v="20.715699999999998"/>
    <n v="1852.2660000000001"/>
    <n v="1762.4639999999999"/>
    <x v="1"/>
    <x v="1"/>
    <x v="373"/>
    <n v="3473109"/>
    <n v="5586.2002000000002"/>
    <n v="1808.1"/>
    <n v="1838.4"/>
    <n v="337"/>
    <n v="1185152"/>
    <s v="06-Jan-2023"/>
    <n v="1838.4"/>
    <n v="1"/>
    <n v="2023"/>
    <n v="-0.91"/>
    <m/>
  </r>
  <r>
    <x v="374"/>
    <n v="1872.7"/>
    <n v="1880"/>
    <n v="1867"/>
    <n v="1867"/>
    <n v="62"/>
    <n v="1837.8857"/>
    <n v="1796.6832999999999"/>
    <n v="1722.6922"/>
    <x v="373"/>
    <n v="0.76829999999999998"/>
    <n v="0.91369999999999996"/>
    <n v="74.626900000000006"/>
    <n v="24.640499999999999"/>
    <n v="21.500699999999998"/>
    <n v="1862.1451999999999"/>
    <n v="1761.0848000000001"/>
    <x v="1"/>
    <x v="0"/>
    <x v="374"/>
    <n v="3473083"/>
    <n v="5586.2002000000002"/>
    <n v="1808.1"/>
    <n v="1867"/>
    <n v="337"/>
    <n v="1185152"/>
    <s v="09-Jan-2023"/>
    <n v="1867"/>
    <n v="1"/>
    <n v="2023"/>
    <n v="1.56"/>
    <m/>
  </r>
  <r>
    <x v="375"/>
    <n v="1871.6"/>
    <n v="1878.1"/>
    <n v="1871.6"/>
    <n v="1877.8"/>
    <n v="101"/>
    <n v="1848.1713999999999"/>
    <n v="1800.8433"/>
    <n v="1724.4644000000001"/>
    <x v="374"/>
    <n v="0.75209999999999999"/>
    <n v="0.90629999999999999"/>
    <n v="74.213499999999996"/>
    <n v="26.720800000000001"/>
    <n v="22.544699999999999"/>
    <n v="1873.5903000000001"/>
    <n v="1757.9296999999999"/>
    <x v="0"/>
    <x v="0"/>
    <x v="375"/>
    <n v="3473021"/>
    <n v="5586.2002000000002"/>
    <n v="1808.1"/>
    <n v="1877.8"/>
    <n v="337"/>
    <n v="1185152"/>
    <s v="10-Jan-2023"/>
    <n v="1877.8"/>
    <n v="1"/>
    <n v="2023"/>
    <n v="0.57999999999999996"/>
    <m/>
  </r>
  <r>
    <x v="376"/>
    <n v="1874.6"/>
    <n v="1877.8"/>
    <n v="1873.1"/>
    <n v="1873.1"/>
    <n v="1236"/>
    <n v="1856.1857"/>
    <n v="1805.2366999999999"/>
    <n v="1726.3"/>
    <x v="375"/>
    <n v="0.81059999999999999"/>
    <n v="0.89510000000000001"/>
    <n v="74.380600000000001"/>
    <n v="27.671199999999999"/>
    <n v="23.57"/>
    <n v="1881.6008999999999"/>
    <n v="1758.4991"/>
    <x v="1"/>
    <x v="0"/>
    <x v="376"/>
    <n v="3472920"/>
    <n v="5586.2002000000002"/>
    <n v="1808.1"/>
    <n v="1873.1"/>
    <n v="336"/>
    <n v="1185051"/>
    <s v="11-Jan-2023"/>
    <n v="1873.1"/>
    <n v="1"/>
    <n v="2023"/>
    <n v="-0.25"/>
    <m/>
  </r>
  <r>
    <x v="377"/>
    <n v="1895.5"/>
    <n v="1897.4"/>
    <n v="1877.2"/>
    <n v="1877.2"/>
    <n v="59"/>
    <n v="1862.0427999999999"/>
    <n v="1809.8267000000001"/>
    <n v="1728.2311"/>
    <x v="376"/>
    <n v="0.76459999999999995"/>
    <n v="0.89270000000000005"/>
    <n v="69.827600000000004"/>
    <n v="28.427499999999998"/>
    <n v="24.541499999999999"/>
    <n v="1888.5311999999999"/>
    <n v="1761.2188000000001"/>
    <x v="1"/>
    <x v="1"/>
    <x v="377"/>
    <n v="3471684"/>
    <n v="5586.2002000000002"/>
    <n v="1808.1"/>
    <n v="1877.2"/>
    <n v="336"/>
    <n v="1185051"/>
    <s v="12-Jan-2023"/>
    <n v="1877.2"/>
    <n v="1"/>
    <n v="2023"/>
    <n v="0.22"/>
    <m/>
  </r>
  <r>
    <x v="378"/>
    <n v="1918.4"/>
    <n v="1920.9"/>
    <n v="1898.3"/>
    <n v="1899"/>
    <n v="512"/>
    <n v="1869.6713999999999"/>
    <n v="1814.8567"/>
    <n v="1730.3344"/>
    <x v="377"/>
    <n v="0.82869999999999999"/>
    <n v="0.90700000000000003"/>
    <n v="73.531099999999995"/>
    <n v="30.435199999999998"/>
    <n v="25.720199999999998"/>
    <n v="1900.596"/>
    <n v="1757.9739999999999"/>
    <x v="1"/>
    <x v="0"/>
    <x v="378"/>
    <n v="3471625"/>
    <n v="5586.2002000000002"/>
    <n v="1808.1"/>
    <n v="1899"/>
    <n v="336"/>
    <n v="1185051"/>
    <s v="13-Jan-2023"/>
    <n v="1899"/>
    <n v="1"/>
    <n v="2023"/>
    <n v="1.1599999999999999"/>
    <m/>
  </r>
  <r>
    <x v="379"/>
    <n v="1907.2"/>
    <n v="1920.1"/>
    <n v="1905.2"/>
    <n v="1920.1"/>
    <n v="706"/>
    <n v="1878.9429"/>
    <n v="1819.9032999999999"/>
    <n v="1732.8378"/>
    <x v="378"/>
    <n v="0.87070000000000003"/>
    <n v="0.90469999999999995"/>
    <n v="87.174899999999994"/>
    <n v="33.344499999999996"/>
    <n v="27.245100000000001"/>
    <n v="1915.8860999999999"/>
    <n v="1754.5939000000001"/>
    <x v="0"/>
    <x v="0"/>
    <x v="379"/>
    <n v="3471113"/>
    <n v="5586.2002000000002"/>
    <n v="1808.1"/>
    <n v="1920.1"/>
    <n v="336"/>
    <n v="1185051"/>
    <s v="17-Jan-2023"/>
    <n v="1920.1"/>
    <n v="1"/>
    <n v="2023"/>
    <n v="1.1100000000000001"/>
    <m/>
  </r>
  <r>
    <x v="380"/>
    <n v="1904.4"/>
    <n v="1911.1"/>
    <n v="1903.1"/>
    <n v="1911.1"/>
    <n v="1027"/>
    <n v="1889.3286000000001"/>
    <n v="1823.54"/>
    <n v="1734.9811"/>
    <x v="379"/>
    <n v="0.76249999999999996"/>
    <n v="0.86180000000000001"/>
    <n v="81.844999999999999"/>
    <n v="34.5259"/>
    <n v="28.7012"/>
    <n v="1924.5824"/>
    <n v="1759.2175999999999"/>
    <x v="0"/>
    <x v="0"/>
    <x v="380"/>
    <n v="3470407"/>
    <n v="5586.2002000000002"/>
    <n v="1808.1"/>
    <n v="1911.1"/>
    <n v="335"/>
    <n v="1184345"/>
    <s v="18-Jan-2023"/>
    <n v="1911.1"/>
    <n v="1"/>
    <n v="2023"/>
    <n v="-0.47"/>
    <m/>
  </r>
  <r>
    <x v="381"/>
    <n v="1922.1"/>
    <n v="1931.8"/>
    <n v="1922.1"/>
    <n v="1922.1"/>
    <n v="371"/>
    <n v="1897.2"/>
    <n v="1827.7533000000001"/>
    <n v="1737.2356"/>
    <x v="380"/>
    <n v="0.62660000000000005"/>
    <n v="0.85799999999999998"/>
    <n v="83.046099999999996"/>
    <n v="35.935499999999998"/>
    <n v="30.148099999999999"/>
    <n v="1934.9038"/>
    <n v="1761.9462000000001"/>
    <x v="1"/>
    <x v="0"/>
    <x v="381"/>
    <n v="3469380"/>
    <n v="5586.2002000000002"/>
    <n v="1808.1"/>
    <n v="1922.1"/>
    <n v="334"/>
    <n v="1183318"/>
    <s v="19-Jan-2023"/>
    <n v="1922.1"/>
    <n v="1"/>
    <n v="2023"/>
    <n v="0.57999999999999996"/>
    <m/>
  </r>
  <r>
    <x v="382"/>
    <n v="1926.4"/>
    <n v="1928.5"/>
    <n v="1921.4"/>
    <n v="1922.1"/>
    <n v="1346"/>
    <n v="1903.5284999999999"/>
    <n v="1832.87"/>
    <n v="1739.3988999999999"/>
    <x v="381"/>
    <n v="0.64"/>
    <n v="0.79430000000000001"/>
    <n v="82.797499999999999"/>
    <n v="36.630400000000002"/>
    <n v="31.444600000000001"/>
    <n v="1942.5001999999999"/>
    <n v="1767.9097999999999"/>
    <x v="1"/>
    <x v="0"/>
    <x v="382"/>
    <n v="3469009"/>
    <n v="5586.2002000000002"/>
    <n v="1808.1"/>
    <n v="1922.1"/>
    <n v="334"/>
    <n v="1183318"/>
    <s v="20-Jan-2023"/>
    <n v="1922.1"/>
    <n v="1"/>
    <n v="2023"/>
    <n v="0"/>
    <m/>
  </r>
  <r>
    <x v="383"/>
    <n v="1927.1"/>
    <n v="1927.1"/>
    <n v="1915"/>
    <n v="1926.5"/>
    <n v="218"/>
    <n v="1911.1570999999999"/>
    <n v="1838.11"/>
    <n v="1741.6877999999999"/>
    <x v="382"/>
    <n v="0.59060000000000001"/>
    <n v="0.79310000000000003"/>
    <n v="82.111400000000003"/>
    <n v="37.108400000000003"/>
    <n v="32.577300000000001"/>
    <n v="1951.5686000000001"/>
    <n v="1769.7514000000001"/>
    <x v="1"/>
    <x v="0"/>
    <x v="383"/>
    <n v="3467663"/>
    <n v="5586.2002000000002"/>
    <n v="1808.1"/>
    <n v="1926.5"/>
    <n v="334"/>
    <n v="1183318"/>
    <s v="23-Jan-2023"/>
    <n v="1926.5"/>
    <n v="1"/>
    <n v="2023"/>
    <n v="0.23"/>
    <m/>
  </r>
  <r>
    <x v="384"/>
    <n v="1933.9"/>
    <n v="1936.8"/>
    <n v="1931.8"/>
    <n v="1931.8"/>
    <n v="201"/>
    <n v="1918.9571000000001"/>
    <n v="1843.1033"/>
    <n v="1744.2778000000001"/>
    <x v="383"/>
    <n v="0.58799999999999997"/>
    <n v="0.78890000000000005"/>
    <n v="80.523600000000002"/>
    <n v="37.482799999999997"/>
    <n v="33.558399999999999"/>
    <n v="1960.2194"/>
    <n v="1772.4704999999999"/>
    <x v="1"/>
    <x v="0"/>
    <x v="384"/>
    <n v="3467445"/>
    <n v="5586.2002000000002"/>
    <n v="1808.1"/>
    <n v="1931.8"/>
    <n v="334"/>
    <n v="1183318"/>
    <s v="24-Jan-2023"/>
    <n v="1931.8"/>
    <n v="1"/>
    <n v="2023"/>
    <n v="0.28000000000000003"/>
    <m/>
  </r>
  <r>
    <x v="385"/>
    <n v="1941.2"/>
    <n v="1941.2"/>
    <n v="1939.8"/>
    <n v="1941.2"/>
    <n v="7"/>
    <n v="1924.9857"/>
    <n v="1847.98"/>
    <n v="1747.1188999999999"/>
    <x v="384"/>
    <n v="0.49220000000000003"/>
    <n v="0.78539999999999999"/>
    <n v="80.523600000000002"/>
    <n v="38.0989"/>
    <n v="34.466500000000003"/>
    <n v="1966.8144"/>
    <n v="1780.5654999999999"/>
    <x v="1"/>
    <x v="0"/>
    <x v="385"/>
    <n v="3467244"/>
    <n v="5586.2002000000002"/>
    <n v="1808.1"/>
    <n v="1941.2"/>
    <n v="334"/>
    <n v="1183318"/>
    <s v="25-Jan-2023"/>
    <n v="1941.2"/>
    <n v="1"/>
    <n v="2023"/>
    <n v="0.49"/>
    <m/>
  </r>
  <r>
    <x v="386"/>
    <n v="1929.1"/>
    <n v="1937.1"/>
    <n v="1927.1"/>
    <n v="1936.6"/>
    <n v="131"/>
    <n v="1927.3427999999999"/>
    <n v="1852.9567"/>
    <n v="1750.1877999999999"/>
    <x v="385"/>
    <n v="0.38"/>
    <n v="0.78049999999999997"/>
    <n v="76.846999999999994"/>
    <n v="37.7804"/>
    <n v="35.129300000000001"/>
    <n v="1971.336"/>
    <n v="1789.364"/>
    <x v="0"/>
    <x v="0"/>
    <x v="386"/>
    <n v="3467237"/>
    <n v="5586.2002000000002"/>
    <n v="1808.1"/>
    <n v="1936.6"/>
    <n v="334"/>
    <n v="1183318"/>
    <s v="26-Jan-2023"/>
    <n v="1936.6"/>
    <n v="1"/>
    <n v="2023"/>
    <n v="-0.24"/>
    <m/>
  </r>
  <r>
    <x v="387"/>
    <n v="1928.6"/>
    <n v="1928.6"/>
    <n v="1928.6"/>
    <n v="1928.6"/>
    <n v="150902"/>
    <n v="1929.8427999999999"/>
    <n v="1857.8867"/>
    <n v="1753.1522"/>
    <x v="386"/>
    <n v="0.36580000000000001"/>
    <n v="0.78180000000000005"/>
    <n v="81.582599999999999"/>
    <n v="36.462200000000003"/>
    <n v="35.395899999999997"/>
    <n v="1972.3518999999999"/>
    <n v="1800.8880999999999"/>
    <x v="1"/>
    <x v="0"/>
    <x v="387"/>
    <n v="3467106"/>
    <n v="5586.2002000000002"/>
    <n v="1808.1"/>
    <n v="1928.6"/>
    <n v="333"/>
    <n v="1183187"/>
    <s v="27-Jan-2023"/>
    <n v="1928.6"/>
    <n v="1"/>
    <n v="2023"/>
    <n v="-0.41"/>
    <m/>
  </r>
  <r>
    <x v="388"/>
    <n v="1922.9"/>
    <n v="1933.6"/>
    <n v="1920.3"/>
    <n v="1928.3"/>
    <n v="27220"/>
    <n v="1930.7285999999999"/>
    <n v="1861.8033"/>
    <n v="1756.1367"/>
    <x v="387"/>
    <n v="0.31009999999999999"/>
    <n v="0.73550000000000004"/>
    <n v="76.768600000000006"/>
    <n v="34.989899999999999"/>
    <n v="35.314700000000002"/>
    <n v="1971.3744999999999"/>
    <n v="1814.1153999999999"/>
    <x v="0"/>
    <x v="0"/>
    <x v="388"/>
    <n v="3316204"/>
    <n v="5586.2002000000002"/>
    <n v="1808.1"/>
    <n v="1928.3"/>
    <n v="333"/>
    <n v="1183187"/>
    <s v="30-Jan-2023"/>
    <n v="1928.3"/>
    <n v="1"/>
    <n v="2023"/>
    <n v="-0.02"/>
    <m/>
  </r>
  <r>
    <x v="389"/>
    <n v="1929.5"/>
    <n v="1930.4"/>
    <n v="1900.6"/>
    <n v="1923"/>
    <n v="1910"/>
    <n v="1930.8570999999999"/>
    <n v="1865.87"/>
    <n v="1758.9978000000001"/>
    <x v="388"/>
    <n v="0.33339999999999997"/>
    <n v="0.72770000000000001"/>
    <n v="70.733900000000006"/>
    <n v="33.014899999999997"/>
    <n v="34.854700000000001"/>
    <n v="1969.1025999999999"/>
    <n v="1826.9874"/>
    <x v="1"/>
    <x v="0"/>
    <x v="389"/>
    <n v="3288984"/>
    <n v="5586.2002000000002"/>
    <n v="1808.1"/>
    <n v="1923"/>
    <n v="332"/>
    <n v="1155967"/>
    <s v="31-Jan-2023"/>
    <n v="1923"/>
    <n v="1"/>
    <n v="2023"/>
    <n v="-0.27"/>
    <m/>
  </r>
  <r>
    <x v="390"/>
    <n v="1927.8"/>
    <n v="1955"/>
    <n v="1922"/>
    <n v="1927.2"/>
    <n v="2290"/>
    <n v="1930.9571000000001"/>
    <n v="1870.8467000000001"/>
    <n v="1761.8743999999999"/>
    <x v="389"/>
    <n v="0.33229999999999998"/>
    <n v="0.67010000000000003"/>
    <n v="74.930899999999994"/>
    <n v="31.426300000000001"/>
    <n v="34.168999999999997"/>
    <n v="1968.4413999999999"/>
    <n v="1836.7485999999999"/>
    <x v="1"/>
    <x v="0"/>
    <x v="390"/>
    <n v="3287074"/>
    <n v="5586.2002000000002"/>
    <n v="1808.1"/>
    <n v="1927.2"/>
    <n v="332"/>
    <n v="1155967"/>
    <s v="01-Feb-2023"/>
    <n v="1927.2"/>
    <n v="1"/>
    <n v="2023"/>
    <n v="0.22"/>
    <m/>
  </r>
  <r>
    <x v="391"/>
    <n v="1916.3"/>
    <n v="1959.1"/>
    <n v="1911.3"/>
    <n v="1952.3"/>
    <n v="748"/>
    <n v="1933.8857"/>
    <n v="1876.2032999999999"/>
    <n v="1765.0444"/>
    <x v="390"/>
    <n v="0.59450000000000003"/>
    <n v="0.69040000000000001"/>
    <n v="78.996200000000002"/>
    <n v="31.825800000000001"/>
    <n v="33.700400000000002"/>
    <n v="1971.5864999999999"/>
    <n v="1844.2735"/>
    <x v="0"/>
    <x v="0"/>
    <x v="391"/>
    <n v="3284784"/>
    <n v="5586.2002000000002"/>
    <n v="1808.1"/>
    <n v="1952.3"/>
    <n v="332"/>
    <n v="1155967"/>
    <s v="02-Feb-2023"/>
    <n v="1952.3"/>
    <n v="1"/>
    <n v="2023"/>
    <n v="1.3"/>
    <m/>
  </r>
  <r>
    <x v="392"/>
    <n v="1862.9"/>
    <n v="1917"/>
    <n v="1861.5"/>
    <n v="1912.4"/>
    <n v="992"/>
    <n v="1929.7714000000001"/>
    <n v="1880.4"/>
    <n v="1768.2566999999999"/>
    <x v="391"/>
    <n v="0.99309999999999998"/>
    <n v="0.80589999999999995"/>
    <n v="54.539299999999997"/>
    <n v="28.593299999999999"/>
    <n v="32.679000000000002"/>
    <n v="1969.4121"/>
    <n v="1852.1678999999999"/>
    <x v="0"/>
    <x v="1"/>
    <x v="392"/>
    <n v="3284036"/>
    <n v="5586.2002000000002"/>
    <n v="1808.1"/>
    <n v="1912.4"/>
    <n v="331"/>
    <n v="1155219"/>
    <s v="03-Feb-2023"/>
    <n v="1912.4"/>
    <n v="1"/>
    <n v="2023"/>
    <n v="-2.04"/>
    <m/>
  </r>
  <r>
    <x v="393"/>
    <n v="1866.2"/>
    <n v="1880"/>
    <n v="1863.4"/>
    <n v="1865.6"/>
    <n v="424"/>
    <n v="1919.6286"/>
    <n v="1882.0066999999999"/>
    <n v="1770.85"/>
    <x v="392"/>
    <n v="1.3056000000000001"/>
    <n v="0.89390000000000003"/>
    <n v="34.275799999999997"/>
    <n v="22.0015"/>
    <n v="30.543500000000002"/>
    <n v="1964.6424999999999"/>
    <n v="1859.6574000000001"/>
    <x v="1"/>
    <x v="1"/>
    <x v="393"/>
    <n v="3283044"/>
    <n v="5586.2002000000002"/>
    <n v="1808.1"/>
    <n v="1865.6"/>
    <n v="330"/>
    <n v="1154227"/>
    <s v="06-Feb-2023"/>
    <n v="1865.6"/>
    <n v="1"/>
    <n v="2023"/>
    <n v="-2.4500000000000002"/>
    <m/>
  </r>
  <r>
    <x v="394"/>
    <n v="1871.7"/>
    <n v="1875.7"/>
    <n v="1868"/>
    <n v="1870"/>
    <n v="297"/>
    <n v="1911.2571"/>
    <n v="1883.7366999999999"/>
    <n v="1773.6233"/>
    <x v="393"/>
    <n v="1.3374999999999999"/>
    <n v="0.89429999999999998"/>
    <n v="37.818600000000004"/>
    <n v="16.937200000000001"/>
    <n v="27.822199999999999"/>
    <n v="1964.2637999999999"/>
    <n v="1860.3362"/>
    <x v="1"/>
    <x v="1"/>
    <x v="394"/>
    <n v="3282620"/>
    <n v="5586.2002000000002"/>
    <n v="1808.1"/>
    <n v="1870"/>
    <n v="330"/>
    <n v="1154227"/>
    <s v="07-Feb-2023"/>
    <n v="1870"/>
    <n v="1"/>
    <n v="2023"/>
    <n v="0.24"/>
    <m/>
  </r>
  <r>
    <x v="395"/>
    <n v="1877.4"/>
    <n v="1880.4"/>
    <n v="1872.1"/>
    <n v="1872.1"/>
    <n v="230"/>
    <n v="1903.2285999999999"/>
    <n v="1886.33"/>
    <n v="1776.0133000000001"/>
    <x v="394"/>
    <n v="1.345"/>
    <n v="0.85389999999999999"/>
    <n v="34.355400000000003"/>
    <n v="12.944000000000001"/>
    <n v="24.846599999999999"/>
    <n v="1964.8309999999999"/>
    <n v="1859.1989000000001"/>
    <x v="1"/>
    <x v="1"/>
    <x v="395"/>
    <n v="3282323"/>
    <n v="5586.2002000000002"/>
    <n v="1808.1"/>
    <n v="1872.1"/>
    <n v="330"/>
    <n v="1154227"/>
    <s v="08-Feb-2023"/>
    <n v="1872.1"/>
    <n v="1"/>
    <n v="2023"/>
    <n v="0.11"/>
    <m/>
  </r>
  <r>
    <x v="396"/>
    <n v="1866.2"/>
    <n v="1884.6"/>
    <n v="1859.8"/>
    <n v="1875.3"/>
    <n v="223"/>
    <n v="1896.4142999999999"/>
    <n v="1888.7266999999999"/>
    <n v="1778.3867"/>
    <x v="395"/>
    <n v="1.3631"/>
    <n v="0.85119999999999996"/>
    <n v="35.644199999999998"/>
    <n v="9.9230999999999998"/>
    <n v="21.861899999999999"/>
    <n v="1964.6079"/>
    <n v="1859.6421"/>
    <x v="0"/>
    <x v="1"/>
    <x v="396"/>
    <n v="3282093"/>
    <n v="5586.2002000000002"/>
    <n v="1808.1"/>
    <n v="1875.3"/>
    <n v="330"/>
    <n v="1154227"/>
    <s v="09-Feb-2023"/>
    <n v="1875.3"/>
    <n v="1"/>
    <n v="2023"/>
    <n v="0.17"/>
    <m/>
  </r>
  <r>
    <x v="397"/>
    <n v="1862.8"/>
    <n v="1863.5"/>
    <n v="1852.4"/>
    <n v="1861.6"/>
    <n v="27"/>
    <n v="1887.0428999999999"/>
    <n v="1890.6732999999999"/>
    <n v="1780.5467000000001"/>
    <x v="396"/>
    <n v="1.3442000000000001"/>
    <n v="0.86539999999999995"/>
    <n v="31.166599999999999"/>
    <n v="6.3503999999999996"/>
    <n v="18.759599999999999"/>
    <n v="1966.4133999999999"/>
    <n v="1856.2765999999999"/>
    <x v="1"/>
    <x v="1"/>
    <x v="397"/>
    <n v="3281870"/>
    <n v="5586.2002000000002"/>
    <n v="1808.1"/>
    <n v="1861.6"/>
    <n v="329"/>
    <n v="1154004"/>
    <s v="10-Feb-2023"/>
    <n v="1861.6"/>
    <n v="1"/>
    <n v="2023"/>
    <n v="-0.73"/>
    <m/>
  </r>
  <r>
    <x v="398"/>
    <n v="1851.9"/>
    <n v="1861"/>
    <n v="1850"/>
    <n v="1859"/>
    <n v="569"/>
    <n v="1873.7143000000001"/>
    <n v="1892.4467"/>
    <n v="1782.3"/>
    <x v="397"/>
    <n v="1.1155999999999999"/>
    <n v="0.86660000000000004"/>
    <n v="28.537700000000001"/>
    <n v="3.2715000000000001"/>
    <n v="15.662000000000001"/>
    <n v="1969.0145"/>
    <n v="1849.6755000000001"/>
    <x v="0"/>
    <x v="2"/>
    <x v="398"/>
    <n v="3281843"/>
    <n v="5586.2002000000002"/>
    <n v="1808.1"/>
    <n v="1859"/>
    <n v="329"/>
    <n v="1154004"/>
    <s v="13-Feb-2023"/>
    <n v="1859"/>
    <n v="1"/>
    <n v="2023"/>
    <n v="-0.14000000000000001"/>
    <m/>
  </r>
  <r>
    <x v="399"/>
    <n v="1854"/>
    <n v="1862"/>
    <n v="1846.2"/>
    <n v="1854.1"/>
    <n v="656"/>
    <n v="1865.3857"/>
    <n v="1893.6832999999999"/>
    <n v="1783.7444"/>
    <x v="398"/>
    <n v="0.94599999999999995"/>
    <n v="0.86329999999999996"/>
    <n v="23.6221"/>
    <n v="0.43109999999999998"/>
    <n v="12.6158"/>
    <n v="1970.3316"/>
    <n v="1841.7583999999999"/>
    <x v="0"/>
    <x v="2"/>
    <x v="399"/>
    <n v="3281274"/>
    <n v="5586.2002000000002"/>
    <n v="1808.1"/>
    <n v="1854.1"/>
    <n v="328"/>
    <n v="1153435"/>
    <s v="14-Feb-2023"/>
    <n v="1854.1"/>
    <n v="1"/>
    <n v="2023"/>
    <n v="-0.26"/>
    <m/>
  </r>
  <r>
    <x v="400"/>
    <n v="1834.2"/>
    <n v="1842"/>
    <n v="1828.2"/>
    <n v="1842"/>
    <n v="368"/>
    <n v="1862.0143"/>
    <n v="1893.8767"/>
    <n v="1785.0889"/>
    <x v="399"/>
    <n v="0.39090000000000003"/>
    <n v="0.85240000000000005"/>
    <n v="22.595600000000001"/>
    <n v="-2.7645"/>
    <n v="9.5396999999999998"/>
    <n v="1972.8797999999999"/>
    <n v="1832.3001999999999"/>
    <x v="0"/>
    <x v="2"/>
    <x v="400"/>
    <n v="3280618"/>
    <n v="5586.2002000000002"/>
    <n v="1808.1"/>
    <n v="1842"/>
    <n v="327"/>
    <n v="1152779"/>
    <s v="15-Feb-2023"/>
    <n v="1842"/>
    <n v="1"/>
    <n v="2023"/>
    <n v="-0.65"/>
    <m/>
  </r>
  <r>
    <x v="401"/>
    <n v="1842"/>
    <n v="1843.7"/>
    <n v="1827.2"/>
    <n v="1838.6"/>
    <n v="222"/>
    <n v="1857.5286000000001"/>
    <n v="1893.6433"/>
    <n v="1786.5166999999999"/>
    <x v="400"/>
    <n v="0.3458"/>
    <n v="0.8478"/>
    <n v="23.214300000000001"/>
    <n v="-5.5077999999999996"/>
    <n v="6.5301999999999998"/>
    <n v="1973.576"/>
    <n v="1823.2539999999999"/>
    <x v="1"/>
    <x v="2"/>
    <x v="401"/>
    <n v="3280250"/>
    <n v="5586.2002000000002"/>
    <n v="1808.1"/>
    <n v="1838.6"/>
    <n v="326"/>
    <n v="1152411"/>
    <s v="16-Feb-2023"/>
    <n v="1838.6"/>
    <n v="1"/>
    <n v="2023"/>
    <n v="-0.18"/>
    <m/>
  </r>
  <r>
    <x v="402"/>
    <n v="1840.4"/>
    <n v="1842.2"/>
    <n v="1818.4"/>
    <n v="1827.4"/>
    <n v="35"/>
    <n v="1851.1429000000001"/>
    <n v="1892.7166999999999"/>
    <n v="1788.0056"/>
    <x v="401"/>
    <n v="0.3301"/>
    <n v="0.84860000000000002"/>
    <n v="21.799900000000001"/>
    <n v="-8.4878999999999998"/>
    <n v="3.5266000000000002"/>
    <n v="1974.2926"/>
    <n v="1813.0673999999999"/>
    <x v="1"/>
    <x v="2"/>
    <x v="402"/>
    <n v="3280028"/>
    <n v="5586.2002000000002"/>
    <n v="1808.1"/>
    <n v="1827.4"/>
    <n v="326"/>
    <n v="1152411"/>
    <s v="17-Feb-2023"/>
    <n v="1827.4"/>
    <n v="1"/>
    <n v="2023"/>
    <n v="-0.61"/>
    <m/>
  </r>
  <r>
    <x v="403"/>
    <n v="1833"/>
    <n v="1843"/>
    <n v="1833"/>
    <n v="1842.6"/>
    <n v="862"/>
    <n v="1846.4713999999999"/>
    <n v="1892.8567"/>
    <n v="1790.0144"/>
    <x v="402"/>
    <n v="0.53369999999999995"/>
    <n v="0.84719999999999995"/>
    <n v="28.707599999999999"/>
    <n v="-9.5134000000000007"/>
    <n v="0.91859999999999997"/>
    <n v="1971.624"/>
    <n v="1807.346"/>
    <x v="0"/>
    <x v="2"/>
    <x v="403"/>
    <n v="3279993"/>
    <n v="5586.2002000000002"/>
    <n v="1808.1"/>
    <n v="1842.6"/>
    <n v="326"/>
    <n v="1152411"/>
    <s v="21-Feb-2023"/>
    <n v="1842.6"/>
    <n v="1"/>
    <n v="2023"/>
    <n v="0.83"/>
    <m/>
  </r>
  <r>
    <x v="404"/>
    <n v="1832"/>
    <n v="1836.2"/>
    <n v="1825.1"/>
    <n v="1835.7"/>
    <n v="278"/>
    <n v="1842.7714000000001"/>
    <n v="1891.8133"/>
    <n v="1791.8778"/>
    <x v="403"/>
    <n v="0.49580000000000002"/>
    <n v="0.79769999999999996"/>
    <n v="26.1097"/>
    <n v="-10.758900000000001"/>
    <n v="-1.4169"/>
    <n v="1967.6358"/>
    <n v="1801.7242000000001"/>
    <x v="0"/>
    <x v="2"/>
    <x v="404"/>
    <n v="3279131"/>
    <n v="5586.2002000000002"/>
    <n v="1808.1"/>
    <n v="1835.7"/>
    <n v="325"/>
    <n v="1151549"/>
    <s v="22-Feb-2023"/>
    <n v="1835.7"/>
    <n v="1"/>
    <n v="2023"/>
    <n v="-0.37"/>
    <m/>
  </r>
  <r>
    <x v="405"/>
    <n v="1818"/>
    <n v="1827.5"/>
    <n v="1818"/>
    <n v="1826.4"/>
    <n v="291"/>
    <n v="1838.1143"/>
    <n v="1890.1"/>
    <n v="1793.5578"/>
    <x v="404"/>
    <n v="0.50780000000000003"/>
    <n v="0.79269999999999996"/>
    <n v="14.171900000000001"/>
    <n v="-12.353899999999999"/>
    <n v="-3.6042999999999998"/>
    <n v="1961.3140000000001"/>
    <n v="1796.566"/>
    <x v="0"/>
    <x v="2"/>
    <x v="405"/>
    <n v="3278853"/>
    <n v="5586.2002000000002"/>
    <n v="1808.1"/>
    <n v="1826.4"/>
    <n v="324"/>
    <n v="1151271"/>
    <s v="23-Feb-2023"/>
    <n v="1826.4"/>
    <n v="1"/>
    <n v="2023"/>
    <n v="-0.51"/>
    <m/>
  </r>
  <r>
    <x v="406"/>
    <n v="1808.8"/>
    <n v="1808.8"/>
    <n v="1808.8"/>
    <n v="1808.8"/>
    <n v="404"/>
    <n v="1831.6429000000001"/>
    <n v="1887.9567"/>
    <n v="1795.1522"/>
    <x v="405"/>
    <n v="0.57509999999999994"/>
    <n v="0.80820000000000003"/>
    <n v="16.232099999999999"/>
    <n v="-14.8668"/>
    <n v="-5.8567999999999998"/>
    <n v="1955.9126000000001"/>
    <n v="1789.1874"/>
    <x v="1"/>
    <x v="2"/>
    <x v="406"/>
    <n v="3278562"/>
    <n v="5586.2002000000002"/>
    <n v="1808.1"/>
    <n v="1808.8"/>
    <n v="323"/>
    <n v="1150980"/>
    <s v="24-Feb-2023"/>
    <n v="1808.8"/>
    <n v="1"/>
    <n v="2023"/>
    <n v="-0.96"/>
    <m/>
  </r>
  <r>
    <x v="407"/>
    <n v="1817"/>
    <n v="1817.5"/>
    <n v="1808.9"/>
    <n v="1811.6"/>
    <n v="829"/>
    <n v="1827.3"/>
    <n v="1885.77"/>
    <n v="1796.9456"/>
    <x v="406"/>
    <n v="0.58550000000000002"/>
    <n v="0.80740000000000001"/>
    <n v="25.319900000000001"/>
    <n v="-16.442900000000002"/>
    <n v="-7.9740000000000002"/>
    <n v="1949.9222"/>
    <n v="1783.4777999999999"/>
    <x v="1"/>
    <x v="2"/>
    <x v="407"/>
    <n v="3278158"/>
    <n v="5586.2002000000002"/>
    <n v="1808.1"/>
    <n v="1811.6"/>
    <n v="323"/>
    <n v="1150980"/>
    <s v="27-Feb-2023"/>
    <n v="1811.6"/>
    <n v="1"/>
    <n v="2023"/>
    <n v="0.15"/>
    <m/>
  </r>
  <r>
    <x v="408"/>
    <n v="1828.9"/>
    <n v="1830"/>
    <n v="1808.1"/>
    <n v="1808.1"/>
    <n v="618"/>
    <n v="1822.9429"/>
    <n v="1882.74"/>
    <n v="1798.6867"/>
    <x v="407"/>
    <n v="0.58540000000000003"/>
    <n v="0.77059999999999995"/>
    <n v="21.474599999999999"/>
    <n v="-17.769500000000001"/>
    <n v="-9.9330999999999996"/>
    <n v="1942.5308"/>
    <n v="1778.8490999999999"/>
    <x v="1"/>
    <x v="2"/>
    <x v="408"/>
    <n v="3277329"/>
    <n v="5586.2002000000002"/>
    <n v="1808.1"/>
    <n v="1808.1"/>
    <n v="323"/>
    <n v="1150980"/>
    <s v="28-Feb-2023"/>
    <n v="1808.1"/>
    <n v="1"/>
    <n v="2023"/>
    <n v="-0.19"/>
    <m/>
  </r>
  <r>
    <x v="409"/>
    <n v="1837.7"/>
    <n v="1841.7"/>
    <n v="1827.1"/>
    <n v="1827.1"/>
    <n v="211"/>
    <n v="1822.9"/>
    <n v="1879.64"/>
    <n v="1800.7933"/>
    <x v="408"/>
    <n v="0.72829999999999995"/>
    <n v="0.76719999999999999"/>
    <n v="32.057400000000001"/>
    <n v="-17.090599999999998"/>
    <n v="-11.364599999999999"/>
    <n v="1933.4919"/>
    <n v="1778.2981"/>
    <x v="1"/>
    <x v="1"/>
    <x v="409"/>
    <n v="3276711"/>
    <n v="5586.2002000000002"/>
    <n v="1809.4"/>
    <n v="1827.1"/>
    <n v="323"/>
    <n v="1150980"/>
    <s v="01-Mar-2023"/>
    <n v="1827.1"/>
    <n v="1"/>
    <n v="2023"/>
    <n v="1.05"/>
    <m/>
  </r>
  <r>
    <x v="410"/>
    <n v="1833.5"/>
    <n v="1836.3"/>
    <n v="1830"/>
    <n v="1830"/>
    <n v="154"/>
    <n v="1821.1"/>
    <n v="1876.9367"/>
    <n v="1803.0956000000001"/>
    <x v="409"/>
    <n v="0.63919999999999999"/>
    <n v="0.7671"/>
    <n v="31.894400000000001"/>
    <n v="-16.1327"/>
    <n v="-12.318199999999999"/>
    <n v="1921.6932999999999"/>
    <n v="1780.3767"/>
    <x v="1"/>
    <x v="1"/>
    <x v="410"/>
    <n v="3276500"/>
    <n v="5586.2002000000002"/>
    <n v="1809.4"/>
    <n v="1830"/>
    <n v="323"/>
    <n v="1150980"/>
    <s v="02-Mar-2023"/>
    <n v="1830"/>
    <n v="1"/>
    <n v="2023"/>
    <n v="0.16"/>
    <m/>
  </r>
  <r>
    <x v="411"/>
    <n v="1847.7"/>
    <n v="1855.4"/>
    <n v="1837.3"/>
    <n v="1837.3"/>
    <n v="61"/>
    <n v="1821.3286000000001"/>
    <n v="1874.11"/>
    <n v="1805.3533"/>
    <x v="410"/>
    <n v="0.64980000000000004"/>
    <n v="0.7621"/>
    <n v="39.764099999999999"/>
    <n v="-14.616"/>
    <n v="-12.777799999999999"/>
    <n v="1897.5749000000001"/>
    <n v="1792.9951000000001"/>
    <x v="1"/>
    <x v="1"/>
    <x v="411"/>
    <n v="3276346"/>
    <n v="5586.2002000000002"/>
    <n v="1809.4"/>
    <n v="1837.3"/>
    <n v="323"/>
    <n v="1150980"/>
    <s v="03-Mar-2023"/>
    <n v="1837.3"/>
    <n v="1"/>
    <n v="2023"/>
    <n v="0.4"/>
    <m/>
  </r>
  <r>
    <x v="412"/>
    <n v="1847.9"/>
    <n v="1853.8"/>
    <n v="1844.2"/>
    <n v="1853.3"/>
    <n v="5"/>
    <n v="1825.1713999999999"/>
    <n v="1871.8167000000001"/>
    <n v="1807.4711"/>
    <x v="411"/>
    <n v="0.67390000000000005"/>
    <n v="0.78420000000000001"/>
    <n v="47.842599999999997"/>
    <n v="-11.9848"/>
    <n v="-12.619199999999999"/>
    <n v="1884.3144"/>
    <n v="1800.3456000000001"/>
    <x v="0"/>
    <x v="1"/>
    <x v="412"/>
    <n v="3276285"/>
    <n v="5586.2002000000002"/>
    <n v="1809.4"/>
    <n v="1853.3"/>
    <n v="323"/>
    <n v="1150980"/>
    <s v="06-Mar-2023"/>
    <n v="1853.3"/>
    <n v="1"/>
    <n v="2023"/>
    <n v="0.87"/>
    <m/>
  </r>
  <r>
    <x v="413"/>
    <n v="1813.9"/>
    <n v="1840.9"/>
    <n v="1813.9"/>
    <n v="1840.9"/>
    <n v="450"/>
    <n v="1829.7571"/>
    <n v="1868.9632999999999"/>
    <n v="1809.6122"/>
    <x v="412"/>
    <n v="0.59260000000000002"/>
    <n v="0.78759999999999997"/>
    <n v="45.272199999999998"/>
    <n v="-10.7759"/>
    <n v="-12.250500000000001"/>
    <n v="1881.6252999999999"/>
    <n v="1800.5648000000001"/>
    <x v="0"/>
    <x v="1"/>
    <x v="413"/>
    <n v="3276280"/>
    <n v="5586.2002000000002"/>
    <n v="1809.4"/>
    <n v="1840.9"/>
    <n v="322"/>
    <n v="1150975"/>
    <s v="07-Mar-2023"/>
    <n v="1840.9"/>
    <n v="1"/>
    <n v="2023"/>
    <n v="-0.67"/>
    <m/>
  </r>
  <r>
    <x v="414"/>
    <n v="1812.7"/>
    <n v="1812.9"/>
    <n v="1811.5"/>
    <n v="1811.6"/>
    <n v="75"/>
    <n v="1829.7571"/>
    <n v="1864.9567"/>
    <n v="1811.41"/>
    <x v="413"/>
    <n v="0.91879999999999995"/>
    <n v="0.82579999999999998"/>
    <n v="40.306100000000001"/>
    <n v="-12.043200000000001"/>
    <n v="-12.209099999999999"/>
    <n v="1878.3503000000001"/>
    <n v="1797.9997000000001"/>
    <x v="1"/>
    <x v="1"/>
    <x v="414"/>
    <n v="3275830"/>
    <n v="5586.2002000000002"/>
    <n v="1809.4"/>
    <n v="1811.6"/>
    <n v="321"/>
    <n v="1150525"/>
    <s v="08-Mar-2023"/>
    <n v="1811.6"/>
    <n v="1"/>
    <n v="2023"/>
    <n v="-1.59"/>
    <m/>
  </r>
  <r>
    <x v="415"/>
    <n v="1829.3"/>
    <n v="1829.3"/>
    <n v="1815.6"/>
    <n v="1816.4"/>
    <n v="332"/>
    <n v="1830.9429"/>
    <n v="1860.7967000000001"/>
    <n v="1813.14"/>
    <x v="414"/>
    <n v="0.91879999999999995"/>
    <n v="0.82030000000000003"/>
    <n v="42.983600000000003"/>
    <n v="-12.516"/>
    <n v="-12.2705"/>
    <n v="1873.3231000000001"/>
    <n v="1797.4568999999999"/>
    <x v="1"/>
    <x v="1"/>
    <x v="415"/>
    <n v="3275755"/>
    <n v="5586.2002000000002"/>
    <n v="1809.4"/>
    <n v="1816.4"/>
    <n v="321"/>
    <n v="1150525"/>
    <s v="09-Mar-2023"/>
    <n v="1816.4"/>
    <n v="1"/>
    <n v="2023"/>
    <n v="0.27"/>
    <m/>
  </r>
  <r>
    <x v="416"/>
    <n v="1862"/>
    <n v="1868.5"/>
    <n v="1852"/>
    <n v="1852.3"/>
    <n v="248"/>
    <n v="1834.5428999999999"/>
    <n v="1857.9866999999999"/>
    <n v="1815.2655999999999"/>
    <x v="415"/>
    <n v="1.1267"/>
    <n v="0.91290000000000004"/>
    <n v="56.807000000000002"/>
    <n v="-9.8800000000000008"/>
    <n v="-11.792400000000001"/>
    <n v="1868.2727"/>
    <n v="1800.2073"/>
    <x v="1"/>
    <x v="1"/>
    <x v="416"/>
    <n v="3275423"/>
    <n v="5586.2002000000002"/>
    <n v="1809.4"/>
    <n v="1852.3"/>
    <n v="321"/>
    <n v="1150525"/>
    <s v="10-Mar-2023"/>
    <n v="1852.3"/>
    <n v="1"/>
    <n v="2023"/>
    <n v="1.98"/>
    <m/>
  </r>
  <r>
    <x v="417"/>
    <n v="1911.7"/>
    <n v="1913.1"/>
    <n v="1875.1"/>
    <n v="1890.8"/>
    <n v="503"/>
    <n v="1843.2285999999999"/>
    <n v="1856.7266999999999"/>
    <n v="1818.0322000000001"/>
    <x v="416"/>
    <n v="1.3299000000000001"/>
    <n v="0.997"/>
    <n v="61.6877"/>
    <n v="-4.6308999999999996"/>
    <n v="-10.360099999999999"/>
    <n v="1876.5061000000001"/>
    <n v="1794.8939"/>
    <x v="1"/>
    <x v="1"/>
    <x v="417"/>
    <n v="3275175"/>
    <n v="5586.2002000000002"/>
    <n v="1809.4"/>
    <n v="1890.8"/>
    <n v="321"/>
    <n v="1150525"/>
    <s v="13-Mar-2023"/>
    <n v="1890.8"/>
    <n v="1"/>
    <n v="2023"/>
    <n v="2.08"/>
    <m/>
  </r>
  <r>
    <x v="418"/>
    <n v="1906.2"/>
    <n v="1912.2"/>
    <n v="1901.1"/>
    <n v="1912.2"/>
    <n v="107"/>
    <n v="1853.9286"/>
    <n v="1856.19"/>
    <n v="1821.1588999999999"/>
    <x v="417"/>
    <n v="1.3514999999999999"/>
    <n v="1.0206"/>
    <n v="67.331199999999995"/>
    <n v="1.2415"/>
    <n v="-8.0397999999999996"/>
    <n v="1890.83"/>
    <n v="1785.89"/>
    <x v="0"/>
    <x v="1"/>
    <x v="418"/>
    <n v="3274672"/>
    <n v="5586.2002000000002"/>
    <n v="1809.4"/>
    <n v="1912.2"/>
    <n v="321"/>
    <n v="1150525"/>
    <s v="14-Mar-2023"/>
    <n v="1912.2"/>
    <n v="1"/>
    <n v="2023"/>
    <n v="1.1299999999999999"/>
    <m/>
  </r>
  <r>
    <x v="419"/>
    <n v="1926.6"/>
    <n v="1926.6"/>
    <n v="1898.5"/>
    <n v="1903.9"/>
    <n v="564"/>
    <n v="1861.1572000000001"/>
    <n v="1855.5533"/>
    <n v="1823.9711"/>
    <x v="418"/>
    <n v="1.3940999999999999"/>
    <n v="1.0223"/>
    <n v="67.637699999999995"/>
    <n v="5.1661000000000001"/>
    <n v="-5.3986000000000001"/>
    <n v="1900.6760999999999"/>
    <n v="1781.0239999999999"/>
    <x v="1"/>
    <x v="1"/>
    <x v="419"/>
    <n v="3274565"/>
    <n v="5586.2002000000002"/>
    <n v="1809.4"/>
    <n v="1903.9"/>
    <n v="320"/>
    <n v="1150418"/>
    <s v="15-Mar-2023"/>
    <n v="1903.9"/>
    <n v="1"/>
    <n v="2023"/>
    <n v="-0.43"/>
    <m/>
  </r>
  <r>
    <x v="420"/>
    <n v="1919"/>
    <n v="1931.7"/>
    <n v="1909.9"/>
    <n v="1909.9"/>
    <n v="394"/>
    <n v="1871.0143"/>
    <n v="1854.9766999999999"/>
    <n v="1827.09"/>
    <x v="419"/>
    <n v="1.3165"/>
    <n v="1.0233000000000001"/>
    <n v="74.291200000000003"/>
    <n v="8.6607000000000003"/>
    <n v="-2.5867"/>
    <n v="1911.5808999999999"/>
    <n v="1776.9092000000001"/>
    <x v="1"/>
    <x v="0"/>
    <x v="420"/>
    <n v="3274001"/>
    <n v="5586.2002000000002"/>
    <n v="1809.4"/>
    <n v="1909.9"/>
    <n v="320"/>
    <n v="1150418"/>
    <s v="16-Mar-2023"/>
    <n v="1909.9"/>
    <n v="1"/>
    <n v="2023"/>
    <n v="0.32"/>
    <m/>
  </r>
  <r>
    <x v="421"/>
    <n v="1969.8"/>
    <n v="1985.1"/>
    <n v="1946"/>
    <n v="1946"/>
    <n v="82"/>
    <n v="1890.2143000000001"/>
    <n v="1854.7666999999999"/>
    <n v="1830.5989"/>
    <x v="420"/>
    <n v="0.99880000000000002"/>
    <n v="1.0547"/>
    <n v="77.837599999999995"/>
    <n v="14.1798"/>
    <n v="0.76659999999999995"/>
    <n v="1930.7679000000001"/>
    <n v="1768.4621"/>
    <x v="1"/>
    <x v="0"/>
    <x v="421"/>
    <n v="3273607"/>
    <n v="5586.2002000000002"/>
    <n v="1809.4"/>
    <n v="1946"/>
    <n v="320"/>
    <n v="1150418"/>
    <s v="17-Mar-2023"/>
    <n v="1946"/>
    <n v="1"/>
    <n v="2023"/>
    <n v="1.89"/>
    <m/>
  </r>
  <r>
    <x v="422"/>
    <n v="1979.2"/>
    <n v="2003.9"/>
    <n v="1968.9"/>
    <n v="1988.3"/>
    <n v="389"/>
    <n v="1914.7714000000001"/>
    <n v="1857.2967000000001"/>
    <n v="1834.0589"/>
    <x v="421"/>
    <n v="1.0148999999999999"/>
    <n v="1.0547"/>
    <n v="82.155600000000007"/>
    <n v="21.7166"/>
    <n v="4.9565999999999999"/>
    <n v="1958.9445000000001"/>
    <n v="1756.3755000000001"/>
    <x v="0"/>
    <x v="0"/>
    <x v="422"/>
    <n v="3273525"/>
    <n v="5586.2002000000002"/>
    <n v="1809.4"/>
    <n v="1988.3"/>
    <n v="320"/>
    <n v="1150418"/>
    <s v="20-Mar-2023"/>
    <n v="1988.3"/>
    <n v="1"/>
    <n v="2023"/>
    <n v="2.17"/>
    <m/>
  </r>
  <r>
    <x v="423"/>
    <n v="1938"/>
    <n v="1973.8"/>
    <n v="1938"/>
    <n v="1973.8"/>
    <n v="47"/>
    <n v="1932.1286"/>
    <n v="1860.9032999999999"/>
    <n v="1837.0655999999999"/>
    <x v="422"/>
    <n v="1.2123999999999999"/>
    <n v="0.95120000000000005"/>
    <n v="76.605000000000004"/>
    <n v="26.217300000000002"/>
    <n v="9.2087000000000003"/>
    <n v="1977.6629"/>
    <n v="1750.7771"/>
    <x v="0"/>
    <x v="0"/>
    <x v="423"/>
    <n v="3273136"/>
    <n v="5586.2002000000002"/>
    <n v="1809.4"/>
    <n v="1973.8"/>
    <n v="319"/>
    <n v="1150029"/>
    <s v="21-Mar-2023"/>
    <n v="1973.8"/>
    <n v="1"/>
    <n v="2023"/>
    <n v="-0.73"/>
    <m/>
  </r>
  <r>
    <x v="424"/>
    <n v="1946.8"/>
    <n v="1974"/>
    <n v="1946.8"/>
    <n v="1946.8"/>
    <n v="50"/>
    <n v="1940.1286"/>
    <n v="1863.4632999999999"/>
    <n v="1839.7256"/>
    <x v="423"/>
    <n v="1.3541000000000001"/>
    <n v="0.9929"/>
    <n v="69.479699999999994"/>
    <n v="27.290900000000001"/>
    <n v="12.825100000000001"/>
    <n v="1988.1126999999999"/>
    <n v="1751.4374"/>
    <x v="1"/>
    <x v="1"/>
    <x v="424"/>
    <n v="3273089"/>
    <n v="5586.2002000000002"/>
    <n v="1809.4"/>
    <n v="1946.8"/>
    <n v="318"/>
    <n v="1149982"/>
    <s v="22-Mar-2023"/>
    <n v="1946.8"/>
    <n v="1"/>
    <n v="2023"/>
    <n v="-1.37"/>
    <m/>
  </r>
  <r>
    <x v="425"/>
    <n v="1993.8"/>
    <n v="1994.6"/>
    <n v="1990.5"/>
    <n v="1990.5"/>
    <n v="33"/>
    <n v="1951.3143"/>
    <n v="1867.41"/>
    <n v="1842.8622"/>
    <x v="424"/>
    <n v="1.5075000000000001"/>
    <n v="1.0646"/>
    <n v="72.784099999999995"/>
    <n v="31.306999999999999"/>
    <n v="16.5215"/>
    <n v="2006.0135"/>
    <n v="1749.9465"/>
    <x v="1"/>
    <x v="0"/>
    <x v="425"/>
    <n v="3273039"/>
    <n v="5586.2002000000002"/>
    <n v="1809.4"/>
    <n v="1990.5"/>
    <n v="318"/>
    <n v="1149982"/>
    <s v="23-Mar-2023"/>
    <n v="1990.5"/>
    <n v="1"/>
    <n v="2023"/>
    <n v="2.2400000000000002"/>
    <m/>
  </r>
  <r>
    <x v="426"/>
    <n v="1982.1"/>
    <n v="1995.4"/>
    <n v="1982.1"/>
    <n v="1991.7"/>
    <n v="19"/>
    <n v="1963.8571999999999"/>
    <n v="1871.29"/>
    <n v="1845.3943999999999"/>
    <x v="425"/>
    <n v="1.4626999999999999"/>
    <n v="1.0649999999999999"/>
    <n v="71.530799999999999"/>
    <n v="34.192500000000003"/>
    <n v="20.055700000000002"/>
    <n v="2020.3747000000001"/>
    <n v="1753.8753999999999"/>
    <x v="0"/>
    <x v="0"/>
    <x v="426"/>
    <n v="3273006"/>
    <n v="5586.2002000000002"/>
    <n v="1809.4"/>
    <n v="1991.7"/>
    <n v="318"/>
    <n v="1149982"/>
    <s v="24-Mar-2023"/>
    <n v="1991.7"/>
    <n v="1"/>
    <n v="2023"/>
    <n v="0.06"/>
    <m/>
  </r>
  <r>
    <x v="427"/>
    <n v="1952.4"/>
    <n v="1957.2"/>
    <n v="1952.4"/>
    <n v="1957.2"/>
    <n v="877"/>
    <n v="1970.6143"/>
    <n v="1874.4766999999999"/>
    <n v="1847.5633"/>
    <x v="426"/>
    <n v="1.7235"/>
    <n v="1.1101000000000001"/>
    <n v="66.928700000000006"/>
    <n v="33.311500000000002"/>
    <n v="22.706900000000001"/>
    <n v="2026.1822999999999"/>
    <n v="1762.6277"/>
    <x v="0"/>
    <x v="1"/>
    <x v="427"/>
    <n v="3272987"/>
    <n v="5586.2002000000002"/>
    <n v="1809.4"/>
    <n v="1957.2"/>
    <n v="317"/>
    <n v="1149963"/>
    <s v="27-Mar-2023"/>
    <n v="1957.2"/>
    <n v="1"/>
    <n v="2023"/>
    <n v="-1.73"/>
    <m/>
  </r>
  <r>
    <x v="428"/>
    <n v="1972.4"/>
    <n v="1972.4"/>
    <n v="1972.4"/>
    <n v="1972.4"/>
    <n v="21"/>
    <n v="1974.3857"/>
    <n v="1878.2566999999999"/>
    <n v="1849.8033"/>
    <x v="427"/>
    <n v="1.6064000000000001"/>
    <n v="1.1137999999999999"/>
    <n v="74.408000000000001"/>
    <n v="33.454099999999997"/>
    <n v="24.856300000000001"/>
    <n v="2032.2103999999999"/>
    <n v="1773.0296000000001"/>
    <x v="1"/>
    <x v="0"/>
    <x v="428"/>
    <n v="3272110"/>
    <n v="5586.2002000000002"/>
    <n v="1809.4"/>
    <n v="1972.4"/>
    <n v="316"/>
    <n v="1149086"/>
    <s v="28-Mar-2023"/>
    <n v="1972.4"/>
    <n v="1"/>
    <n v="2023"/>
    <n v="0.78"/>
    <m/>
  </r>
  <r>
    <x v="429"/>
    <n v="1966.1"/>
    <n v="1966.1"/>
    <n v="1966.1"/>
    <n v="1966.1"/>
    <n v="88563"/>
    <n v="1971.2143000000001"/>
    <n v="1881.99"/>
    <n v="1851.9088999999999"/>
    <x v="428"/>
    <n v="1.3532999999999999"/>
    <n v="1.1147"/>
    <n v="72.620099999999994"/>
    <n v="32.682000000000002"/>
    <n v="26.421399999999998"/>
    <n v="2036.9983"/>
    <n v="1782.1418000000001"/>
    <x v="1"/>
    <x v="0"/>
    <x v="429"/>
    <n v="3272089"/>
    <n v="5586.2002000000002"/>
    <n v="1809.4"/>
    <n v="1966.1"/>
    <n v="316"/>
    <n v="1149086"/>
    <s v="29-Mar-2023"/>
    <n v="1966.1"/>
    <n v="1"/>
    <n v="2023"/>
    <n v="-0.32"/>
    <m/>
  </r>
  <r>
    <x v="430"/>
    <n v="1980.3"/>
    <n v="1984.4"/>
    <n v="1954.9"/>
    <n v="1965.9"/>
    <n v="10119"/>
    <n v="1970.0857000000001"/>
    <n v="1886.12"/>
    <n v="1854.1632999999999"/>
    <x v="429"/>
    <n v="1.3292999999999999"/>
    <n v="1.1037999999999999"/>
    <n v="69.241200000000006"/>
    <n v="31.688700000000001"/>
    <n v="27.474900000000002"/>
    <n v="2040.3757000000001"/>
    <n v="1792.3543999999999"/>
    <x v="1"/>
    <x v="1"/>
    <x v="430"/>
    <n v="3183526"/>
    <n v="5586.2002000000002"/>
    <n v="1809.4"/>
    <n v="1965.9"/>
    <n v="316"/>
    <n v="1149086"/>
    <s v="30-Mar-2023"/>
    <n v="1965.9"/>
    <n v="1"/>
    <n v="2023"/>
    <n v="-0.01"/>
    <m/>
  </r>
  <r>
    <x v="431"/>
    <n v="1969"/>
    <n v="1986.8"/>
    <n v="1968"/>
    <n v="1981.3"/>
    <n v="957"/>
    <n v="1975.0143"/>
    <n v="1890.8767"/>
    <n v="1856.5856000000001"/>
    <x v="430"/>
    <n v="1.2177"/>
    <n v="1.1055999999999999"/>
    <n v="66.629900000000006"/>
    <n v="31.777899999999999"/>
    <n v="28.3355"/>
    <n v="2044.9404999999999"/>
    <n v="1802.1895"/>
    <x v="0"/>
    <x v="1"/>
    <x v="431"/>
    <n v="3173407"/>
    <n v="5586.2002000000002"/>
    <n v="1809.4"/>
    <n v="1981.3"/>
    <n v="316"/>
    <n v="1149086"/>
    <s v="31-Mar-2023"/>
    <n v="1981.3"/>
    <n v="1"/>
    <n v="2023"/>
    <n v="0.78"/>
    <m/>
  </r>
  <r>
    <x v="432"/>
    <n v="1983.9"/>
    <n v="1991.7"/>
    <n v="1950"/>
    <n v="1968.1"/>
    <n v="737"/>
    <n v="1971.8143"/>
    <n v="1895.5667000000001"/>
    <n v="1859.1311000000001"/>
    <x v="431"/>
    <n v="0.87480000000000002"/>
    <n v="1.1072"/>
    <n v="60.591099999999997"/>
    <n v="30.432600000000001"/>
    <n v="28.754899999999999"/>
    <n v="2047.5057999999999"/>
    <n v="1811.1042"/>
    <x v="1"/>
    <x v="1"/>
    <x v="432"/>
    <n v="3172450"/>
    <n v="5586.2002000000002"/>
    <n v="1809.4"/>
    <n v="1968.1"/>
    <n v="315"/>
    <n v="1148129"/>
    <s v="03-Apr-2023"/>
    <n v="1968.1"/>
    <n v="1"/>
    <n v="2023"/>
    <n v="-0.67"/>
    <m/>
  </r>
  <r>
    <x v="433"/>
    <n v="2022.2"/>
    <n v="2027.1"/>
    <n v="1979"/>
    <n v="1984.6"/>
    <n v="811"/>
    <n v="1970.8"/>
    <n v="1900.3"/>
    <n v="1861.83"/>
    <x v="432"/>
    <n v="0.95309999999999995"/>
    <n v="1.1073"/>
    <n v="64.829099999999997"/>
    <n v="30.347999999999999"/>
    <n v="29.073499999999999"/>
    <n v="2049.4164999999998"/>
    <n v="1823.5635"/>
    <x v="1"/>
    <x v="1"/>
    <x v="433"/>
    <n v="3171713"/>
    <n v="5586.2002000000002"/>
    <n v="1809.4"/>
    <n v="1984.6"/>
    <n v="315"/>
    <n v="1148129"/>
    <s v="04-Apr-2023"/>
    <n v="1984.6"/>
    <n v="1"/>
    <n v="2023"/>
    <n v="0.84"/>
    <m/>
  </r>
  <r>
    <x v="434"/>
    <n v="2020.9"/>
    <n v="2033.8"/>
    <n v="2013.6"/>
    <n v="2022.1"/>
    <n v="525"/>
    <n v="1980.0714"/>
    <n v="1906.5133000000001"/>
    <n v="1865.0033000000001"/>
    <x v="433"/>
    <n v="0.86480000000000001"/>
    <n v="1.1396999999999999"/>
    <n v="68.478200000000001"/>
    <n v="32.927300000000002"/>
    <n v="29.8443"/>
    <n v="2049.7051000000001"/>
    <n v="1844.325"/>
    <x v="0"/>
    <x v="1"/>
    <x v="434"/>
    <n v="3170902"/>
    <n v="5586.2002000000002"/>
    <n v="1809.4"/>
    <n v="2022.1"/>
    <n v="315"/>
    <n v="1148129"/>
    <s v="05-Apr-2023"/>
    <n v="2022.1"/>
    <n v="1"/>
    <n v="2023"/>
    <n v="1.89"/>
    <m/>
  </r>
  <r>
    <x v="435"/>
    <n v="2011.9"/>
    <n v="2023.3"/>
    <n v="2005"/>
    <n v="2022.2"/>
    <n v="0"/>
    <n v="1987.1857"/>
    <n v="1913.04"/>
    <n v="1867.9944"/>
    <x v="434"/>
    <n v="0.86850000000000005"/>
    <n v="1.1306"/>
    <n v="64.237700000000004"/>
    <n v="34.5809"/>
    <n v="30.791599999999999"/>
    <n v="2045.0423000000001"/>
    <n v="1869.5677000000001"/>
    <x v="0"/>
    <x v="1"/>
    <x v="435"/>
    <n v="3170377"/>
    <n v="5586.2002000000002"/>
    <n v="1809.4"/>
    <n v="2022.2"/>
    <n v="314"/>
    <n v="1147604"/>
    <s v="06-Apr-2023"/>
    <n v="2022.2"/>
    <n v="1"/>
    <n v="2023"/>
    <n v="0"/>
    <m/>
  </r>
  <r>
    <x v="436"/>
    <n v="1989.1"/>
    <n v="2006.6"/>
    <n v="1984"/>
    <n v="2000"/>
    <n v="652"/>
    <n v="1992.0286000000001"/>
    <n v="1919.4132999999999"/>
    <n v="1870.8688999999999"/>
    <x v="435"/>
    <n v="1.0085"/>
    <n v="1.1362000000000001"/>
    <n v="52.363599999999998"/>
    <n v="33.711500000000001"/>
    <n v="31.375599999999999"/>
    <n v="2039.0586000000001"/>
    <n v="1890.3214"/>
    <x v="0"/>
    <x v="1"/>
    <x v="436"/>
    <n v="3170377"/>
    <n v="5586.2002000000002"/>
    <n v="1809.4"/>
    <n v="2000"/>
    <n v="313"/>
    <n v="1147604"/>
    <s v="10-Apr-2023"/>
    <n v="2000"/>
    <n v="1"/>
    <n v="2023"/>
    <n v="-1.1000000000000001"/>
    <m/>
  </r>
  <r>
    <x v="437"/>
    <n v="2004.8"/>
    <n v="2006.5"/>
    <n v="1991.4"/>
    <n v="1991.4"/>
    <n v="68"/>
    <n v="1995.6713999999999"/>
    <n v="1925.4067"/>
    <n v="1873.6677999999999"/>
    <x v="436"/>
    <n v="1.0385"/>
    <n v="1.1445000000000001"/>
    <n v="53.642400000000002"/>
    <n v="31.96"/>
    <n v="31.4925"/>
    <n v="2036.2402999999999"/>
    <n v="1903.1996999999999"/>
    <x v="1"/>
    <x v="1"/>
    <x v="437"/>
    <n v="3169725"/>
    <n v="5586.2002000000002"/>
    <n v="1809.4"/>
    <n v="1991.4"/>
    <n v="312"/>
    <n v="1146952"/>
    <s v="11-Apr-2023"/>
    <n v="1991.4"/>
    <n v="1"/>
    <n v="2023"/>
    <n v="-0.43"/>
    <m/>
  </r>
  <r>
    <x v="438"/>
    <n v="2010.9"/>
    <n v="2025.7"/>
    <n v="2005.2"/>
    <n v="2005.2"/>
    <n v="172"/>
    <n v="1999.0857000000001"/>
    <n v="1931.9766999999999"/>
    <n v="1876.5244"/>
    <x v="437"/>
    <n v="1.0304"/>
    <n v="1.1422000000000001"/>
    <n v="62.784599999999998"/>
    <n v="31.3245"/>
    <n v="31.4589"/>
    <n v="2036.8389999999999"/>
    <n v="1911.9010000000001"/>
    <x v="1"/>
    <x v="1"/>
    <x v="438"/>
    <n v="3169657"/>
    <n v="5586.2002000000002"/>
    <n v="1809.4"/>
    <n v="2005.2"/>
    <n v="312"/>
    <n v="1146952"/>
    <s v="12-Apr-2023"/>
    <n v="2005.2"/>
    <n v="1"/>
    <n v="2023"/>
    <n v="0.69"/>
    <m/>
  </r>
  <r>
    <x v="439"/>
    <n v="2041.3"/>
    <n v="2048.6001000000001"/>
    <n v="2015.6"/>
    <n v="2015.6"/>
    <n v="1043"/>
    <n v="2005.8714"/>
    <n v="1938.26"/>
    <n v="1879.2678000000001"/>
    <x v="438"/>
    <n v="0.96419999999999995"/>
    <n v="1.135"/>
    <n v="56.432600000000001"/>
    <n v="31.299199999999999"/>
    <n v="31.4269"/>
    <n v="2035.4838"/>
    <n v="1924.4262000000001"/>
    <x v="1"/>
    <x v="1"/>
    <x v="439"/>
    <n v="3169485"/>
    <n v="5586.2002000000002"/>
    <n v="1809.4"/>
    <n v="2015.6"/>
    <n v="312"/>
    <n v="1146952"/>
    <s v="13-Apr-2023"/>
    <n v="2015.6"/>
    <n v="1"/>
    <n v="2023"/>
    <n v="0.52"/>
    <m/>
  </r>
  <r>
    <x v="440"/>
    <n v="2002.2"/>
    <n v="2047.8"/>
    <n v="1995"/>
    <n v="2041"/>
    <n v="718"/>
    <n v="2013.9286"/>
    <n v="1945.2933"/>
    <n v="1881.9232999999999"/>
    <x v="439"/>
    <n v="1.0122"/>
    <n v="1.1469"/>
    <n v="61.240299999999998"/>
    <n v="32.948900000000002"/>
    <n v="31.731300000000001"/>
    <n v="2038.0255"/>
    <n v="1934.9945"/>
    <x v="0"/>
    <x v="1"/>
    <x v="440"/>
    <n v="3168442"/>
    <n v="5586.2002000000002"/>
    <n v="1809.4"/>
    <n v="2041"/>
    <n v="312"/>
    <n v="1146952"/>
    <s v="14-Apr-2023"/>
    <n v="2041"/>
    <n v="1"/>
    <n v="2023"/>
    <n v="1.26"/>
    <m/>
  </r>
  <r>
    <x v="441"/>
    <n v="1994.2"/>
    <n v="2007.6"/>
    <n v="1983.2"/>
    <n v="2002.7"/>
    <n v="554"/>
    <n v="2011.1570999999999"/>
    <n v="1950.8067000000001"/>
    <n v="1884.2233000000001"/>
    <x v="440"/>
    <n v="1.0898000000000001"/>
    <n v="1.218"/>
    <n v="60.197200000000002"/>
    <n v="30.810600000000001"/>
    <n v="31.5472"/>
    <n v="2037.6120000000001"/>
    <n v="1941.078"/>
    <x v="0"/>
    <x v="1"/>
    <x v="441"/>
    <n v="3167724"/>
    <n v="5586.2002000000002"/>
    <n v="1809.4"/>
    <n v="2002.7"/>
    <n v="311"/>
    <n v="1146234"/>
    <s v="17-Apr-2023"/>
    <n v="2002.7"/>
    <n v="1"/>
    <n v="2023"/>
    <n v="-1.88"/>
    <m/>
  </r>
  <r>
    <x v="442"/>
    <n v="2007.4"/>
    <n v="2007.4"/>
    <n v="1996.9"/>
    <n v="1996.9"/>
    <n v="72"/>
    <n v="2007.5427999999999"/>
    <n v="1955.5933"/>
    <n v="1886.76"/>
    <x v="441"/>
    <n v="1.0892999999999999"/>
    <n v="1.2175"/>
    <n v="55.732300000000002"/>
    <n v="28.3216"/>
    <n v="30.902100000000001"/>
    <n v="2038.1559"/>
    <n v="1941.3941"/>
    <x v="1"/>
    <x v="1"/>
    <x v="442"/>
    <n v="3167170"/>
    <n v="5586.2002000000002"/>
    <n v="1809.4"/>
    <n v="1996.9"/>
    <n v="310"/>
    <n v="1145680"/>
    <s v="18-Apr-2023"/>
    <n v="1996.9"/>
    <n v="1"/>
    <n v="2023"/>
    <n v="-0.28999999999999998"/>
    <m/>
  </r>
  <r>
    <x v="443"/>
    <n v="1995.2"/>
    <n v="2006.4"/>
    <n v="1969.8"/>
    <n v="2005.7"/>
    <n v="61"/>
    <n v="2008.3570999999999"/>
    <n v="1961.0867000000001"/>
    <n v="1889.3867"/>
    <x v="442"/>
    <n v="1.0253000000000001"/>
    <n v="1.2052"/>
    <n v="59.158200000000001"/>
    <n v="26.750699999999998"/>
    <n v="30.0718"/>
    <n v="2039.6366"/>
    <n v="1943.1034"/>
    <x v="0"/>
    <x v="1"/>
    <x v="443"/>
    <n v="3167098"/>
    <n v="5586.2002000000002"/>
    <n v="1809.4"/>
    <n v="2005.7"/>
    <n v="310"/>
    <n v="1145680"/>
    <s v="19-Apr-2023"/>
    <n v="2005.7"/>
    <n v="1"/>
    <n v="2023"/>
    <n v="0.44"/>
    <m/>
  </r>
  <r>
    <x v="444"/>
    <n v="2007.6"/>
    <n v="2007.6"/>
    <n v="1998"/>
    <n v="1998"/>
    <n v="164"/>
    <n v="2009.3"/>
    <n v="1967.3"/>
    <n v="1891.7867000000001"/>
    <x v="443"/>
    <n v="1.0219"/>
    <n v="1.1594"/>
    <n v="57.174799999999998"/>
    <n v="24.6008"/>
    <n v="28.977599999999999"/>
    <n v="2037.44"/>
    <n v="1950.42"/>
    <x v="1"/>
    <x v="1"/>
    <x v="444"/>
    <n v="3167037"/>
    <n v="5586.2002000000002"/>
    <n v="1809.4"/>
    <n v="1998"/>
    <n v="309"/>
    <n v="1145619"/>
    <s v="20-Apr-2023"/>
    <n v="1998"/>
    <n v="1"/>
    <n v="2023"/>
    <n v="-0.38"/>
    <m/>
  </r>
  <r>
    <x v="445"/>
    <n v="1979.5"/>
    <n v="1996.2"/>
    <n v="1974.1"/>
    <n v="1996.2"/>
    <n v="132"/>
    <n v="2008.0143"/>
    <n v="1973.2933"/>
    <n v="1894.0233000000001"/>
    <x v="444"/>
    <n v="0.98209999999999997"/>
    <n v="1.1618999999999999"/>
    <n v="53.545900000000003"/>
    <n v="22.492599999999999"/>
    <n v="27.680599999999998"/>
    <n v="2037.7049999999999"/>
    <n v="1950.7248999999999"/>
    <x v="0"/>
    <x v="1"/>
    <x v="445"/>
    <n v="3166873"/>
    <n v="5586.2002000000002"/>
    <n v="1809.4"/>
    <n v="1996.2"/>
    <n v="309"/>
    <n v="1145619"/>
    <s v="21-Apr-2023"/>
    <n v="1996.2"/>
    <n v="1"/>
    <n v="2023"/>
    <n v="-0.09"/>
    <m/>
  </r>
  <r>
    <x v="446"/>
    <n v="1989.1"/>
    <n v="1989.8"/>
    <n v="1977.4"/>
    <n v="1981.3"/>
    <n v="145"/>
    <n v="2003.1143"/>
    <n v="1977.5933"/>
    <n v="1896.1789000000001"/>
    <x v="445"/>
    <n v="0.97419999999999995"/>
    <n v="1.1342000000000001"/>
    <n v="53.116199999999999"/>
    <n v="19.395800000000001"/>
    <n v="26.023599999999998"/>
    <n v="2037.5588"/>
    <n v="1949.8312000000001"/>
    <x v="1"/>
    <x v="1"/>
    <x v="446"/>
    <n v="3166741"/>
    <n v="5586.2002000000002"/>
    <n v="1809.4"/>
    <n v="1981.3"/>
    <n v="308"/>
    <n v="1145487"/>
    <s v="24-Apr-2023"/>
    <n v="1981.3"/>
    <n v="1"/>
    <n v="2023"/>
    <n v="-0.75"/>
    <m/>
  </r>
  <r>
    <x v="447"/>
    <n v="1994"/>
    <n v="1999.1"/>
    <n v="1982.3"/>
    <n v="1995.7"/>
    <n v="306"/>
    <n v="1996.6428000000001"/>
    <n v="1981.09"/>
    <n v="1898.5678"/>
    <x v="446"/>
    <n v="0.85019999999999996"/>
    <n v="1.0841000000000001"/>
    <n v="52.646599999999999"/>
    <n v="17.897300000000001"/>
    <n v="24.398399999999999"/>
    <n v="2035.9793"/>
    <n v="1955.2606000000001"/>
    <x v="0"/>
    <x v="1"/>
    <x v="447"/>
    <n v="3166596"/>
    <n v="5586.2002000000002"/>
    <n v="1809.4"/>
    <n v="1995.7"/>
    <n v="308"/>
    <n v="1145487"/>
    <s v="25-Apr-2023"/>
    <n v="1995.7"/>
    <n v="1"/>
    <n v="2023"/>
    <n v="0.73"/>
    <m/>
  </r>
  <r>
    <x v="448"/>
    <n v="1985.7"/>
    <n v="1998.8"/>
    <n v="1985.6"/>
    <n v="1997.8"/>
    <n v="615"/>
    <n v="1995.9429"/>
    <n v="1983.9432999999999"/>
    <n v="1900.6456000000001"/>
    <x v="447"/>
    <n v="0.50360000000000005"/>
    <n v="1.0692999999999999"/>
    <n v="43.029299999999999"/>
    <n v="16.686800000000002"/>
    <n v="22.856100000000001"/>
    <n v="2035.7433000000001"/>
    <n v="1958.0367000000001"/>
    <x v="0"/>
    <x v="1"/>
    <x v="448"/>
    <n v="3166290"/>
    <n v="5586.2002000000002"/>
    <n v="1809.4"/>
    <n v="1997.8"/>
    <n v="307"/>
    <n v="1145181"/>
    <s v="26-Apr-2023"/>
    <n v="1997.8"/>
    <n v="1"/>
    <n v="2023"/>
    <n v="0.11"/>
    <m/>
  </r>
  <r>
    <x v="449"/>
    <n v="1989.9"/>
    <n v="2002.3"/>
    <n v="1979.9"/>
    <n v="1990.6"/>
    <n v="355"/>
    <n v="1995.0427999999999"/>
    <n v="1986.8333"/>
    <n v="1902.7521999999999"/>
    <x v="448"/>
    <n v="0.51029999999999998"/>
    <n v="1.0680000000000001"/>
    <n v="41.29"/>
    <n v="14.9739"/>
    <n v="21.279599999999999"/>
    <n v="2034.3366000000001"/>
    <n v="1961.8933999999999"/>
    <x v="0"/>
    <x v="1"/>
    <x v="449"/>
    <n v="3165675"/>
    <n v="5586.2002000000002"/>
    <n v="1809.4"/>
    <n v="1990.6"/>
    <n v="306"/>
    <n v="1144566"/>
    <s v="27-Apr-2023"/>
    <n v="1990.6"/>
    <n v="1"/>
    <n v="2023"/>
    <n v="-0.36"/>
    <m/>
  </r>
  <r>
    <x v="450"/>
    <n v="1990.1"/>
    <n v="1990.1"/>
    <n v="1977.7"/>
    <n v="1986.9"/>
    <n v="152"/>
    <n v="1992.3570999999999"/>
    <n v="1989.4"/>
    <n v="1905.0744"/>
    <x v="449"/>
    <n v="0.46400000000000002"/>
    <n v="1.0692999999999999"/>
    <n v="45.979100000000003"/>
    <n v="13.1661"/>
    <n v="19.6569"/>
    <n v="2032.5618999999999"/>
    <n v="1965.7681"/>
    <x v="1"/>
    <x v="1"/>
    <x v="450"/>
    <n v="3165320"/>
    <n v="5586.2002000000002"/>
    <n v="1809.4"/>
    <n v="1986.9"/>
    <n v="305"/>
    <n v="1144211"/>
    <s v="28-Apr-2023"/>
    <n v="1986.9"/>
    <n v="1"/>
    <n v="2023"/>
    <n v="-0.19"/>
    <m/>
  </r>
  <r>
    <x v="451"/>
    <n v="1983.4"/>
    <n v="2005"/>
    <n v="1976.9"/>
    <n v="1980.1"/>
    <n v="210"/>
    <n v="1989.8"/>
    <n v="1990.5367000000001"/>
    <n v="1907.1688999999999"/>
    <x v="450"/>
    <n v="0.46050000000000002"/>
    <n v="1.0196000000000001"/>
    <n v="46.492800000000003"/>
    <n v="11.0572"/>
    <n v="17.937000000000001"/>
    <n v="2032.6411000000001"/>
    <n v="1965.5689"/>
    <x v="1"/>
    <x v="1"/>
    <x v="451"/>
    <n v="3165168"/>
    <n v="5586.2002000000002"/>
    <n v="1809.4"/>
    <n v="1980.1"/>
    <n v="305"/>
    <n v="1144211"/>
    <s v="01-May-2023"/>
    <n v="1980.1"/>
    <n v="1"/>
    <n v="2023"/>
    <n v="-0.34"/>
    <m/>
  </r>
  <r>
    <x v="452"/>
    <n v="2014.3"/>
    <n v="2018"/>
    <n v="1994.7"/>
    <n v="1994.7"/>
    <n v="1896"/>
    <n v="1989.5857000000001"/>
    <n v="1990.75"/>
    <n v="1909.4821999999999"/>
    <x v="451"/>
    <n v="0.56579999999999997"/>
    <n v="0.94830000000000003"/>
    <n v="46.757300000000001"/>
    <n v="10.4436"/>
    <n v="16.438300000000002"/>
    <n v="2030.7488000000001"/>
    <n v="1970.1212"/>
    <x v="1"/>
    <x v="1"/>
    <x v="452"/>
    <n v="3164958"/>
    <n v="5586.2002000000002"/>
    <n v="1809.4"/>
    <n v="1994.7"/>
    <n v="305"/>
    <n v="1144211"/>
    <s v="02-May-2023"/>
    <n v="1994.7"/>
    <n v="1"/>
    <n v="2023"/>
    <n v="0.74"/>
    <m/>
  </r>
  <r>
    <x v="453"/>
    <n v="2028.6"/>
    <n v="2035.1"/>
    <n v="2015.2"/>
    <n v="2017.1"/>
    <n v="1349"/>
    <n v="1994.7"/>
    <n v="1992.1932999999999"/>
    <n v="1911.7011"/>
    <x v="452"/>
    <n v="0.60009999999999997"/>
    <n v="0.95840000000000003"/>
    <n v="50.4313"/>
    <n v="11.630699999999999"/>
    <n v="15.476800000000001"/>
    <n v="2032.2838999999999"/>
    <n v="1971.836"/>
    <x v="1"/>
    <x v="1"/>
    <x v="453"/>
    <n v="3163062"/>
    <n v="5586.2002000000002"/>
    <n v="1809.4"/>
    <n v="2017.1"/>
    <n v="305"/>
    <n v="1144211"/>
    <s v="03-May-2023"/>
    <n v="2017.1"/>
    <n v="1"/>
    <n v="2023"/>
    <n v="1.1200000000000001"/>
    <m/>
  </r>
  <r>
    <x v="454"/>
    <n v="2048"/>
    <n v="2072"/>
    <n v="2040"/>
    <n v="2045"/>
    <n v="930"/>
    <n v="2001.7429"/>
    <n v="1995.4666999999999"/>
    <n v="1914.2221999999999"/>
    <x v="453"/>
    <n v="0.72409999999999997"/>
    <n v="0.94699999999999995"/>
    <n v="51.133800000000001"/>
    <n v="14.6539"/>
    <n v="15.312200000000001"/>
    <n v="2038.0129999999999"/>
    <n v="1968.3969999999999"/>
    <x v="1"/>
    <x v="1"/>
    <x v="454"/>
    <n v="3161713"/>
    <n v="5586.2002000000002"/>
    <n v="1809.4"/>
    <n v="2045"/>
    <n v="305"/>
    <n v="1144211"/>
    <s v="04-May-2023"/>
    <n v="2045"/>
    <n v="1"/>
    <n v="2023"/>
    <n v="1.38"/>
    <m/>
  </r>
  <r>
    <x v="455"/>
    <n v="2017.4"/>
    <n v="2046.4"/>
    <n v="2004.3"/>
    <n v="2046.4"/>
    <n v="59"/>
    <n v="2008.6857"/>
    <n v="1997.33"/>
    <n v="1917.0233000000001"/>
    <x v="454"/>
    <n v="0.72629999999999995"/>
    <n v="0.86199999999999999"/>
    <n v="65.6631"/>
    <n v="16.967199999999998"/>
    <n v="15.6432"/>
    <n v="2043.4313"/>
    <n v="1965.3986"/>
    <x v="0"/>
    <x v="1"/>
    <x v="455"/>
    <n v="3160783"/>
    <n v="5586.2002000000002"/>
    <n v="1809.4"/>
    <n v="2046.4"/>
    <n v="305"/>
    <n v="1144211"/>
    <s v="05-May-2023"/>
    <n v="2046.4"/>
    <n v="1"/>
    <n v="2023"/>
    <n v="7.0000000000000007E-2"/>
    <m/>
  </r>
  <r>
    <x v="456"/>
    <n v="2026.3"/>
    <n v="2026.3"/>
    <n v="2022.5"/>
    <n v="2022.5"/>
    <n v="3"/>
    <n v="2013.2429"/>
    <n v="1998.3567"/>
    <n v="1919.4577999999999"/>
    <x v="455"/>
    <n v="0.90049999999999997"/>
    <n v="0.89239999999999997"/>
    <n v="58.1218"/>
    <n v="16.6797"/>
    <n v="15.8505"/>
    <n v="2045.3106"/>
    <n v="1965.7693999999999"/>
    <x v="1"/>
    <x v="1"/>
    <x v="456"/>
    <n v="3160724"/>
    <n v="5586.2002000000002"/>
    <n v="1809.4"/>
    <n v="2022.5"/>
    <n v="304"/>
    <n v="1144152"/>
    <s v="08-May-2023"/>
    <n v="2022.5"/>
    <n v="1"/>
    <n v="2023"/>
    <n v="-1.17"/>
    <m/>
  </r>
  <r>
    <x v="457"/>
    <n v="2036.2"/>
    <n v="2037.3"/>
    <n v="2025.9"/>
    <n v="2026.6"/>
    <n v="241"/>
    <n v="2018.9142999999999"/>
    <n v="2000.67"/>
    <n v="1921.94"/>
    <x v="456"/>
    <n v="0.88229999999999997"/>
    <n v="0.82620000000000005"/>
    <n v="56.834499999999998"/>
    <n v="16.5914"/>
    <n v="15.998699999999999"/>
    <n v="2047.5483999999999"/>
    <n v="1967.0515"/>
    <x v="1"/>
    <x v="1"/>
    <x v="457"/>
    <n v="3160721"/>
    <n v="5586.2002000000002"/>
    <n v="1809.4"/>
    <n v="2026.6"/>
    <n v="304"/>
    <n v="1144152"/>
    <s v="09-May-2023"/>
    <n v="2026.6"/>
    <n v="1"/>
    <n v="2023"/>
    <n v="0.2"/>
    <m/>
  </r>
  <r>
    <x v="458"/>
    <n v="2030.5"/>
    <n v="2044.3"/>
    <n v="2029.5"/>
    <n v="2032.3"/>
    <n v="248"/>
    <n v="2026.3714"/>
    <n v="2002.6667"/>
    <n v="1924.4567"/>
    <x v="457"/>
    <n v="0.8387"/>
    <n v="0.8175"/>
    <n v="61.365099999999998"/>
    <n v="16.7879"/>
    <n v="16.156500000000001"/>
    <n v="2050.4025000000001"/>
    <n v="1966.9074000000001"/>
    <x v="0"/>
    <x v="1"/>
    <x v="458"/>
    <n v="3160480"/>
    <n v="5586.2002000000002"/>
    <n v="1809.4"/>
    <n v="2032.3"/>
    <n v="304"/>
    <n v="1144152"/>
    <s v="10-May-2023"/>
    <n v="2032.3"/>
    <n v="1"/>
    <n v="2023"/>
    <n v="0.28000000000000003"/>
    <m/>
  </r>
  <r>
    <x v="459"/>
    <n v="2014.7"/>
    <n v="2038.3"/>
    <n v="2014"/>
    <n v="2034.1"/>
    <n v="90"/>
    <n v="2032"/>
    <n v="2004.9332999999999"/>
    <n v="1926.8688999999999"/>
    <x v="458"/>
    <n v="0.82779999999999998"/>
    <n v="0.81359999999999999"/>
    <n v="62.558"/>
    <n v="16.894100000000002"/>
    <n v="16.304099999999998"/>
    <n v="2052.7703000000001"/>
    <n v="1966.3896999999999"/>
    <x v="0"/>
    <x v="1"/>
    <x v="459"/>
    <n v="3160232"/>
    <n v="5586.2002000000002"/>
    <n v="1809.4"/>
    <n v="2034.1"/>
    <n v="303"/>
    <n v="1143904"/>
    <s v="11-May-2023"/>
    <n v="2034.1"/>
    <n v="1"/>
    <n v="2023"/>
    <n v="0.09"/>
    <m/>
  </r>
  <r>
    <x v="460"/>
    <n v="2014.5"/>
    <n v="2014.5"/>
    <n v="2014.5"/>
    <n v="2014.5"/>
    <n v="115"/>
    <n v="2031.6286"/>
    <n v="2006.5533"/>
    <n v="1928.85"/>
    <x v="405"/>
    <n v="0.85019999999999996"/>
    <n v="0.83699999999999997"/>
    <n v="60.668399999999998"/>
    <n v="15.221299999999999"/>
    <n v="16.087499999999999"/>
    <n v="2048.9400999999998"/>
    <n v="1967.5699"/>
    <x v="1"/>
    <x v="1"/>
    <x v="460"/>
    <n v="3160142"/>
    <n v="5586.2002000000002"/>
    <n v="1809.4"/>
    <n v="2014.5"/>
    <n v="302"/>
    <n v="1143814"/>
    <s v="12-May-2023"/>
    <n v="2014.5"/>
    <n v="1"/>
    <n v="2023"/>
    <n v="-0.96"/>
    <m/>
  </r>
  <r>
    <x v="461"/>
    <n v="2018"/>
    <n v="2018"/>
    <n v="2013.8"/>
    <n v="2013.8"/>
    <n v="3"/>
    <n v="2027.1713999999999"/>
    <n v="2007.6367"/>
    <n v="1930.7189000000001"/>
    <x v="459"/>
    <n v="0.59079999999999999"/>
    <n v="0.82679999999999998"/>
    <n v="56.377800000000001"/>
    <n v="13.6813"/>
    <n v="15.606299999999999"/>
    <n v="2049.4787999999999"/>
    <n v="1968.1412"/>
    <x v="1"/>
    <x v="1"/>
    <x v="461"/>
    <n v="3160027"/>
    <n v="5586.2002000000002"/>
    <n v="1809.4"/>
    <n v="2013.8"/>
    <n v="302"/>
    <n v="1143814"/>
    <s v="15-May-2023"/>
    <n v="2013.8"/>
    <n v="1"/>
    <n v="2023"/>
    <n v="-0.03"/>
    <m/>
  </r>
  <r>
    <x v="462"/>
    <n v="1988.4"/>
    <n v="1988.4"/>
    <n v="1988.4"/>
    <n v="1988.4"/>
    <n v="49"/>
    <n v="2018.8857"/>
    <n v="2008.3133"/>
    <n v="1932.1989000000001"/>
    <x v="460"/>
    <n v="0.68899999999999995"/>
    <n v="0.85150000000000003"/>
    <n v="47.155000000000001"/>
    <n v="10.2927"/>
    <n v="14.5435"/>
    <n v="2049.7496000000001"/>
    <n v="1967.0204000000001"/>
    <x v="1"/>
    <x v="1"/>
    <x v="462"/>
    <n v="3160024"/>
    <n v="5586.2002000000002"/>
    <n v="1809.4"/>
    <n v="1988.4"/>
    <n v="302"/>
    <n v="1143814"/>
    <s v="16-May-2023"/>
    <n v="1988.4"/>
    <n v="1"/>
    <n v="2023"/>
    <n v="-1.26"/>
    <m/>
  </r>
  <r>
    <x v="463"/>
    <n v="1980.7"/>
    <n v="1983.6"/>
    <n v="1980.7"/>
    <n v="1983.6"/>
    <n v="13"/>
    <n v="2013.3286000000001"/>
    <n v="2008.28"/>
    <n v="1933.8122000000001"/>
    <x v="461"/>
    <n v="0.60219999999999996"/>
    <n v="0.83919999999999995"/>
    <n v="47.850099999999998"/>
    <n v="7.1375999999999999"/>
    <n v="13.0624"/>
    <n v="2050.1017000000002"/>
    <n v="1964.4583"/>
    <x v="0"/>
    <x v="1"/>
    <x v="463"/>
    <n v="3159975"/>
    <n v="5586.2002000000002"/>
    <n v="1809.4"/>
    <n v="1983.6"/>
    <n v="302"/>
    <n v="1143814"/>
    <s v="17-May-2023"/>
    <n v="1983.6"/>
    <n v="1"/>
    <n v="2023"/>
    <n v="-0.24"/>
    <m/>
  </r>
  <r>
    <x v="464"/>
    <n v="1956.5"/>
    <n v="1956.8"/>
    <n v="1956.5"/>
    <n v="1956.5"/>
    <n v="23"/>
    <n v="2003.3143"/>
    <n v="2006.0933"/>
    <n v="1934.8067000000001"/>
    <x v="462"/>
    <n v="0.68130000000000002"/>
    <n v="0.79610000000000003"/>
    <n v="41.8367"/>
    <n v="2.4224999999999999"/>
    <n v="10.9344"/>
    <n v="2053.5817000000002"/>
    <n v="1956.8282999999999"/>
    <x v="1"/>
    <x v="1"/>
    <x v="464"/>
    <n v="3159962"/>
    <n v="5586.2002000000002"/>
    <n v="1809.4"/>
    <n v="1956.5"/>
    <n v="301"/>
    <n v="1143801"/>
    <s v="18-May-2023"/>
    <n v="1956.5"/>
    <n v="1"/>
    <n v="2023"/>
    <n v="-1.37"/>
    <m/>
  </r>
  <r>
    <x v="465"/>
    <n v="1978.7"/>
    <n v="1978.7"/>
    <n v="1960"/>
    <n v="1960"/>
    <n v="106"/>
    <n v="1992.9857"/>
    <n v="2004.02"/>
    <n v="1935.72"/>
    <x v="463"/>
    <n v="0.66259999999999997"/>
    <n v="0.79749999999999999"/>
    <n v="44.505200000000002"/>
    <n v="-1.0201"/>
    <n v="8.5434999999999999"/>
    <n v="2055.7366000000002"/>
    <n v="1951.0534"/>
    <x v="1"/>
    <x v="1"/>
    <x v="465"/>
    <n v="3159939"/>
    <n v="5586.2002000000002"/>
    <n v="1809.4"/>
    <n v="1960"/>
    <n v="301"/>
    <n v="1143801"/>
    <s v="19-May-2023"/>
    <n v="1960"/>
    <n v="1"/>
    <n v="2023"/>
    <n v="0.18"/>
    <m/>
  </r>
  <r>
    <x v="466"/>
    <n v="1974.8"/>
    <n v="1980.5"/>
    <n v="1974.8"/>
    <n v="1980.5"/>
    <n v="8"/>
    <n v="1985.3286000000001"/>
    <n v="2003.37"/>
    <n v="1936.9132999999999"/>
    <x v="464"/>
    <n v="0.87309999999999999"/>
    <n v="0.80120000000000002"/>
    <n v="46.239400000000003"/>
    <n v="-2.0703999999999998"/>
    <n v="6.4207000000000001"/>
    <n v="2055.7689"/>
    <n v="1950.9411"/>
    <x v="0"/>
    <x v="1"/>
    <x v="466"/>
    <n v="3159833"/>
    <n v="5586.2002000000002"/>
    <n v="1809.4"/>
    <n v="1980.5"/>
    <n v="301"/>
    <n v="1143801"/>
    <s v="22-May-2023"/>
    <n v="1980.5"/>
    <n v="1"/>
    <n v="2023"/>
    <n v="1.05"/>
    <m/>
  </r>
  <r>
    <x v="467"/>
    <n v="1972.4"/>
    <n v="1972.4"/>
    <n v="1972.4"/>
    <n v="1972.4"/>
    <n v="1"/>
    <n v="1979.3143"/>
    <n v="2002.7366999999999"/>
    <n v="1937.9711"/>
    <x v="465"/>
    <n v="0.83540000000000003"/>
    <n v="0.80079999999999996"/>
    <n v="37.192"/>
    <n v="-3.5156999999999998"/>
    <n v="4.4333999999999998"/>
    <n v="2056.3276999999998"/>
    <n v="1948.0523000000001"/>
    <x v="1"/>
    <x v="1"/>
    <x v="467"/>
    <n v="3159825"/>
    <n v="5586.2002000000002"/>
    <n v="1809.4"/>
    <n v="1972.4"/>
    <n v="300"/>
    <n v="1143793"/>
    <s v="23-May-2023"/>
    <n v="1972.4"/>
    <n v="1"/>
    <n v="2023"/>
    <n v="-0.41"/>
    <m/>
  </r>
  <r>
    <x v="468"/>
    <n v="1962.8"/>
    <n v="1975.4"/>
    <n v="1962.8"/>
    <n v="1975.4"/>
    <n v="189"/>
    <n v="1973.8286000000001"/>
    <n v="2001.7433000000001"/>
    <n v="1938.82"/>
    <x v="466"/>
    <n v="0.84809999999999997"/>
    <n v="0.79"/>
    <n v="26.738"/>
    <n v="-4.3688000000000002"/>
    <n v="2.673"/>
    <n v="2056.5014999999999"/>
    <n v="1945.6385"/>
    <x v="0"/>
    <x v="2"/>
    <x v="468"/>
    <n v="3159824"/>
    <n v="5586.2002000000002"/>
    <n v="1809.4"/>
    <n v="1975.4"/>
    <n v="300"/>
    <n v="1143793"/>
    <s v="24-May-2023"/>
    <n v="1975.4"/>
    <n v="1"/>
    <n v="2023"/>
    <n v="0.15"/>
    <m/>
  </r>
  <r>
    <x v="469"/>
    <n v="1943.1"/>
    <n v="1943.1"/>
    <n v="1943.1"/>
    <n v="1943.1"/>
    <n v="1"/>
    <n v="1967.3570999999999"/>
    <n v="1999.3267000000001"/>
    <n v="1939.0755999999999"/>
    <x v="467"/>
    <n v="0.92879999999999996"/>
    <n v="0.83350000000000002"/>
    <n v="21.385000000000002"/>
    <n v="-7.5640000000000001"/>
    <n v="0.62560000000000004"/>
    <n v="2059.7957000000001"/>
    <n v="1937.5943"/>
    <x v="1"/>
    <x v="2"/>
    <x v="469"/>
    <n v="3159635"/>
    <n v="5586.2002000000002"/>
    <n v="1809.4"/>
    <n v="1943.1"/>
    <n v="299"/>
    <n v="1143604"/>
    <s v="25-May-2023"/>
    <n v="1943.1"/>
    <n v="1"/>
    <n v="2023"/>
    <n v="-1.64"/>
    <m/>
  </r>
  <r>
    <x v="470"/>
    <n v="1944.1"/>
    <n v="1948.4"/>
    <n v="1944.1"/>
    <n v="1948.2"/>
    <n v="166036"/>
    <n v="1962.3"/>
    <n v="1996.2333000000001"/>
    <n v="1939.4878000000001"/>
    <x v="468"/>
    <n v="0.95550000000000002"/>
    <n v="0.79569999999999996"/>
    <n v="27.025300000000001"/>
    <n v="-9.5742999999999991"/>
    <n v="-1.4144000000000001"/>
    <n v="2061.7602999999999"/>
    <n v="1931.7597000000001"/>
    <x v="0"/>
    <x v="2"/>
    <x v="470"/>
    <n v="3159634"/>
    <n v="5586.2002000000002"/>
    <n v="1809.4"/>
    <n v="1948.2"/>
    <n v="299"/>
    <n v="1143604"/>
    <s v="26-May-2023"/>
    <n v="1948.2"/>
    <n v="1"/>
    <n v="2023"/>
    <n v="0.26"/>
    <m/>
  </r>
  <r>
    <x v="471"/>
    <n v="1958"/>
    <n v="1962.6"/>
    <n v="1931"/>
    <n v="1942.7"/>
    <n v="37838"/>
    <n v="1960.3286000000001"/>
    <n v="1994.2333000000001"/>
    <n v="1939.7166999999999"/>
    <x v="469"/>
    <n v="0.82369999999999999"/>
    <n v="0.7268"/>
    <n v="24.279599999999999"/>
    <n v="-11.478999999999999"/>
    <n v="-3.4272999999999998"/>
    <n v="2063.9344999999998"/>
    <n v="1925.8454999999999"/>
    <x v="1"/>
    <x v="2"/>
    <x v="471"/>
    <n v="2993598"/>
    <n v="5586.2002000000002"/>
    <n v="1809.4"/>
    <n v="1942.7"/>
    <n v="298"/>
    <n v="977568"/>
    <s v="30-May-2023"/>
    <n v="1942.7"/>
    <n v="1"/>
    <n v="2023"/>
    <n v="-0.28000000000000003"/>
    <m/>
  </r>
  <r>
    <x v="472"/>
    <n v="1963.9"/>
    <n v="1973"/>
    <n v="1953"/>
    <n v="1958.2"/>
    <n v="5959"/>
    <n v="1960.0714"/>
    <n v="1992.9432999999999"/>
    <n v="1940.1178"/>
    <x v="470"/>
    <n v="0.88900000000000001"/>
    <n v="0.74380000000000002"/>
    <n v="28.571400000000001"/>
    <n v="-11.603999999999999"/>
    <n v="-5.0625999999999998"/>
    <n v="2064.0333999999998"/>
    <n v="1922.0966000000001"/>
    <x v="1"/>
    <x v="2"/>
    <x v="472"/>
    <n v="2955760"/>
    <n v="5586.2002000000002"/>
    <n v="1809.4"/>
    <n v="1958.2"/>
    <n v="298"/>
    <n v="977568"/>
    <s v="31-May-2023"/>
    <n v="1958.2"/>
    <n v="1"/>
    <n v="2023"/>
    <n v="0.8"/>
    <m/>
  </r>
  <r>
    <x v="473"/>
    <n v="1978"/>
    <n v="1983"/>
    <n v="1954.3"/>
    <n v="1963.2"/>
    <n v="750"/>
    <n v="1957.6"/>
    <n v="1991.5266999999999"/>
    <n v="1940.5255999999999"/>
    <x v="471"/>
    <n v="0.77559999999999996"/>
    <n v="0.74029999999999996"/>
    <n v="29.869399999999999"/>
    <n v="-11.1708"/>
    <n v="-6.2843"/>
    <n v="2061.5886"/>
    <n v="1919.1514"/>
    <x v="1"/>
    <x v="2"/>
    <x v="473"/>
    <n v="2949801"/>
    <n v="5586.2002000000002"/>
    <n v="1809.4"/>
    <n v="1963.2"/>
    <n v="298"/>
    <n v="977568"/>
    <s v="01-Jun-2023"/>
    <n v="1963.2"/>
    <n v="1"/>
    <n v="2023"/>
    <n v="0.26"/>
    <m/>
  </r>
  <r>
    <x v="474"/>
    <n v="1952.4"/>
    <n v="1982.5"/>
    <n v="1947.4"/>
    <n v="1977.1"/>
    <n v="356"/>
    <n v="1958.2714000000001"/>
    <n v="1990.83"/>
    <n v="1941.0289"/>
    <x v="472"/>
    <n v="0.82050000000000001"/>
    <n v="0.751"/>
    <n v="39.025799999999997"/>
    <n v="-9.5952999999999999"/>
    <n v="-6.9465000000000003"/>
    <n v="2053.5506999999998"/>
    <n v="1920.3993"/>
    <x v="0"/>
    <x v="1"/>
    <x v="474"/>
    <n v="2949051"/>
    <n v="5586.2002000000002"/>
    <n v="1809.4"/>
    <n v="1977.1"/>
    <n v="298"/>
    <n v="977568"/>
    <s v="02-Jun-2023"/>
    <n v="1977.1"/>
    <n v="1"/>
    <n v="2023"/>
    <n v="0.71"/>
    <m/>
  </r>
  <r>
    <x v="475"/>
    <n v="1958"/>
    <n v="1961.9"/>
    <n v="1937.8"/>
    <n v="1947.5"/>
    <n v="713"/>
    <n v="1954.2856999999999"/>
    <n v="1989.2067"/>
    <n v="1941.0989"/>
    <x v="473"/>
    <n v="0.99919999999999998"/>
    <n v="0.79730000000000001"/>
    <n v="33.366799999999998"/>
    <n v="-10.6128"/>
    <n v="-7.6797000000000004"/>
    <n v="2044.5917999999999"/>
    <n v="1919.4682"/>
    <x v="1"/>
    <x v="1"/>
    <x v="475"/>
    <n v="2948695"/>
    <n v="5586.2002000000002"/>
    <n v="1809.4"/>
    <n v="1947.5"/>
    <n v="297"/>
    <n v="977212"/>
    <s v="05-Jun-2023"/>
    <n v="1947.5"/>
    <n v="1"/>
    <n v="2023"/>
    <n v="-1.5"/>
    <m/>
  </r>
  <r>
    <x v="476"/>
    <n v="1965.5"/>
    <n v="1965.5"/>
    <n v="1958.8"/>
    <n v="1960.8"/>
    <n v="164"/>
    <n v="1956.8143"/>
    <n v="1988.5233000000001"/>
    <n v="1941.3678"/>
    <x v="474"/>
    <n v="0.81"/>
    <n v="0.79869999999999997"/>
    <n v="42.6282"/>
    <n v="-10.2281"/>
    <n v="-8.1893999999999991"/>
    <n v="2039.1446000000001"/>
    <n v="1918.7454"/>
    <x v="1"/>
    <x v="1"/>
    <x v="476"/>
    <n v="2947982"/>
    <n v="5586.2002000000002"/>
    <n v="1809.4"/>
    <n v="1960.8"/>
    <n v="297"/>
    <n v="977212"/>
    <s v="06-Jun-2023"/>
    <n v="1960.8"/>
    <n v="1"/>
    <n v="2023"/>
    <n v="0.68"/>
    <m/>
  </r>
  <r>
    <x v="477"/>
    <n v="1942.7"/>
    <n v="1968.4"/>
    <n v="1940.7"/>
    <n v="1959"/>
    <n v="139"/>
    <n v="1958.3570999999999"/>
    <n v="1987.3"/>
    <n v="1941.7056"/>
    <x v="475"/>
    <n v="0.81159999999999999"/>
    <n v="0.78580000000000005"/>
    <n v="43.322499999999998"/>
    <n v="-9.9536999999999995"/>
    <n v="-8.5422999999999991"/>
    <n v="2031.9701"/>
    <n v="1919.1599000000001"/>
    <x v="0"/>
    <x v="1"/>
    <x v="477"/>
    <n v="2947818"/>
    <n v="5586.2002000000002"/>
    <n v="1809.4"/>
    <n v="1959"/>
    <n v="297"/>
    <n v="977212"/>
    <s v="07-Jun-2023"/>
    <n v="1959"/>
    <n v="1"/>
    <n v="2023"/>
    <n v="-0.09"/>
    <m/>
  </r>
  <r>
    <x v="478"/>
    <n v="1963.6"/>
    <n v="1969"/>
    <n v="1943.1"/>
    <n v="1943.2"/>
    <n v="433"/>
    <n v="1958.4286"/>
    <n v="1985.48"/>
    <n v="1941.8711000000001"/>
    <x v="476"/>
    <n v="0.87270000000000003"/>
    <n v="0.79679999999999995"/>
    <n v="46.153799999999997"/>
    <n v="-10.8857"/>
    <n v="-9.0109999999999992"/>
    <n v="2022.4991"/>
    <n v="1919.7209"/>
    <x v="1"/>
    <x v="1"/>
    <x v="478"/>
    <n v="2947679"/>
    <n v="5586.2002000000002"/>
    <n v="1809.4"/>
    <n v="1943.2"/>
    <n v="296"/>
    <n v="977073"/>
    <s v="08-Jun-2023"/>
    <n v="1943.2"/>
    <n v="1"/>
    <n v="2023"/>
    <n v="-0.81"/>
    <m/>
  </r>
  <r>
    <x v="479"/>
    <n v="1962.2"/>
    <n v="1969.8"/>
    <n v="1960.3"/>
    <n v="1965.1"/>
    <n v="49"/>
    <n v="1959.4142999999999"/>
    <n v="1984.63"/>
    <n v="1942.3389"/>
    <x v="477"/>
    <n v="0.9294"/>
    <n v="0.82509999999999994"/>
    <n v="51.332999999999998"/>
    <n v="-9.7447999999999997"/>
    <n v="-9.1577000000000002"/>
    <n v="2009.6482000000001"/>
    <n v="1925.6718000000001"/>
    <x v="0"/>
    <x v="1"/>
    <x v="479"/>
    <n v="2947246"/>
    <n v="5586.2002000000002"/>
    <n v="1809.4"/>
    <n v="1965.1"/>
    <n v="296"/>
    <n v="977073"/>
    <s v="09-Jun-2023"/>
    <n v="1965.1"/>
    <n v="1"/>
    <n v="2023"/>
    <n v="1.1299999999999999"/>
    <m/>
  </r>
  <r>
    <x v="480"/>
    <n v="1955.3"/>
    <n v="1963.5"/>
    <n v="1951.4"/>
    <n v="1959.7"/>
    <n v="212"/>
    <n v="1958.9142999999999"/>
    <n v="1983.7233000000001"/>
    <n v="1942.7"/>
    <x v="478"/>
    <n v="0.93189999999999995"/>
    <n v="0.82579999999999998"/>
    <n v="44.0976"/>
    <n v="-9.1707000000000001"/>
    <n v="-9.1602999999999994"/>
    <n v="2000.7367999999999"/>
    <n v="1929.1031"/>
    <x v="0"/>
    <x v="1"/>
    <x v="480"/>
    <n v="2947197"/>
    <n v="5586.2002000000002"/>
    <n v="1809.4"/>
    <n v="1959.7"/>
    <n v="295"/>
    <n v="977024"/>
    <s v="12-Jun-2023"/>
    <n v="1959.7"/>
    <n v="1"/>
    <n v="2023"/>
    <n v="-0.27"/>
    <m/>
  </r>
  <r>
    <x v="481"/>
    <n v="1944.6"/>
    <n v="1967.5"/>
    <n v="1940.3"/>
    <n v="1960.6"/>
    <n v="343"/>
    <n v="1956.5571"/>
    <n v="1983.0733"/>
    <n v="1942.7922000000001"/>
    <x v="479"/>
    <n v="0.87749999999999995"/>
    <n v="0.82399999999999995"/>
    <n v="46.508899999999997"/>
    <n v="-8.5446000000000009"/>
    <n v="-9.0372000000000003"/>
    <n v="1989.7186999999999"/>
    <n v="1934.8013000000001"/>
    <x v="0"/>
    <x v="1"/>
    <x v="481"/>
    <n v="2946985"/>
    <n v="5586.2002000000002"/>
    <n v="1809.4"/>
    <n v="1960.6"/>
    <n v="294"/>
    <n v="976812"/>
    <s v="13-Jun-2023"/>
    <n v="1960.6"/>
    <n v="1"/>
    <n v="2023"/>
    <n v="0.05"/>
    <m/>
  </r>
  <r>
    <x v="482"/>
    <n v="1955.3"/>
    <n v="1958.2"/>
    <n v="1940.3"/>
    <n v="1946.2"/>
    <n v="202"/>
    <n v="1956.3714"/>
    <n v="1981.4567"/>
    <n v="1943.1677999999999"/>
    <x v="480"/>
    <n v="0.70850000000000002"/>
    <n v="0.8206"/>
    <n v="41.9069"/>
    <n v="-9.1053999999999995"/>
    <n v="-9.0508000000000006"/>
    <n v="1985.5603000000001"/>
    <n v="1934.7397000000001"/>
    <x v="1"/>
    <x v="1"/>
    <x v="482"/>
    <n v="2946642"/>
    <n v="5586.2002000000002"/>
    <n v="1809.4"/>
    <n v="1946.2"/>
    <n v="293"/>
    <n v="976469"/>
    <s v="14-Jun-2023"/>
    <n v="1946.2"/>
    <n v="1"/>
    <n v="2023"/>
    <n v="-0.73"/>
    <m/>
  </r>
  <r>
    <x v="483"/>
    <n v="1957.8"/>
    <n v="1958.8"/>
    <n v="1926"/>
    <n v="1941.7"/>
    <n v="329"/>
    <n v="1953.6428000000001"/>
    <n v="1978.9432999999999"/>
    <n v="1944.0133000000001"/>
    <x v="481"/>
    <n v="0.6411"/>
    <n v="0.78879999999999995"/>
    <n v="49.5413"/>
    <n v="-9.8000000000000007"/>
    <n v="-9.2006999999999994"/>
    <n v="1982.2023999999999"/>
    <n v="1933.9076"/>
    <x v="1"/>
    <x v="1"/>
    <x v="483"/>
    <n v="2946440"/>
    <n v="5586.2002000000002"/>
    <n v="1809.4"/>
    <n v="1941.7"/>
    <n v="293"/>
    <n v="976469"/>
    <s v="15-Jun-2023"/>
    <n v="1941.7"/>
    <n v="1"/>
    <n v="2023"/>
    <n v="-0.23"/>
    <m/>
  </r>
  <r>
    <x v="484"/>
    <n v="1958.4"/>
    <n v="1962.9"/>
    <n v="1953.5"/>
    <n v="1961.4"/>
    <n v="119"/>
    <n v="1953.9857"/>
    <n v="1976.1567"/>
    <n v="1945.0289"/>
    <x v="482"/>
    <n v="0.77649999999999997"/>
    <n v="0.7671"/>
    <n v="53.947400000000002"/>
    <n v="-8.6609999999999996"/>
    <n v="-9.0927000000000007"/>
    <n v="1982.4803999999999"/>
    <n v="1934.1196"/>
    <x v="0"/>
    <x v="1"/>
    <x v="484"/>
    <n v="2946111"/>
    <n v="5586.2002000000002"/>
    <n v="1809.4"/>
    <n v="1961.4"/>
    <n v="293"/>
    <n v="976469"/>
    <s v="16-Jun-2023"/>
    <n v="1961.4"/>
    <n v="1"/>
    <n v="2023"/>
    <n v="1.01"/>
    <m/>
  </r>
  <r>
    <x v="485"/>
    <n v="1935.5"/>
    <n v="1958.6"/>
    <n v="1931.3"/>
    <n v="1958.6"/>
    <n v="193"/>
    <n v="1956.1857"/>
    <n v="1973.23"/>
    <n v="1945.99"/>
    <x v="483"/>
    <n v="0.69499999999999995"/>
    <n v="0.7661"/>
    <n v="54.832799999999999"/>
    <n v="-7.8933"/>
    <n v="-8.8528000000000002"/>
    <n v="1982.3978"/>
    <n v="1934.0622000000001"/>
    <x v="0"/>
    <x v="1"/>
    <x v="485"/>
    <n v="2945992"/>
    <n v="5586.2002000000002"/>
    <n v="1809.4"/>
    <n v="1958.6"/>
    <n v="292"/>
    <n v="976350"/>
    <s v="20-Jun-2023"/>
    <n v="1958.6"/>
    <n v="1"/>
    <n v="2023"/>
    <n v="-0.14000000000000001"/>
    <m/>
  </r>
  <r>
    <x v="486"/>
    <n v="1933.3"/>
    <n v="1936.8"/>
    <n v="1920"/>
    <n v="1935.6"/>
    <n v="557"/>
    <n v="1951.9713999999999"/>
    <n v="1970.3333"/>
    <n v="1946.66"/>
    <x v="484"/>
    <n v="0.68059999999999998"/>
    <n v="0.76639999999999997"/>
    <n v="43.430300000000003"/>
    <n v="-9.0366"/>
    <n v="-8.8895999999999997"/>
    <n v="1979.7813000000001"/>
    <n v="1932.1886999999999"/>
    <x v="0"/>
    <x v="1"/>
    <x v="486"/>
    <n v="2945799"/>
    <n v="5586.2002000000002"/>
    <n v="1809.4"/>
    <n v="1935.6"/>
    <n v="291"/>
    <n v="976157"/>
    <s v="21-Jun-2023"/>
    <n v="1935.6"/>
    <n v="1"/>
    <n v="2023"/>
    <n v="-1.17"/>
    <m/>
  </r>
  <r>
    <x v="487"/>
    <n v="1912.7"/>
    <n v="1921"/>
    <n v="1912.1"/>
    <n v="1920"/>
    <n v="237"/>
    <n v="1946.3"/>
    <n v="1966.78"/>
    <n v="1947.3089"/>
    <x v="485"/>
    <n v="0.71709999999999996"/>
    <n v="0.77280000000000004"/>
    <n v="38.170900000000003"/>
    <n v="-11.0738"/>
    <n v="-9.3263999999999996"/>
    <n v="1980.8103000000001"/>
    <n v="1925.9195999999999"/>
    <x v="0"/>
    <x v="1"/>
    <x v="487"/>
    <n v="2945242"/>
    <n v="5586.2002000000002"/>
    <n v="1809.4"/>
    <n v="1920"/>
    <n v="290"/>
    <n v="975600"/>
    <s v="22-Jun-2023"/>
    <n v="1920"/>
    <n v="1"/>
    <n v="2023"/>
    <n v="-0.81"/>
    <m/>
  </r>
  <r>
    <x v="488"/>
    <n v="1919.1"/>
    <n v="1932.5"/>
    <n v="1918.7"/>
    <n v="1918.7"/>
    <n v="105"/>
    <n v="1940.3143"/>
    <n v="1962.9933000000001"/>
    <n v="1947.9721999999999"/>
    <x v="486"/>
    <n v="0.70950000000000002"/>
    <n v="0.76829999999999998"/>
    <n v="32.823599999999999"/>
    <n v="-12.647399999999999"/>
    <n v="-9.9906000000000006"/>
    <n v="1980.0286000000001"/>
    <n v="1921.0313000000001"/>
    <x v="1"/>
    <x v="1"/>
    <x v="488"/>
    <n v="2945005"/>
    <n v="5586.2002000000002"/>
    <n v="1809.4"/>
    <n v="1918.7"/>
    <n v="289"/>
    <n v="975363"/>
    <s v="23-Jun-2023"/>
    <n v="1918.7"/>
    <n v="1"/>
    <n v="2023"/>
    <n v="-7.0000000000000007E-2"/>
    <m/>
  </r>
  <r>
    <x v="489"/>
    <n v="1923.7"/>
    <n v="1928.5"/>
    <n v="1922.5"/>
    <n v="1922.9"/>
    <n v="71"/>
    <n v="1936.9857"/>
    <n v="1959.2867000000001"/>
    <n v="1948.7366999999999"/>
    <x v="376"/>
    <n v="0.70499999999999996"/>
    <n v="0.77029999999999998"/>
    <n v="41.4938"/>
    <n v="-13.4011"/>
    <n v="-10.672700000000001"/>
    <n v="1981.3786"/>
    <n v="1917.6614"/>
    <x v="1"/>
    <x v="1"/>
    <x v="489"/>
    <n v="2944900"/>
    <n v="5586.2002000000002"/>
    <n v="1809.4"/>
    <n v="1922.9"/>
    <n v="289"/>
    <n v="975363"/>
    <s v="26-Jun-2023"/>
    <n v="1922.9"/>
    <n v="1"/>
    <n v="2023"/>
    <n v="0.22"/>
    <m/>
  </r>
  <r>
    <x v="490"/>
    <n v="1914"/>
    <n v="1929.4"/>
    <n v="1914"/>
    <n v="1927"/>
    <n v="49"/>
    <n v="1934.8857"/>
    <n v="1956.37"/>
    <n v="1949.6811"/>
    <x v="487"/>
    <n v="0.71850000000000003"/>
    <n v="0.7591"/>
    <n v="37.518500000000003"/>
    <n v="-13.511900000000001"/>
    <n v="-11.240600000000001"/>
    <n v="1981.8761999999999"/>
    <n v="1915.0437999999999"/>
    <x v="0"/>
    <x v="1"/>
    <x v="490"/>
    <n v="2944829"/>
    <n v="5586.2002000000002"/>
    <n v="1809.4"/>
    <n v="1927"/>
    <n v="289"/>
    <n v="975363"/>
    <s v="27-Jun-2023"/>
    <n v="1927"/>
    <n v="1"/>
    <n v="2023"/>
    <n v="0.21"/>
    <m/>
  </r>
  <r>
    <x v="491"/>
    <n v="1912.3"/>
    <n v="1912.3"/>
    <n v="1912.3"/>
    <n v="1912.3"/>
    <n v="628"/>
    <n v="1927.8714"/>
    <n v="1952.9866999999999"/>
    <n v="1950.5"/>
    <x v="488"/>
    <n v="0.55079999999999996"/>
    <n v="0.76700000000000002"/>
    <n v="34.254899999999999"/>
    <n v="-14.6173"/>
    <n v="-11.915900000000001"/>
    <n v="1984.0237"/>
    <n v="1909.8562999999999"/>
    <x v="1"/>
    <x v="1"/>
    <x v="491"/>
    <n v="2944780"/>
    <n v="5586.2002000000002"/>
    <n v="1809.4"/>
    <n v="1912.3"/>
    <n v="288"/>
    <n v="975314"/>
    <s v="28-Jun-2023"/>
    <n v="1912.3"/>
    <n v="1"/>
    <n v="2023"/>
    <n v="-0.76"/>
    <m/>
  </r>
  <r>
    <x v="492"/>
    <n v="1909.2"/>
    <n v="1909.9"/>
    <n v="1892.5"/>
    <n v="1909.9"/>
    <n v="289"/>
    <n v="1920.9142999999999"/>
    <n v="1950.37"/>
    <n v="1951.4167"/>
    <x v="489"/>
    <n v="0.55200000000000005"/>
    <n v="0.73880000000000001"/>
    <n v="37.657600000000002"/>
    <n v="-15.5082"/>
    <n v="-12.634399999999999"/>
    <n v="1984.6845000000001"/>
    <n v="1904.3655000000001"/>
    <x v="0"/>
    <x v="1"/>
    <x v="492"/>
    <n v="2944152"/>
    <n v="5586.2002000000002"/>
    <n v="1809.4"/>
    <n v="1909.9"/>
    <n v="288"/>
    <n v="975314"/>
    <s v="29-Jun-2023"/>
    <n v="1909.9"/>
    <n v="1"/>
    <n v="2023"/>
    <n v="-0.13"/>
    <m/>
  </r>
  <r>
    <x v="493"/>
    <n v="1921.1"/>
    <n v="1921.1"/>
    <n v="1900.6"/>
    <n v="1908.6"/>
    <n v="445"/>
    <n v="1917.0571"/>
    <n v="1947.87"/>
    <n v="1952.15"/>
    <x v="490"/>
    <n v="0.4224"/>
    <n v="0.73860000000000003"/>
    <n v="25.284400000000002"/>
    <n v="-16.133299999999998"/>
    <n v="-13.334099999999999"/>
    <n v="1983.9813999999999"/>
    <n v="1899.6086"/>
    <x v="1"/>
    <x v="2"/>
    <x v="493"/>
    <n v="2943863"/>
    <n v="5586.2002000000002"/>
    <n v="1809.4"/>
    <n v="1908.6"/>
    <n v="287"/>
    <n v="975025"/>
    <s v="30-Jun-2023"/>
    <n v="1908.6"/>
    <n v="1"/>
    <n v="2023"/>
    <n v="-7.0000000000000007E-2"/>
    <m/>
  </r>
  <r>
    <x v="494"/>
    <n v="1921.7"/>
    <n v="1929.5"/>
    <n v="1917.9"/>
    <n v="1917.9"/>
    <n v="41"/>
    <n v="1916.7571"/>
    <n v="1946.5833"/>
    <n v="1953.0633"/>
    <x v="491"/>
    <n v="0.39500000000000002"/>
    <n v="0.70809999999999995"/>
    <n v="32.318199999999997"/>
    <n v="-15.6972"/>
    <n v="-13.806800000000001"/>
    <n v="1978.8424"/>
    <n v="1898.8276000000001"/>
    <x v="1"/>
    <x v="1"/>
    <x v="494"/>
    <n v="2943418"/>
    <n v="5586.2002000000002"/>
    <n v="1809.4"/>
    <n v="1917.9"/>
    <n v="287"/>
    <n v="975025"/>
    <s v="03-Jul-2023"/>
    <n v="1917.9"/>
    <n v="1"/>
    <n v="2023"/>
    <n v="0.49"/>
    <m/>
  </r>
  <r>
    <x v="495"/>
    <n v="1919.6"/>
    <n v="1933.9"/>
    <n v="1914.7"/>
    <n v="1923.5"/>
    <n v="193"/>
    <n v="1917.4429"/>
    <n v="1945.3667"/>
    <n v="1954.1422"/>
    <x v="492"/>
    <n v="0.41010000000000002"/>
    <n v="0.70979999999999999"/>
    <n v="34.906500000000001"/>
    <n v="-14.73"/>
    <n v="-13.991400000000001"/>
    <n v="1977.9863"/>
    <n v="1897.2836"/>
    <x v="0"/>
    <x v="1"/>
    <x v="495"/>
    <n v="2943377"/>
    <n v="5586.2002000000002"/>
    <n v="1809.4"/>
    <n v="1923.5"/>
    <n v="287"/>
    <n v="975025"/>
    <s v="05-Jul-2023"/>
    <n v="1923.5"/>
    <n v="1"/>
    <n v="2023"/>
    <n v="0.28999999999999998"/>
    <m/>
  </r>
  <r>
    <x v="496"/>
    <n v="1908.7"/>
    <n v="1910.2"/>
    <n v="1903.2"/>
    <n v="1909.3"/>
    <n v="81"/>
    <n v="1915.5"/>
    <n v="1942.9933000000001"/>
    <n v="1955.2589"/>
    <x v="493"/>
    <n v="0.49080000000000001"/>
    <n v="0.68830000000000002"/>
    <n v="34.9634"/>
    <n v="-14.936999999999999"/>
    <n v="-14.1805"/>
    <n v="1975.7584999999999"/>
    <n v="1894.3615"/>
    <x v="0"/>
    <x v="1"/>
    <x v="496"/>
    <n v="2943184"/>
    <n v="5586.2002000000002"/>
    <n v="1809.4"/>
    <n v="1909.3"/>
    <n v="286"/>
    <n v="974832"/>
    <s v="06-Jul-2023"/>
    <n v="1909.3"/>
    <n v="1"/>
    <n v="2023"/>
    <n v="-0.74"/>
    <m/>
  </r>
  <r>
    <x v="497"/>
    <n v="1926.2"/>
    <n v="1934.1"/>
    <n v="1913.4"/>
    <n v="1913.4"/>
    <n v="61"/>
    <n v="1913.5572"/>
    <n v="1941.0266999999999"/>
    <n v="1956.39"/>
    <x v="494"/>
    <n v="0.4909"/>
    <n v="0.68869999999999998"/>
    <n v="38.430100000000003"/>
    <n v="-14.602"/>
    <n v="-14.264799999999999"/>
    <n v="1972.9369999999999"/>
    <n v="1892.6229000000001"/>
    <x v="1"/>
    <x v="1"/>
    <x v="497"/>
    <n v="2943103"/>
    <n v="5586.2002000000002"/>
    <n v="1809.4"/>
    <n v="1913.4"/>
    <n v="285"/>
    <n v="974751"/>
    <s v="07-Jul-2023"/>
    <n v="1913.4"/>
    <n v="1"/>
    <n v="2023"/>
    <n v="0.21"/>
    <m/>
  </r>
  <r>
    <x v="498"/>
    <n v="1925"/>
    <n v="1926.1"/>
    <n v="1912.3"/>
    <n v="1923.6"/>
    <n v="269"/>
    <n v="1915.1713999999999"/>
    <n v="1939.3"/>
    <n v="1957.6732999999999"/>
    <x v="495"/>
    <n v="0.44119999999999998"/>
    <n v="0.69689999999999996"/>
    <n v="33.244700000000002"/>
    <n v="-13.359400000000001"/>
    <n v="-14.0837"/>
    <n v="1971.8427999999999"/>
    <n v="1891.7572"/>
    <x v="1"/>
    <x v="1"/>
    <x v="498"/>
    <n v="2943042"/>
    <n v="5586.2002000000002"/>
    <n v="1809.4"/>
    <n v="1923.6"/>
    <n v="285"/>
    <n v="974751"/>
    <s v="10-Jul-2023"/>
    <n v="1923.6"/>
    <n v="1"/>
    <n v="2023"/>
    <n v="0.53"/>
    <m/>
  </r>
  <r>
    <x v="499"/>
    <n v="1931.3"/>
    <n v="1937"/>
    <n v="1924.2"/>
    <n v="1925"/>
    <n v="142"/>
    <n v="1917.3286000000001"/>
    <n v="1938.6967"/>
    <n v="1958.7610999999999"/>
    <x v="496"/>
    <n v="0.43169999999999997"/>
    <n v="0.63290000000000002"/>
    <n v="34.919199999999996"/>
    <n v="-12.122"/>
    <n v="-13.6914"/>
    <n v="1966.7109"/>
    <n v="1892.8791000000001"/>
    <x v="1"/>
    <x v="1"/>
    <x v="499"/>
    <n v="2942773"/>
    <n v="5586.2002000000002"/>
    <n v="1809.4"/>
    <n v="1925"/>
    <n v="285"/>
    <n v="974751"/>
    <s v="11-Jul-2023"/>
    <n v="1925"/>
    <n v="1"/>
    <n v="2023"/>
    <n v="7.0000000000000007E-2"/>
    <m/>
  </r>
  <r>
    <x v="500"/>
    <n v="1956.2"/>
    <n v="1958"/>
    <n v="1932.2"/>
    <n v="1932.3"/>
    <n v="132"/>
    <n v="1920.7143000000001"/>
    <n v="1938.1667"/>
    <n v="1959.8978"/>
    <x v="497"/>
    <n v="0.43340000000000001"/>
    <n v="0.6351"/>
    <n v="48.2759"/>
    <n v="-10.432"/>
    <n v="-13.0395"/>
    <n v="1962.6"/>
    <n v="1894.25"/>
    <x v="1"/>
    <x v="1"/>
    <x v="500"/>
    <n v="2942631"/>
    <n v="5586.2002000000002"/>
    <n v="1809.4"/>
    <n v="1932.3"/>
    <n v="285"/>
    <n v="974751"/>
    <s v="12-Jul-2023"/>
    <n v="1932.3"/>
    <n v="1"/>
    <n v="2023"/>
    <n v="0.38"/>
    <m/>
  </r>
  <r>
    <x v="501"/>
    <n v="1959.2"/>
    <n v="1961.1"/>
    <n v="1953"/>
    <n v="1961.1"/>
    <n v="121"/>
    <n v="1926.8857"/>
    <n v="1938.78"/>
    <n v="1961.2733000000001"/>
    <x v="498"/>
    <n v="0.65980000000000005"/>
    <n v="0.69040000000000001"/>
    <n v="68.870500000000007"/>
    <n v="-6.6916000000000002"/>
    <n v="-11.7699"/>
    <n v="1962.7247"/>
    <n v="1894.1753000000001"/>
    <x v="0"/>
    <x v="1"/>
    <x v="501"/>
    <n v="2942499"/>
    <n v="5586.2002000000002"/>
    <n v="1809.4"/>
    <n v="1961.1"/>
    <n v="285"/>
    <n v="974751"/>
    <s v="13-Jul-2023"/>
    <n v="1961.1"/>
    <n v="1"/>
    <n v="2023"/>
    <n v="1.49"/>
    <m/>
  </r>
  <r>
    <x v="502"/>
    <n v="1960.1"/>
    <n v="1960.6"/>
    <n v="1952.7"/>
    <n v="1958.4"/>
    <n v="94"/>
    <n v="1931.8714"/>
    <n v="1938.7867000000001"/>
    <n v="1962.4411"/>
    <x v="499"/>
    <n v="0.6825"/>
    <n v="0.67569999999999997"/>
    <n v="67.996399999999994"/>
    <n v="-3.9001999999999999"/>
    <n v="-10.196"/>
    <n v="1965.0559000000001"/>
    <n v="1893.0641000000001"/>
    <x v="1"/>
    <x v="1"/>
    <x v="502"/>
    <n v="2942378"/>
    <n v="5586.2002000000002"/>
    <n v="1809.4"/>
    <n v="1958.4"/>
    <n v="284"/>
    <n v="974630"/>
    <s v="14-Jul-2023"/>
    <n v="1958.4"/>
    <n v="1"/>
    <n v="2023"/>
    <n v="-0.14000000000000001"/>
    <m/>
  </r>
  <r>
    <x v="503"/>
    <n v="1952.4"/>
    <n v="1956.5"/>
    <n v="1946.6"/>
    <n v="1954"/>
    <n v="29"/>
    <n v="1938.2571"/>
    <n v="1938.48"/>
    <n v="1963.6977999999999"/>
    <x v="500"/>
    <n v="0.57679999999999998"/>
    <n v="0.67520000000000002"/>
    <n v="64.072400000000002"/>
    <n v="-2.0198"/>
    <n v="-8.5607000000000006"/>
    <n v="1966.9767999999999"/>
    <n v="1892.3732"/>
    <x v="0"/>
    <x v="1"/>
    <x v="503"/>
    <n v="2942284"/>
    <n v="5586.2002000000002"/>
    <n v="1809.4"/>
    <n v="1954"/>
    <n v="284"/>
    <n v="974630"/>
    <s v="17-Jul-2023"/>
    <n v="1954"/>
    <n v="1"/>
    <n v="2023"/>
    <n v="-0.22"/>
    <m/>
  </r>
  <r>
    <x v="504"/>
    <n v="1977.2"/>
    <n v="1978.4"/>
    <n v="1963.4"/>
    <n v="1968.8"/>
    <n v="83"/>
    <n v="1946.1713999999999"/>
    <n v="1938.2032999999999"/>
    <n v="1965.4444000000001"/>
    <x v="501"/>
    <n v="0.59450000000000003"/>
    <n v="0.67700000000000005"/>
    <n v="67.244299999999996"/>
    <n v="0.65710000000000002"/>
    <n v="-6.7172000000000001"/>
    <n v="1968.7906"/>
    <n v="1891.2994000000001"/>
    <x v="1"/>
    <x v="1"/>
    <x v="504"/>
    <n v="2942255"/>
    <n v="5586.2002000000002"/>
    <n v="1809.4"/>
    <n v="1968.8"/>
    <n v="283"/>
    <n v="974601"/>
    <s v="18-Jul-2023"/>
    <n v="1968.8"/>
    <n v="1"/>
    <n v="2023"/>
    <n v="0.76"/>
    <m/>
  </r>
  <r>
    <x v="505"/>
    <n v="1977.5"/>
    <n v="1977.5"/>
    <n v="1973"/>
    <n v="1977"/>
    <n v="35"/>
    <n v="1953.8"/>
    <n v="1939.1867"/>
    <n v="1967.2289000000001"/>
    <x v="502"/>
    <n v="0.59209999999999996"/>
    <n v="0.62"/>
    <n v="78.203999999999994"/>
    <n v="3.4011"/>
    <n v="-4.6935000000000002"/>
    <n v="1973.2753"/>
    <n v="1888.6547"/>
    <x v="1"/>
    <x v="0"/>
    <x v="505"/>
    <n v="2942172"/>
    <n v="5586.2002000000002"/>
    <n v="1809.4"/>
    <n v="1977"/>
    <n v="283"/>
    <n v="974601"/>
    <s v="19-Jul-2023"/>
    <n v="1977"/>
    <n v="1"/>
    <n v="2023"/>
    <n v="0.42"/>
    <m/>
  </r>
  <r>
    <x v="506"/>
    <n v="1968.3"/>
    <n v="1973.7"/>
    <n v="1965.6"/>
    <n v="1973.7"/>
    <n v="638"/>
    <n v="1960.7571"/>
    <n v="1939.6167"/>
    <n v="1968.5778"/>
    <x v="503"/>
    <n v="0.62"/>
    <n v="0.60950000000000004"/>
    <n v="77.595100000000002"/>
    <n v="5.2488999999999999"/>
    <n v="-2.7050000000000001"/>
    <n v="1979.2901999999999"/>
    <n v="1886.4498000000001"/>
    <x v="0"/>
    <x v="0"/>
    <x v="506"/>
    <n v="2942137"/>
    <n v="5586.2002000000002"/>
    <n v="1809.4"/>
    <n v="1973.7"/>
    <n v="283"/>
    <n v="974601"/>
    <s v="20-Jul-2023"/>
    <n v="1973.7"/>
    <n v="1"/>
    <n v="2023"/>
    <n v="-0.17"/>
    <m/>
  </r>
  <r>
    <x v="507"/>
    <n v="1964.3"/>
    <n v="1964.3"/>
    <n v="1961.8"/>
    <n v="1961.8"/>
    <n v="50"/>
    <n v="1964.9713999999999"/>
    <n v="1939.71"/>
    <n v="1969.3667"/>
    <x v="504"/>
    <n v="0.71809999999999996"/>
    <n v="0.61990000000000001"/>
    <n v="71.077699999999993"/>
    <n v="5.6875"/>
    <n v="-1.0265"/>
    <n v="1982.6859999999999"/>
    <n v="1887.2339999999999"/>
    <x v="1"/>
    <x v="0"/>
    <x v="507"/>
    <n v="2941499"/>
    <n v="5586.2002000000002"/>
    <n v="1809.4"/>
    <n v="1961.8"/>
    <n v="282"/>
    <n v="973963"/>
    <s v="21-Jul-2023"/>
    <n v="1961.8"/>
    <n v="1"/>
    <n v="2023"/>
    <n v="-0.6"/>
    <m/>
  </r>
  <r>
    <x v="508"/>
    <n v="1960.3"/>
    <n v="1965.5"/>
    <n v="1960.3"/>
    <n v="1965.3"/>
    <n v="2"/>
    <n v="1965.5714"/>
    <n v="1940.4467"/>
    <n v="1969.9567"/>
    <x v="505"/>
    <n v="0.45329999999999998"/>
    <n v="0.60119999999999996"/>
    <n v="69.684399999999997"/>
    <n v="6.2454999999999998"/>
    <n v="0.4279"/>
    <n v="1986.2088000000001"/>
    <n v="1888.3712"/>
    <x v="0"/>
    <x v="1"/>
    <x v="508"/>
    <n v="2941449"/>
    <n v="5586.2002000000002"/>
    <n v="1809.4"/>
    <n v="1965.3"/>
    <n v="282"/>
    <n v="973963"/>
    <s v="24-Jul-2023"/>
    <n v="1965.3"/>
    <n v="1"/>
    <n v="2023"/>
    <n v="0.18"/>
    <m/>
  </r>
  <r>
    <x v="509"/>
    <n v="1962.1"/>
    <n v="1962.5"/>
    <n v="1953"/>
    <n v="1953"/>
    <n v="19"/>
    <n v="1964.8"/>
    <n v="1940.0433"/>
    <n v="1970.5021999999999"/>
    <x v="506"/>
    <n v="0.51680000000000004"/>
    <n v="0.57650000000000001"/>
    <n v="61.604999999999997"/>
    <n v="5.6303000000000001"/>
    <n v="1.4683999999999999"/>
    <n v="1987.7018"/>
    <n v="1889.8882000000001"/>
    <x v="1"/>
    <x v="1"/>
    <x v="509"/>
    <n v="2941447"/>
    <n v="5586.2002000000002"/>
    <n v="1809.4"/>
    <n v="1953"/>
    <n v="281"/>
    <n v="973961"/>
    <s v="25-Jul-2023"/>
    <n v="1953"/>
    <n v="1"/>
    <n v="2023"/>
    <n v="-0.63"/>
    <m/>
  </r>
  <r>
    <x v="510"/>
    <n v="1968.9"/>
    <n v="1972"/>
    <n v="1966.2"/>
    <n v="1966.2"/>
    <n v="51"/>
    <n v="1966.5428999999999"/>
    <n v="1940.26"/>
    <n v="1971.1278"/>
    <x v="507"/>
    <n v="0.57179999999999997"/>
    <n v="0.58799999999999997"/>
    <n v="72.561400000000006"/>
    <n v="6.1372"/>
    <n v="2.4020999999999999"/>
    <n v="1990.8001999999999"/>
    <n v="1890.7098000000001"/>
    <x v="1"/>
    <x v="0"/>
    <x v="510"/>
    <n v="2941428"/>
    <n v="5586.2002000000002"/>
    <n v="1809.4"/>
    <n v="1966.2"/>
    <n v="281"/>
    <n v="973961"/>
    <s v="26-Jul-2023"/>
    <n v="1966.2"/>
    <n v="1"/>
    <n v="2023"/>
    <n v="0.68"/>
    <m/>
  </r>
  <r>
    <x v="511"/>
    <n v="1945.4"/>
    <n v="1945.4"/>
    <n v="1945.4"/>
    <n v="1945.4"/>
    <n v="194253"/>
    <n v="1963.2"/>
    <n v="1939.7533000000001"/>
    <n v="1971.1211000000001"/>
    <x v="508"/>
    <n v="0.62780000000000002"/>
    <n v="0.61950000000000005"/>
    <n v="61.204500000000003"/>
    <n v="4.8051000000000004"/>
    <n v="2.8826999999999998"/>
    <n v="1990.6496999999999"/>
    <n v="1894.1703"/>
    <x v="1"/>
    <x v="1"/>
    <x v="511"/>
    <n v="2941377"/>
    <n v="5586.2002000000002"/>
    <n v="1809.4"/>
    <n v="1945.4"/>
    <n v="281"/>
    <n v="973961"/>
    <s v="27-Jul-2023"/>
    <n v="1945.4"/>
    <n v="1"/>
    <n v="2023"/>
    <n v="-1.06"/>
    <m/>
  </r>
  <r>
    <x v="512"/>
    <n v="1960.4"/>
    <n v="1962.2"/>
    <n v="1944.2"/>
    <n v="1945.5"/>
    <n v="23155"/>
    <n v="1958.7"/>
    <n v="1939.73"/>
    <n v="1970.6456000000001"/>
    <x v="509"/>
    <n v="0.58130000000000004"/>
    <n v="0.6048"/>
    <n v="58.2517"/>
    <n v="3.7145999999999999"/>
    <n v="3.0491000000000001"/>
    <n v="1989.9419"/>
    <n v="1898.4381000000001"/>
    <x v="1"/>
    <x v="1"/>
    <x v="512"/>
    <n v="2747124"/>
    <n v="5586.2002000000002"/>
    <n v="1809.4"/>
    <n v="1945.5"/>
    <n v="281"/>
    <n v="973961"/>
    <s v="28-Jul-2023"/>
    <n v="1945.5"/>
    <n v="1"/>
    <n v="2023"/>
    <n v="0.01"/>
    <m/>
  </r>
  <r>
    <x v="513"/>
    <n v="1970.5"/>
    <n v="1971.6"/>
    <n v="1950"/>
    <n v="1959.2"/>
    <n v="1025"/>
    <n v="1956.6286"/>
    <n v="1940.3133"/>
    <n v="1970.4833000000001"/>
    <x v="510"/>
    <n v="0.68120000000000003"/>
    <n v="0.61639999999999995"/>
    <n v="61.793100000000003"/>
    <n v="3.9108999999999998"/>
    <n v="3.2214999999999998"/>
    <n v="1989.6974"/>
    <n v="1903.7426"/>
    <x v="1"/>
    <x v="1"/>
    <x v="513"/>
    <n v="2723969"/>
    <n v="5586.2002000000002"/>
    <n v="1809.4"/>
    <n v="1959.2"/>
    <n v="281"/>
    <n v="973961"/>
    <s v="31-Jul-2023"/>
    <n v="1959.2"/>
    <n v="1"/>
    <n v="2023"/>
    <n v="0.7"/>
    <m/>
  </r>
  <r>
    <x v="514"/>
    <n v="1940.7"/>
    <n v="1965.4"/>
    <n v="1940.7"/>
    <n v="1964.9"/>
    <n v="688"/>
    <n v="1957.0714"/>
    <n v="1940.43"/>
    <n v="1970.6844000000001"/>
    <x v="511"/>
    <n v="0.6552"/>
    <n v="0.59030000000000005"/>
    <n v="61.366799999999998"/>
    <n v="4.4747000000000003"/>
    <n v="3.4721000000000002"/>
    <n v="1990.5251000000001"/>
    <n v="1907.615"/>
    <x v="0"/>
    <x v="1"/>
    <x v="514"/>
    <n v="2722944"/>
    <n v="5586.2002000000002"/>
    <n v="1809.4"/>
    <n v="1964.9"/>
    <n v="281"/>
    <n v="973961"/>
    <s v="01-Aug-2023"/>
    <n v="1964.9"/>
    <n v="1"/>
    <n v="2023"/>
    <n v="0.28999999999999998"/>
    <m/>
  </r>
  <r>
    <x v="515"/>
    <n v="1937.4"/>
    <n v="1953.6"/>
    <n v="1933.2"/>
    <n v="1948.4"/>
    <n v="652"/>
    <n v="1954.6570999999999"/>
    <n v="1940.09"/>
    <n v="1970.2166999999999"/>
    <x v="512"/>
    <n v="0.72470000000000001"/>
    <n v="0.60980000000000001"/>
    <n v="45.156399999999998"/>
    <n v="3.5493000000000001"/>
    <n v="3.4874999999999998"/>
    <n v="1989.9942000000001"/>
    <n v="1910.6358"/>
    <x v="0"/>
    <x v="1"/>
    <x v="515"/>
    <n v="2722256"/>
    <n v="5586.2002000000002"/>
    <n v="1809.4"/>
    <n v="1948.4"/>
    <n v="280"/>
    <n v="973273"/>
    <s v="02-Aug-2023"/>
    <n v="1948.4"/>
    <n v="1"/>
    <n v="2023"/>
    <n v="-0.84"/>
    <m/>
  </r>
  <r>
    <x v="516"/>
    <n v="1932"/>
    <n v="1936.5"/>
    <n v="1928"/>
    <n v="1934.2"/>
    <n v="773"/>
    <n v="1951.9713999999999"/>
    <n v="1940.0433"/>
    <n v="1969.5778"/>
    <x v="513"/>
    <n v="0.73750000000000004"/>
    <n v="0.58550000000000002"/>
    <n v="41.514699999999998"/>
    <n v="1.651"/>
    <n v="3.1202000000000001"/>
    <n v="1987.1750999999999"/>
    <n v="1915.9449"/>
    <x v="0"/>
    <x v="1"/>
    <x v="516"/>
    <n v="2721604"/>
    <n v="5586.2002000000002"/>
    <n v="1809.4"/>
    <n v="1934.2"/>
    <n v="279"/>
    <n v="972621"/>
    <s v="03-Aug-2023"/>
    <n v="1934.2"/>
    <n v="1"/>
    <n v="2023"/>
    <n v="-0.73"/>
    <m/>
  </r>
  <r>
    <x v="517"/>
    <n v="1939.6"/>
    <n v="1945"/>
    <n v="1920"/>
    <n v="1934.9"/>
    <n v="290"/>
    <n v="1947.5"/>
    <n v="1940.54"/>
    <n v="1969.33"/>
    <x v="514"/>
    <n v="0.65529999999999999"/>
    <n v="0.56540000000000001"/>
    <n v="43.124600000000001"/>
    <n v="0.20069999999999999"/>
    <n v="2.5363000000000002"/>
    <n v="1984.5009"/>
    <n v="1920.7691"/>
    <x v="1"/>
    <x v="1"/>
    <x v="517"/>
    <n v="2720831"/>
    <n v="5586.2002000000002"/>
    <n v="1809.4"/>
    <n v="1934.9"/>
    <n v="278"/>
    <n v="971848"/>
    <s v="04-Aug-2023"/>
    <n v="1934.9"/>
    <n v="1"/>
    <n v="2023"/>
    <n v="0.04"/>
    <m/>
  </r>
  <r>
    <x v="518"/>
    <n v="1933.5"/>
    <n v="1941"/>
    <n v="1929.8"/>
    <n v="1941"/>
    <n v="376"/>
    <n v="1946.8714"/>
    <n v="1941.2833000000001"/>
    <n v="1968.9811"/>
    <x v="515"/>
    <n v="0.56430000000000002"/>
    <n v="0.5675"/>
    <n v="39.324100000000001"/>
    <n v="-0.45119999999999999"/>
    <n v="1.9388000000000001"/>
    <n v="1982.8864000000001"/>
    <n v="1924.1235999999999"/>
    <x v="0"/>
    <x v="1"/>
    <x v="518"/>
    <n v="2720541"/>
    <n v="5586.2002000000002"/>
    <n v="1809.4"/>
    <n v="1941"/>
    <n v="278"/>
    <n v="971848"/>
    <s v="07-Aug-2023"/>
    <n v="1941"/>
    <n v="1"/>
    <n v="2023"/>
    <n v="0.32"/>
    <m/>
  </r>
  <r>
    <x v="519"/>
    <n v="1924.1"/>
    <n v="1933.2"/>
    <n v="1923"/>
    <n v="1931.7"/>
    <n v="555"/>
    <n v="1944.9"/>
    <n v="1941.5767000000001"/>
    <n v="1968.5989"/>
    <x v="516"/>
    <n v="0.58830000000000005"/>
    <n v="0.57420000000000004"/>
    <n v="32.749400000000001"/>
    <n v="-1.6987000000000001"/>
    <n v="1.2113"/>
    <n v="1981.9794999999999"/>
    <n v="1925.7004999999999"/>
    <x v="0"/>
    <x v="1"/>
    <x v="519"/>
    <n v="2720165"/>
    <n v="5586.2002000000002"/>
    <n v="1809.4"/>
    <n v="1931.7"/>
    <n v="277"/>
    <n v="971472"/>
    <s v="08-Aug-2023"/>
    <n v="1931.7"/>
    <n v="1"/>
    <n v="2023"/>
    <n v="-0.48"/>
    <m/>
  </r>
  <r>
    <x v="520"/>
    <n v="1915.4"/>
    <n v="1928.8"/>
    <n v="1913.7"/>
    <n v="1925.4"/>
    <n v="451"/>
    <n v="1940.0714"/>
    <n v="1941.5233000000001"/>
    <n v="1968.1488999999999"/>
    <x v="517"/>
    <n v="0.47070000000000001"/>
    <n v="0.57630000000000003"/>
    <n v="32.017899999999997"/>
    <n v="-3.1593"/>
    <n v="0.3372"/>
    <n v="1982.8878"/>
    <n v="1924.1022"/>
    <x v="0"/>
    <x v="1"/>
    <x v="520"/>
    <n v="2719610"/>
    <n v="5586.2002000000002"/>
    <n v="1809.4"/>
    <n v="1925.4"/>
    <n v="276"/>
    <n v="970917"/>
    <s v="09-Aug-2023"/>
    <n v="1925.4"/>
    <n v="1"/>
    <n v="2023"/>
    <n v="-0.33"/>
    <m/>
  </r>
  <r>
    <x v="521"/>
    <n v="1914.4"/>
    <n v="1927.8"/>
    <n v="1911.4"/>
    <n v="1921.1"/>
    <n v="178"/>
    <n v="1933.8143"/>
    <n v="1941.8167000000001"/>
    <n v="1967.48"/>
    <x v="518"/>
    <n v="0.40870000000000001"/>
    <n v="0.55989999999999995"/>
    <n v="33.938400000000001"/>
    <n v="-4.6105999999999998"/>
    <n v="-0.65239999999999998"/>
    <n v="1983.9889000000001"/>
    <n v="1919.0011"/>
    <x v="0"/>
    <x v="1"/>
    <x v="521"/>
    <n v="2719159"/>
    <n v="5586.2002000000002"/>
    <n v="1809.4"/>
    <n v="1921.1"/>
    <n v="275"/>
    <n v="970466"/>
    <s v="10-Aug-2023"/>
    <n v="1921.1"/>
    <n v="1"/>
    <n v="2023"/>
    <n v="-0.22"/>
    <m/>
  </r>
  <r>
    <x v="522"/>
    <n v="1912.9"/>
    <n v="1916.6"/>
    <n v="1911.8"/>
    <n v="1913"/>
    <n v="57"/>
    <n v="1928.7571"/>
    <n v="1941.92"/>
    <n v="1966.8678"/>
    <x v="519"/>
    <n v="0.34599999999999997"/>
    <n v="0.56510000000000005"/>
    <n v="30.0838"/>
    <n v="-6.3413000000000004"/>
    <n v="-1.7901"/>
    <n v="1985.7774999999999"/>
    <n v="1912.6724999999999"/>
    <x v="0"/>
    <x v="1"/>
    <x v="522"/>
    <n v="2718981"/>
    <n v="5586.2002000000002"/>
    <n v="1809.4"/>
    <n v="1913"/>
    <n v="274"/>
    <n v="970288"/>
    <s v="11-Aug-2023"/>
    <n v="1913"/>
    <n v="1"/>
    <n v="2023"/>
    <n v="-0.42"/>
    <m/>
  </r>
  <r>
    <x v="523"/>
    <n v="1910.6"/>
    <n v="1912.6"/>
    <n v="1903.3"/>
    <n v="1909.3"/>
    <n v="46"/>
    <n v="1925.2"/>
    <n v="1941.9432999999999"/>
    <n v="1966.0310999999999"/>
    <x v="520"/>
    <n v="0.27779999999999999"/>
    <n v="0.56610000000000005"/>
    <n v="32.192399999999999"/>
    <n v="-7.9202000000000004"/>
    <n v="-3.0160999999999998"/>
    <n v="1987.5589"/>
    <n v="1906.4211"/>
    <x v="1"/>
    <x v="1"/>
    <x v="523"/>
    <n v="2718924"/>
    <n v="5586.2002000000002"/>
    <n v="1809.4"/>
    <n v="1909.3"/>
    <n v="273"/>
    <n v="970231"/>
    <s v="14-Aug-2023"/>
    <n v="1909.3"/>
    <n v="1"/>
    <n v="2023"/>
    <n v="-0.19"/>
    <m/>
  </r>
  <r>
    <x v="524"/>
    <n v="1902.5"/>
    <n v="1907.7"/>
    <n v="1895"/>
    <n v="1906"/>
    <n v="73"/>
    <n v="1921.0714"/>
    <n v="1941.5467000000001"/>
    <n v="1964.7411"/>
    <x v="521"/>
    <n v="0.26090000000000002"/>
    <n v="0.55940000000000001"/>
    <n v="23.3156"/>
    <n v="-9.3301999999999996"/>
    <n v="-4.2789000000000001"/>
    <n v="1986.9534000000001"/>
    <n v="1900.7465999999999"/>
    <x v="0"/>
    <x v="2"/>
    <x v="524"/>
    <n v="2718878"/>
    <n v="5586.2002000000002"/>
    <n v="1809.4"/>
    <n v="1906"/>
    <n v="273"/>
    <n v="970231"/>
    <s v="15-Aug-2023"/>
    <n v="1906"/>
    <n v="1"/>
    <n v="2023"/>
    <n v="-0.17"/>
    <m/>
  </r>
  <r>
    <x v="525"/>
    <n v="1896.1"/>
    <n v="1904.5"/>
    <n v="1890.3"/>
    <n v="1904.5"/>
    <n v="22"/>
    <n v="1915.8570999999999"/>
    <n v="1940.9132999999999"/>
    <n v="1963.4332999999999"/>
    <x v="522"/>
    <n v="0.14369999999999999"/>
    <n v="0.55640000000000001"/>
    <n v="28.128399999999999"/>
    <n v="-10.4482"/>
    <n v="-5.5128000000000004"/>
    <n v="1983.7819"/>
    <n v="1896.6681000000001"/>
    <x v="0"/>
    <x v="2"/>
    <x v="525"/>
    <n v="2718805"/>
    <n v="5586.2002000000002"/>
    <n v="1809.4"/>
    <n v="1904.5"/>
    <n v="272"/>
    <n v="970158"/>
    <s v="16-Aug-2023"/>
    <n v="1904.5"/>
    <n v="1"/>
    <n v="2023"/>
    <n v="-0.08"/>
    <m/>
  </r>
  <r>
    <x v="526"/>
    <n v="1884.1"/>
    <n v="1902.4"/>
    <n v="1884"/>
    <n v="1893.7"/>
    <n v="245"/>
    <n v="1910.4286"/>
    <n v="1940.3933"/>
    <n v="1962.2521999999999"/>
    <x v="523"/>
    <n v="0.16700000000000001"/>
    <n v="0.54969999999999997"/>
    <n v="25.143999999999998"/>
    <n v="-12.066599999999999"/>
    <n v="-6.8235999999999999"/>
    <n v="1981.4978000000001"/>
    <n v="1890.9521999999999"/>
    <x v="0"/>
    <x v="2"/>
    <x v="526"/>
    <n v="2718783"/>
    <n v="5586.2002000000002"/>
    <n v="1809.4"/>
    <n v="1893.7"/>
    <n v="271"/>
    <n v="970136"/>
    <s v="17-Aug-2023"/>
    <n v="1893.7"/>
    <n v="1"/>
    <n v="2023"/>
    <n v="-0.56999999999999995"/>
    <m/>
  </r>
  <r>
    <x v="527"/>
    <n v="1886.1"/>
    <n v="1891.8"/>
    <n v="1886.1"/>
    <n v="1891.8"/>
    <n v="19"/>
    <n v="1905.6286"/>
    <n v="1939.6732999999999"/>
    <n v="1961.1456000000001"/>
    <x v="524"/>
    <n v="0.1787"/>
    <n v="0.54800000000000004"/>
    <n v="13.5282"/>
    <n v="-13.348599999999999"/>
    <n v="-8.1286000000000005"/>
    <n v="1980.4306999999999"/>
    <n v="1885.0192999999999"/>
    <x v="0"/>
    <x v="2"/>
    <x v="527"/>
    <n v="2718538"/>
    <n v="5586.2002000000002"/>
    <n v="1809.4"/>
    <n v="1891.8"/>
    <n v="270"/>
    <n v="969891"/>
    <s v="18-Aug-2023"/>
    <n v="1891.8"/>
    <n v="1"/>
    <n v="2023"/>
    <n v="-0.1"/>
    <m/>
  </r>
  <r>
    <x v="528"/>
    <n v="1893.3"/>
    <n v="1893.6"/>
    <n v="1893.3"/>
    <n v="1893.6"/>
    <n v="876"/>
    <n v="1901.7"/>
    <n v="1938.6732999999999"/>
    <n v="1959.9056"/>
    <x v="525"/>
    <n v="0.22220000000000001"/>
    <n v="0.53800000000000003"/>
    <n v="9.7174999999999994"/>
    <n v="-14.057399999999999"/>
    <n v="-9.3142999999999994"/>
    <n v="1977.3125"/>
    <n v="1880.9675"/>
    <x v="0"/>
    <x v="2"/>
    <x v="528"/>
    <n v="2718519"/>
    <n v="5586.2002000000002"/>
    <n v="1809.4"/>
    <n v="1893.6"/>
    <n v="269"/>
    <n v="969872"/>
    <s v="21-Aug-2023"/>
    <n v="1893.6"/>
    <n v="1"/>
    <n v="2023"/>
    <n v="0.1"/>
    <m/>
  </r>
  <r>
    <x v="529"/>
    <n v="1896.4"/>
    <n v="1896.8"/>
    <n v="1892.8"/>
    <n v="1894.6"/>
    <n v="46"/>
    <n v="1899.0714"/>
    <n v="1937.66"/>
    <n v="1958.5610999999999"/>
    <x v="526"/>
    <n v="0.21759999999999999"/>
    <n v="0.53790000000000004"/>
    <n v="13.150700000000001"/>
    <n v="-14.3727"/>
    <n v="-10.326000000000001"/>
    <n v="1975.3728000000001"/>
    <n v="1877.0672"/>
    <x v="1"/>
    <x v="2"/>
    <x v="529"/>
    <n v="2717643"/>
    <n v="5586.2002000000002"/>
    <n v="1809.4"/>
    <n v="1894.6"/>
    <n v="268"/>
    <n v="968996"/>
    <s v="22-Aug-2023"/>
    <n v="1894.6"/>
    <n v="1"/>
    <n v="2023"/>
    <n v="0.05"/>
    <m/>
  </r>
  <r>
    <x v="530"/>
    <n v="1918.5"/>
    <n v="1918.5"/>
    <n v="1909.6"/>
    <n v="1909.6"/>
    <n v="547"/>
    <n v="1899.1143"/>
    <n v="1936.9032999999999"/>
    <n v="1957.1011000000001"/>
    <x v="527"/>
    <n v="0.40949999999999998"/>
    <n v="0.55430000000000001"/>
    <n v="33.333300000000001"/>
    <n v="-13.259399999999999"/>
    <n v="-10.912699999999999"/>
    <n v="1969.2584999999999"/>
    <n v="1877.5214000000001"/>
    <x v="1"/>
    <x v="1"/>
    <x v="530"/>
    <n v="2717597"/>
    <n v="5586.2002000000002"/>
    <n v="1809.4"/>
    <n v="1909.6"/>
    <n v="268"/>
    <n v="968996"/>
    <s v="23-Aug-2023"/>
    <n v="1909.6"/>
    <n v="1"/>
    <n v="2023"/>
    <n v="0.79"/>
    <m/>
  </r>
  <r>
    <x v="531"/>
    <n v="1918.2"/>
    <n v="1920.8"/>
    <n v="1918.2"/>
    <n v="1920"/>
    <n v="337"/>
    <n v="1901.1143"/>
    <n v="1935.5333000000001"/>
    <n v="1956.1822"/>
    <x v="528"/>
    <n v="0.44629999999999997"/>
    <n v="0.48720000000000002"/>
    <n v="41.077800000000003"/>
    <n v="-11.4064"/>
    <n v="-11.0114"/>
    <n v="1966.8141000000001"/>
    <n v="1877.4259"/>
    <x v="0"/>
    <x v="1"/>
    <x v="531"/>
    <n v="2717050"/>
    <n v="5586.2002000000002"/>
    <n v="1809.4"/>
    <n v="1920"/>
    <n v="268"/>
    <n v="968996"/>
    <s v="24-Aug-2023"/>
    <n v="1920"/>
    <n v="1"/>
    <n v="2023"/>
    <n v="0.54"/>
    <m/>
  </r>
  <r>
    <x v="532"/>
    <n v="1911.1"/>
    <n v="1919.8"/>
    <n v="1911.1"/>
    <n v="1919.8"/>
    <n v="195"/>
    <n v="1903.3"/>
    <n v="1934.2466999999999"/>
    <n v="1955.3255999999999"/>
    <x v="529"/>
    <n v="0.44240000000000002"/>
    <n v="0.48720000000000002"/>
    <n v="36.340200000000003"/>
    <n v="-9.8405000000000005"/>
    <n v="-10.777200000000001"/>
    <n v="1964.1555000000001"/>
    <n v="1877.5145"/>
    <x v="0"/>
    <x v="1"/>
    <x v="532"/>
    <n v="2716713"/>
    <n v="5586.2002000000002"/>
    <n v="1809.4"/>
    <n v="1919.8"/>
    <n v="267"/>
    <n v="968659"/>
    <s v="25-Aug-2023"/>
    <n v="1919.8"/>
    <n v="1"/>
    <n v="2023"/>
    <n v="-0.01"/>
    <m/>
  </r>
  <r>
    <x v="533"/>
    <n v="1917.9"/>
    <n v="1921.5"/>
    <n v="1915.5"/>
    <n v="1915.5"/>
    <n v="99"/>
    <n v="1906.4142999999999"/>
    <n v="1932.9632999999999"/>
    <n v="1954.3233"/>
    <x v="530"/>
    <n v="0.36670000000000003"/>
    <n v="0.48720000000000002"/>
    <n v="38.843000000000004"/>
    <n v="-8.8445999999999998"/>
    <n v="-10.390700000000001"/>
    <n v="1958.0542"/>
    <n v="1879.2457999999999"/>
    <x v="1"/>
    <x v="1"/>
    <x v="533"/>
    <n v="2716518"/>
    <n v="5586.2002000000002"/>
    <n v="1809.4"/>
    <n v="1915.5"/>
    <n v="266"/>
    <n v="968464"/>
    <s v="28-Aug-2023"/>
    <n v="1915.5"/>
    <n v="1"/>
    <n v="2023"/>
    <n v="-0.22"/>
    <m/>
  </r>
  <r>
    <x v="534"/>
    <n v="1936.5"/>
    <n v="1936.5"/>
    <n v="1916.9"/>
    <n v="1917.9"/>
    <n v="1674"/>
    <n v="1910.1429000000001"/>
    <n v="1931.2666999999999"/>
    <n v="1953.4332999999999"/>
    <x v="531"/>
    <n v="0.34910000000000002"/>
    <n v="0.46339999999999998"/>
    <n v="44.541499999999999"/>
    <n v="-7.7721"/>
    <n v="-9.8670000000000009"/>
    <n v="1949.1515999999999"/>
    <n v="1883.4484"/>
    <x v="1"/>
    <x v="1"/>
    <x v="534"/>
    <n v="2716419"/>
    <n v="5586.2002000000002"/>
    <n v="1809.4"/>
    <n v="1917.9"/>
    <n v="266"/>
    <n v="968464"/>
    <s v="29-Aug-2023"/>
    <n v="1917.9"/>
    <n v="1"/>
    <n v="2023"/>
    <n v="0.13"/>
    <m/>
  </r>
  <r>
    <x v="535"/>
    <n v="1944.3"/>
    <n v="1946.4"/>
    <n v="1934.6"/>
    <n v="1936"/>
    <n v="396"/>
    <n v="1916.2"/>
    <n v="1929.9"/>
    <n v="1952.7644"/>
    <x v="532"/>
    <n v="0.44280000000000003"/>
    <n v="0.49230000000000002"/>
    <n v="59.030299999999997"/>
    <n v="-5.3994"/>
    <n v="-8.9734999999999996"/>
    <n v="1946.3782000000001"/>
    <n v="1884.9818"/>
    <x v="1"/>
    <x v="1"/>
    <x v="535"/>
    <n v="2714745"/>
    <n v="5586.2002000000002"/>
    <n v="1809.4"/>
    <n v="1936"/>
    <n v="266"/>
    <n v="968464"/>
    <s v="30-Aug-2023"/>
    <n v="1936"/>
    <n v="1"/>
    <n v="2023"/>
    <n v="0.94"/>
    <m/>
  </r>
  <r>
    <x v="536"/>
    <n v="1938.2"/>
    <n v="1944.4"/>
    <n v="1938.2"/>
    <n v="1944.4"/>
    <n v="491"/>
    <n v="1923.3143"/>
    <n v="1928.9232999999999"/>
    <n v="1952.3543999999999"/>
    <x v="533"/>
    <n v="0.42799999999999999"/>
    <n v="0.50029999999999997"/>
    <n v="68.961399999999998"/>
    <n v="-2.8088000000000002"/>
    <n v="-7.7404999999999999"/>
    <n v="1948.4812999999999"/>
    <n v="1883.8987"/>
    <x v="0"/>
    <x v="1"/>
    <x v="536"/>
    <n v="2714349"/>
    <n v="5586.2002000000002"/>
    <n v="1809.4"/>
    <n v="1944.4"/>
    <n v="266"/>
    <n v="968464"/>
    <s v="31-Aug-2023"/>
    <n v="1944.4"/>
    <n v="1"/>
    <n v="2023"/>
    <n v="0.43"/>
    <m/>
  </r>
  <r>
    <x v="537"/>
    <n v="1939.8"/>
    <n v="1950"/>
    <n v="1936.6"/>
    <n v="1950"/>
    <n v="167"/>
    <n v="1929.0857000000001"/>
    <n v="1928.53"/>
    <n v="1951.8467000000001"/>
    <x v="534"/>
    <n v="0.38600000000000001"/>
    <n v="0.49259999999999998"/>
    <n v="74.025999999999996"/>
    <n v="-0.3004"/>
    <n v="-6.2525000000000004"/>
    <n v="1951.691"/>
    <n v="1882.1990000000001"/>
    <x v="0"/>
    <x v="0"/>
    <x v="537"/>
    <n v="2713858"/>
    <n v="5586.2002000000002"/>
    <n v="1809.4"/>
    <n v="1950"/>
    <n v="265"/>
    <n v="967973"/>
    <s v="01-Sep-2023"/>
    <n v="1950"/>
    <n v="1"/>
    <n v="2023"/>
    <n v="0.28999999999999998"/>
    <m/>
  </r>
  <r>
    <x v="538"/>
    <n v="1926.2"/>
    <n v="1934.4"/>
    <n v="1924.7"/>
    <n v="1934.4"/>
    <n v="113"/>
    <n v="1931.1429000000001"/>
    <n v="1927.5"/>
    <n v="1951.1422"/>
    <x v="535"/>
    <n v="0.54559999999999997"/>
    <n v="0.51119999999999999"/>
    <n v="64.639200000000002"/>
    <n v="0.4239"/>
    <n v="-4.9172000000000002"/>
    <n v="1950.5141000000001"/>
    <n v="1882.7158999999999"/>
    <x v="0"/>
    <x v="1"/>
    <x v="538"/>
    <n v="2713691"/>
    <n v="5586.2002000000002"/>
    <n v="1809.4"/>
    <n v="1934.4"/>
    <n v="264"/>
    <n v="967806"/>
    <s v="05-Sep-2023"/>
    <n v="1934.4"/>
    <n v="1"/>
    <n v="2023"/>
    <n v="-0.8"/>
    <m/>
  </r>
  <r>
    <x v="539"/>
    <n v="1918.1"/>
    <n v="1925.3"/>
    <n v="1916.3"/>
    <n v="1924.1"/>
    <n v="24"/>
    <n v="1931.7571"/>
    <n v="1926.5367000000001"/>
    <n v="1950.4032999999999"/>
    <x v="536"/>
    <n v="0.59770000000000001"/>
    <n v="0.50780000000000003"/>
    <n v="59.262799999999999"/>
    <n v="0.1648"/>
    <n v="-3.9007999999999998"/>
    <n v="1949.5880999999999"/>
    <n v="1882.8819000000001"/>
    <x v="0"/>
    <x v="1"/>
    <x v="539"/>
    <n v="2713578"/>
    <n v="5586.2002000000002"/>
    <n v="1809.4"/>
    <n v="1924.1"/>
    <n v="263"/>
    <n v="967693"/>
    <s v="06-Sep-2023"/>
    <n v="1924.1"/>
    <n v="1"/>
    <n v="2023"/>
    <n v="-0.53"/>
    <m/>
  </r>
  <r>
    <x v="540"/>
    <n v="1917.5"/>
    <n v="1921.5"/>
    <n v="1917.5"/>
    <n v="1917.6"/>
    <n v="41"/>
    <n v="1932.0571"/>
    <n v="1924.9167"/>
    <n v="1949.6333"/>
    <x v="537"/>
    <n v="0.60729999999999995"/>
    <n v="0.4914"/>
    <n v="61.773400000000002"/>
    <n v="-0.5585"/>
    <n v="-3.2324000000000002"/>
    <n v="1948.9282000000001"/>
    <n v="1882.7618"/>
    <x v="0"/>
    <x v="1"/>
    <x v="540"/>
    <n v="2713554"/>
    <n v="5586.2002000000002"/>
    <n v="1809.4"/>
    <n v="1917.6"/>
    <n v="262"/>
    <n v="967669"/>
    <s v="07-Sep-2023"/>
    <n v="1917.6"/>
    <n v="1"/>
    <n v="2023"/>
    <n v="-0.34"/>
    <m/>
  </r>
  <r>
    <x v="541"/>
    <n v="1918.4"/>
    <n v="1924.7"/>
    <n v="1918.4"/>
    <n v="1924"/>
    <n v="105"/>
    <n v="1932.9286"/>
    <n v="1924.2032999999999"/>
    <n v="1949.01"/>
    <x v="538"/>
    <n v="0.61850000000000005"/>
    <n v="0.46089999999999998"/>
    <n v="65.188699999999997"/>
    <n v="-0.60840000000000005"/>
    <n v="-2.7075999999999998"/>
    <n v="1949.1954000000001"/>
    <n v="1882.7846"/>
    <x v="0"/>
    <x v="1"/>
    <x v="541"/>
    <n v="2713513"/>
    <n v="5586.2002000000002"/>
    <n v="1809.4"/>
    <n v="1924"/>
    <n v="261"/>
    <n v="967628"/>
    <s v="08-Sep-2023"/>
    <n v="1924"/>
    <n v="1"/>
    <n v="2023"/>
    <n v="0.33"/>
    <m/>
  </r>
  <r>
    <x v="542"/>
    <n v="1923.3"/>
    <n v="1928.3"/>
    <n v="1921.8"/>
    <n v="1923"/>
    <n v="50"/>
    <n v="1931.0714"/>
    <n v="1923.4532999999999"/>
    <n v="1948.2132999999999"/>
    <x v="539"/>
    <n v="0.47599999999999998"/>
    <n v="0.46079999999999999"/>
    <n v="63.973399999999998"/>
    <n v="-0.72019999999999995"/>
    <n v="-2.3100999999999998"/>
    <n v="1949.8068000000001"/>
    <n v="1883.1732"/>
    <x v="1"/>
    <x v="1"/>
    <x v="542"/>
    <n v="2713408"/>
    <n v="5586.2002000000002"/>
    <n v="1809.4"/>
    <n v="1923"/>
    <n v="260"/>
    <n v="967523"/>
    <s v="11-Sep-2023"/>
    <n v="1923"/>
    <n v="1"/>
    <n v="2023"/>
    <n v="-0.05"/>
    <m/>
  </r>
  <r>
    <x v="543"/>
    <n v="1911.3"/>
    <n v="1920.8"/>
    <n v="1911.3"/>
    <n v="1920.8"/>
    <n v="365"/>
    <n v="1927.7"/>
    <n v="1922.1732999999999"/>
    <n v="1947.1433"/>
    <x v="540"/>
    <n v="0.41570000000000001"/>
    <n v="0.43909999999999999"/>
    <n v="62.312100000000001"/>
    <n v="-0.97519999999999996"/>
    <n v="-2.0430999999999999"/>
    <n v="1950.2560000000001"/>
    <n v="1883.874"/>
    <x v="0"/>
    <x v="1"/>
    <x v="543"/>
    <n v="2713358"/>
    <n v="5586.2002000000002"/>
    <n v="1809.4"/>
    <n v="1920.8"/>
    <n v="260"/>
    <n v="967523"/>
    <s v="12-Sep-2023"/>
    <n v="1920.8"/>
    <n v="1"/>
    <n v="2023"/>
    <n v="-0.11"/>
    <m/>
  </r>
  <r>
    <x v="544"/>
    <n v="1909.1"/>
    <n v="1914.6"/>
    <n v="1908.9"/>
    <n v="1910.3"/>
    <n v="15"/>
    <n v="1922.0286000000001"/>
    <n v="1920.3533"/>
    <n v="1945.6467"/>
    <x v="541"/>
    <n v="0.37940000000000002"/>
    <n v="0.44230000000000003"/>
    <n v="50.343499999999999"/>
    <n v="-2.0013999999999998"/>
    <n v="-2.0348000000000002"/>
    <n v="1950.2239999999999"/>
    <n v="1884.336"/>
    <x v="0"/>
    <x v="1"/>
    <x v="544"/>
    <n v="2712993"/>
    <n v="5586.2002000000002"/>
    <n v="1809.4"/>
    <n v="1910.3"/>
    <n v="259"/>
    <n v="967158"/>
    <s v="13-Sep-2023"/>
    <n v="1910.3"/>
    <n v="1"/>
    <n v="2023"/>
    <n v="-0.55000000000000004"/>
    <m/>
  </r>
  <r>
    <x v="545"/>
    <n v="1910"/>
    <n v="1910"/>
    <n v="1903"/>
    <n v="1903"/>
    <n v="169"/>
    <n v="1917.5428999999999"/>
    <n v="1918.84"/>
    <n v="1944.0533"/>
    <x v="542"/>
    <n v="0.31340000000000001"/>
    <n v="0.42309999999999998"/>
    <n v="41.396799999999999"/>
    <n v="-3.3650000000000002"/>
    <n v="-2.3008000000000002"/>
    <n v="1950.2781"/>
    <n v="1884.1319000000001"/>
    <x v="1"/>
    <x v="1"/>
    <x v="545"/>
    <n v="2712978"/>
    <n v="5586.2002000000002"/>
    <n v="1809.4"/>
    <n v="1903"/>
    <n v="258"/>
    <n v="967143"/>
    <s v="14-Sep-2023"/>
    <n v="1903"/>
    <n v="1"/>
    <n v="2023"/>
    <n v="-0.38"/>
    <m/>
  </r>
  <r>
    <x v="546"/>
    <n v="1923.7"/>
    <n v="1927.3"/>
    <n v="1923.5"/>
    <n v="1923.5"/>
    <n v="8"/>
    <n v="1917.4572000000001"/>
    <n v="1918.4833000000001"/>
    <n v="1942.9532999999999"/>
    <x v="543"/>
    <n v="0.55479999999999996"/>
    <n v="0.4546"/>
    <n v="51.5533"/>
    <n v="-2.7595999999999998"/>
    <n v="-2.3925999999999998"/>
    <n v="1949.9441999999999"/>
    <n v="1887.4458"/>
    <x v="1"/>
    <x v="1"/>
    <x v="546"/>
    <n v="2712809"/>
    <n v="5586.2002000000002"/>
    <n v="1809.4"/>
    <n v="1923.5"/>
    <n v="258"/>
    <n v="967143"/>
    <s v="15-Sep-2023"/>
    <n v="1923.5"/>
    <n v="1"/>
    <n v="2023"/>
    <n v="1.08"/>
    <m/>
  </r>
  <r>
    <x v="547"/>
    <n v="1931.5"/>
    <n v="1931.5"/>
    <n v="1926.4"/>
    <n v="1928.2"/>
    <n v="19"/>
    <n v="1918.9713999999999"/>
    <n v="1918.26"/>
    <n v="1941.86"/>
    <x v="544"/>
    <n v="0.53969999999999996"/>
    <n v="0.45700000000000002"/>
    <n v="55.313800000000001"/>
    <n v="-1.879"/>
    <n v="-2.2898999999999998"/>
    <n v="1949.3126"/>
    <n v="1891.7174"/>
    <x v="1"/>
    <x v="1"/>
    <x v="547"/>
    <n v="2712801"/>
    <n v="5586.2002000000002"/>
    <n v="1809.4"/>
    <n v="1928.2"/>
    <n v="258"/>
    <n v="967143"/>
    <s v="18-Sep-2023"/>
    <n v="1928.2"/>
    <n v="1"/>
    <n v="2023"/>
    <n v="0.24"/>
    <m/>
  </r>
  <r>
    <x v="548"/>
    <n v="1932"/>
    <n v="1934"/>
    <n v="1932"/>
    <n v="1934"/>
    <n v="6"/>
    <n v="1920.4"/>
    <n v="1918.0266999999999"/>
    <n v="1940.7678000000001"/>
    <x v="545"/>
    <n v="0.53720000000000001"/>
    <n v="0.45669999999999999"/>
    <n v="56.55"/>
    <n v="-0.70489999999999997"/>
    <n v="-1.9729000000000001"/>
    <n v="1948.9527"/>
    <n v="1896.1172999999999"/>
    <x v="0"/>
    <x v="1"/>
    <x v="548"/>
    <n v="2712782"/>
    <n v="5586.2002000000002"/>
    <n v="1809.4"/>
    <n v="1934"/>
    <n v="258"/>
    <n v="967143"/>
    <s v="19-Sep-2023"/>
    <n v="1934"/>
    <n v="1"/>
    <n v="2023"/>
    <n v="0.3"/>
    <m/>
  </r>
  <r>
    <x v="549"/>
    <n v="1945.6"/>
    <n v="1945.6"/>
    <n v="1929.2"/>
    <n v="1945.6"/>
    <n v="119"/>
    <n v="1923.6286"/>
    <n v="1918.49"/>
    <n v="1939.7844"/>
    <x v="546"/>
    <n v="0.56710000000000005"/>
    <n v="0.46100000000000002"/>
    <n v="54.123699999999999"/>
    <n v="1.1483000000000001"/>
    <n v="-1.3486"/>
    <n v="1949.9492"/>
    <n v="1900.2208000000001"/>
    <x v="1"/>
    <x v="1"/>
    <x v="549"/>
    <n v="2712776"/>
    <n v="5586.2002000000002"/>
    <n v="1809.4"/>
    <n v="1945.6"/>
    <n v="257"/>
    <n v="967137"/>
    <s v="20-Sep-2023"/>
    <n v="1945.6"/>
    <n v="1"/>
    <n v="2023"/>
    <n v="0.6"/>
    <m/>
  </r>
  <r>
    <x v="550"/>
    <n v="1919.2"/>
    <n v="1924"/>
    <n v="1919.2"/>
    <n v="1924"/>
    <n v="9"/>
    <n v="1924.0857000000001"/>
    <n v="1918.4432999999999"/>
    <n v="1938.7789"/>
    <x v="547"/>
    <n v="0.74639999999999995"/>
    <n v="0.502"/>
    <n v="42.129600000000003"/>
    <n v="0.86419999999999997"/>
    <n v="-0.90610000000000002"/>
    <n v="1949.5917999999999"/>
    <n v="1902.0182"/>
    <x v="0"/>
    <x v="1"/>
    <x v="550"/>
    <n v="2712657"/>
    <n v="5586.2002000000002"/>
    <n v="1809.4"/>
    <n v="1924"/>
    <n v="257"/>
    <n v="967137"/>
    <s v="21-Sep-2023"/>
    <n v="1924"/>
    <n v="1"/>
    <n v="2023"/>
    <n v="-1.1100000000000001"/>
    <m/>
  </r>
  <r>
    <x v="551"/>
    <n v="1925.4"/>
    <n v="1925.4"/>
    <n v="1925.4"/>
    <n v="1925.4"/>
    <n v="1"/>
    <n v="1926.2429"/>
    <n v="1918.5867000000001"/>
    <n v="1937.7967000000001"/>
    <x v="496"/>
    <n v="0.7026"/>
    <n v="0.50039999999999996"/>
    <n v="40.191400000000002"/>
    <n v="0.74329999999999996"/>
    <n v="-0.57620000000000005"/>
    <n v="1949.7065"/>
    <n v="1902.4436000000001"/>
    <x v="1"/>
    <x v="1"/>
    <x v="551"/>
    <n v="2712648"/>
    <n v="5586.2002000000002"/>
    <n v="1809.4"/>
    <n v="1925.4"/>
    <n v="256"/>
    <n v="967128"/>
    <s v="22-Sep-2023"/>
    <n v="1925.4"/>
    <n v="1"/>
    <n v="2023"/>
    <n v="7.0000000000000007E-2"/>
    <m/>
  </r>
  <r>
    <x v="552"/>
    <n v="1916.6"/>
    <n v="1916.6"/>
    <n v="1916.6"/>
    <n v="1916.6"/>
    <n v="114"/>
    <n v="1928.1857"/>
    <n v="1918.7067"/>
    <n v="1936.9989"/>
    <x v="548"/>
    <n v="0.71199999999999997"/>
    <n v="0.50149999999999995"/>
    <n v="42.495800000000003"/>
    <n v="-6.1800000000000001E-2"/>
    <n v="-0.4733"/>
    <n v="1949.7675999999999"/>
    <n v="1902.0624"/>
    <x v="1"/>
    <x v="1"/>
    <x v="552"/>
    <n v="2712647"/>
    <n v="5586.2002000000002"/>
    <n v="1809.4"/>
    <n v="1916.6"/>
    <n v="256"/>
    <n v="967128"/>
    <s v="25-Sep-2023"/>
    <n v="1916.6"/>
    <n v="1"/>
    <n v="2023"/>
    <n v="-0.46"/>
    <m/>
  </r>
  <r>
    <x v="553"/>
    <n v="1900.4"/>
    <n v="1905.1"/>
    <n v="1900.4"/>
    <n v="1905"/>
    <n v="161"/>
    <n v="1925.5427999999999"/>
    <n v="1918.5633"/>
    <n v="1936.1256000000001"/>
    <x v="549"/>
    <n v="0.60450000000000004"/>
    <n v="0.51270000000000004"/>
    <n v="42.034999999999997"/>
    <n v="-1.6172"/>
    <n v="-0.70209999999999995"/>
    <n v="1950.6297"/>
    <n v="1900.1503"/>
    <x v="0"/>
    <x v="1"/>
    <x v="553"/>
    <n v="2712533"/>
    <n v="5586.2002000000002"/>
    <n v="1809.4"/>
    <n v="1905"/>
    <n v="256"/>
    <n v="967128"/>
    <s v="26-Sep-2023"/>
    <n v="1905"/>
    <n v="1"/>
    <n v="2023"/>
    <n v="-0.61"/>
    <m/>
  </r>
  <r>
    <x v="554"/>
    <n v="1871.6"/>
    <n v="1871.6"/>
    <n v="1871.6"/>
    <n v="1871.6"/>
    <n v="12251"/>
    <n v="1917.4571000000001"/>
    <n v="1917.4167"/>
    <n v="1935.1822"/>
    <x v="550"/>
    <n v="0.82579999999999998"/>
    <n v="0.60350000000000004"/>
    <n v="34.3324"/>
    <n v="-5.4819000000000004"/>
    <n v="-1.6579999999999999"/>
    <n v="1957.8859"/>
    <n v="1888.2641000000001"/>
    <x v="1"/>
    <x v="1"/>
    <x v="554"/>
    <n v="2712372"/>
    <n v="5586.2002000000002"/>
    <n v="1809.4"/>
    <n v="1871.6"/>
    <n v="255"/>
    <n v="966967"/>
    <s v="27-Sep-2023"/>
    <n v="1871.6"/>
    <n v="1"/>
    <n v="2023"/>
    <n v="-1.75"/>
    <m/>
  </r>
  <r>
    <x v="555"/>
    <n v="1860.4"/>
    <n v="1878.2"/>
    <n v="1856.7"/>
    <n v="1875.5"/>
    <n v="4654"/>
    <n v="1909.1"/>
    <n v="1916.45"/>
    <n v="1934.2433000000001"/>
    <x v="551"/>
    <n v="0.81299999999999994"/>
    <n v="0.60550000000000004"/>
    <n v="33.194699999999997"/>
    <n v="-8.1361000000000008"/>
    <n v="-2.9537"/>
    <n v="1960.2320999999999"/>
    <n v="1879.8679"/>
    <x v="0"/>
    <x v="1"/>
    <x v="555"/>
    <n v="2700121"/>
    <n v="5586.2002000000002"/>
    <n v="1809.4"/>
    <n v="1875.5"/>
    <n v="255"/>
    <n v="966967"/>
    <s v="28-Sep-2023"/>
    <n v="1875.5"/>
    <n v="1"/>
    <n v="2023"/>
    <n v="0.21"/>
    <m/>
  </r>
  <r>
    <x v="556"/>
    <n v="1848.1"/>
    <n v="1872.3"/>
    <n v="1846"/>
    <n v="1864.3"/>
    <n v="1605"/>
    <n v="1897.4857"/>
    <n v="1915.47"/>
    <n v="1932.9521999999999"/>
    <x v="552"/>
    <n v="0.67290000000000005"/>
    <n v="0.60640000000000005"/>
    <n v="31.003299999999999"/>
    <n v="-11.016400000000001"/>
    <n v="-4.5662000000000003"/>
    <n v="1961.6143"/>
    <n v="1870.4757"/>
    <x v="0"/>
    <x v="1"/>
    <x v="556"/>
    <n v="2695467"/>
    <n v="5586.2002000000002"/>
    <n v="1809.4"/>
    <n v="1864.3"/>
    <n v="254"/>
    <n v="962313"/>
    <s v="29-Sep-2023"/>
    <n v="1864.3"/>
    <n v="1"/>
    <n v="2023"/>
    <n v="-0.6"/>
    <m/>
  </r>
  <r>
    <x v="557"/>
    <n v="1830"/>
    <n v="1845.9"/>
    <n v="1826.7"/>
    <n v="1844.1"/>
    <n v="2309"/>
    <n v="1886.0714"/>
    <n v="1913.88"/>
    <n v="1931.5266999999999"/>
    <x v="553"/>
    <n v="0.66959999999999997"/>
    <n v="0.6351"/>
    <n v="27.7681"/>
    <n v="-14.758900000000001"/>
    <n v="-6.6047000000000002"/>
    <n v="1963.7168999999999"/>
    <n v="1857.7831000000001"/>
    <x v="0"/>
    <x v="2"/>
    <x v="557"/>
    <n v="2693862"/>
    <n v="5586.2002000000002"/>
    <n v="1809.4"/>
    <n v="1844.1"/>
    <n v="253"/>
    <n v="960708"/>
    <s v="02-Oct-2023"/>
    <n v="1844.1"/>
    <n v="1"/>
    <n v="2023"/>
    <n v="-1.08"/>
    <m/>
  </r>
  <r>
    <x v="558"/>
    <n v="1824.6"/>
    <n v="1830.9"/>
    <n v="1816.8"/>
    <n v="1825"/>
    <n v="310"/>
    <n v="1871.7285999999999"/>
    <n v="1911.5933"/>
    <n v="1929.8556000000001"/>
    <x v="554"/>
    <n v="0.61199999999999999"/>
    <n v="0.6573"/>
    <n v="26.4495"/>
    <n v="-19.046399999999998"/>
    <n v="-9.0930999999999997"/>
    <n v="1969.3875"/>
    <n v="1841.1724999999999"/>
    <x v="0"/>
    <x v="2"/>
    <x v="558"/>
    <n v="2691553"/>
    <n v="5586.2002000000002"/>
    <n v="1809.4"/>
    <n v="1825"/>
    <n v="252"/>
    <n v="958399"/>
    <s v="03-Oct-2023"/>
    <n v="1825"/>
    <n v="1"/>
    <n v="2023"/>
    <n v="-1.04"/>
    <m/>
  </r>
  <r>
    <x v="559"/>
    <n v="1818.5"/>
    <n v="1828.2"/>
    <n v="1816.4"/>
    <n v="1821.8"/>
    <n v="357"/>
    <n v="1858.1857"/>
    <n v="1909.1667"/>
    <n v="1928.5078000000001"/>
    <x v="555"/>
    <n v="0.64370000000000005"/>
    <n v="0.65659999999999996"/>
    <n v="27.062200000000001"/>
    <n v="-22.443899999999999"/>
    <n v="-11.763199999999999"/>
    <n v="1973.5965000000001"/>
    <n v="1826.7335"/>
    <x v="0"/>
    <x v="2"/>
    <x v="559"/>
    <n v="2691243"/>
    <n v="5586.2002000000002"/>
    <n v="1809.4"/>
    <n v="1821.8"/>
    <n v="251"/>
    <n v="958089"/>
    <s v="04-Oct-2023"/>
    <n v="1821.8"/>
    <n v="1"/>
    <n v="2023"/>
    <n v="-0.18"/>
    <m/>
  </r>
  <r>
    <x v="560"/>
    <n v="1816.6"/>
    <n v="1826.3"/>
    <n v="1815.6"/>
    <n v="1826.3"/>
    <n v="393"/>
    <n v="1846.9429"/>
    <n v="1906.39"/>
    <n v="1927.1532999999999"/>
    <x v="556"/>
    <n v="0.74219999999999997"/>
    <n v="0.63749999999999996"/>
    <n v="19.813700000000001"/>
    <n v="-24.4909"/>
    <n v="-14.3088"/>
    <n v="1975.5317"/>
    <n v="1815.6683"/>
    <x v="0"/>
    <x v="2"/>
    <x v="560"/>
    <n v="2690886"/>
    <n v="5586.2002000000002"/>
    <n v="1809.4"/>
    <n v="1826.3"/>
    <n v="250"/>
    <n v="957732"/>
    <s v="05-Oct-2023"/>
    <n v="1826.3"/>
    <n v="1"/>
    <n v="2023"/>
    <n v="0.25"/>
    <m/>
  </r>
  <r>
    <x v="561"/>
    <n v="1830.2"/>
    <n v="1831.8"/>
    <n v="1809.4"/>
    <n v="1819"/>
    <n v="390"/>
    <n v="1839.4286"/>
    <n v="1903.0233000000001"/>
    <n v="1925.7789"/>
    <x v="557"/>
    <n v="0.53990000000000005"/>
    <n v="0.62539999999999996"/>
    <n v="16.626000000000001"/>
    <n v="-26.398"/>
    <n v="-16.726600000000001"/>
    <n v="1976.0151000000001"/>
    <n v="1804.6849999999999"/>
    <x v="1"/>
    <x v="2"/>
    <x v="561"/>
    <n v="2690493"/>
    <n v="5586.2002000000002"/>
    <n v="1809.4"/>
    <n v="1819"/>
    <n v="249"/>
    <n v="957339"/>
    <s v="06-Oct-2023"/>
    <n v="1819"/>
    <n v="1"/>
    <n v="2023"/>
    <n v="-0.4"/>
    <m/>
  </r>
  <r>
    <x v="562"/>
    <n v="1849.5"/>
    <n v="1861.5"/>
    <n v="1842.5"/>
    <n v="1842.5"/>
    <n v="232"/>
    <n v="1834.7143000000001"/>
    <n v="1900.4467"/>
    <n v="1924.4933000000001"/>
    <x v="558"/>
    <n v="0.82509999999999994"/>
    <n v="0.68020000000000003"/>
    <n v="24.765599999999999"/>
    <n v="-25.716699999999999"/>
    <n v="-18.5246"/>
    <n v="1973.0884000000001"/>
    <n v="1799.5616"/>
    <x v="1"/>
    <x v="2"/>
    <x v="562"/>
    <n v="2690103"/>
    <n v="5586.2002000000002"/>
    <n v="1842.5"/>
    <n v="1842.5"/>
    <n v="249"/>
    <n v="957339"/>
    <s v="09-Oct-2023"/>
    <n v="1842.5"/>
    <n v="1"/>
    <n v="2023"/>
    <n v="1.29"/>
    <m/>
  </r>
  <r>
    <x v="563"/>
    <n v="1861"/>
    <n v="1861.4"/>
    <n v="1852.8"/>
    <n v="1857"/>
    <n v="236"/>
    <n v="1833.6713999999999"/>
    <n v="1898.4966999999999"/>
    <n v="1923.3133"/>
    <x v="559"/>
    <n v="0.89139999999999997"/>
    <n v="0.70040000000000002"/>
    <n v="25.950099999999999"/>
    <n v="-23.7331"/>
    <n v="-19.566299999999998"/>
    <n v="1969.2503999999999"/>
    <n v="1797.0196000000001"/>
    <x v="1"/>
    <x v="2"/>
    <x v="563"/>
    <n v="2689871"/>
    <n v="5586.2002000000002"/>
    <n v="1852.8"/>
    <n v="1857"/>
    <n v="249"/>
    <n v="957339"/>
    <s v="10-Oct-2023"/>
    <n v="1857"/>
    <n v="1"/>
    <n v="2023"/>
    <n v="0.79"/>
    <m/>
  </r>
  <r>
    <x v="564"/>
    <n v="1872.8"/>
    <n v="1874.6"/>
    <n v="1869.1"/>
    <n v="1869.5"/>
    <n v="65"/>
    <n v="1837.3"/>
    <n v="1896.8833"/>
    <n v="1922.1178"/>
    <x v="560"/>
    <n v="0.79479999999999995"/>
    <n v="0.71350000000000002"/>
    <n v="34.4375"/>
    <n v="-20.9114"/>
    <n v="-19.8353"/>
    <n v="1966.4304"/>
    <n v="1795.7596000000001"/>
    <x v="1"/>
    <x v="1"/>
    <x v="564"/>
    <n v="2689635"/>
    <n v="5586.2002000000002"/>
    <n v="1867"/>
    <n v="1869.5"/>
    <n v="249"/>
    <n v="957339"/>
    <s v="11-Oct-2023"/>
    <n v="1869.5"/>
    <n v="1"/>
    <n v="2023"/>
    <n v="0.67"/>
    <m/>
  </r>
  <r>
    <x v="565"/>
    <n v="1869.3"/>
    <n v="1881.2"/>
    <n v="1867"/>
    <n v="1874.7"/>
    <n v="46"/>
    <n v="1844.4"/>
    <n v="1894.84"/>
    <n v="1921.3089"/>
    <x v="561"/>
    <n v="0.58130000000000004"/>
    <n v="0.6905"/>
    <n v="35.830100000000002"/>
    <n v="-18.047599999999999"/>
    <n v="-19.477799999999998"/>
    <n v="1964.4224999999999"/>
    <n v="1794.9375"/>
    <x v="0"/>
    <x v="1"/>
    <x v="565"/>
    <n v="2689570"/>
    <n v="5586.2002000000002"/>
    <n v="1867"/>
    <n v="1874.7"/>
    <n v="249"/>
    <n v="957339"/>
    <s v="12-Oct-2023"/>
    <n v="1874.7"/>
    <n v="1"/>
    <n v="2023"/>
    <n v="0.28000000000000003"/>
    <m/>
  </r>
  <r>
    <x v="566"/>
    <n v="1927.4"/>
    <n v="1930.1"/>
    <n v="1877.5"/>
    <n v="1877.5"/>
    <n v="43"/>
    <n v="1852.3570999999999"/>
    <n v="1892.61"/>
    <n v="1920.3833"/>
    <x v="562"/>
    <n v="0.54049999999999998"/>
    <n v="0.68469999999999998"/>
    <n v="38.692900000000002"/>
    <n v="-15.3748"/>
    <n v="-18.6572"/>
    <n v="1959.5735"/>
    <n v="1795.1865"/>
    <x v="1"/>
    <x v="1"/>
    <x v="566"/>
    <n v="2689524"/>
    <n v="5586.2002000000002"/>
    <n v="1877.5"/>
    <n v="1877.5"/>
    <n v="248"/>
    <n v="957293"/>
    <s v="13-Oct-2023"/>
    <n v="1877.5"/>
    <n v="1"/>
    <n v="2023"/>
    <n v="0.15"/>
    <m/>
  </r>
  <r>
    <x v="567"/>
    <n v="1921.1"/>
    <n v="1921.1"/>
    <n v="1910.3"/>
    <n v="1910.4"/>
    <n v="53"/>
    <n v="1864.3714"/>
    <n v="1891.29"/>
    <n v="1919.8433"/>
    <x v="563"/>
    <n v="0.72309999999999997"/>
    <n v="0.76219999999999999"/>
    <n v="51.390300000000003"/>
    <n v="-10.481"/>
    <n v="-17.021999999999998"/>
    <n v="1956.7286999999999"/>
    <n v="1796.2512999999999"/>
    <x v="1"/>
    <x v="1"/>
    <x v="567"/>
    <n v="2689481"/>
    <n v="5586.2002000000002"/>
    <n v="1910.3"/>
    <n v="1910.4"/>
    <n v="248"/>
    <n v="957293"/>
    <s v="16-Oct-2023"/>
    <n v="1910.4"/>
    <n v="1"/>
    <n v="2023"/>
    <n v="1.75"/>
    <m/>
  </r>
  <r>
    <x v="568"/>
    <n v="1922.7"/>
    <n v="1925.8"/>
    <n v="1914.3"/>
    <n v="1914.3"/>
    <n v="103"/>
    <n v="1877.9857"/>
    <n v="1890.62"/>
    <n v="1919.5222000000001"/>
    <x v="564"/>
    <n v="0.60350000000000004"/>
    <n v="0.75080000000000002"/>
    <n v="62.963000000000001"/>
    <n v="-6.2163000000000004"/>
    <n v="-14.860799999999999"/>
    <n v="1953.2149999999999"/>
    <n v="1797.7950000000001"/>
    <x v="1"/>
    <x v="1"/>
    <x v="568"/>
    <n v="2689428"/>
    <n v="5586.2002000000002"/>
    <n v="1914.3"/>
    <n v="1914.3"/>
    <n v="248"/>
    <n v="957293"/>
    <s v="17-Oct-2023"/>
    <n v="1914.3"/>
    <n v="1"/>
    <n v="2023"/>
    <n v="0.2"/>
    <m/>
  </r>
  <r>
    <x v="569"/>
    <n v="1955.3"/>
    <n v="1957.9"/>
    <n v="1935"/>
    <n v="1935"/>
    <n v="67"/>
    <n v="1891.2"/>
    <n v="1890.9833000000001"/>
    <n v="1919.1877999999999"/>
    <x v="565"/>
    <n v="0.5756"/>
    <n v="0.77129999999999999"/>
    <n v="66.391199999999998"/>
    <n v="-1.1529"/>
    <n v="-12.119199999999999"/>
    <n v="1950.7936999999999"/>
    <n v="1799.1563000000001"/>
    <x v="1"/>
    <x v="1"/>
    <x v="569"/>
    <n v="2689325"/>
    <n v="5586.2002000000002"/>
    <n v="1932.6"/>
    <n v="1935"/>
    <n v="248"/>
    <n v="957293"/>
    <s v="18-Oct-2023"/>
    <n v="1935"/>
    <n v="1"/>
    <n v="2023"/>
    <n v="1.08"/>
    <m/>
  </r>
  <r>
    <x v="570"/>
    <n v="1968.4"/>
    <n v="1977.7"/>
    <n v="1945.7"/>
    <n v="1950.1"/>
    <n v="1945"/>
    <n v="1904.5"/>
    <n v="1892.0667000000001"/>
    <n v="1919.0811000000001"/>
    <x v="566"/>
    <n v="0.57550000000000001"/>
    <n v="0.78029999999999999"/>
    <n v="73.139099999999999"/>
    <n v="4.0319000000000003"/>
    <n v="-8.8889999999999993"/>
    <n v="1956.4266"/>
    <n v="1796.1333999999999"/>
    <x v="1"/>
    <x v="0"/>
    <x v="570"/>
    <n v="2689258"/>
    <n v="5586.2002000000002"/>
    <n v="1932.6"/>
    <n v="1950.1"/>
    <n v="248"/>
    <n v="957293"/>
    <s v="19-Oct-2023"/>
    <n v="1950.1"/>
    <n v="1"/>
    <n v="2023"/>
    <n v="0.78"/>
    <m/>
  </r>
  <r>
    <x v="571"/>
    <n v="1982.5"/>
    <n v="1988.6"/>
    <n v="1980.4"/>
    <n v="1981.1"/>
    <n v="557"/>
    <n v="1920.4429"/>
    <n v="1893.97"/>
    <n v="1919.3089"/>
    <x v="567"/>
    <n v="0.66490000000000005"/>
    <n v="0.82779999999999998"/>
    <n v="84.913399999999996"/>
    <n v="10.521000000000001"/>
    <n v="-5.0069999999999997"/>
    <n v="1969.5965000000001"/>
    <n v="1788.5335"/>
    <x v="1"/>
    <x v="0"/>
    <x v="571"/>
    <n v="2687313"/>
    <n v="5586.2002000000002"/>
    <n v="1932.6"/>
    <n v="1981.1"/>
    <n v="248"/>
    <n v="957293"/>
    <s v="20-Oct-2023"/>
    <n v="1981.1"/>
    <n v="1"/>
    <n v="2023"/>
    <n v="1.59"/>
    <m/>
  </r>
  <r>
    <x v="572"/>
    <n v="1976.3"/>
    <n v="1978.9"/>
    <n v="1972.9"/>
    <n v="1976.2"/>
    <n v="127"/>
    <n v="1934.9429"/>
    <n v="1895.7433000000001"/>
    <n v="1919.6422"/>
    <x v="568"/>
    <n v="0.76080000000000003"/>
    <n v="0.82979999999999998"/>
    <n v="91.538399999999996"/>
    <n v="15.0943"/>
    <n v="-0.98670000000000002"/>
    <n v="1981.2837"/>
    <n v="1782.8063"/>
    <x v="1"/>
    <x v="0"/>
    <x v="572"/>
    <n v="2686756"/>
    <n v="5586.2002000000002"/>
    <n v="1932.6"/>
    <n v="1976.2"/>
    <n v="248"/>
    <n v="957293"/>
    <s v="23-Oct-2023"/>
    <n v="1976.2"/>
    <n v="1"/>
    <n v="2023"/>
    <n v="-0.25"/>
    <m/>
  </r>
  <r>
    <x v="573"/>
    <n v="1975"/>
    <n v="1975"/>
    <n v="1970.3"/>
    <n v="1970.3"/>
    <n v="10"/>
    <n v="1948.2"/>
    <n v="1897.3933"/>
    <n v="1919.96"/>
    <x v="569"/>
    <n v="0.83579999999999999"/>
    <n v="0.83199999999999996"/>
    <n v="90.200299999999999"/>
    <n v="18.034700000000001"/>
    <n v="2.8176000000000001"/>
    <n v="1991.7632000000001"/>
    <n v="1778.8568"/>
    <x v="1"/>
    <x v="0"/>
    <x v="573"/>
    <n v="2686629"/>
    <n v="5586.2002000000002"/>
    <n v="1932.6"/>
    <n v="1970.3"/>
    <n v="248"/>
    <n v="957293"/>
    <s v="24-Oct-2023"/>
    <n v="1970.3"/>
    <n v="1"/>
    <n v="2023"/>
    <n v="-0.3"/>
    <m/>
  </r>
  <r>
    <x v="574"/>
    <n v="1984.1"/>
    <n v="1985.3"/>
    <n v="1971.2"/>
    <n v="1971.2"/>
    <n v="97"/>
    <n v="1956.8857"/>
    <n v="1899.4232999999999"/>
    <n v="1920.0689"/>
    <x v="570"/>
    <n v="0.71609999999999996"/>
    <n v="0.82340000000000002"/>
    <n v="90.005499999999998"/>
    <n v="20.204699999999999"/>
    <n v="6.2949999999999999"/>
    <n v="2003.1676"/>
    <n v="1777.4123999999999"/>
    <x v="1"/>
    <x v="0"/>
    <x v="574"/>
    <n v="2686619"/>
    <n v="5586.2002000000002"/>
    <n v="1932.6"/>
    <n v="1971.2"/>
    <n v="248"/>
    <n v="957293"/>
    <s v="25-Oct-2023"/>
    <n v="1971.2"/>
    <n v="1"/>
    <n v="2023"/>
    <n v="0.05"/>
    <m/>
  </r>
  <r>
    <x v="575"/>
    <n v="1987.2"/>
    <n v="1988.2"/>
    <n v="1980.4"/>
    <n v="1988.2"/>
    <n v="521"/>
    <n v="1967.4428"/>
    <n v="1902.2633000000001"/>
    <n v="1920.3978"/>
    <x v="571"/>
    <n v="0.72160000000000002"/>
    <n v="0.82920000000000005"/>
    <n v="94.339699999999993"/>
    <n v="23.0307"/>
    <n v="9.6420999999999992"/>
    <n v="2016.6718000000001"/>
    <n v="1775.1782000000001"/>
    <x v="0"/>
    <x v="0"/>
    <x v="575"/>
    <n v="2686522"/>
    <n v="5586.2002000000002"/>
    <n v="1932.6"/>
    <n v="1988.2"/>
    <n v="248"/>
    <n v="957293"/>
    <s v="26-Oct-2023"/>
    <n v="1988.2"/>
    <n v="1"/>
    <n v="2023"/>
    <n v="0.86"/>
    <m/>
  </r>
  <r>
    <x v="576"/>
    <n v="1988.6"/>
    <n v="1988.6"/>
    <n v="1988.6"/>
    <n v="1988.6"/>
    <n v="372"/>
    <n v="1975.1"/>
    <n v="1904.4332999999999"/>
    <n v="1920.9866999999999"/>
    <x v="572"/>
    <n v="0.70120000000000005"/>
    <n v="0.81069999999999998"/>
    <n v="93.56"/>
    <n v="25.014299999999999"/>
    <n v="12.7166"/>
    <n v="2028.6893"/>
    <n v="1775.5907"/>
    <x v="1"/>
    <x v="0"/>
    <x v="576"/>
    <n v="2686001"/>
    <n v="5586.2002000000002"/>
    <n v="1932.6"/>
    <n v="1988.6"/>
    <n v="247"/>
    <n v="956772"/>
    <s v="27-Oct-2023"/>
    <n v="1988.6"/>
    <n v="1"/>
    <n v="2023"/>
    <n v="0.02"/>
    <m/>
  </r>
  <r>
    <x v="577"/>
    <n v="1996.2"/>
    <n v="2004.1"/>
    <n v="1992.5"/>
    <n v="2004.1"/>
    <n v="157"/>
    <n v="1982.8143"/>
    <n v="1906.9632999999999"/>
    <n v="1921.9211"/>
    <x v="573"/>
    <n v="0.70109999999999995"/>
    <n v="0.81950000000000001"/>
    <n v="93.598100000000002"/>
    <n v="27.5197"/>
    <n v="15.677199999999999"/>
    <n v="2041.3828000000001"/>
    <n v="1778.8972000000001"/>
    <x v="0"/>
    <x v="0"/>
    <x v="577"/>
    <n v="2685629"/>
    <n v="5586.2002000000002"/>
    <n v="1932.6"/>
    <n v="2004.1"/>
    <n v="247"/>
    <n v="956772"/>
    <s v="30-Oct-2023"/>
    <n v="2004.1"/>
    <n v="1"/>
    <n v="2023"/>
    <n v="0.78"/>
    <m/>
  </r>
  <r>
    <x v="578"/>
    <n v="1985.2"/>
    <n v="2001"/>
    <n v="1983.7"/>
    <n v="1996.5"/>
    <n v="84"/>
    <n v="1985.0143"/>
    <n v="1909.0467000000001"/>
    <n v="1922.7855999999999"/>
    <x v="574"/>
    <n v="0.51"/>
    <n v="0.82410000000000005"/>
    <n v="88.766800000000003"/>
    <n v="28.562799999999999"/>
    <n v="18.254300000000001"/>
    <n v="2048.9422"/>
    <n v="1788.4878000000001"/>
    <x v="0"/>
    <x v="0"/>
    <x v="578"/>
    <n v="2685472"/>
    <n v="5586.2002000000002"/>
    <n v="1932.6"/>
    <n v="1996.5"/>
    <n v="246"/>
    <n v="956615"/>
    <s v="31-Oct-2023"/>
    <n v="1996.5"/>
    <n v="1"/>
    <n v="2023"/>
    <n v="-0.38"/>
    <m/>
  </r>
  <r>
    <x v="579"/>
    <n v="1978.8"/>
    <n v="1990.5"/>
    <n v="1977.8"/>
    <n v="1990.5"/>
    <n v="41"/>
    <n v="1987.0571"/>
    <n v="1910.5433"/>
    <n v="1923.5367000000001"/>
    <x v="111"/>
    <n v="0.51659999999999995"/>
    <n v="0.82199999999999995"/>
    <n v="85.176199999999994"/>
    <n v="28.576000000000001"/>
    <n v="20.3186"/>
    <n v="2052.7168000000001"/>
    <n v="1801.5832"/>
    <x v="0"/>
    <x v="0"/>
    <x v="579"/>
    <n v="2685388"/>
    <n v="5586.2002000000002"/>
    <n v="1932.6"/>
    <n v="1990.5"/>
    <n v="245"/>
    <n v="956531"/>
    <s v="01-Nov-2023"/>
    <n v="1990.5"/>
    <n v="1"/>
    <n v="2023"/>
    <n v="-0.3"/>
    <m/>
  </r>
  <r>
    <x v="580"/>
    <n v="1985.6"/>
    <n v="1990.3"/>
    <n v="1979.5"/>
    <n v="1989.1"/>
    <n v="39"/>
    <n v="1989.7428"/>
    <n v="1912.7132999999999"/>
    <n v="1924.2266999999999"/>
    <x v="575"/>
    <n v="0.49359999999999998"/>
    <n v="0.79139999999999999"/>
    <n v="84.191199999999995"/>
    <n v="28.148900000000001"/>
    <n v="21.884699999999999"/>
    <n v="2054.2638999999999"/>
    <n v="1816.316"/>
    <x v="0"/>
    <x v="0"/>
    <x v="580"/>
    <n v="2685347"/>
    <n v="5586.2002000000002"/>
    <n v="1932.6"/>
    <n v="1989.1"/>
    <n v="244"/>
    <n v="956490"/>
    <s v="02-Nov-2023"/>
    <n v="1989.1"/>
    <n v="1"/>
    <n v="2023"/>
    <n v="-7.0000000000000007E-2"/>
    <m/>
  </r>
  <r>
    <x v="581"/>
    <n v="1991.5"/>
    <n v="1991.5"/>
    <n v="1989"/>
    <n v="1989"/>
    <n v="12"/>
    <n v="1992.2856999999999"/>
    <n v="1914.8333"/>
    <n v="1925.0789"/>
    <x v="576"/>
    <n v="0.4955"/>
    <n v="0.79169999999999996"/>
    <n v="80.138099999999994"/>
    <n v="27.485499999999998"/>
    <n v="23.004899999999999"/>
    <n v="2051.5437999999999"/>
    <n v="1836.0362"/>
    <x v="1"/>
    <x v="0"/>
    <x v="581"/>
    <n v="2685308"/>
    <n v="5586.2002000000002"/>
    <n v="1932.6"/>
    <n v="1989"/>
    <n v="243"/>
    <n v="956451"/>
    <s v="03-Nov-2023"/>
    <n v="1989"/>
    <n v="1"/>
    <n v="2023"/>
    <n v="-0.01"/>
    <m/>
  </r>
  <r>
    <x v="582"/>
    <n v="1981.6"/>
    <n v="1981.6"/>
    <n v="1977.4"/>
    <n v="1981.6"/>
    <n v="130"/>
    <n v="1991.3427999999999"/>
    <n v="1917"/>
    <n v="1925.8756000000001"/>
    <x v="577"/>
    <n v="0.40210000000000001"/>
    <n v="0.78979999999999995"/>
    <n v="75.130700000000004"/>
    <n v="26.0623"/>
    <n v="23.616299999999999"/>
    <n v="2048.4600999999998"/>
    <n v="1853.0298"/>
    <x v="1"/>
    <x v="0"/>
    <x v="582"/>
    <n v="2685296"/>
    <n v="5586.2002000000002"/>
    <n v="1932.6"/>
    <n v="1981.6"/>
    <n v="243"/>
    <n v="956451"/>
    <s v="06-Nov-2023"/>
    <n v="1981.6"/>
    <n v="1"/>
    <n v="2023"/>
    <n v="-0.37"/>
    <m/>
  </r>
  <r>
    <x v="583"/>
    <n v="1966.8"/>
    <n v="1966.8"/>
    <n v="1960.7"/>
    <n v="1966.5"/>
    <n v="20"/>
    <n v="1988.1857"/>
    <n v="1919.05"/>
    <n v="1926.5189"/>
    <x v="578"/>
    <n v="0.48130000000000001"/>
    <n v="0.79520000000000002"/>
    <n v="62.2759"/>
    <n v="23.445599999999999"/>
    <n v="23.5822"/>
    <n v="2043.5364999999999"/>
    <n v="1868.9034999999999"/>
    <x v="1"/>
    <x v="1"/>
    <x v="583"/>
    <n v="2685166"/>
    <n v="5586.2002000000002"/>
    <n v="1932.6"/>
    <n v="1966.5"/>
    <n v="243"/>
    <n v="956451"/>
    <s v="07-Nov-2023"/>
    <n v="1966.5"/>
    <n v="1"/>
    <n v="2023"/>
    <n v="-0.76"/>
    <m/>
  </r>
  <r>
    <x v="584"/>
    <n v="1951.5"/>
    <n v="1967.8"/>
    <n v="1947.7"/>
    <n v="1967.8"/>
    <n v="43"/>
    <n v="1983"/>
    <n v="1922.2566999999999"/>
    <n v="1927.0733"/>
    <x v="579"/>
    <n v="0.28510000000000002"/>
    <n v="0.71340000000000003"/>
    <n v="57.729300000000002"/>
    <n v="21.232099999999999"/>
    <n v="23.112200000000001"/>
    <n v="2038.3842"/>
    <n v="1883.8857"/>
    <x v="0"/>
    <x v="1"/>
    <x v="584"/>
    <n v="2685146"/>
    <n v="5586.2002000000002"/>
    <n v="1932.6"/>
    <n v="1967.8"/>
    <n v="243"/>
    <n v="956451"/>
    <s v="08-Nov-2023"/>
    <n v="1967.8"/>
    <n v="1"/>
    <n v="2023"/>
    <n v="7.0000000000000007E-2"/>
    <m/>
  </r>
  <r>
    <x v="585"/>
    <n v="1964.2"/>
    <n v="1964.2"/>
    <n v="1945.3"/>
    <n v="1951.7"/>
    <n v="10"/>
    <n v="1976.6"/>
    <n v="1924.7967000000001"/>
    <n v="1927.3867"/>
    <x v="580"/>
    <n v="0.35520000000000002"/>
    <n v="0.73580000000000001"/>
    <n v="35.240900000000003"/>
    <n v="17.971499999999999"/>
    <n v="22.084"/>
    <n v="2030.9466"/>
    <n v="1899.0234"/>
    <x v="1"/>
    <x v="1"/>
    <x v="585"/>
    <n v="2685103"/>
    <n v="5586.2002000000002"/>
    <n v="1932.6"/>
    <n v="1951.7"/>
    <n v="242"/>
    <n v="956408"/>
    <s v="09-Nov-2023"/>
    <n v="1951.7"/>
    <n v="1"/>
    <n v="2023"/>
    <n v="-0.82"/>
    <m/>
  </r>
  <r>
    <x v="586"/>
    <n v="1932.6"/>
    <n v="1959.6"/>
    <n v="1932.6"/>
    <n v="1959.6"/>
    <n v="375"/>
    <n v="1972.1857"/>
    <n v="1927.9733000000001"/>
    <n v="1927.9456"/>
    <x v="581"/>
    <n v="0.4501"/>
    <n v="0.72399999999999998"/>
    <n v="41.910299999999999"/>
    <n v="15.8423"/>
    <n v="20.835699999999999"/>
    <n v="2020.8083999999999"/>
    <n v="1917.3715999999999"/>
    <x v="0"/>
    <x v="1"/>
    <x v="586"/>
    <n v="2685093"/>
    <n v="5586.2002000000002"/>
    <n v="1932.6"/>
    <n v="1959.6"/>
    <n v="242"/>
    <n v="956408"/>
    <s v="10-Nov-2023"/>
    <n v="1959.6"/>
    <n v="1"/>
    <n v="2023"/>
    <n v="0.4"/>
    <m/>
  </r>
  <r>
    <x v="587"/>
    <n v="1945.5"/>
    <n v="1947.2"/>
    <n v="1934"/>
    <n v="1939.9"/>
    <n v="191"/>
    <n v="1965.1570999999999"/>
    <n v="1931.1667"/>
    <n v="1928.24"/>
    <x v="582"/>
    <n v="0.5292"/>
    <n v="0.71950000000000003"/>
    <n v="36.941600000000001"/>
    <n v="12.4221"/>
    <n v="19.152999999999999"/>
    <n v="2016.6069"/>
    <n v="1924.5231000000001"/>
    <x v="1"/>
    <x v="1"/>
    <x v="587"/>
    <n v="2684718"/>
    <n v="5586.2002000000002"/>
    <n v="1934"/>
    <n v="1939.9"/>
    <n v="241"/>
    <n v="956033"/>
    <s v="13-Nov-2023"/>
    <n v="1939.9"/>
    <n v="1"/>
    <n v="2023"/>
    <n v="-1.01"/>
    <m/>
  </r>
  <r>
    <x v="588"/>
    <n v="1961.8"/>
    <n v="1965.8"/>
    <n v="1961.8"/>
    <n v="1965.8"/>
    <n v="2"/>
    <n v="1961.8429000000001"/>
    <n v="1935.86"/>
    <n v="1928.7089000000001"/>
    <x v="583"/>
    <n v="0.8327"/>
    <n v="0.71250000000000002"/>
    <n v="48.090600000000002"/>
    <n v="11.667"/>
    <n v="17.655799999999999"/>
    <n v="2010.9585999999999"/>
    <n v="1935.3214"/>
    <x v="0"/>
    <x v="1"/>
    <x v="588"/>
    <n v="2684527"/>
    <n v="5586.2002000000002"/>
    <n v="1960"/>
    <n v="1965.8"/>
    <n v="241"/>
    <n v="956033"/>
    <s v="14-Nov-2023"/>
    <n v="1965.8"/>
    <n v="1"/>
    <n v="2023"/>
    <n v="1.34"/>
    <m/>
  </r>
  <r>
    <x v="589"/>
    <n v="1960.1"/>
    <n v="1962.8"/>
    <n v="1960"/>
    <n v="1962.8"/>
    <n v="6"/>
    <n v="1959.1572000000001"/>
    <n v="1940.56"/>
    <n v="1929.1288999999999"/>
    <x v="584"/>
    <n v="0.82769999999999999"/>
    <n v="0.71199999999999997"/>
    <n v="40.031399999999998"/>
    <n v="10.703099999999999"/>
    <n v="16.2652"/>
    <n v="2008.2698"/>
    <n v="1940.7901999999999"/>
    <x v="0"/>
    <x v="1"/>
    <x v="589"/>
    <n v="2684525"/>
    <n v="5586.2002000000002"/>
    <n v="1960"/>
    <n v="1962.8"/>
    <n v="240"/>
    <n v="956031"/>
    <s v="15-Nov-2023"/>
    <n v="1962.8"/>
    <n v="1"/>
    <n v="2023"/>
    <n v="-0.15"/>
    <m/>
  </r>
  <r>
    <x v="590"/>
    <n v="1983.9"/>
    <n v="1983.9"/>
    <n v="1964.6"/>
    <n v="1965.3"/>
    <n v="39"/>
    <n v="1958.9857"/>
    <n v="1945.1932999999999"/>
    <n v="1929.4956"/>
    <x v="585"/>
    <n v="0.78210000000000002"/>
    <n v="0.71240000000000003"/>
    <n v="41.003900000000002"/>
    <n v="10.025399999999999"/>
    <n v="15.017300000000001"/>
    <n v="2007.356"/>
    <n v="1943.2239999999999"/>
    <x v="1"/>
    <x v="1"/>
    <x v="590"/>
    <n v="2684519"/>
    <n v="5586.2002000000002"/>
    <n v="1964.6"/>
    <n v="1965.3"/>
    <n v="239"/>
    <n v="956025"/>
    <s v="16-Nov-2023"/>
    <n v="1965.3"/>
    <n v="1"/>
    <n v="2023"/>
    <n v="0.13"/>
    <m/>
  </r>
  <r>
    <x v="591"/>
    <n v="1981.6"/>
    <n v="1984"/>
    <n v="1979.8"/>
    <n v="1982.5"/>
    <n v="32"/>
    <n v="1961.0857000000001"/>
    <n v="1950.6433"/>
    <n v="1929.7333000000001"/>
    <x v="586"/>
    <n v="0.85129999999999995"/>
    <n v="0.71050000000000002"/>
    <n v="41.768300000000004"/>
    <n v="10.7522"/>
    <n v="14.164199999999999"/>
    <n v="2007.4855"/>
    <n v="1943.2345"/>
    <x v="0"/>
    <x v="1"/>
    <x v="591"/>
    <n v="2684480"/>
    <n v="5586.2002000000002"/>
    <n v="1969.7"/>
    <n v="1982.5"/>
    <n v="239"/>
    <n v="956025"/>
    <s v="17-Nov-2023"/>
    <n v="1982.5"/>
    <n v="1"/>
    <n v="2023"/>
    <n v="0.88"/>
    <m/>
  </r>
  <r>
    <x v="592"/>
    <n v="1977.7"/>
    <n v="1979.4"/>
    <n v="1969.7"/>
    <n v="1978.7"/>
    <n v="182"/>
    <n v="1964.9429"/>
    <n v="1955.1832999999999"/>
    <n v="1929.9589000000001"/>
    <x v="587"/>
    <n v="0.76619999999999999"/>
    <n v="0.68959999999999999"/>
    <n v="43.014099999999999"/>
    <n v="10.896000000000001"/>
    <n v="13.5106"/>
    <n v="2007.6437000000001"/>
    <n v="1943.3262999999999"/>
    <x v="0"/>
    <x v="1"/>
    <x v="592"/>
    <n v="2684448"/>
    <n v="5586.2002000000002"/>
    <n v="1969.7"/>
    <n v="1978.7"/>
    <n v="238"/>
    <n v="955993"/>
    <s v="20-Nov-2023"/>
    <n v="1978.7"/>
    <n v="1"/>
    <n v="2023"/>
    <n v="-0.19"/>
    <m/>
  </r>
  <r>
    <x v="593"/>
    <n v="1999.3"/>
    <n v="2005.5"/>
    <n v="1988.5"/>
    <n v="1990.7"/>
    <n v="16"/>
    <n v="1969.3857"/>
    <n v="1959.64"/>
    <n v="1930.3667"/>
    <x v="588"/>
    <n v="0.77890000000000004"/>
    <n v="0.6855"/>
    <n v="50.0749"/>
    <n v="11.841799999999999"/>
    <n v="13.1768"/>
    <n v="2009.2598"/>
    <n v="1943.7501999999999"/>
    <x v="1"/>
    <x v="1"/>
    <x v="593"/>
    <n v="2684266"/>
    <n v="5586.2002000000002"/>
    <n v="1975"/>
    <n v="1990.7"/>
    <n v="237"/>
    <n v="955811"/>
    <s v="21-Nov-2023"/>
    <n v="1990.7"/>
    <n v="1"/>
    <n v="2023"/>
    <n v="0.61"/>
    <m/>
  </r>
  <r>
    <x v="594"/>
    <n v="1991.4"/>
    <n v="1999.4"/>
    <n v="1991"/>
    <n v="1999.1"/>
    <n v="6075"/>
    <n v="1977.8429000000001"/>
    <n v="1963.96"/>
    <n v="1930.7032999999999"/>
    <x v="589"/>
    <n v="0.55769999999999997"/>
    <n v="0.68149999999999999"/>
    <n v="53.561199999999999"/>
    <n v="13.117900000000001"/>
    <n v="13.164999999999999"/>
    <n v="2012.0501999999999"/>
    <n v="1943.7498000000001"/>
    <x v="0"/>
    <x v="1"/>
    <x v="594"/>
    <n v="2684250"/>
    <n v="5586.2002000000002"/>
    <n v="1975"/>
    <n v="1999.1"/>
    <n v="237"/>
    <n v="955811"/>
    <s v="22-Nov-2023"/>
    <n v="1999.1"/>
    <n v="1"/>
    <n v="2023"/>
    <n v="0.42"/>
    <m/>
  </r>
  <r>
    <x v="595"/>
    <n v="2002.2"/>
    <n v="2002.2"/>
    <n v="1991.5"/>
    <n v="1991.9"/>
    <n v="63"/>
    <n v="1981.5714"/>
    <n v="1967.8667"/>
    <n v="1930.8688999999999"/>
    <x v="590"/>
    <n v="0.45939999999999998"/>
    <n v="0.68969999999999998"/>
    <n v="50.9831"/>
    <n v="13.393800000000001"/>
    <n v="13.210800000000001"/>
    <n v="2012.5092"/>
    <n v="1943.6608000000001"/>
    <x v="1"/>
    <x v="1"/>
    <x v="595"/>
    <n v="2678175"/>
    <n v="5586.2002000000002"/>
    <n v="1975"/>
    <n v="1991.9"/>
    <n v="236"/>
    <n v="949736"/>
    <s v="24-Nov-2023"/>
    <n v="1991.9"/>
    <n v="1"/>
    <n v="2023"/>
    <n v="-0.36"/>
    <m/>
  </r>
  <r>
    <x v="596"/>
    <n v="2011.8"/>
    <n v="2011.8"/>
    <n v="2011.7"/>
    <n v="2011.7"/>
    <n v="228"/>
    <n v="1988.5571"/>
    <n v="1972.34"/>
    <n v="1931.2910999999999"/>
    <x v="591"/>
    <n v="0.51780000000000004"/>
    <n v="0.70440000000000003"/>
    <n v="59.412100000000002"/>
    <n v="15.036899999999999"/>
    <n v="13.576000000000001"/>
    <n v="2016.5764999999999"/>
    <n v="1941.9034999999999"/>
    <x v="1"/>
    <x v="1"/>
    <x v="596"/>
    <n v="2678112"/>
    <n v="5586.2002000000002"/>
    <n v="1975"/>
    <n v="2011.7"/>
    <n v="236"/>
    <n v="949736"/>
    <s v="27-Nov-2023"/>
    <n v="2011.7"/>
    <n v="1"/>
    <n v="2023"/>
    <n v="0.99"/>
    <m/>
  </r>
  <r>
    <x v="597"/>
    <n v="2039.7"/>
    <n v="2042.7"/>
    <n v="2039.7"/>
    <n v="2040.6"/>
    <n v="174665"/>
    <n v="1999.3143"/>
    <n v="1976.68"/>
    <n v="1932.1667"/>
    <x v="592"/>
    <n v="0.64370000000000005"/>
    <n v="0.68300000000000005"/>
    <n v="71.329899999999995"/>
    <n v="18.458200000000001"/>
    <n v="14.5525"/>
    <n v="2026.2592999999999"/>
    <n v="1935.8706999999999"/>
    <x v="0"/>
    <x v="0"/>
    <x v="597"/>
    <n v="2677884"/>
    <n v="5586.2002000000002"/>
    <n v="1975"/>
    <n v="2040.6"/>
    <n v="236"/>
    <n v="949736"/>
    <s v="28-Nov-2023"/>
    <n v="2040.6"/>
    <n v="1"/>
    <n v="2023"/>
    <n v="1.44"/>
    <m/>
  </r>
  <r>
    <x v="598"/>
    <n v="2047.1"/>
    <n v="2052.1001000000001"/>
    <n v="2036"/>
    <n v="2041.7"/>
    <n v="15290"/>
    <n v="2007.7714000000001"/>
    <n v="1980.9267"/>
    <n v="1933.0155999999999"/>
    <x v="593"/>
    <n v="0.64739999999999998"/>
    <n v="0.68369999999999997"/>
    <n v="71.296800000000005"/>
    <n v="21.016200000000001"/>
    <n v="15.8452"/>
    <n v="2035.7166"/>
    <n v="1930.9333999999999"/>
    <x v="1"/>
    <x v="0"/>
    <x v="598"/>
    <n v="2503219"/>
    <n v="5586.2002000000002"/>
    <n v="1975"/>
    <n v="2041.7"/>
    <n v="235"/>
    <n v="775071"/>
    <s v="29-Nov-2023"/>
    <n v="2041.7"/>
    <n v="1"/>
    <n v="2023"/>
    <n v="0.05"/>
    <m/>
  </r>
  <r>
    <x v="599"/>
    <n v="2038.1"/>
    <n v="2047.1"/>
    <n v="2033.1"/>
    <n v="2046.1"/>
    <n v="2506"/>
    <n v="2017.4"/>
    <n v="1984.63"/>
    <n v="1934.05"/>
    <x v="594"/>
    <n v="0.59940000000000004"/>
    <n v="0.66390000000000005"/>
    <n v="79.171800000000005"/>
    <n v="23.131799999999998"/>
    <n v="17.302499999999998"/>
    <n v="2045.5282999999999"/>
    <n v="1926.6817000000001"/>
    <x v="0"/>
    <x v="0"/>
    <x v="599"/>
    <n v="2487929"/>
    <n v="5586.2002000000002"/>
    <n v="1975"/>
    <n v="2046.1"/>
    <n v="235"/>
    <n v="775071"/>
    <s v="30-Nov-2023"/>
    <n v="2046.1"/>
    <n v="1"/>
    <n v="2023"/>
    <n v="0.22"/>
    <m/>
  </r>
  <r>
    <x v="600"/>
    <n v="2071"/>
    <n v="2073.1999999999998"/>
    <n v="2036"/>
    <n v="2038.3"/>
    <n v="614"/>
    <n v="2024.2"/>
    <n v="1987.57"/>
    <n v="1934.8511000000001"/>
    <x v="595"/>
    <n v="0.6764"/>
    <n v="0.66210000000000002"/>
    <n v="74.3352"/>
    <n v="23.903400000000001"/>
    <n v="18.622699999999998"/>
    <n v="2052.4187000000002"/>
    <n v="1924.7112999999999"/>
    <x v="1"/>
    <x v="0"/>
    <x v="600"/>
    <n v="2485423"/>
    <n v="5586.2002000000002"/>
    <n v="1975"/>
    <n v="2038.3"/>
    <n v="234"/>
    <n v="772565"/>
    <s v="01-Dec-2023"/>
    <n v="2038.3"/>
    <n v="1"/>
    <n v="2023"/>
    <n v="-0.38"/>
    <m/>
  </r>
  <r>
    <x v="601"/>
    <n v="2024.1"/>
    <n v="2130.1999999999998"/>
    <n v="2021"/>
    <n v="2075.3000000000002"/>
    <n v="1071"/>
    <n v="2035.0857000000001"/>
    <n v="1990.71"/>
    <n v="1936.2944"/>
    <x v="596"/>
    <n v="0.87909999999999999"/>
    <n v="0.68"/>
    <n v="87.821299999999994"/>
    <n v="27.187200000000001"/>
    <n v="20.335599999999999"/>
    <n v="2067.5971"/>
    <n v="1918.1629"/>
    <x v="0"/>
    <x v="0"/>
    <x v="601"/>
    <n v="2484809"/>
    <n v="5586.2002000000002"/>
    <n v="1975"/>
    <n v="2075.3000000000002"/>
    <n v="234"/>
    <n v="772565"/>
    <s v="04-Dec-2023"/>
    <n v="2075.3000000000002"/>
    <n v="1"/>
    <n v="2023"/>
    <n v="1.82"/>
    <m/>
  </r>
  <r>
    <x v="602"/>
    <n v="2018.5"/>
    <n v="2037"/>
    <n v="2010.2"/>
    <n v="2035.1"/>
    <n v="289"/>
    <n v="2041.2571"/>
    <n v="1992.6732999999999"/>
    <n v="1937.29"/>
    <x v="597"/>
    <n v="1.2652000000000001"/>
    <n v="0.77769999999999995"/>
    <n v="67.9255"/>
    <n v="26.243300000000001"/>
    <n v="21.517099999999999"/>
    <n v="2072.373"/>
    <n v="1918.7370000000001"/>
    <x v="0"/>
    <x v="1"/>
    <x v="602"/>
    <n v="2483738"/>
    <n v="5586.2002000000002"/>
    <n v="1975"/>
    <n v="2035.1"/>
    <n v="233"/>
    <n v="771494"/>
    <s v="05-Dec-2023"/>
    <n v="2035.1"/>
    <n v="1"/>
    <n v="2023"/>
    <n v="-1.94"/>
    <m/>
  </r>
  <r>
    <x v="603"/>
    <n v="2030.5"/>
    <n v="2035.8"/>
    <n v="2019"/>
    <n v="2019.9"/>
    <n v="417"/>
    <n v="2042.4286"/>
    <n v="1994.3267000000001"/>
    <n v="1937.9644000000001"/>
    <x v="598"/>
    <n v="1.2802"/>
    <n v="0.78979999999999995"/>
    <n v="63.892899999999997"/>
    <n v="23.992100000000001"/>
    <n v="22.0121"/>
    <n v="2074.5010000000002"/>
    <n v="1921.9490000000001"/>
    <x v="1"/>
    <x v="1"/>
    <x v="603"/>
    <n v="2483449"/>
    <n v="5586.2002000000002"/>
    <n v="1975"/>
    <n v="2019.9"/>
    <n v="232"/>
    <n v="771205"/>
    <s v="06-Dec-2023"/>
    <n v="2019.9"/>
    <n v="1"/>
    <n v="2023"/>
    <n v="-0.75"/>
    <m/>
  </r>
  <r>
    <x v="604"/>
    <n v="2029.9"/>
    <n v="2034.9"/>
    <n v="2024"/>
    <n v="2029.2"/>
    <n v="67"/>
    <n v="2040.8"/>
    <n v="1996.26"/>
    <n v="1938.6789000000001"/>
    <x v="599"/>
    <n v="1.1528"/>
    <n v="0.79269999999999996"/>
    <n v="65.049400000000006"/>
    <n v="22.696899999999999"/>
    <n v="22.149100000000001"/>
    <n v="2077.3571999999999"/>
    <n v="1925.2328"/>
    <x v="1"/>
    <x v="1"/>
    <x v="604"/>
    <n v="2483032"/>
    <n v="5586.2002000000002"/>
    <n v="1975"/>
    <n v="2029.2"/>
    <n v="232"/>
    <n v="771205"/>
    <s v="07-Dec-2023"/>
    <n v="2029.2"/>
    <n v="1"/>
    <n v="2023"/>
    <n v="0.46"/>
    <m/>
  </r>
  <r>
    <x v="605"/>
    <n v="1998.3"/>
    <n v="2033.1"/>
    <n v="1995"/>
    <n v="2031.7"/>
    <n v="449"/>
    <n v="2039.3714"/>
    <n v="1997.71"/>
    <n v="1939.6043999999999"/>
    <x v="600"/>
    <n v="1.1543000000000001"/>
    <n v="0.77959999999999996"/>
    <n v="62.449399999999997"/>
    <n v="21.622800000000002"/>
    <n v="22.043800000000001"/>
    <n v="2078.7449000000001"/>
    <n v="1931.8451"/>
    <x v="0"/>
    <x v="1"/>
    <x v="605"/>
    <n v="2482965"/>
    <n v="5586.2002000000002"/>
    <n v="1975"/>
    <n v="2031.7"/>
    <n v="232"/>
    <n v="771205"/>
    <s v="08-Dec-2023"/>
    <n v="2031.7"/>
    <n v="1"/>
    <n v="2023"/>
    <n v="0.12"/>
    <m/>
  </r>
  <r>
    <x v="606"/>
    <n v="1978"/>
    <n v="2004.2"/>
    <n v="1977.2"/>
    <n v="2004.1"/>
    <n v="651"/>
    <n v="2033.3714"/>
    <n v="1998.2266999999999"/>
    <n v="1940.3811000000001"/>
    <x v="601"/>
    <n v="1.2407999999999999"/>
    <n v="0.82240000000000002"/>
    <n v="55.736199999999997"/>
    <n v="18.333200000000001"/>
    <n v="21.3017"/>
    <n v="2077.7678000000001"/>
    <n v="1937.2722000000001"/>
    <x v="0"/>
    <x v="1"/>
    <x v="606"/>
    <n v="2482516"/>
    <n v="5586.2002000000002"/>
    <n v="1975"/>
    <n v="2004.1"/>
    <n v="231"/>
    <n v="770756"/>
    <s v="11-Dec-2023"/>
    <n v="2004.1"/>
    <n v="1"/>
    <n v="2023"/>
    <n v="-1.36"/>
    <m/>
  </r>
  <r>
    <x v="607"/>
    <n v="1977.8"/>
    <n v="1994.2"/>
    <n v="1977.8"/>
    <n v="1984.2"/>
    <n v="95"/>
    <n v="2025.6428000000001"/>
    <n v="1997.5633"/>
    <n v="1940.9289000000001"/>
    <x v="602"/>
    <n v="1.2696000000000001"/>
    <n v="0.83030000000000004"/>
    <n v="48.582599999999999"/>
    <n v="13.9595"/>
    <n v="19.833300000000001"/>
    <n v="2073.4998999999998"/>
    <n v="1945.9701"/>
    <x v="0"/>
    <x v="1"/>
    <x v="607"/>
    <n v="2481865"/>
    <n v="5586.2002000000002"/>
    <n v="1975"/>
    <n v="1984.2"/>
    <n v="230"/>
    <n v="770105"/>
    <s v="12-Dec-2023"/>
    <n v="1984.2"/>
    <n v="1"/>
    <n v="2023"/>
    <n v="-0.99"/>
    <m/>
  </r>
  <r>
    <x v="608"/>
    <n v="1982.3"/>
    <n v="2024.8"/>
    <n v="1975"/>
    <n v="1978.5"/>
    <n v="2252"/>
    <n v="2011.8143"/>
    <n v="1996.9632999999999"/>
    <n v="1941.3456000000001"/>
    <x v="603"/>
    <n v="0.84089999999999998"/>
    <n v="0.82909999999999995"/>
    <n v="45.454500000000003"/>
    <n v="9.9191000000000003"/>
    <n v="17.8504"/>
    <n v="2072.5252999999998"/>
    <n v="1948.2146"/>
    <x v="1"/>
    <x v="1"/>
    <x v="608"/>
    <n v="2481770"/>
    <n v="5586.2002000000002"/>
    <n v="1975"/>
    <n v="1978.5"/>
    <n v="229"/>
    <n v="770010"/>
    <s v="13-Dec-2023"/>
    <n v="1978.5"/>
    <n v="1"/>
    <n v="2023"/>
    <n v="-0.28999999999999998"/>
    <m/>
  </r>
  <r>
    <x v="609"/>
    <n v="2030.2"/>
    <n v="2040.1"/>
    <n v="2024.3"/>
    <n v="2024.7"/>
    <n v="236"/>
    <n v="2010.3285000000001"/>
    <n v="1998.1033"/>
    <n v="1942.3788999999999"/>
    <x v="604"/>
    <n v="1.2329000000000001"/>
    <n v="0.93230000000000002"/>
    <n v="56.174700000000001"/>
    <n v="10.325900000000001"/>
    <n v="16.345500000000001"/>
    <n v="2071.6869000000002"/>
    <n v="1955.2430999999999"/>
    <x v="1"/>
    <x v="1"/>
    <x v="609"/>
    <n v="2479518"/>
    <n v="5586.2002000000002"/>
    <n v="1984.8"/>
    <n v="2024.7"/>
    <n v="229"/>
    <n v="770010"/>
    <s v="14-Dec-2023"/>
    <n v="2024.7"/>
    <n v="1"/>
    <n v="2023"/>
    <n v="2.34"/>
    <m/>
  </r>
  <r>
    <x v="610"/>
    <n v="2021.1"/>
    <n v="2043.4"/>
    <n v="2018.3"/>
    <n v="2032.6"/>
    <n v="261"/>
    <n v="2012.1428000000001"/>
    <n v="1999.5533"/>
    <n v="1943.57"/>
    <x v="605"/>
    <n v="1.2029000000000001"/>
    <n v="0.93389999999999995"/>
    <n v="54.119"/>
    <n v="11.1571"/>
    <n v="15.3078"/>
    <n v="2070.9668999999999"/>
    <n v="1962.6931"/>
    <x v="0"/>
    <x v="1"/>
    <x v="610"/>
    <n v="2479282"/>
    <n v="5586.2002000000002"/>
    <n v="1984.8"/>
    <n v="2032.6"/>
    <n v="229"/>
    <n v="770010"/>
    <s v="15-Dec-2023"/>
    <n v="2032.6"/>
    <n v="1"/>
    <n v="2023"/>
    <n v="0.39"/>
    <m/>
  </r>
  <r>
    <x v="611"/>
    <n v="2026.3"/>
    <n v="2032.8"/>
    <n v="2024"/>
    <n v="2024.3"/>
    <n v="100"/>
    <n v="2011.4428"/>
    <n v="2000.73"/>
    <n v="1944.7166999999999"/>
    <x v="606"/>
    <n v="1.2038"/>
    <n v="0.93799999999999994"/>
    <n v="46.503700000000002"/>
    <n v="11.0192"/>
    <n v="14.450100000000001"/>
    <n v="2070.6505000000002"/>
    <n v="1967.1895"/>
    <x v="1"/>
    <x v="1"/>
    <x v="611"/>
    <n v="2479021"/>
    <n v="5586.2002000000002"/>
    <n v="1984.8"/>
    <n v="2024.3"/>
    <n v="228"/>
    <n v="769749"/>
    <s v="18-Dec-2023"/>
    <n v="2024.3"/>
    <n v="1"/>
    <n v="2023"/>
    <n v="-0.41"/>
    <m/>
  </r>
  <r>
    <x v="612"/>
    <n v="2038.4"/>
    <n v="2042.7"/>
    <n v="2025.2"/>
    <n v="2025.2"/>
    <n v="498"/>
    <n v="2010.5143"/>
    <n v="2002.1832999999999"/>
    <n v="1945.9632999999999"/>
    <x v="607"/>
    <n v="1.2024999999999999"/>
    <n v="0.93440000000000001"/>
    <n v="46.457700000000003"/>
    <n v="10.8573"/>
    <n v="13.7315"/>
    <n v="2069.422"/>
    <n v="1973.0679"/>
    <x v="1"/>
    <x v="1"/>
    <x v="612"/>
    <n v="2478921"/>
    <n v="5586.2002000000002"/>
    <n v="1984.8"/>
    <n v="2025.2"/>
    <n v="228"/>
    <n v="769749"/>
    <s v="19-Dec-2023"/>
    <n v="2025.2"/>
    <n v="1"/>
    <n v="2023"/>
    <n v="0.04"/>
    <m/>
  </r>
  <r>
    <x v="613"/>
    <n v="2034.5"/>
    <n v="2037.1"/>
    <n v="2030.3"/>
    <n v="2037.1"/>
    <n v="258"/>
    <n v="2015.2285999999999"/>
    <n v="2004.5367000000001"/>
    <n v="1947.3833"/>
    <x v="608"/>
    <n v="1.0638000000000001"/>
    <n v="0.92500000000000004"/>
    <n v="48.128100000000003"/>
    <n v="11.555999999999999"/>
    <n v="13.2964"/>
    <n v="2069.9854999999998"/>
    <n v="1977.1445000000001"/>
    <x v="0"/>
    <x v="1"/>
    <x v="613"/>
    <n v="2478423"/>
    <n v="5586.2002000000002"/>
    <n v="1984.8"/>
    <n v="2037.1"/>
    <n v="228"/>
    <n v="769749"/>
    <s v="20-Dec-2023"/>
    <n v="2037.1"/>
    <n v="1"/>
    <n v="2023"/>
    <n v="0.59"/>
    <m/>
  </r>
  <r>
    <x v="614"/>
    <n v="2039.1"/>
    <n v="2044.5"/>
    <n v="2033"/>
    <n v="2035.8"/>
    <n v="228"/>
    <n v="2022.6"/>
    <n v="2006.8033"/>
    <n v="1948.8255999999999"/>
    <x v="609"/>
    <n v="0.93459999999999999"/>
    <n v="0.92559999999999998"/>
    <n v="49.465600000000002"/>
    <n v="11.868"/>
    <n v="13.0107"/>
    <n v="2070.6349"/>
    <n v="1980.1650999999999"/>
    <x v="1"/>
    <x v="1"/>
    <x v="614"/>
    <n v="2478165"/>
    <n v="5586.2002000000002"/>
    <n v="1984.8"/>
    <n v="2035.8"/>
    <n v="227"/>
    <n v="769491"/>
    <s v="21-Dec-2023"/>
    <n v="2035.8"/>
    <n v="1"/>
    <n v="2023"/>
    <n v="-0.06"/>
    <m/>
  </r>
  <r>
    <x v="615"/>
    <n v="2057.1001000000001"/>
    <n v="2068.6999999999998"/>
    <n v="2052.1999999999998"/>
    <n v="2055.6999999999998"/>
    <n v="202"/>
    <n v="2033.6286"/>
    <n v="2010.27"/>
    <n v="1950.5056"/>
    <x v="610"/>
    <n v="0.90800000000000003"/>
    <n v="0.92110000000000003"/>
    <n v="45.479700000000001"/>
    <n v="13.5647"/>
    <n v="13.121499999999999"/>
    <n v="2072.866"/>
    <n v="1984.3139000000001"/>
    <x v="1"/>
    <x v="1"/>
    <x v="615"/>
    <n v="2477937"/>
    <n v="5586.2002000000002"/>
    <n v="1984.8"/>
    <n v="2055.6999999999998"/>
    <n v="227"/>
    <n v="769491"/>
    <s v="22-Dec-2023"/>
    <n v="2055.6999999999998"/>
    <n v="1"/>
    <n v="2023"/>
    <n v="0.98"/>
    <m/>
  </r>
  <r>
    <x v="616"/>
    <n v="2058.1999999999998"/>
    <n v="2060.8000000000002"/>
    <n v="2054.1999999999998"/>
    <n v="2060"/>
    <n v="64"/>
    <n v="2038.6713999999999"/>
    <n v="2013.6167"/>
    <n v="1952.3533"/>
    <x v="611"/>
    <n v="0.45440000000000003"/>
    <n v="0.92010000000000003"/>
    <n v="56.882300000000001"/>
    <n v="15.0825"/>
    <n v="13.5137"/>
    <n v="2076.6498999999999"/>
    <n v="1985.3601000000001"/>
    <x v="0"/>
    <x v="1"/>
    <x v="616"/>
    <n v="2477735"/>
    <n v="5586.2002000000002"/>
    <n v="1984.8"/>
    <n v="2060"/>
    <n v="227"/>
    <n v="769491"/>
    <s v="26-Dec-2023"/>
    <n v="2060"/>
    <n v="1"/>
    <n v="2023"/>
    <n v="0.21"/>
    <m/>
  </r>
  <r>
    <x v="617"/>
    <n v="2081.8998999999999"/>
    <n v="2081.8998999999999"/>
    <n v="2064.8000000000002"/>
    <n v="2067.3000000000002"/>
    <n v="586"/>
    <n v="2043.6286"/>
    <n v="2017.8633"/>
    <n v="1954.3033"/>
    <x v="612"/>
    <n v="0.45269999999999999"/>
    <n v="0.89329999999999998"/>
    <n v="63.6995"/>
    <n v="16.681999999999999"/>
    <n v="14.147399999999999"/>
    <n v="2080.6505000000002"/>
    <n v="1984.0295000000001"/>
    <x v="1"/>
    <x v="1"/>
    <x v="617"/>
    <n v="2477671"/>
    <n v="5586.2002000000002"/>
    <n v="1984.8"/>
    <n v="2067.3000000000002"/>
    <n v="226"/>
    <n v="769427"/>
    <s v="27-Dec-2023"/>
    <n v="2067.3000000000002"/>
    <n v="1"/>
    <n v="2023"/>
    <n v="0.35"/>
    <m/>
  </r>
  <r>
    <x v="618"/>
    <n v="2073.8998999999999"/>
    <n v="2087.3000000000002"/>
    <n v="2066.5"/>
    <n v="2081.6001000000001"/>
    <n v="338"/>
    <n v="2051.8143"/>
    <n v="2021.7233000000001"/>
    <n v="1956.3922"/>
    <x v="613"/>
    <n v="0.37280000000000002"/>
    <n v="0.873"/>
    <n v="64.719200000000001"/>
    <n v="18.885899999999999"/>
    <n v="15.0951"/>
    <n v="2087.3402000000001"/>
    <n v="1981.3298"/>
    <x v="0"/>
    <x v="1"/>
    <x v="618"/>
    <n v="2477085"/>
    <n v="5586.2002000000002"/>
    <n v="1984.8"/>
    <n v="2081.6001000000001"/>
    <n v="226"/>
    <n v="769427"/>
    <s v="28-Dec-2023"/>
    <n v="2081.6001000000001"/>
    <n v="1"/>
    <n v="2023"/>
    <n v="0.69"/>
    <m/>
  </r>
  <r>
    <x v="619"/>
    <n v="2062.3998999999999"/>
    <n v="2068.8998999999999"/>
    <n v="2062.1001000000001"/>
    <n v="2068"/>
    <n v="47"/>
    <n v="2057.9286000000002"/>
    <n v="2025.23"/>
    <n v="1958.3189"/>
    <x v="614"/>
    <n v="0.53969999999999996"/>
    <n v="0.88449999999999995"/>
    <n v="59.598100000000002"/>
    <n v="19.3125"/>
    <n v="15.938599999999999"/>
    <n v="2090.3296"/>
    <n v="1980.5304000000001"/>
    <x v="0"/>
    <x v="1"/>
    <x v="619"/>
    <n v="2476747"/>
    <n v="5586.2002000000002"/>
    <n v="1984.8"/>
    <n v="2068"/>
    <n v="225"/>
    <n v="769089"/>
    <s v="29-Dec-2023"/>
    <n v="2068"/>
    <n v="1"/>
    <n v="2023"/>
    <n v="-0.65"/>
    <m/>
  </r>
  <r>
    <x v="620"/>
    <n v="2064.3998999999999"/>
    <n v="2073.6999999999998"/>
    <n v="2057.1001000000001"/>
    <n v="2063.5"/>
    <n v="61"/>
    <n v="2061.6999999999998"/>
    <n v="2028.5033000000001"/>
    <n v="1960.0289"/>
    <x v="615"/>
    <n v="0.55389999999999995"/>
    <n v="0.88749999999999996"/>
    <n v="67.891599999999997"/>
    <n v="19.067599999999999"/>
    <n v="16.564399999999999"/>
    <n v="2093.0054"/>
    <n v="1980.3746000000001"/>
    <x v="1"/>
    <x v="1"/>
    <x v="620"/>
    <n v="2476700"/>
    <n v="5586.2002000000002"/>
    <n v="1984.8"/>
    <n v="2063.5"/>
    <n v="224"/>
    <n v="769042"/>
    <s v="02-Jan-2024"/>
    <n v="2063.5"/>
    <n v="1"/>
    <n v="2024"/>
    <n v="-0.22"/>
    <m/>
  </r>
  <r>
    <x v="621"/>
    <n v="2034.2"/>
    <n v="2044"/>
    <n v="2034.2"/>
    <n v="2034.2"/>
    <n v="54"/>
    <n v="2061.4713999999999"/>
    <n v="2030.2266999999999"/>
    <n v="1961.2978000000001"/>
    <x v="616"/>
    <n v="0.82599999999999996"/>
    <n v="0.92249999999999999"/>
    <n v="64.253100000000003"/>
    <n v="16.321100000000001"/>
    <n v="16.515699999999999"/>
    <n v="2087.9369999999999"/>
    <n v="1981.3329000000001"/>
    <x v="1"/>
    <x v="1"/>
    <x v="621"/>
    <n v="2476639"/>
    <n v="5586.2002000000002"/>
    <n v="1984.8"/>
    <n v="2034.2"/>
    <n v="224"/>
    <n v="769042"/>
    <s v="03-Jan-2024"/>
    <n v="2034.2"/>
    <n v="1"/>
    <n v="2024"/>
    <n v="-1.42"/>
    <m/>
  </r>
  <r>
    <x v="622"/>
    <n v="2042.3"/>
    <n v="2044.5"/>
    <n v="2038"/>
    <n v="2041.6"/>
    <n v="88"/>
    <n v="2059.4571999999998"/>
    <n v="2032.3233"/>
    <n v="1962.6511"/>
    <x v="617"/>
    <n v="0.73099999999999998"/>
    <n v="0.92220000000000002"/>
    <n v="67.814800000000005"/>
    <n v="14.573600000000001"/>
    <n v="16.127300000000002"/>
    <n v="2088.3532"/>
    <n v="1981.5668000000001"/>
    <x v="1"/>
    <x v="1"/>
    <x v="622"/>
    <n v="2476585"/>
    <n v="5586.2002000000002"/>
    <n v="1984.8"/>
    <n v="2041.6"/>
    <n v="224"/>
    <n v="769042"/>
    <s v="04-Jan-2024"/>
    <n v="2041.6"/>
    <n v="1"/>
    <n v="2024"/>
    <n v="0.36"/>
    <m/>
  </r>
  <r>
    <x v="623"/>
    <n v="2042.4"/>
    <n v="2048.1001000000001"/>
    <n v="2042.4"/>
    <n v="2044.5"/>
    <n v="12"/>
    <n v="2057.2429000000002"/>
    <n v="2034.1167"/>
    <n v="1964.0844"/>
    <x v="618"/>
    <n v="0.72670000000000001"/>
    <n v="0.91749999999999998"/>
    <n v="57.399099999999997"/>
    <n v="13.2698"/>
    <n v="15.5558"/>
    <n v="2089.2548000000002"/>
    <n v="1983.1251999999999"/>
    <x v="0"/>
    <x v="1"/>
    <x v="623"/>
    <n v="2476497"/>
    <n v="5586.2002000000002"/>
    <n v="1984.8"/>
    <n v="2044.5"/>
    <n v="224"/>
    <n v="769042"/>
    <s v="05-Jan-2024"/>
    <n v="2044.5"/>
    <n v="1"/>
    <n v="2024"/>
    <n v="0.14000000000000001"/>
    <m/>
  </r>
  <r>
    <x v="624"/>
    <n v="2026.6"/>
    <n v="2033.7"/>
    <n v="2019.1"/>
    <n v="2019.1"/>
    <n v="10"/>
    <n v="2050.3571000000002"/>
    <n v="2034.7833000000001"/>
    <n v="1965.2089000000001"/>
    <x v="619"/>
    <n v="0.80469999999999997"/>
    <n v="0.94669999999999999"/>
    <n v="45.538699999999999"/>
    <n v="10.0708"/>
    <n v="14.4588"/>
    <n v="2089.2199999999998"/>
    <n v="1982.1498999999999"/>
    <x v="1"/>
    <x v="1"/>
    <x v="624"/>
    <n v="2476485"/>
    <n v="5586.2002000000002"/>
    <n v="1984.8"/>
    <n v="2019.1"/>
    <n v="223"/>
    <n v="769030"/>
    <s v="08-Jan-2024"/>
    <n v="2019.1"/>
    <n v="1"/>
    <n v="2024"/>
    <n v="-1.24"/>
    <m/>
  </r>
  <r>
    <x v="625"/>
    <n v="2026.4"/>
    <n v="2035.8"/>
    <n v="2026.4"/>
    <n v="2035.8"/>
    <n v="27"/>
    <n v="2043.8143"/>
    <n v="2036.2466999999999"/>
    <n v="1966.3178"/>
    <x v="620"/>
    <n v="0.83460000000000001"/>
    <n v="0.95430000000000004"/>
    <n v="53.600499999999997"/>
    <n v="8.782"/>
    <n v="13.323399999999999"/>
    <n v="2089.3921999999998"/>
    <n v="1982.3878"/>
    <x v="0"/>
    <x v="1"/>
    <x v="625"/>
    <n v="2476475"/>
    <n v="5586.2002000000002"/>
    <n v="1984.8"/>
    <n v="2035.8"/>
    <n v="223"/>
    <n v="769030"/>
    <s v="09-Jan-2024"/>
    <n v="2035.8"/>
    <n v="1"/>
    <n v="2024"/>
    <n v="0.83"/>
    <m/>
  </r>
  <r>
    <x v="626"/>
    <n v="2021.7"/>
    <n v="2035.6"/>
    <n v="2021.7"/>
    <n v="2029"/>
    <n v="538"/>
    <n v="2038.2429"/>
    <n v="2036.8233"/>
    <n v="1967.2578000000001"/>
    <x v="621"/>
    <n v="0.8216"/>
    <n v="0.94099999999999995"/>
    <n v="51.147399999999998"/>
    <n v="7.1295999999999999"/>
    <n v="12.0847"/>
    <n v="2088.6441"/>
    <n v="1985.6259"/>
    <x v="0"/>
    <x v="1"/>
    <x v="626"/>
    <n v="2476448"/>
    <n v="5586.2002000000002"/>
    <n v="1984.8"/>
    <n v="2029"/>
    <n v="222"/>
    <n v="769003"/>
    <s v="10-Jan-2024"/>
    <n v="2029"/>
    <n v="1"/>
    <n v="2024"/>
    <n v="-0.33"/>
    <m/>
  </r>
  <r>
    <x v="627"/>
    <n v="2014.3"/>
    <n v="2025.1"/>
    <n v="2014.3"/>
    <n v="2025.1"/>
    <n v="97"/>
    <n v="2032.7571"/>
    <n v="2036.3067000000001"/>
    <n v="1968.0922"/>
    <x v="190"/>
    <n v="0.82189999999999996"/>
    <n v="0.90349999999999997"/>
    <n v="46.192900000000002"/>
    <n v="5.4427000000000003"/>
    <n v="10.7563"/>
    <n v="2084.7449000000001"/>
    <n v="1993.6151"/>
    <x v="0"/>
    <x v="1"/>
    <x v="627"/>
    <n v="2475910"/>
    <n v="5586.2002000000002"/>
    <n v="1984.8"/>
    <n v="2025.1"/>
    <n v="221"/>
    <n v="768465"/>
    <s v="11-Jan-2024"/>
    <n v="2025.1"/>
    <n v="1"/>
    <n v="2024"/>
    <n v="-0.19"/>
    <m/>
  </r>
  <r>
    <x v="628"/>
    <n v="2046.7"/>
    <n v="2057"/>
    <n v="2031.1"/>
    <n v="2031.1"/>
    <n v="390"/>
    <n v="2032.3143"/>
    <n v="2035.9532999999999"/>
    <n v="1969.1667"/>
    <x v="622"/>
    <n v="0.66"/>
    <n v="0.90529999999999999"/>
    <n v="48.552"/>
    <n v="4.5376000000000003"/>
    <n v="9.5124999999999993"/>
    <n v="2077.6653999999999"/>
    <n v="2005.9546"/>
    <x v="1"/>
    <x v="1"/>
    <x v="628"/>
    <n v="2475813"/>
    <n v="5586.2002000000002"/>
    <n v="1984.8"/>
    <n v="2031.1"/>
    <n v="220"/>
    <n v="768368"/>
    <s v="12-Jan-2024"/>
    <n v="2031.1"/>
    <n v="1"/>
    <n v="2024"/>
    <n v="0.3"/>
    <m/>
  </r>
  <r>
    <x v="629"/>
    <n v="2026"/>
    <n v="2054.8000000000002"/>
    <n v="2026"/>
    <n v="2051.6999999999998"/>
    <n v="46"/>
    <n v="2033.7571"/>
    <n v="2036.14"/>
    <n v="1970.5844"/>
    <x v="623"/>
    <n v="0.7611"/>
    <n v="0.92379999999999995"/>
    <n v="48.773000000000003"/>
    <n v="5.4200999999999997"/>
    <n v="8.6941000000000006"/>
    <n v="2078.3294999999998"/>
    <n v="2007.9905000000001"/>
    <x v="0"/>
    <x v="1"/>
    <x v="629"/>
    <n v="2475423"/>
    <n v="5586.2002000000002"/>
    <n v="1984.8"/>
    <n v="2051.6999999999998"/>
    <n v="220"/>
    <n v="768368"/>
    <s v="16-Jan-2024"/>
    <n v="2051.6999999999998"/>
    <n v="1"/>
    <n v="2024"/>
    <n v="1.01"/>
    <m/>
  </r>
  <r>
    <x v="630"/>
    <n v="2002.6"/>
    <n v="2026.5"/>
    <n v="2002.6"/>
    <n v="2026.5"/>
    <n v="764"/>
    <n v="2031.1857"/>
    <n v="2035.7466999999999"/>
    <n v="1971.7944"/>
    <x v="624"/>
    <n v="0.90329999999999999"/>
    <n v="0.94889999999999997"/>
    <n v="40.891800000000003"/>
    <n v="4.0395000000000003"/>
    <n v="7.7632000000000003"/>
    <n v="2078.5124999999998"/>
    <n v="2007.1975"/>
    <x v="0"/>
    <x v="1"/>
    <x v="630"/>
    <n v="2475377"/>
    <n v="5586.2002000000002"/>
    <n v="1984.8"/>
    <n v="2026.5"/>
    <n v="219"/>
    <n v="768322"/>
    <s v="17-Jan-2024"/>
    <n v="2026.5"/>
    <n v="1"/>
    <n v="2024"/>
    <n v="-1.23"/>
    <m/>
  </r>
  <r>
    <x v="631"/>
    <n v="2018.6"/>
    <n v="2018.6"/>
    <n v="2009.5"/>
    <n v="2012.8"/>
    <n v="1474"/>
    <n v="2030.2856999999999"/>
    <n v="2033.6632999999999"/>
    <n v="1972.7810999999999"/>
    <x v="625"/>
    <n v="0.80649999999999999"/>
    <n v="0.89039999999999997"/>
    <n v="35.680500000000002"/>
    <n v="1.8189"/>
    <n v="6.5743"/>
    <n v="2079.5324999999998"/>
    <n v="2005.0274999999999"/>
    <x v="1"/>
    <x v="1"/>
    <x v="631"/>
    <n v="2474613"/>
    <n v="5586.2002000000002"/>
    <n v="1984.8"/>
    <n v="2012.8"/>
    <n v="218"/>
    <n v="767558"/>
    <s v="18-Jan-2024"/>
    <n v="2012.8"/>
    <n v="1"/>
    <n v="2024"/>
    <n v="-0.68"/>
    <m/>
  </r>
  <r>
    <x v="632"/>
    <n v="2026.5"/>
    <n v="2036"/>
    <n v="2019.5"/>
    <n v="2023.2"/>
    <n v="50"/>
    <n v="2028.4857"/>
    <n v="2033.2666999999999"/>
    <n v="1973.8943999999999"/>
    <x v="626"/>
    <n v="0.75780000000000003"/>
    <n v="0.82599999999999996"/>
    <n v="34.334699999999998"/>
    <n v="0.8881"/>
    <n v="5.4371"/>
    <n v="2079.6358"/>
    <n v="2004.7242000000001"/>
    <x v="1"/>
    <x v="1"/>
    <x v="632"/>
    <n v="2473139"/>
    <n v="5586.2002000000002"/>
    <n v="1984.8"/>
    <n v="2023.2"/>
    <n v="218"/>
    <n v="767558"/>
    <s v="19-Jan-2024"/>
    <n v="2023.2"/>
    <n v="1"/>
    <n v="2024"/>
    <n v="0.52"/>
    <m/>
  </r>
  <r>
    <x v="633"/>
    <n v="2019.8"/>
    <n v="2021.3"/>
    <n v="2019.8"/>
    <n v="2021.3"/>
    <n v="12"/>
    <n v="2027.3857"/>
    <n v="2033.3133"/>
    <n v="1975.0110999999999"/>
    <x v="627"/>
    <n v="0.75009999999999999"/>
    <n v="0.81459999999999999"/>
    <n v="36.6342"/>
    <n v="-2.8999999999999998E-3"/>
    <n v="4.3491"/>
    <n v="2079.9472000000001"/>
    <n v="2002.8327999999999"/>
    <x v="0"/>
    <x v="1"/>
    <x v="633"/>
    <n v="2473089"/>
    <n v="5586.2002000000002"/>
    <n v="1984.8"/>
    <n v="2021.3"/>
    <n v="218"/>
    <n v="767558"/>
    <s v="22-Jan-2024"/>
    <n v="2021.3"/>
    <n v="1"/>
    <n v="2024"/>
    <n v="-0.09"/>
    <m/>
  </r>
  <r>
    <x v="634"/>
    <n v="2023.7"/>
    <n v="2030.3"/>
    <n v="2022.5"/>
    <n v="2030.3"/>
    <n v="15"/>
    <n v="2028.1286"/>
    <n v="2033.35"/>
    <n v="1976.3444"/>
    <x v="628"/>
    <n v="0.76870000000000005"/>
    <n v="0.81430000000000002"/>
    <n v="40.736600000000003"/>
    <n v="1.7000000000000001E-2"/>
    <n v="3.4826000000000001"/>
    <n v="2079.9177"/>
    <n v="2002.3123000000001"/>
    <x v="0"/>
    <x v="1"/>
    <x v="634"/>
    <n v="2473077"/>
    <n v="5586.2002000000002"/>
    <n v="1984.8"/>
    <n v="2030.3"/>
    <n v="217"/>
    <n v="767546"/>
    <s v="23-Jan-2024"/>
    <n v="2030.3"/>
    <n v="1"/>
    <n v="2024"/>
    <n v="0.45"/>
    <m/>
  </r>
  <r>
    <x v="635"/>
    <n v="2013.9"/>
    <n v="2033.2"/>
    <n v="2013.9"/>
    <n v="2023.2"/>
    <n v="253"/>
    <n v="2027"/>
    <n v="2033.0667000000001"/>
    <n v="1977.68"/>
    <x v="629"/>
    <n v="0.77149999999999996"/>
    <n v="0.8165"/>
    <n v="46.4968"/>
    <n v="-0.53400000000000003"/>
    <n v="2.6793"/>
    <n v="2078.4427999999998"/>
    <n v="2000.5372"/>
    <x v="0"/>
    <x v="1"/>
    <x v="635"/>
    <n v="2473062"/>
    <n v="5586.2002000000002"/>
    <n v="1984.8"/>
    <n v="2023.2"/>
    <n v="216"/>
    <n v="767531"/>
    <s v="24-Jan-2024"/>
    <n v="2023.2"/>
    <n v="1"/>
    <n v="2024"/>
    <n v="-0.35"/>
    <m/>
  </r>
  <r>
    <x v="636"/>
    <n v="2016.9"/>
    <n v="2022.4"/>
    <n v="2012.1"/>
    <n v="2012.1"/>
    <n v="548"/>
    <n v="2021.3429000000001"/>
    <n v="2033.3333"/>
    <n v="1978.6643999999999"/>
    <x v="630"/>
    <n v="0.62290000000000001"/>
    <n v="0.78310000000000002"/>
    <n v="40.821399999999997"/>
    <n v="-1.8451"/>
    <n v="1.7744"/>
    <n v="2076.6241"/>
    <n v="1997.5659000000001"/>
    <x v="1"/>
    <x v="1"/>
    <x v="636"/>
    <n v="2472809"/>
    <n v="5586.2002000000002"/>
    <n v="1984.8"/>
    <n v="2012.1"/>
    <n v="215"/>
    <n v="767278"/>
    <s v="25-Jan-2024"/>
    <n v="2012.1"/>
    <n v="1"/>
    <n v="2024"/>
    <n v="-0.55000000000000004"/>
    <m/>
  </r>
  <r>
    <x v="637"/>
    <n v="2016.8"/>
    <n v="2022.4"/>
    <n v="2016.8"/>
    <n v="2021.7"/>
    <n v="49"/>
    <n v="2020.6570999999999"/>
    <n v="2034.5833"/>
    <n v="1979.7032999999999"/>
    <x v="631"/>
    <n v="0.51229999999999998"/>
    <n v="0.76349999999999996"/>
    <n v="43.189900000000002"/>
    <n v="-2.0853999999999999"/>
    <n v="1.0024999999999999"/>
    <n v="2072.2112999999999"/>
    <n v="1997.4186999999999"/>
    <x v="0"/>
    <x v="1"/>
    <x v="637"/>
    <n v="2472261"/>
    <n v="5586.2002000000002"/>
    <n v="1984.8"/>
    <n v="2021.7"/>
    <n v="215"/>
    <n v="767278"/>
    <s v="26-Jan-2024"/>
    <n v="2021.7"/>
    <n v="1"/>
    <n v="2024"/>
    <n v="0.48"/>
    <m/>
  </r>
  <r>
    <x v="638"/>
    <n v="2025.2"/>
    <n v="2025.2"/>
    <n v="2025.2"/>
    <n v="2025.2"/>
    <n v="150708"/>
    <n v="2022.4286"/>
    <n v="2036.14"/>
    <n v="1980.7166999999999"/>
    <x v="632"/>
    <n v="0.42820000000000003"/>
    <n v="0.76080000000000003"/>
    <n v="52.096200000000003"/>
    <n v="-1.9708000000000001"/>
    <n v="0.4078"/>
    <n v="2062.3865999999998"/>
    <n v="2001.6033"/>
    <x v="1"/>
    <x v="1"/>
    <x v="638"/>
    <n v="2472212"/>
    <n v="5586.2002000000002"/>
    <n v="1984.8"/>
    <n v="2025.2"/>
    <n v="214"/>
    <n v="767229"/>
    <s v="29-Jan-2024"/>
    <n v="2025.2"/>
    <n v="1"/>
    <n v="2024"/>
    <n v="0.17"/>
    <m/>
  </r>
  <r>
    <x v="639"/>
    <n v="2031.5"/>
    <n v="2048.5"/>
    <n v="2028.1"/>
    <n v="2032.5"/>
    <n v="26907"/>
    <n v="2023.7571"/>
    <n v="2036.4"/>
    <n v="1981.6822"/>
    <x v="633"/>
    <n v="0.40560000000000002"/>
    <n v="0.63390000000000002"/>
    <n v="48.787599999999998"/>
    <n v="-1.2761"/>
    <n v="7.0999999999999994E-2"/>
    <n v="2055.4692"/>
    <n v="2004.9708000000001"/>
    <x v="0"/>
    <x v="1"/>
    <x v="639"/>
    <n v="2321504"/>
    <n v="5586.2002000000002"/>
    <n v="1984.8"/>
    <n v="2032.5"/>
    <n v="214"/>
    <n v="767229"/>
    <s v="30-Jan-2024"/>
    <n v="2032.5"/>
    <n v="1"/>
    <n v="2024"/>
    <n v="0.36"/>
    <m/>
  </r>
  <r>
    <x v="640"/>
    <n v="2048.3998999999999"/>
    <n v="2055"/>
    <n v="2030"/>
    <n v="2035.4"/>
    <n v="2007"/>
    <n v="2025.7714000000001"/>
    <n v="2036.4933000000001"/>
    <n v="1982.92"/>
    <x v="634"/>
    <n v="0.39989999999999998"/>
    <n v="0.63039999999999996"/>
    <n v="52.4206"/>
    <n v="-0.48599999999999999"/>
    <n v="-4.0399999999999998E-2"/>
    <n v="2048.8571999999999"/>
    <n v="2008.7728"/>
    <x v="1"/>
    <x v="1"/>
    <x v="640"/>
    <n v="2294597"/>
    <n v="5586.2002000000002"/>
    <n v="1984.8"/>
    <n v="2035.4"/>
    <n v="213"/>
    <n v="740322"/>
    <s v="31-Jan-2024"/>
    <n v="2035.4"/>
    <n v="1"/>
    <n v="2024"/>
    <n v="0.14000000000000001"/>
    <m/>
  </r>
  <r>
    <x v="641"/>
    <n v="2053"/>
    <n v="2064.5"/>
    <n v="2029"/>
    <n v="2040.2"/>
    <n v="947"/>
    <n v="2027.1857"/>
    <n v="2037.0233000000001"/>
    <n v="1984.1955"/>
    <x v="635"/>
    <n v="0.37690000000000001"/>
    <n v="0.62680000000000002"/>
    <n v="55.672400000000003"/>
    <n v="0.52139999999999997"/>
    <n v="7.1999999999999995E-2"/>
    <n v="2049.6696000000002"/>
    <n v="2008.5603000000001"/>
    <x v="1"/>
    <x v="1"/>
    <x v="641"/>
    <n v="2292590"/>
    <n v="5586.2002000000002"/>
    <n v="1984.8"/>
    <n v="2040.2"/>
    <n v="213"/>
    <n v="740322"/>
    <s v="01-Feb-2024"/>
    <n v="2040.2"/>
    <n v="1"/>
    <n v="2024"/>
    <n v="0.24"/>
    <m/>
  </r>
  <r>
    <x v="642"/>
    <n v="2036.1"/>
    <n v="2055.8998999999999"/>
    <n v="2027.7"/>
    <n v="2054.8000000000002"/>
    <n v="888"/>
    <n v="2031.7"/>
    <n v="2038.01"/>
    <n v="1985.7311"/>
    <x v="636"/>
    <n v="0.39379999999999998"/>
    <n v="0.63929999999999998"/>
    <n v="58.3628"/>
    <n v="2.4695"/>
    <n v="0.55149999999999999"/>
    <n v="2052.7256000000002"/>
    <n v="2006.8243"/>
    <x v="0"/>
    <x v="1"/>
    <x v="642"/>
    <n v="2291643"/>
    <n v="5586.2002000000002"/>
    <n v="1984.8"/>
    <n v="2054.8000000000002"/>
    <n v="213"/>
    <n v="740322"/>
    <s v="02-Feb-2024"/>
    <n v="2054.8000000000002"/>
    <n v="1"/>
    <n v="2024"/>
    <n v="0.72"/>
    <m/>
  </r>
  <r>
    <x v="643"/>
    <n v="2025.7"/>
    <n v="2040.8"/>
    <n v="2013.8"/>
    <n v="2038.9"/>
    <n v="412"/>
    <n v="2035.5286000000001"/>
    <n v="2038.07"/>
    <n v="1987.2189000000001"/>
    <x v="637"/>
    <n v="0.46929999999999999"/>
    <n v="0.64810000000000001"/>
    <n v="45.328499999999998"/>
    <n v="2.6991999999999998"/>
    <n v="0.98099999999999998"/>
    <n v="2051.8173000000002"/>
    <n v="2007.1727000000001"/>
    <x v="0"/>
    <x v="1"/>
    <x v="643"/>
    <n v="2290755"/>
    <n v="5586.2002000000002"/>
    <n v="1984.8"/>
    <n v="2038.9"/>
    <n v="212"/>
    <n v="739434"/>
    <s v="05-Feb-2024"/>
    <n v="2038.9"/>
    <n v="1"/>
    <n v="2024"/>
    <n v="-0.77"/>
    <m/>
  </r>
  <r>
    <x v="644"/>
    <n v="2034.5"/>
    <n v="2037.3"/>
    <n v="2025.9"/>
    <n v="2025.9"/>
    <n v="249"/>
    <n v="2036.1286"/>
    <n v="2037.74"/>
    <n v="1988.9332999999999"/>
    <x v="638"/>
    <n v="0.53949999999999998"/>
    <n v="0.65849999999999997"/>
    <n v="49.759599999999999"/>
    <n v="1.8113999999999999"/>
    <n v="1.1471"/>
    <n v="2051.6929"/>
    <n v="2007.9770000000001"/>
    <x v="1"/>
    <x v="1"/>
    <x v="644"/>
    <n v="2290343"/>
    <n v="5586.2002000000002"/>
    <n v="1984.8"/>
    <n v="2025.9"/>
    <n v="211"/>
    <n v="739022"/>
    <s v="06-Feb-2024"/>
    <n v="2025.9"/>
    <n v="1"/>
    <n v="2024"/>
    <n v="-0.64"/>
    <m/>
  </r>
  <r>
    <x v="645"/>
    <n v="2035.2"/>
    <n v="2039.5"/>
    <n v="2032.7"/>
    <n v="2032.8"/>
    <n v="71"/>
    <n v="2037.2143000000001"/>
    <n v="2036.9766999999999"/>
    <n v="1990.6811"/>
    <x v="639"/>
    <n v="0.55049999999999999"/>
    <n v="0.63529999999999998"/>
    <n v="58.474600000000002"/>
    <n v="1.6456999999999999"/>
    <n v="1.2467999999999999"/>
    <n v="2051.4114"/>
    <n v="2007.9585999999999"/>
    <x v="1"/>
    <x v="1"/>
    <x v="645"/>
    <n v="2290094"/>
    <n v="5586.2002000000002"/>
    <n v="1984.8"/>
    <n v="2032.8"/>
    <n v="211"/>
    <n v="739022"/>
    <s v="07-Feb-2024"/>
    <n v="2032.8"/>
    <n v="1"/>
    <n v="2024"/>
    <n v="0.34"/>
    <m/>
  </r>
  <r>
    <x v="646"/>
    <n v="2032.2"/>
    <n v="2036.7"/>
    <n v="2020.3"/>
    <n v="2028"/>
    <n v="341"/>
    <n v="2036.5714"/>
    <n v="2035.91"/>
    <n v="1992.5"/>
    <x v="640"/>
    <n v="0.54139999999999999"/>
    <n v="0.63460000000000005"/>
    <n v="52.135300000000001"/>
    <n v="1.1141000000000001"/>
    <n v="1.2202999999999999"/>
    <n v="2051.3726000000001"/>
    <n v="2007.8974000000001"/>
    <x v="1"/>
    <x v="1"/>
    <x v="646"/>
    <n v="2290023"/>
    <n v="5586.2002000000002"/>
    <n v="1984.8"/>
    <n v="2028"/>
    <n v="211"/>
    <n v="739022"/>
    <s v="08-Feb-2024"/>
    <n v="2028"/>
    <n v="1"/>
    <n v="2024"/>
    <n v="-0.24"/>
    <m/>
  </r>
  <r>
    <x v="647"/>
    <n v="2023.3"/>
    <n v="2032"/>
    <n v="2020"/>
    <n v="2032"/>
    <n v="62"/>
    <n v="2036.0857000000001"/>
    <n v="2034.7333000000001"/>
    <n v="1994.5878"/>
    <x v="641"/>
    <n v="0.54469999999999996"/>
    <n v="0.63180000000000003"/>
    <n v="54.672499999999999"/>
    <n v="1.004"/>
    <n v="1.177"/>
    <n v="2051.6334000000002"/>
    <n v="2008.3266000000001"/>
    <x v="0"/>
    <x v="1"/>
    <x v="647"/>
    <n v="2289682"/>
    <n v="5586.2002000000002"/>
    <n v="1984.8"/>
    <n v="2032"/>
    <n v="211"/>
    <n v="739022"/>
    <s v="09-Feb-2024"/>
    <n v="2032"/>
    <n v="1"/>
    <n v="2024"/>
    <n v="0.2"/>
    <m/>
  </r>
  <r>
    <x v="648"/>
    <n v="2018.2"/>
    <n v="2025.5"/>
    <n v="2011.6"/>
    <n v="2025.5"/>
    <n v="317"/>
    <n v="2033.9857"/>
    <n v="2032.8633"/>
    <n v="1996.8155999999999"/>
    <x v="642"/>
    <n v="0.54120000000000001"/>
    <n v="0.61739999999999995"/>
    <n v="47.857100000000003"/>
    <n v="0.38790000000000002"/>
    <n v="1.0192000000000001"/>
    <n v="2051.4371000000001"/>
    <n v="2007.9629"/>
    <x v="0"/>
    <x v="1"/>
    <x v="648"/>
    <n v="2289620"/>
    <n v="5586.2002000000002"/>
    <n v="1984.8"/>
    <n v="2025.5"/>
    <n v="210"/>
    <n v="738960"/>
    <s v="12-Feb-2024"/>
    <n v="2025.5"/>
    <n v="1"/>
    <n v="2024"/>
    <n v="-0.32"/>
    <m/>
  </r>
  <r>
    <x v="649"/>
    <n v="1992.9"/>
    <n v="2025.8"/>
    <n v="1990"/>
    <n v="2025.1"/>
    <n v="198"/>
    <n v="2029.7429"/>
    <n v="2031.4332999999999"/>
    <n v="1999.0744"/>
    <x v="643"/>
    <n v="0.41199999999999998"/>
    <n v="0.60819999999999996"/>
    <n v="50.902200000000001"/>
    <n v="-0.1313"/>
    <n v="0.78910000000000002"/>
    <n v="2047.5433"/>
    <n v="2009.1967"/>
    <x v="0"/>
    <x v="1"/>
    <x v="649"/>
    <n v="2289303"/>
    <n v="5586.2002000000002"/>
    <n v="1984.8"/>
    <n v="2025.1"/>
    <n v="209"/>
    <n v="738643"/>
    <s v="13-Feb-2024"/>
    <n v="2025.1"/>
    <n v="1"/>
    <n v="2024"/>
    <n v="-0.02"/>
    <m/>
  </r>
  <r>
    <x v="650"/>
    <n v="1990.3"/>
    <n v="1993.5"/>
    <n v="1984.8"/>
    <n v="1990.3"/>
    <n v="1916"/>
    <n v="2022.8"/>
    <n v="2028.9933000000001"/>
    <n v="2000.8967"/>
    <x v="644"/>
    <n v="0.68969999999999998"/>
    <n v="0.67859999999999998"/>
    <n v="41.550400000000003"/>
    <n v="-3.3125"/>
    <n v="-3.1199999999999999E-2"/>
    <n v="2052.2154999999998"/>
    <n v="2000.9045000000001"/>
    <x v="1"/>
    <x v="1"/>
    <x v="650"/>
    <n v="2289105"/>
    <n v="5586.2002000000002"/>
    <n v="1984.8"/>
    <n v="1990.3"/>
    <n v="208"/>
    <n v="738445"/>
    <s v="14-Feb-2024"/>
    <n v="1990.3"/>
    <n v="1"/>
    <n v="2024"/>
    <n v="-1.72"/>
    <m/>
  </r>
  <r>
    <x v="651"/>
    <n v="2002.1"/>
    <n v="2007.2"/>
    <n v="1993.6"/>
    <n v="1993.6"/>
    <n v="286"/>
    <n v="2018.1857"/>
    <n v="2027.64"/>
    <n v="2002.8367000000001"/>
    <x v="645"/>
    <n v="0.69910000000000005"/>
    <n v="0.63400000000000001"/>
    <n v="38.549300000000002"/>
    <n v="-5.5039999999999996"/>
    <n v="-1.1257999999999999"/>
    <n v="2054.6374000000001"/>
    <n v="1996.5626"/>
    <x v="1"/>
    <x v="1"/>
    <x v="651"/>
    <n v="2287189"/>
    <n v="5586.2002000000002"/>
    <n v="1993.6"/>
    <n v="1993.6"/>
    <n v="208"/>
    <n v="738445"/>
    <s v="15-Feb-2024"/>
    <n v="1993.6"/>
    <n v="1"/>
    <n v="2024"/>
    <n v="0.17"/>
    <m/>
  </r>
  <r>
    <x v="652"/>
    <n v="2011.5"/>
    <n v="2011.5"/>
    <n v="1996.5"/>
    <n v="2005"/>
    <n v="32"/>
    <n v="2014.2143000000001"/>
    <n v="2026.42"/>
    <n v="2004.6422"/>
    <x v="646"/>
    <n v="0.7349"/>
    <n v="0.63990000000000002"/>
    <n v="42.266500000000001"/>
    <n v="-6.2488000000000001"/>
    <n v="-2.1503999999999999"/>
    <n v="2055.15"/>
    <n v="1994.23"/>
    <x v="1"/>
    <x v="1"/>
    <x v="652"/>
    <n v="2286903"/>
    <n v="5586.2002000000002"/>
    <n v="1996.5"/>
    <n v="2005"/>
    <n v="208"/>
    <n v="738445"/>
    <s v="16-Feb-2024"/>
    <n v="2005"/>
    <n v="1"/>
    <n v="2024"/>
    <n v="0.56999999999999995"/>
    <m/>
  </r>
  <r>
    <x v="653"/>
    <n v="2027.5"/>
    <n v="2029"/>
    <n v="2015.6"/>
    <n v="2015.6"/>
    <n v="1326"/>
    <n v="2012.4429"/>
    <n v="2025.4567"/>
    <n v="2006.4043999999999"/>
    <x v="647"/>
    <n v="0.78300000000000003"/>
    <n v="0.64790000000000003"/>
    <n v="43.689300000000003"/>
    <n v="-5.9156000000000004"/>
    <n v="-2.9034"/>
    <n v="2055.1043"/>
    <n v="1993.7057"/>
    <x v="1"/>
    <x v="1"/>
    <x v="653"/>
    <n v="2286871"/>
    <n v="5586.2002000000002"/>
    <n v="2014.9"/>
    <n v="2015.6"/>
    <n v="208"/>
    <n v="738445"/>
    <s v="20-Feb-2024"/>
    <n v="2015.6"/>
    <n v="1"/>
    <n v="2024"/>
    <n v="0.53"/>
    <m/>
  </r>
  <r>
    <x v="654"/>
    <n v="2022.3"/>
    <n v="2028.2"/>
    <n v="2022.3"/>
    <n v="2028.2"/>
    <n v="15"/>
    <n v="2011.9"/>
    <n v="2025.76"/>
    <n v="2008.1677999999999"/>
    <x v="648"/>
    <n v="0.82430000000000003"/>
    <n v="0.61799999999999999"/>
    <n v="47.493000000000002"/>
    <n v="-4.5819000000000001"/>
    <n v="-3.2391000000000001"/>
    <n v="2054.9286000000002"/>
    <n v="1993.6713"/>
    <x v="0"/>
    <x v="1"/>
    <x v="654"/>
    <n v="2285545"/>
    <n v="5586.2002000000002"/>
    <n v="2014.9"/>
    <n v="2028.2"/>
    <n v="208"/>
    <n v="738445"/>
    <s v="21-Feb-2024"/>
    <n v="2028.2"/>
    <n v="1"/>
    <n v="2024"/>
    <n v="0.63"/>
    <m/>
  </r>
  <r>
    <x v="655"/>
    <n v="2019.7"/>
    <n v="2033.2"/>
    <n v="2019.7"/>
    <n v="2033.2"/>
    <n v="964"/>
    <n v="2013"/>
    <n v="2025.6732999999999"/>
    <n v="2009.9289000000001"/>
    <x v="649"/>
    <n v="0.81810000000000005"/>
    <n v="0.60060000000000002"/>
    <n v="47.566099999999999"/>
    <n v="-3.0859999999999999"/>
    <n v="-3.2084999999999999"/>
    <n v="2055.6785"/>
    <n v="1993.9214999999999"/>
    <x v="0"/>
    <x v="1"/>
    <x v="655"/>
    <n v="2285530"/>
    <n v="5586.2002000000002"/>
    <n v="2014.9"/>
    <n v="2033.2"/>
    <n v="207"/>
    <n v="738430"/>
    <s v="22-Feb-2024"/>
    <n v="2033.2"/>
    <n v="1"/>
    <n v="2024"/>
    <n v="0.25"/>
    <m/>
  </r>
  <r>
    <x v="656"/>
    <n v="2038.6"/>
    <n v="2038.6"/>
    <n v="2014.9"/>
    <n v="2026"/>
    <n v="22"/>
    <n v="2013.1286"/>
    <n v="2025.5733"/>
    <n v="2011.5789"/>
    <x v="650"/>
    <n v="0.83299999999999996"/>
    <n v="0.60099999999999998"/>
    <n v="39.442799999999998"/>
    <n v="-2.4531999999999998"/>
    <n v="-3.0573999999999999"/>
    <n v="2055.7901000000002"/>
    <n v="1995.1998000000001"/>
    <x v="1"/>
    <x v="1"/>
    <x v="656"/>
    <n v="2284566"/>
    <n v="5586.2002000000002"/>
    <n v="2014.9"/>
    <n v="2026"/>
    <n v="206"/>
    <n v="737466"/>
    <s v="23-Feb-2024"/>
    <n v="2026"/>
    <n v="1"/>
    <n v="2024"/>
    <n v="-0.35"/>
    <m/>
  </r>
  <r>
    <x v="657"/>
    <n v="2028.5"/>
    <n v="2035.4"/>
    <n v="2024.8"/>
    <n v="2034.1"/>
    <n v="143"/>
    <n v="2019.3857"/>
    <n v="2025.8733"/>
    <n v="2012.9532999999999"/>
    <x v="651"/>
    <n v="0.33900000000000002"/>
    <n v="0.60429999999999995"/>
    <n v="48.133699999999997"/>
    <n v="-1.2831999999999999"/>
    <n v="-2.7025999999999999"/>
    <n v="2056.5900999999999"/>
    <n v="1995.6398999999999"/>
    <x v="0"/>
    <x v="1"/>
    <x v="657"/>
    <n v="2284544"/>
    <n v="5586.2002000000002"/>
    <n v="2024.8"/>
    <n v="2034.1"/>
    <n v="206"/>
    <n v="737466"/>
    <s v="26-Feb-2024"/>
    <n v="2034.1"/>
    <n v="1"/>
    <n v="2024"/>
    <n v="0.4"/>
    <m/>
  </r>
  <r>
    <x v="658"/>
    <n v="2034"/>
    <n v="2035.9"/>
    <n v="2034"/>
    <n v="2035.9"/>
    <n v="964"/>
    <n v="2025.4286"/>
    <n v="2026.0333000000001"/>
    <n v="2014.3044"/>
    <x v="652"/>
    <n v="0.3458"/>
    <n v="0.60209999999999997"/>
    <n v="54.258899999999997"/>
    <n v="-0.2084"/>
    <n v="-2.2038000000000002"/>
    <n v="2057.4315999999999"/>
    <n v="1995.8684000000001"/>
    <x v="0"/>
    <x v="1"/>
    <x v="658"/>
    <n v="2284401"/>
    <n v="5586.2002000000002"/>
    <n v="2024.8"/>
    <n v="2035.9"/>
    <n v="205"/>
    <n v="737323"/>
    <s v="27-Feb-2024"/>
    <n v="2035.9"/>
    <n v="1"/>
    <n v="2024"/>
    <n v="0.09"/>
    <m/>
  </r>
  <r>
    <x v="659"/>
    <n v="2033"/>
    <n v="2037"/>
    <n v="2024.8"/>
    <n v="2029.5"/>
    <n v="581"/>
    <n v="2028.9286"/>
    <n v="2025.2933"/>
    <n v="2015.3543999999999"/>
    <x v="653"/>
    <n v="0.38950000000000001"/>
    <n v="0.57389999999999997"/>
    <n v="48.588500000000003"/>
    <n v="0.1255"/>
    <n v="-1.7379"/>
    <n v="2057.1907000000001"/>
    <n v="1995.8092999999999"/>
    <x v="1"/>
    <x v="1"/>
    <x v="659"/>
    <n v="2283437"/>
    <n v="5586.2002000000002"/>
    <n v="2024.8"/>
    <n v="2029.5"/>
    <n v="204"/>
    <n v="736359"/>
    <s v="28-Feb-2024"/>
    <n v="2029.5"/>
    <n v="1"/>
    <n v="2024"/>
    <n v="-0.31"/>
    <m/>
  </r>
  <r>
    <x v="660"/>
    <n v="2045.7"/>
    <n v="2049.8000000000002"/>
    <n v="2034.3"/>
    <n v="2034.3"/>
    <n v="706"/>
    <n v="2031.6"/>
    <n v="2025.5533"/>
    <n v="2016.29"/>
    <x v="654"/>
    <n v="0.35970000000000002"/>
    <n v="0.52939999999999998"/>
    <n v="52.694600000000001"/>
    <n v="0.76859999999999995"/>
    <n v="-1.2365999999999999"/>
    <n v="2057.0724"/>
    <n v="1995.8176000000001"/>
    <x v="1"/>
    <x v="1"/>
    <x v="660"/>
    <n v="2282856"/>
    <n v="5586.2002000000002"/>
    <n v="2034.3"/>
    <n v="2034.3"/>
    <n v="204"/>
    <n v="736359"/>
    <s v="29-Feb-2024"/>
    <n v="2034.3"/>
    <n v="1"/>
    <n v="2024"/>
    <n v="0.24"/>
    <m/>
  </r>
  <r>
    <x v="661"/>
    <n v="2086.8998999999999"/>
    <n v="2086.8998999999999"/>
    <n v="2041.8"/>
    <n v="2043.1"/>
    <n v="1210"/>
    <n v="2033.7285999999999"/>
    <n v="2026.5633"/>
    <n v="2016.9789000000001"/>
    <x v="655"/>
    <n v="0.3211"/>
    <n v="0.51819999999999999"/>
    <n v="54.560400000000001"/>
    <n v="1.9657"/>
    <n v="-0.59609999999999996"/>
    <n v="2057.5176000000001"/>
    <n v="1995.6623999999999"/>
    <x v="1"/>
    <x v="1"/>
    <x v="661"/>
    <n v="2282150"/>
    <n v="5586.2002000000002"/>
    <n v="2041.8"/>
    <n v="2043.1"/>
    <n v="204"/>
    <n v="736359"/>
    <s v="01-Mar-2024"/>
    <n v="2043.1"/>
    <n v="1"/>
    <n v="2024"/>
    <n v="0.43"/>
    <m/>
  </r>
  <r>
    <x v="662"/>
    <n v="2117.6999999999998"/>
    <n v="2119.8000000000002"/>
    <n v="2080.6999999999998"/>
    <n v="2083.6001000000001"/>
    <n v="805"/>
    <n v="2040.9286"/>
    <n v="2028.5767000000001"/>
    <n v="2018.1722"/>
    <x v="656"/>
    <n v="0.78439999999999999"/>
    <n v="0.62219999999999998"/>
    <n v="68.657700000000006"/>
    <n v="6.1120000000000001"/>
    <n v="0.74550000000000005"/>
    <n v="2066.2986999999998"/>
    <n v="1989.7612999999999"/>
    <x v="1"/>
    <x v="1"/>
    <x v="662"/>
    <n v="2280940"/>
    <n v="5586.2002000000002"/>
    <n v="2080.6999999999998"/>
    <n v="2083.6001000000001"/>
    <n v="204"/>
    <n v="736359"/>
    <s v="04-Mar-2024"/>
    <n v="2083.6001000000001"/>
    <n v="1"/>
    <n v="2024"/>
    <n v="1.98"/>
    <m/>
  </r>
  <r>
    <x v="663"/>
    <n v="2133.5"/>
    <n v="2133.5"/>
    <n v="2111.3998999999999"/>
    <n v="2114.8998999999999"/>
    <n v="1287"/>
    <n v="2053.6286"/>
    <n v="2031.6967"/>
    <n v="2019.7789"/>
    <x v="657"/>
    <n v="0.81859999999999999"/>
    <n v="0.6714"/>
    <n v="74.062200000000004"/>
    <n v="11.787699999999999"/>
    <n v="2.9539"/>
    <n v="2086.3049999999998"/>
    <n v="1977.355"/>
    <x v="1"/>
    <x v="0"/>
    <x v="663"/>
    <n v="2280135"/>
    <n v="5586.2002000000002"/>
    <n v="2111.3998999999999"/>
    <n v="2114.8998999999999"/>
    <n v="204"/>
    <n v="736359"/>
    <s v="05-Mar-2024"/>
    <n v="2114.8998999999999"/>
    <n v="1"/>
    <n v="2024"/>
    <n v="1.5"/>
    <m/>
  </r>
  <r>
    <x v="664"/>
    <n v="2150.3000000000002"/>
    <n v="2150.3000000000002"/>
    <n v="2125.5"/>
    <n v="2125.5"/>
    <n v="443"/>
    <n v="2066.6857"/>
    <n v="2034.87"/>
    <n v="2021.4933000000001"/>
    <x v="658"/>
    <n v="0.81489999999999996"/>
    <n v="0.67230000000000001"/>
    <n v="91.625600000000006"/>
    <n v="16.945699999999999"/>
    <n v="5.7523"/>
    <n v="2105.3874999999998"/>
    <n v="1968.2325000000001"/>
    <x v="1"/>
    <x v="0"/>
    <x v="664"/>
    <n v="2278848"/>
    <n v="5586.2002000000002"/>
    <n v="2125.5"/>
    <n v="2125.5"/>
    <n v="204"/>
    <n v="736359"/>
    <s v="06-Mar-2024"/>
    <n v="2125.5"/>
    <n v="1"/>
    <n v="2024"/>
    <n v="0.5"/>
    <m/>
  </r>
  <r>
    <x v="665"/>
    <n v="2158"/>
    <n v="2163"/>
    <n v="2147"/>
    <n v="2147"/>
    <n v="152"/>
    <n v="2082.5571"/>
    <n v="2038.9966999999999"/>
    <n v="2023.2578000000001"/>
    <x v="659"/>
    <n v="0.78639999999999999"/>
    <n v="0.68289999999999995"/>
    <n v="92.4696"/>
    <n v="22.508900000000001"/>
    <n v="9.1036000000000001"/>
    <n v="2126.8905"/>
    <n v="1958.1495"/>
    <x v="1"/>
    <x v="0"/>
    <x v="665"/>
    <n v="2278405"/>
    <n v="5586.2002000000002"/>
    <n v="2146.1999999999998"/>
    <n v="2147"/>
    <n v="204"/>
    <n v="736359"/>
    <s v="07-Mar-2024"/>
    <n v="2147"/>
    <n v="1"/>
    <n v="2024"/>
    <n v="1.01"/>
    <m/>
  </r>
  <r>
    <x v="666"/>
    <n v="2178.6001000000001"/>
    <n v="2194.8998999999999"/>
    <n v="2166.3000000000002"/>
    <n v="2167.3000000000002"/>
    <n v="259"/>
    <n v="2102.2429000000002"/>
    <n v="2044.17"/>
    <n v="2025.2433000000001"/>
    <x v="660"/>
    <n v="0.62609999999999999"/>
    <n v="0.68089999999999995"/>
    <n v="92.8232"/>
    <n v="28.230399999999999"/>
    <n v="12.929"/>
    <n v="2150.2204999999999"/>
    <n v="1948.7494999999999"/>
    <x v="1"/>
    <x v="0"/>
    <x v="666"/>
    <n v="2278253"/>
    <n v="5586.2002000000002"/>
    <n v="2146.1999999999998"/>
    <n v="2167.3000000000002"/>
    <n v="204"/>
    <n v="736359"/>
    <s v="08-Mar-2024"/>
    <n v="2167.3000000000002"/>
    <n v="1"/>
    <n v="2024"/>
    <n v="0.95"/>
    <m/>
  </r>
  <r>
    <x v="667"/>
    <n v="2182.5"/>
    <n v="2184"/>
    <n v="2177.1999999999998"/>
    <n v="2181"/>
    <n v="738"/>
    <n v="2123.1999999999998"/>
    <n v="2049.48"/>
    <n v="2027.2089000000001"/>
    <x v="661"/>
    <n v="0.56659999999999999"/>
    <n v="0.68320000000000003"/>
    <n v="92.938699999999997"/>
    <n v="33.484200000000001"/>
    <n v="17.04"/>
    <n v="2173.0853000000002"/>
    <n v="1940.7846999999999"/>
    <x v="1"/>
    <x v="0"/>
    <x v="667"/>
    <n v="2277994"/>
    <n v="5586.2002000000002"/>
    <n v="2146.1999999999998"/>
    <n v="2181"/>
    <n v="204"/>
    <n v="736359"/>
    <s v="11-Mar-2024"/>
    <n v="2181"/>
    <n v="1"/>
    <n v="2024"/>
    <n v="0.63"/>
    <m/>
  </r>
  <r>
    <x v="668"/>
    <n v="2160.3998999999999"/>
    <n v="2182.6999999999998"/>
    <n v="2160.3998999999999"/>
    <n v="2182.5"/>
    <n v="550"/>
    <n v="2143.1143000000002"/>
    <n v="2054.7233000000001"/>
    <n v="2029.2755999999999"/>
    <x v="662"/>
    <n v="0.63939999999999997"/>
    <n v="0.68389999999999995"/>
    <n v="92.506900000000002"/>
    <n v="37.338500000000003"/>
    <n v="21.099699999999999"/>
    <n v="2192.6235000000001"/>
    <n v="1936.9465"/>
    <x v="0"/>
    <x v="0"/>
    <x v="668"/>
    <n v="2277256"/>
    <n v="5586.2002000000002"/>
    <n v="2146.1999999999998"/>
    <n v="2182.5"/>
    <n v="204"/>
    <n v="736359"/>
    <s v="12-Mar-2024"/>
    <n v="2182.5"/>
    <n v="1"/>
    <n v="2024"/>
    <n v="7.0000000000000007E-2"/>
    <m/>
  </r>
  <r>
    <x v="669"/>
    <n v="2175.3998999999999"/>
    <n v="2175.3998999999999"/>
    <n v="2162.5"/>
    <n v="2162.5"/>
    <n v="20"/>
    <n v="2154.3856999999998"/>
    <n v="2059.0567000000001"/>
    <n v="2031.1867"/>
    <x v="663"/>
    <n v="0.78159999999999996"/>
    <n v="0.71589999999999998"/>
    <n v="82.900800000000004"/>
    <n v="38.337299999999999"/>
    <n v="24.5472"/>
    <n v="2205.1561000000002"/>
    <n v="1938.1539"/>
    <x v="1"/>
    <x v="0"/>
    <x v="669"/>
    <n v="2276706"/>
    <n v="5586.2002000000002"/>
    <n v="2146.1999999999998"/>
    <n v="2162.5"/>
    <n v="203"/>
    <n v="735809"/>
    <s v="13-Mar-2024"/>
    <n v="2162.5"/>
    <n v="1"/>
    <n v="2024"/>
    <n v="-0.92"/>
    <m/>
  </r>
  <r>
    <x v="670"/>
    <n v="2163"/>
    <n v="2163"/>
    <n v="2162.3000000000002"/>
    <n v="2163"/>
    <n v="515"/>
    <n v="2161.2570999999998"/>
    <n v="2063.31"/>
    <n v="2033.1188999999999"/>
    <x v="664"/>
    <n v="0.66830000000000001"/>
    <n v="0.71660000000000001"/>
    <n v="86.090599999999995"/>
    <n v="38.722799999999999"/>
    <n v="27.382300000000001"/>
    <n v="2213.9755"/>
    <n v="1946.6044999999999"/>
    <x v="1"/>
    <x v="0"/>
    <x v="670"/>
    <n v="2276686"/>
    <n v="5586.2002000000002"/>
    <n v="2146.1999999999998"/>
    <n v="2163"/>
    <n v="203"/>
    <n v="735809"/>
    <s v="14-Mar-2024"/>
    <n v="2163"/>
    <n v="1"/>
    <n v="2024"/>
    <n v="0.02"/>
    <m/>
  </r>
  <r>
    <x v="671"/>
    <n v="2157.3000000000002"/>
    <n v="2161.6999999999998"/>
    <n v="2157.3000000000002"/>
    <n v="2161.6999999999998"/>
    <n v="100"/>
    <n v="2166.4286000000002"/>
    <n v="2067.36"/>
    <n v="2035.0378000000001"/>
    <x v="665"/>
    <n v="0.67700000000000005"/>
    <n v="0.71819999999999995"/>
    <n v="84.863399999999999"/>
    <n v="38.479900000000001"/>
    <n v="29.601800000000001"/>
    <n v="2220.5567000000001"/>
    <n v="1956.8333"/>
    <x v="0"/>
    <x v="0"/>
    <x v="671"/>
    <n v="2276171"/>
    <n v="5586.2002000000002"/>
    <n v="2146.1999999999998"/>
    <n v="2161.6999999999998"/>
    <n v="203"/>
    <n v="735809"/>
    <s v="15-Mar-2024"/>
    <n v="2161.6999999999998"/>
    <n v="1"/>
    <n v="2024"/>
    <n v="-0.06"/>
    <m/>
  </r>
  <r>
    <x v="672"/>
    <n v="2160.6999999999998"/>
    <n v="2160.6999999999998"/>
    <n v="2146.1999999999998"/>
    <n v="2146.1999999999998"/>
    <n v="21"/>
    <n v="2166.3143"/>
    <n v="2070.4067"/>
    <n v="2036.8667"/>
    <x v="666"/>
    <n v="0.66539999999999999"/>
    <n v="0.73"/>
    <n v="78.037599999999998"/>
    <n v="36.6145"/>
    <n v="31.0044"/>
    <n v="2223.8139999999999"/>
    <n v="1967.6959999999999"/>
    <x v="1"/>
    <x v="0"/>
    <x v="672"/>
    <n v="2276071"/>
    <n v="5586.2002000000002"/>
    <n v="2146.1999999999998"/>
    <n v="2146.1999999999998"/>
    <n v="202"/>
    <n v="735709"/>
    <s v="18-Mar-2024"/>
    <n v="2146.1999999999998"/>
    <n v="1"/>
    <n v="2024"/>
    <n v="-0.72"/>
    <m/>
  </r>
  <r>
    <x v="673"/>
    <n v="2156.3000000000002"/>
    <n v="2156.3000000000002"/>
    <n v="2156.1001000000001"/>
    <n v="2156.1001000000001"/>
    <n v="12"/>
    <n v="2164.7143000000001"/>
    <n v="2074.3132999999998"/>
    <n v="2038.9733000000001"/>
    <x v="667"/>
    <n v="0.56840000000000002"/>
    <n v="0.71079999999999999"/>
    <n v="81.618399999999994"/>
    <n v="35.525599999999997"/>
    <n v="31.9086"/>
    <n v="2227.7013999999999"/>
    <n v="1977.8586"/>
    <x v="1"/>
    <x v="0"/>
    <x v="673"/>
    <n v="2276050"/>
    <n v="5586.2002000000002"/>
    <n v="2150.8998999999999"/>
    <n v="2156.1001000000001"/>
    <n v="202"/>
    <n v="735709"/>
    <s v="19-Mar-2024"/>
    <n v="2156.1001000000001"/>
    <n v="1"/>
    <n v="2024"/>
    <n v="0.46"/>
    <m/>
  </r>
  <r>
    <x v="674"/>
    <n v="2157.8998999999999"/>
    <n v="2185.8998999999999"/>
    <n v="2150.8998999999999"/>
    <n v="2157.3000000000002"/>
    <n v="17"/>
    <n v="2161.3285999999998"/>
    <n v="2078.6932999999999"/>
    <n v="2041.0789"/>
    <x v="668"/>
    <n v="0.4849"/>
    <n v="0.69410000000000005"/>
    <n v="81.281800000000004"/>
    <n v="34.363300000000002"/>
    <n v="32.3996"/>
    <n v="2231.2379000000001"/>
    <n v="1987.2320999999999"/>
    <x v="1"/>
    <x v="0"/>
    <x v="674"/>
    <n v="2276038"/>
    <n v="5586.2002000000002"/>
    <n v="2150.8998999999999"/>
    <n v="2157.3000000000002"/>
    <n v="202"/>
    <n v="735709"/>
    <s v="20-Mar-2024"/>
    <n v="2157.3000000000002"/>
    <n v="1"/>
    <n v="2024"/>
    <n v="0.06"/>
    <m/>
  </r>
  <r>
    <x v="675"/>
    <n v="2182.3998999999999"/>
    <n v="2211.6001000000001"/>
    <n v="2182.3998999999999"/>
    <n v="2207"/>
    <n v="63"/>
    <n v="2164.8285999999998"/>
    <n v="2084.5"/>
    <n v="2043.9156"/>
    <x v="669"/>
    <n v="1.0561"/>
    <n v="0.79220000000000002"/>
    <n v="84.505300000000005"/>
    <n v="37.025799999999997"/>
    <n v="33.324800000000003"/>
    <n v="2241.8679000000002"/>
    <n v="1993.9821999999999"/>
    <x v="0"/>
    <x v="0"/>
    <x v="675"/>
    <n v="2276021"/>
    <n v="5586.2002000000002"/>
    <n v="2157.5"/>
    <n v="2207"/>
    <n v="202"/>
    <n v="735709"/>
    <s v="21-Mar-2024"/>
    <n v="2207"/>
    <n v="1"/>
    <n v="2024"/>
    <n v="2.2999999999999998"/>
    <m/>
  </r>
  <r>
    <x v="676"/>
    <n v="2158.1001000000001"/>
    <n v="2179.6001000000001"/>
    <n v="2157.5"/>
    <n v="2179.1999999999998"/>
    <n v="19"/>
    <n v="2167.2143000000001"/>
    <n v="2089.54"/>
    <n v="2046.3556000000001"/>
    <x v="670"/>
    <n v="1.1207"/>
    <n v="0.83589999999999998"/>
    <n v="71.263300000000001"/>
    <n v="36.472099999999998"/>
    <n v="33.954300000000003"/>
    <n v="2244.4387999999999"/>
    <n v="2006.7311999999999"/>
    <x v="0"/>
    <x v="0"/>
    <x v="676"/>
    <n v="2275958"/>
    <n v="5586.2002000000002"/>
    <n v="2157.5"/>
    <n v="2179.1999999999998"/>
    <n v="201"/>
    <n v="735646"/>
    <s v="22-Mar-2024"/>
    <n v="2179.1999999999998"/>
    <n v="1"/>
    <n v="2024"/>
    <n v="-1.26"/>
    <m/>
  </r>
  <r>
    <x v="677"/>
    <n v="2174.8000000000002"/>
    <n v="2179.3998999999999"/>
    <n v="2166.1999999999998"/>
    <n v="2166.1999999999998"/>
    <n v="79"/>
    <n v="2167.6714000000002"/>
    <n v="2094.0133000000001"/>
    <n v="2048.87"/>
    <x v="671"/>
    <n v="1.1532"/>
    <n v="0.84989999999999999"/>
    <n v="62.421300000000002"/>
    <n v="34.585700000000003"/>
    <n v="34.080500000000001"/>
    <n v="2244.1176999999998"/>
    <n v="2020.2623000000001"/>
    <x v="1"/>
    <x v="1"/>
    <x v="677"/>
    <n v="2275939"/>
    <n v="5586.2002000000002"/>
    <n v="2166.1999999999998"/>
    <n v="2166.1999999999998"/>
    <n v="200"/>
    <n v="735627"/>
    <s v="25-Mar-2024"/>
    <n v="2166.1999999999998"/>
    <n v="1"/>
    <n v="2024"/>
    <n v="-0.6"/>
    <m/>
  </r>
  <r>
    <x v="678"/>
    <n v="2175.6001000000001"/>
    <n v="2182.6999999999998"/>
    <n v="2175.6001000000001"/>
    <n v="2182.6999999999998"/>
    <n v="202373"/>
    <n v="2170.6714000000002"/>
    <n v="2099.2532999999999"/>
    <n v="2051.2800000000002"/>
    <x v="672"/>
    <n v="1.1842999999999999"/>
    <n v="0.84930000000000005"/>
    <n v="63.4651"/>
    <n v="34.029800000000002"/>
    <n v="34.070399999999999"/>
    <n v="2243.8665999999998"/>
    <n v="2035.1934000000001"/>
    <x v="0"/>
    <x v="1"/>
    <x v="678"/>
    <n v="2275860"/>
    <n v="5586.2002000000002"/>
    <n v="2172.1001000000001"/>
    <n v="2182.6999999999998"/>
    <n v="200"/>
    <n v="735627"/>
    <s v="26-Mar-2024"/>
    <n v="2182.6999999999998"/>
    <n v="1"/>
    <n v="2024"/>
    <n v="0.76"/>
    <m/>
  </r>
  <r>
    <x v="679"/>
    <n v="2190.6001000000001"/>
    <n v="2196.1999999999998"/>
    <n v="2172.1001000000001"/>
    <n v="2179.3998999999999"/>
    <n v="31200"/>
    <n v="2175.4142999999999"/>
    <n v="2104.3966999999998"/>
    <n v="2053.6867000000002"/>
    <x v="673"/>
    <n v="1.1338999999999999"/>
    <n v="0.85109999999999997"/>
    <n v="58.341900000000003"/>
    <n v="32.943199999999997"/>
    <n v="33.844900000000003"/>
    <n v="2238.87"/>
    <n v="2055.1799999999998"/>
    <x v="1"/>
    <x v="1"/>
    <x v="679"/>
    <n v="2073487"/>
    <n v="5586.2002000000002"/>
    <n v="2172.1001000000001"/>
    <n v="2179.3998999999999"/>
    <n v="199"/>
    <n v="533254"/>
    <s v="27-Mar-2024"/>
    <n v="2179.3998999999999"/>
    <n v="1"/>
    <n v="2024"/>
    <n v="-0.15"/>
    <m/>
  </r>
  <r>
    <x v="680"/>
    <n v="2217.3998999999999"/>
    <n v="2234.1001000000001"/>
    <n v="2187.1001000000001"/>
    <n v="2193.6001000000001"/>
    <n v="2040"/>
    <n v="2180.7714000000001"/>
    <n v="2111.1732999999999"/>
    <n v="2056.2233000000001"/>
    <x v="674"/>
    <n v="1.1428"/>
    <n v="0.76819999999999999"/>
    <n v="56.991"/>
    <n v="32.849200000000003"/>
    <n v="33.645800000000001"/>
    <n v="2232.1257000000001"/>
    <n v="2077.8543"/>
    <x v="1"/>
    <x v="1"/>
    <x v="680"/>
    <n v="2042287"/>
    <n v="5586.2002000000002"/>
    <n v="2187.1001000000001"/>
    <n v="2193.6001000000001"/>
    <n v="199"/>
    <n v="533254"/>
    <s v="28-Mar-2024"/>
    <n v="2193.6001000000001"/>
    <n v="1"/>
    <n v="2024"/>
    <n v="0.65"/>
    <m/>
  </r>
  <r>
    <x v="681"/>
    <n v="2236.5"/>
    <n v="2264.1999999999998"/>
    <n v="2230"/>
    <n v="2235.6999999999998"/>
    <n v="400"/>
    <n v="2191.9713999999999"/>
    <n v="2119.2433000000001"/>
    <n v="2059.0367000000001"/>
    <x v="675"/>
    <n v="1.2961"/>
    <n v="0.82040000000000002"/>
    <n v="62.632800000000003"/>
    <n v="35.759700000000002"/>
    <n v="34.068600000000004"/>
    <n v="2230.1576"/>
    <n v="2099.0823999999998"/>
    <x v="1"/>
    <x v="1"/>
    <x v="681"/>
    <n v="2040247"/>
    <n v="5586.2002000000002"/>
    <n v="2230"/>
    <n v="2235.6999999999998"/>
    <n v="199"/>
    <n v="533254"/>
    <s v="01-Apr-2024"/>
    <n v="2235.6999999999998"/>
    <n v="1"/>
    <n v="2024"/>
    <n v="1.92"/>
    <m/>
  </r>
  <r>
    <x v="682"/>
    <n v="2261"/>
    <n v="2279.1999999999998"/>
    <n v="2247.6001000000001"/>
    <n v="2252"/>
    <n v="435"/>
    <n v="2198.4"/>
    <n v="2127.4767000000002"/>
    <n v="2062.0733"/>
    <x v="676"/>
    <n v="1.0474000000000001"/>
    <n v="0.82210000000000005"/>
    <n v="65.023799999999994"/>
    <n v="38.932699999999997"/>
    <n v="35.041400000000003"/>
    <n v="2238.0180999999998"/>
    <n v="2108.0619000000002"/>
    <x v="1"/>
    <x v="1"/>
    <x v="682"/>
    <n v="2039847"/>
    <n v="5586.2002000000002"/>
    <n v="2247.6001000000001"/>
    <n v="2252"/>
    <n v="199"/>
    <n v="533254"/>
    <s v="02-Apr-2024"/>
    <n v="2252"/>
    <n v="1"/>
    <n v="2024"/>
    <n v="0.73"/>
    <m/>
  </r>
  <r>
    <x v="683"/>
    <n v="2294.3998999999999"/>
    <n v="2298.8000000000002"/>
    <n v="2267.8998999999999"/>
    <n v="2281.6999999999998"/>
    <n v="285"/>
    <n v="2213.0428000000002"/>
    <n v="2136.3467000000001"/>
    <n v="2065.3067000000001"/>
    <x v="677"/>
    <n v="0.84379999999999999"/>
    <n v="0.83909999999999996"/>
    <n v="74.7303"/>
    <n v="43.344200000000001"/>
    <n v="36.701999999999998"/>
    <n v="2256.9004"/>
    <n v="2105.8595999999998"/>
    <x v="1"/>
    <x v="0"/>
    <x v="683"/>
    <n v="2039412"/>
    <n v="5586.2002000000002"/>
    <n v="2267.3998999999999"/>
    <n v="2281.6999999999998"/>
    <n v="199"/>
    <n v="533254"/>
    <s v="03-Apr-2024"/>
    <n v="2281.6999999999998"/>
    <n v="1"/>
    <n v="2024"/>
    <n v="1.32"/>
    <m/>
  </r>
  <r>
    <x v="684"/>
    <n v="2288.8000000000002"/>
    <n v="2302.8998999999999"/>
    <n v="2280"/>
    <n v="2301.6999999999998"/>
    <n v="251"/>
    <n v="2232.4"/>
    <n v="2145.4632999999999"/>
    <n v="2068.6689000000001"/>
    <x v="678"/>
    <n v="0.63570000000000004"/>
    <n v="0.84250000000000003"/>
    <n v="76.621799999999993"/>
    <n v="47.902099999999997"/>
    <n v="38.942"/>
    <n v="2278.3200999999999"/>
    <n v="2102.0599000000002"/>
    <x v="0"/>
    <x v="0"/>
    <x v="684"/>
    <n v="2039127"/>
    <n v="5586.2002000000002"/>
    <n v="2267.3998999999999"/>
    <n v="2301.6999999999998"/>
    <n v="199"/>
    <n v="533254"/>
    <s v="04-Apr-2024"/>
    <n v="2301.6999999999998"/>
    <n v="1"/>
    <n v="2024"/>
    <n v="0.88"/>
    <m/>
  </r>
  <r>
    <x v="685"/>
    <n v="2325.6999999999998"/>
    <n v="2328.3998999999999"/>
    <n v="2267.3998999999999"/>
    <n v="2289.1999999999998"/>
    <n v="344"/>
    <n v="2247.6143000000002"/>
    <n v="2153.9967000000001"/>
    <n v="2071.9722000000002"/>
    <x v="679"/>
    <n v="0.83389999999999997"/>
    <n v="0.86050000000000004"/>
    <n v="73.463399999999993"/>
    <n v="49.93"/>
    <n v="41.139600000000002"/>
    <n v="2293.3476000000001"/>
    <n v="2101.2523999999999"/>
    <x v="1"/>
    <x v="0"/>
    <x v="685"/>
    <n v="2038876"/>
    <n v="5586.2002000000002"/>
    <n v="2267.3998999999999"/>
    <n v="2289.1999999999998"/>
    <n v="198"/>
    <n v="533003"/>
    <s v="05-Apr-2024"/>
    <n v="2289.1999999999998"/>
    <n v="1"/>
    <n v="2024"/>
    <n v="-0.54"/>
    <m/>
  </r>
  <r>
    <x v="686"/>
    <n v="2331.6999999999998"/>
    <n v="2341.8000000000002"/>
    <n v="2319"/>
    <n v="2325.6001000000001"/>
    <n v="202"/>
    <n v="2268.5"/>
    <n v="2163.9832999999999"/>
    <n v="2075.46"/>
    <x v="680"/>
    <n v="0.80169999999999997"/>
    <n v="0.87480000000000002"/>
    <n v="80.656199999999998"/>
    <n v="53.853499999999997"/>
    <n v="43.682400000000001"/>
    <n v="2315.8375000000001"/>
    <n v="2094.5925000000002"/>
    <x v="1"/>
    <x v="0"/>
    <x v="686"/>
    <n v="2038532"/>
    <n v="5586.2002000000002"/>
    <n v="2277.6001000000001"/>
    <n v="2325.6001000000001"/>
    <n v="198"/>
    <n v="533003"/>
    <s v="08-Apr-2024"/>
    <n v="2325.6001000000001"/>
    <n v="1"/>
    <n v="2024"/>
    <n v="1.59"/>
    <m/>
  </r>
  <r>
    <x v="687"/>
    <n v="2343.5"/>
    <n v="2364.6999999999998"/>
    <n v="2337.8000000000002"/>
    <n v="2337.8000000000002"/>
    <n v="211"/>
    <n v="2289.1"/>
    <n v="2174.1066999999998"/>
    <n v="2078.7622000000001"/>
    <x v="681"/>
    <n v="0.8105"/>
    <n v="0.87480000000000002"/>
    <n v="80.807000000000002"/>
    <n v="57.286999999999999"/>
    <n v="46.403300000000002"/>
    <n v="2337.7782999999999"/>
    <n v="2088.3317000000002"/>
    <x v="1"/>
    <x v="0"/>
    <x v="687"/>
    <n v="2038330"/>
    <n v="5586.2002000000002"/>
    <n v="2277.6001000000001"/>
    <n v="2337.8000000000002"/>
    <n v="198"/>
    <n v="533003"/>
    <s v="09-Apr-2024"/>
    <n v="2337.8000000000002"/>
    <n v="1"/>
    <n v="2024"/>
    <n v="0.52"/>
    <m/>
  </r>
  <r>
    <x v="688"/>
    <n v="2329.6001000000001"/>
    <n v="2358.1001000000001"/>
    <n v="2327.6999999999998"/>
    <n v="2346.6001000000001"/>
    <n v="377"/>
    <n v="2304.9429"/>
    <n v="2184.4632999999999"/>
    <n v="2082.15"/>
    <x v="682"/>
    <n v="0.69379999999999997"/>
    <n v="0.87209999999999999"/>
    <n v="81.289199999999994"/>
    <n v="60.026200000000003"/>
    <n v="49.127899999999997"/>
    <n v="2358.4841999999999"/>
    <n v="2084.0358000000001"/>
    <x v="0"/>
    <x v="0"/>
    <x v="688"/>
    <n v="2038119"/>
    <n v="5586.2002000000002"/>
    <n v="2277.6001000000001"/>
    <n v="2346.6001000000001"/>
    <n v="198"/>
    <n v="533003"/>
    <s v="10-Apr-2024"/>
    <n v="2346.6001000000001"/>
    <n v="1"/>
    <n v="2024"/>
    <n v="0.38"/>
    <m/>
  </r>
  <r>
    <x v="689"/>
    <n v="2354.8000000000002"/>
    <n v="2376.3000000000002"/>
    <n v="2330.6001000000001"/>
    <n v="2341.5"/>
    <n v="283"/>
    <n v="2317.7285999999999"/>
    <n v="2194.8633"/>
    <n v="2085.4322000000002"/>
    <x v="683"/>
    <n v="0.77390000000000003"/>
    <n v="0.86919999999999997"/>
    <n v="76.075999999999993"/>
    <n v="61.081400000000002"/>
    <n v="51.518599999999999"/>
    <n v="2374.4668000000001"/>
    <n v="2085.9531999999999"/>
    <x v="1"/>
    <x v="0"/>
    <x v="689"/>
    <n v="2037742"/>
    <n v="5586.2002000000002"/>
    <n v="2277.6001000000001"/>
    <n v="2341.5"/>
    <n v="197"/>
    <n v="532626"/>
    <s v="11-Apr-2024"/>
    <n v="2341.5"/>
    <n v="1"/>
    <n v="2024"/>
    <n v="-0.22"/>
    <m/>
  </r>
  <r>
    <x v="690"/>
    <n v="2356.1999999999998"/>
    <n v="2429"/>
    <n v="2334.3000000000002"/>
    <n v="2377.3000000000002"/>
    <n v="584"/>
    <n v="2331.3856999999998"/>
    <n v="2206.2966999999999"/>
    <n v="2089.1988999999999"/>
    <x v="684"/>
    <n v="0.81130000000000002"/>
    <n v="0.88849999999999996"/>
    <n v="87.250799999999998"/>
    <n v="64.067899999999995"/>
    <n v="54.028399999999998"/>
    <n v="2395.6197000000002"/>
    <n v="2086.2303000000002"/>
    <x v="0"/>
    <x v="0"/>
    <x v="690"/>
    <n v="2037459"/>
    <n v="5586.2002000000002"/>
    <n v="2277.6001000000001"/>
    <n v="2377.3000000000002"/>
    <n v="197"/>
    <n v="532626"/>
    <s v="12-Apr-2024"/>
    <n v="2377.3000000000002"/>
    <n v="1"/>
    <n v="2024"/>
    <n v="1.53"/>
    <m/>
  </r>
  <r>
    <x v="691"/>
    <n v="2365.8000000000002"/>
    <n v="2384.6999999999998"/>
    <n v="2326"/>
    <n v="2362.1001000000001"/>
    <n v="1801"/>
    <n v="2340.0142999999998"/>
    <n v="2216.9299999999998"/>
    <n v="2092.3856000000001"/>
    <x v="685"/>
    <n v="0.91769999999999996"/>
    <n v="0.91349999999999998"/>
    <n v="86.534899999999993"/>
    <n v="64.465100000000007"/>
    <n v="56.1158"/>
    <n v="2409.9342000000001"/>
    <n v="2091.9558000000002"/>
    <x v="1"/>
    <x v="0"/>
    <x v="691"/>
    <n v="2036875"/>
    <n v="5586.2002000000002"/>
    <n v="2277.6001000000001"/>
    <n v="2362.1001000000001"/>
    <n v="196"/>
    <n v="532042"/>
    <s v="15-Apr-2024"/>
    <n v="2362.1001000000001"/>
    <n v="1"/>
    <n v="2024"/>
    <n v="-0.64"/>
    <m/>
  </r>
  <r>
    <x v="692"/>
    <n v="2390.8000000000002"/>
    <n v="2390.8000000000002"/>
    <n v="2371.3998999999999"/>
    <n v="2384"/>
    <n v="41"/>
    <n v="2353.5572000000002"/>
    <n v="2226.9432999999999"/>
    <n v="2096.2622000000001"/>
    <x v="686"/>
    <n v="0.83750000000000002"/>
    <n v="0.87339999999999995"/>
    <n v="86.800700000000006"/>
    <n v="65.788600000000002"/>
    <n v="58.0503"/>
    <n v="2424.3887"/>
    <n v="2101.2813000000001"/>
    <x v="1"/>
    <x v="0"/>
    <x v="692"/>
    <n v="2035074"/>
    <n v="5586.2002000000002"/>
    <n v="2277.6001000000001"/>
    <n v="2384"/>
    <n v="196"/>
    <n v="532042"/>
    <s v="16-Apr-2024"/>
    <n v="2384"/>
    <n v="1"/>
    <n v="2024"/>
    <n v="0.93"/>
    <m/>
  </r>
  <r>
    <x v="693"/>
    <n v="2371.6999999999998"/>
    <n v="2391.3998999999999"/>
    <n v="2369.3000000000002"/>
    <n v="2384.1999999999998"/>
    <n v="37"/>
    <n v="2361.9286000000002"/>
    <n v="2235.92"/>
    <n v="2100.31"/>
    <x v="687"/>
    <n v="0.72699999999999998"/>
    <n v="0.85399999999999998"/>
    <n v="87.869799999999998"/>
    <n v="66.091800000000006"/>
    <n v="59.6586"/>
    <n v="2436.2723000000001"/>
    <n v="2112.2076999999999"/>
    <x v="0"/>
    <x v="0"/>
    <x v="693"/>
    <n v="2035033"/>
    <n v="5586.2002000000002"/>
    <n v="2277.6001000000001"/>
    <n v="2384.1999999999998"/>
    <n v="196"/>
    <n v="532042"/>
    <s v="17-Apr-2024"/>
    <n v="2384.1999999999998"/>
    <n v="1"/>
    <n v="2024"/>
    <n v="0.01"/>
    <m/>
  </r>
  <r>
    <x v="694"/>
    <n v="2382.3000000000002"/>
    <n v="2384.3998999999999"/>
    <n v="2368.3998999999999"/>
    <n v="2368.3998999999999"/>
    <n v="128"/>
    <n v="2366.3000000000002"/>
    <n v="2244.0167000000001"/>
    <n v="2104.0789"/>
    <x v="688"/>
    <n v="0.81489999999999996"/>
    <n v="0.87549999999999994"/>
    <n v="82.132300000000001"/>
    <n v="64.315700000000007"/>
    <n v="60.59"/>
    <n v="2442.1894000000002"/>
    <n v="2127.4005999999999"/>
    <x v="1"/>
    <x v="0"/>
    <x v="694"/>
    <n v="2034996"/>
    <n v="5586.2002000000002"/>
    <n v="2277.6001000000001"/>
    <n v="2368.3998999999999"/>
    <n v="195"/>
    <n v="532005"/>
    <s v="18-Apr-2024"/>
    <n v="2368.3998999999999"/>
    <n v="1"/>
    <n v="2024"/>
    <n v="-0.66"/>
    <m/>
  </r>
  <r>
    <x v="695"/>
    <n v="2398.3998999999999"/>
    <n v="2399.8000000000002"/>
    <n v="2377.3000000000002"/>
    <n v="2379.3000000000002"/>
    <n v="160"/>
    <n v="2370.9713999999999"/>
    <n v="2251.7600000000002"/>
    <n v="2107.9411"/>
    <x v="689"/>
    <n v="0.81879999999999997"/>
    <n v="0.86729999999999996"/>
    <n v="79.817300000000003"/>
    <n v="63.0608"/>
    <n v="61.084200000000003"/>
    <n v="2451.7345"/>
    <n v="2135.0855000000001"/>
    <x v="1"/>
    <x v="0"/>
    <x v="695"/>
    <n v="2034868"/>
    <n v="5586.2002000000002"/>
    <n v="2277.6001000000001"/>
    <n v="2379.3000000000002"/>
    <n v="195"/>
    <n v="532005"/>
    <s v="19-Apr-2024"/>
    <n v="2379.3000000000002"/>
    <n v="1"/>
    <n v="2024"/>
    <n v="0.46"/>
    <m/>
  </r>
  <r>
    <x v="696"/>
    <n v="2332.1999999999998"/>
    <n v="2383.3000000000002"/>
    <n v="2326.8998999999999"/>
    <n v="2383.3000000000002"/>
    <n v="53"/>
    <n v="2376.9429"/>
    <n v="2258.96"/>
    <n v="2112.1543999999999"/>
    <x v="299"/>
    <n v="0.79869999999999997"/>
    <n v="0.86029999999999995"/>
    <n v="78.730800000000002"/>
    <n v="61.678100000000001"/>
    <n v="61.203000000000003"/>
    <n v="2457.1831000000002"/>
    <n v="2150.0468999999998"/>
    <x v="0"/>
    <x v="0"/>
    <x v="696"/>
    <n v="2034708"/>
    <n v="5586.2002000000002"/>
    <n v="2277.6001000000001"/>
    <n v="2383.3000000000002"/>
    <n v="195"/>
    <n v="532005"/>
    <s v="22-Apr-2024"/>
    <n v="2383.3000000000002"/>
    <n v="1"/>
    <n v="2024"/>
    <n v="0.17"/>
    <m/>
  </r>
  <r>
    <x v="697"/>
    <n v="2327.6999999999998"/>
    <n v="2330.8000000000002"/>
    <n v="2294.1999999999998"/>
    <n v="2327.6999999999998"/>
    <n v="171"/>
    <n v="2369.8571000000002"/>
    <n v="2263.85"/>
    <n v="2115.9711000000002"/>
    <x v="690"/>
    <n v="1.0628"/>
    <n v="0.98470000000000002"/>
    <n v="59.040900000000001"/>
    <n v="55.456499999999998"/>
    <n v="60.053699999999999"/>
    <n v="2451.1725000000001"/>
    <n v="2172.2075"/>
    <x v="1"/>
    <x v="1"/>
    <x v="697"/>
    <n v="2034655"/>
    <n v="5586.2002000000002"/>
    <n v="2277.6001000000001"/>
    <n v="2327.6999999999998"/>
    <n v="194"/>
    <n v="531952"/>
    <s v="23-Apr-2024"/>
    <n v="2327.6999999999998"/>
    <n v="1"/>
    <n v="2024"/>
    <n v="-2.33"/>
    <m/>
  </r>
  <r>
    <x v="698"/>
    <n v="2324.5"/>
    <n v="2328.6999999999998"/>
    <n v="2314.6001000000001"/>
    <n v="2321.3000000000002"/>
    <n v="95"/>
    <n v="2364.0286000000001"/>
    <n v="2268.4767000000002"/>
    <n v="2119.7800000000002"/>
    <x v="388"/>
    <n v="1.052"/>
    <n v="0.98850000000000005"/>
    <n v="54.069800000000001"/>
    <n v="49.439599999999999"/>
    <n v="57.930900000000001"/>
    <n v="2444.1977999999999"/>
    <n v="2193.0421999999999"/>
    <x v="1"/>
    <x v="1"/>
    <x v="698"/>
    <n v="2034484"/>
    <n v="5586.2002000000002"/>
    <n v="2277.6001000000001"/>
    <n v="2321.3000000000002"/>
    <n v="194"/>
    <n v="531952"/>
    <s v="24-Apr-2024"/>
    <n v="2321.3000000000002"/>
    <n v="1"/>
    <n v="2024"/>
    <n v="-0.27"/>
    <m/>
  </r>
  <r>
    <x v="699"/>
    <n v="2329.8000000000002"/>
    <n v="2329.8000000000002"/>
    <n v="2305"/>
    <n v="2315"/>
    <n v="1024"/>
    <n v="2354.1714000000002"/>
    <n v="2273.56"/>
    <n v="2123.0056"/>
    <x v="691"/>
    <n v="0.91879999999999995"/>
    <n v="0.97"/>
    <n v="55.498699999999999"/>
    <n v="43.659399999999998"/>
    <n v="55.076599999999999"/>
    <n v="2432.6311000000001"/>
    <n v="2218.1689000000001"/>
    <x v="1"/>
    <x v="1"/>
    <x v="699"/>
    <n v="2034389"/>
    <n v="5586.2002000000002"/>
    <n v="2277.6001000000001"/>
    <n v="2315"/>
    <n v="194"/>
    <n v="531952"/>
    <s v="25-Apr-2024"/>
    <n v="2315"/>
    <n v="1"/>
    <n v="2024"/>
    <n v="-0.27"/>
    <m/>
  </r>
  <r>
    <x v="700"/>
    <n v="2334.8000000000002"/>
    <n v="2347.8998999999999"/>
    <n v="2332.8000000000002"/>
    <n v="2347.8998999999999"/>
    <n v="717"/>
    <n v="2348.9857000000002"/>
    <n v="2279.7233000000001"/>
    <n v="2126.5088999999998"/>
    <x v="692"/>
    <n v="1.1527000000000001"/>
    <n v="0.9929"/>
    <n v="54.8247"/>
    <n v="41.257800000000003"/>
    <n v="52.312800000000003"/>
    <n v="2420.8497000000002"/>
    <n v="2245.3802999999998"/>
    <x v="0"/>
    <x v="1"/>
    <x v="700"/>
    <n v="2033365"/>
    <n v="5586.2002000000002"/>
    <n v="2277.6001000000001"/>
    <n v="2347.8998999999999"/>
    <n v="194"/>
    <n v="531952"/>
    <s v="26-Apr-2024"/>
    <n v="2347.8998999999999"/>
    <n v="1"/>
    <n v="2024"/>
    <n v="1.42"/>
    <m/>
  </r>
  <r>
    <x v="701"/>
    <n v="2345.3998999999999"/>
    <n v="2345.5"/>
    <n v="2327.8998999999999"/>
    <n v="2334.8000000000002"/>
    <n v="405"/>
    <n v="2344.1857"/>
    <n v="2285.4933000000001"/>
    <n v="2129.9589000000001"/>
    <x v="693"/>
    <n v="1.1466000000000001"/>
    <n v="1.0028999999999999"/>
    <n v="49.353400000000001"/>
    <n v="37.860999999999997"/>
    <n v="49.422499999999999"/>
    <n v="2412.8816000000002"/>
    <n v="2263.2584000000002"/>
    <x v="1"/>
    <x v="1"/>
    <x v="701"/>
    <n v="2032648"/>
    <n v="5586.2002000000002"/>
    <n v="2277.6001000000001"/>
    <n v="2334.8000000000002"/>
    <n v="193"/>
    <n v="531235"/>
    <s v="29-Apr-2024"/>
    <n v="2334.8000000000002"/>
    <n v="1"/>
    <n v="2024"/>
    <n v="-0.56000000000000005"/>
    <m/>
  </r>
  <r>
    <x v="702"/>
    <n v="2291.3998999999999"/>
    <n v="2322.5"/>
    <n v="2291.3998999999999"/>
    <n v="2322.5"/>
    <n v="113"/>
    <n v="2336.0713999999998"/>
    <n v="2291.37"/>
    <n v="2133.2622000000001"/>
    <x v="694"/>
    <n v="1.1123000000000001"/>
    <n v="0.99709999999999999"/>
    <n v="44.883200000000002"/>
    <n v="33.786999999999999"/>
    <n v="46.295400000000001"/>
    <n v="2405.1237000000001"/>
    <n v="2278.0663"/>
    <x v="0"/>
    <x v="1"/>
    <x v="702"/>
    <n v="2032243"/>
    <n v="5586.2002000000002"/>
    <n v="2277.6001000000001"/>
    <n v="2322.5"/>
    <n v="193"/>
    <n v="531235"/>
    <s v="30-Apr-2024"/>
    <n v="2322.5"/>
    <n v="1"/>
    <n v="2024"/>
    <n v="-0.53"/>
    <m/>
  </r>
  <r>
    <x v="703"/>
    <n v="2299.8998999999999"/>
    <n v="2327.3000000000002"/>
    <n v="2283.8000000000002"/>
    <n v="2287.6999999999998"/>
    <n v="42"/>
    <n v="2322.4142999999999"/>
    <n v="2295.7566999999999"/>
    <n v="2136.0466999999999"/>
    <x v="695"/>
    <n v="1.1628000000000001"/>
    <n v="1.0468999999999999"/>
    <n v="39.856699999999996"/>
    <n v="27.434100000000001"/>
    <n v="42.523099999999999"/>
    <n v="2404.2791999999999"/>
    <n v="2279.5108"/>
    <x v="1"/>
    <x v="1"/>
    <x v="703"/>
    <n v="2032130"/>
    <n v="5586.2002000000002"/>
    <n v="2277.6001000000001"/>
    <n v="2287.6999999999998"/>
    <n v="192"/>
    <n v="531122"/>
    <s v="01-May-2024"/>
    <n v="2287.6999999999998"/>
    <n v="1"/>
    <n v="2024"/>
    <n v="-1.5"/>
    <m/>
  </r>
  <r>
    <x v="704"/>
    <n v="2299.1999999999998"/>
    <n v="2324.6999999999998"/>
    <n v="2292.3000000000002"/>
    <n v="2321.6999999999998"/>
    <n v="56"/>
    <n v="2321.5571"/>
    <n v="2301.2366999999999"/>
    <n v="2139.2233000000001"/>
    <x v="696"/>
    <n v="1.0958000000000001"/>
    <n v="1.0723"/>
    <n v="39.445700000000002"/>
    <n v="24.856300000000001"/>
    <n v="38.989699999999999"/>
    <n v="2403.1718999999998"/>
    <n v="2282.6181000000001"/>
    <x v="0"/>
    <x v="1"/>
    <x v="704"/>
    <n v="2032088"/>
    <n v="5586.2002000000002"/>
    <n v="2277.6001000000001"/>
    <n v="2321.6999999999998"/>
    <n v="192"/>
    <n v="531122"/>
    <s v="02-May-2024"/>
    <n v="2321.6999999999998"/>
    <n v="1"/>
    <n v="2024"/>
    <n v="1.49"/>
    <m/>
  </r>
  <r>
    <x v="705"/>
    <n v="2299"/>
    <n v="2301"/>
    <n v="2277.6001000000001"/>
    <n v="2300"/>
    <n v="194"/>
    <n v="2318.5142999999998"/>
    <n v="2304.3366999999998"/>
    <n v="2141.9378000000002"/>
    <x v="697"/>
    <n v="1.1474"/>
    <n v="1.0202"/>
    <n v="38.495699999999999"/>
    <n v="20.822299999999998"/>
    <n v="35.356299999999997"/>
    <n v="2401.8512999999998"/>
    <n v="2285.0187999999998"/>
    <x v="0"/>
    <x v="1"/>
    <x v="705"/>
    <n v="2032032"/>
    <n v="5586.2002000000002"/>
    <n v="2277.6001000000001"/>
    <n v="2300"/>
    <n v="191"/>
    <n v="531066"/>
    <s v="03-May-2024"/>
    <n v="2300"/>
    <n v="1"/>
    <n v="2024"/>
    <n v="-0.93"/>
    <m/>
  </r>
  <r>
    <x v="706"/>
    <n v="2321.6001000000001"/>
    <n v="2325.5"/>
    <n v="2314.1999999999998"/>
    <n v="2322.8000000000002"/>
    <n v="9"/>
    <n v="2319.6286"/>
    <n v="2309.1233000000002"/>
    <n v="2144.8578000000002"/>
    <x v="698"/>
    <n v="1.2178"/>
    <n v="0.996"/>
    <n v="38.700200000000002"/>
    <n v="19.243300000000001"/>
    <n v="32.133699999999997"/>
    <n v="2401.9043000000001"/>
    <n v="2284.6857"/>
    <x v="0"/>
    <x v="1"/>
    <x v="706"/>
    <n v="2031838"/>
    <n v="5586.2002000000002"/>
    <n v="2285.3998999999999"/>
    <n v="2322.8000000000002"/>
    <n v="190"/>
    <n v="530872"/>
    <s v="06-May-2024"/>
    <n v="2322.8000000000002"/>
    <n v="1"/>
    <n v="2024"/>
    <n v="0.99"/>
    <m/>
  </r>
  <r>
    <x v="707"/>
    <n v="2315.1999999999998"/>
    <n v="2324.3000000000002"/>
    <n v="2315.1999999999998"/>
    <n v="2324.3000000000002"/>
    <n v="25"/>
    <n v="2316.2570999999998"/>
    <n v="2314.3933000000002"/>
    <n v="2147.7132999999999"/>
    <x v="699"/>
    <n v="1.0620000000000001"/>
    <n v="0.98460000000000003"/>
    <n v="38.993000000000002"/>
    <n v="17.906600000000001"/>
    <n v="29.2883"/>
    <n v="2401.8038999999999"/>
    <n v="2283.4360999999999"/>
    <x v="0"/>
    <x v="1"/>
    <x v="707"/>
    <n v="2031829"/>
    <n v="5586.2002000000002"/>
    <n v="2285.3998999999999"/>
    <n v="2324.3000000000002"/>
    <n v="189"/>
    <n v="530863"/>
    <s v="07-May-2024"/>
    <n v="2324.3000000000002"/>
    <n v="1"/>
    <n v="2024"/>
    <n v="0.06"/>
    <m/>
  </r>
  <r>
    <x v="708"/>
    <n v="2313.6001000000001"/>
    <n v="2313.6001000000001"/>
    <n v="2313.6001000000001"/>
    <n v="2313.6001000000001"/>
    <n v="4"/>
    <n v="2313.2285999999999"/>
    <n v="2318.7566999999999"/>
    <n v="2150.2910999999999"/>
    <x v="700"/>
    <n v="1.0562"/>
    <n v="0.98750000000000004"/>
    <n v="39.737900000000003"/>
    <n v="15.8017"/>
    <n v="26.590900000000001"/>
    <n v="2401.5111999999999"/>
    <n v="2280.4288000000001"/>
    <x v="1"/>
    <x v="1"/>
    <x v="708"/>
    <n v="2031804"/>
    <n v="5586.2002000000002"/>
    <n v="2285.3998999999999"/>
    <n v="2313.6001000000001"/>
    <n v="188"/>
    <n v="530838"/>
    <s v="08-May-2024"/>
    <n v="2313.6001000000001"/>
    <n v="1"/>
    <n v="2024"/>
    <n v="-0.46"/>
    <m/>
  </r>
  <r>
    <x v="709"/>
    <n v="2332.1001000000001"/>
    <n v="2339.5"/>
    <n v="2310.6999999999998"/>
    <n v="2310.6999999999998"/>
    <n v="5"/>
    <n v="2311.5428999999999"/>
    <n v="2323.1333"/>
    <n v="2152.9877999999999"/>
    <x v="701"/>
    <n v="1.0416000000000001"/>
    <n v="0.98719999999999997"/>
    <n v="36.756700000000002"/>
    <n v="13.741099999999999"/>
    <n v="24.021000000000001"/>
    <n v="2401.4630000000002"/>
    <n v="2277.3969999999999"/>
    <x v="1"/>
    <x v="1"/>
    <x v="709"/>
    <n v="2031800"/>
    <n v="5586.2002000000002"/>
    <n v="2285.3998999999999"/>
    <n v="2310.6999999999998"/>
    <n v="188"/>
    <n v="530838"/>
    <s v="09-May-2024"/>
    <n v="2310.6999999999998"/>
    <n v="1"/>
    <n v="2024"/>
    <n v="-0.13"/>
    <m/>
  </r>
  <r>
    <x v="710"/>
    <n v="2367.3000000000002"/>
    <n v="2367.3000000000002"/>
    <n v="2367.3000000000002"/>
    <n v="2367.3000000000002"/>
    <n v="126"/>
    <n v="2322.9142999999999"/>
    <n v="2328.9232999999999"/>
    <n v="2156.3633"/>
    <x v="702"/>
    <n v="1.1955"/>
    <n v="1.0669"/>
    <n v="47.432600000000001"/>
    <n v="16.485199999999999"/>
    <n v="22.5138"/>
    <n v="2399.8285999999998"/>
    <n v="2278.0313999999998"/>
    <x v="1"/>
    <x v="1"/>
    <x v="710"/>
    <n v="2031795"/>
    <n v="5586.2002000000002"/>
    <n v="2285.3998999999999"/>
    <n v="2367.3000000000002"/>
    <n v="188"/>
    <n v="530838"/>
    <s v="10-May-2024"/>
    <n v="2367.3000000000002"/>
    <n v="1"/>
    <n v="2024"/>
    <n v="2.4500000000000002"/>
    <m/>
  </r>
  <r>
    <x v="711"/>
    <n v="2336.1001000000001"/>
    <n v="2358.3000000000002"/>
    <n v="2336.1001000000001"/>
    <n v="2358.3000000000002"/>
    <n v="14"/>
    <n v="2328.1428999999998"/>
    <n v="2333.0100000000002"/>
    <n v="2159.9643999999998"/>
    <x v="703"/>
    <n v="1.1449"/>
    <n v="1.0254000000000001"/>
    <n v="55.773600000000002"/>
    <n v="17.729299999999999"/>
    <n v="21.556899999999999"/>
    <n v="2399.3573000000001"/>
    <n v="2278.1226999999999"/>
    <x v="0"/>
    <x v="1"/>
    <x v="711"/>
    <n v="2031669"/>
    <n v="5586.2002000000002"/>
    <n v="2285.3998999999999"/>
    <n v="2358.3000000000002"/>
    <n v="188"/>
    <n v="530838"/>
    <s v="13-May-2024"/>
    <n v="2358.3000000000002"/>
    <n v="1"/>
    <n v="2024"/>
    <n v="-0.38"/>
    <m/>
  </r>
  <r>
    <x v="712"/>
    <n v="2353.3998999999999"/>
    <n v="2358"/>
    <n v="2336"/>
    <n v="2336"/>
    <n v="6"/>
    <n v="2333.2856999999999"/>
    <n v="2335.81"/>
    <n v="2163.2356"/>
    <x v="704"/>
    <n v="1.1467000000000001"/>
    <n v="1.0401"/>
    <n v="52.616599999999998"/>
    <n v="16.723099999999999"/>
    <n v="20.590199999999999"/>
    <n v="2393.0897"/>
    <n v="2279.5902999999998"/>
    <x v="1"/>
    <x v="1"/>
    <x v="712"/>
    <n v="2031655"/>
    <n v="5586.2002000000002"/>
    <n v="2285.3998999999999"/>
    <n v="2336"/>
    <n v="187"/>
    <n v="530824"/>
    <s v="14-May-2024"/>
    <n v="2336"/>
    <n v="1"/>
    <n v="2024"/>
    <n v="-0.95"/>
    <m/>
  </r>
  <r>
    <x v="713"/>
    <n v="2388.6999999999998"/>
    <n v="2388.6999999999998"/>
    <n v="2356"/>
    <n v="2361.6001000000001"/>
    <n v="29"/>
    <n v="2338.8285999999998"/>
    <n v="2338.4733000000001"/>
    <n v="2166.7588999999998"/>
    <x v="705"/>
    <n v="1.159"/>
    <n v="1.0321"/>
    <n v="57.761499999999998"/>
    <n v="17.786300000000001"/>
    <n v="20.029399999999999"/>
    <n v="2388.7566999999999"/>
    <n v="2281.6633000000002"/>
    <x v="1"/>
    <x v="1"/>
    <x v="713"/>
    <n v="2031649"/>
    <n v="5586.2002000000002"/>
    <n v="2285.3998999999999"/>
    <n v="2361.6001000000001"/>
    <n v="187"/>
    <n v="530824"/>
    <s v="15-May-2024"/>
    <n v="2361.6001000000001"/>
    <n v="1"/>
    <n v="2024"/>
    <n v="1.1000000000000001"/>
    <m/>
  </r>
  <r>
    <x v="714"/>
    <n v="2380"/>
    <n v="2392.1999999999998"/>
    <n v="2380"/>
    <n v="2389.5"/>
    <n v="7"/>
    <n v="2348.1428999999998"/>
    <n v="2341.4"/>
    <n v="2170.8744000000002"/>
    <x v="706"/>
    <n v="1.2062999999999999"/>
    <n v="1.0412999999999999"/>
    <n v="57.046100000000003"/>
    <n v="20.642299999999999"/>
    <n v="20.152000000000001"/>
    <n v="2393.2840000000001"/>
    <n v="2279.2460000000001"/>
    <x v="0"/>
    <x v="1"/>
    <x v="714"/>
    <n v="2031620"/>
    <n v="5586.2002000000002"/>
    <n v="2285.3998999999999"/>
    <n v="2389.5"/>
    <n v="187"/>
    <n v="530824"/>
    <s v="16-May-2024"/>
    <n v="2389.5"/>
    <n v="1"/>
    <n v="2024"/>
    <n v="1.18"/>
    <m/>
  </r>
  <r>
    <x v="715"/>
    <n v="2412.1999999999998"/>
    <n v="2415.8000000000002"/>
    <n v="2380.6999999999998"/>
    <n v="2380.6999999999998"/>
    <n v="213"/>
    <n v="2357.7285999999999"/>
    <n v="2344.4499999999998"/>
    <n v="2174.7067000000002"/>
    <x v="707"/>
    <n v="1.1958"/>
    <n v="1.0378000000000001"/>
    <n v="57.889299999999999"/>
    <n v="21.942599999999999"/>
    <n v="20.510100000000001"/>
    <n v="2393.5794000000001"/>
    <n v="2279.0906"/>
    <x v="1"/>
    <x v="1"/>
    <x v="715"/>
    <n v="2031613"/>
    <n v="5586.2002000000002"/>
    <n v="2285.3998999999999"/>
    <n v="2380.6999999999998"/>
    <n v="186"/>
    <n v="530817"/>
    <s v="17-May-2024"/>
    <n v="2380.6999999999998"/>
    <n v="1"/>
    <n v="2024"/>
    <n v="-0.37"/>
    <m/>
  </r>
  <r>
    <x v="716"/>
    <n v="2433.8998999999999"/>
    <n v="2435.8000000000002"/>
    <n v="2409.6999999999998"/>
    <n v="2415.8000000000002"/>
    <n v="40"/>
    <n v="2372.7429000000002"/>
    <n v="2347.4567000000002"/>
    <n v="2179.0043999999998"/>
    <x v="708"/>
    <n v="1.2276"/>
    <n v="1.0325"/>
    <n v="64.870900000000006"/>
    <n v="25.511399999999998"/>
    <n v="21.510400000000001"/>
    <n v="2402.2316999999998"/>
    <n v="2273.6882999999998"/>
    <x v="1"/>
    <x v="1"/>
    <x v="716"/>
    <n v="2031400"/>
    <n v="5586.2002000000002"/>
    <n v="2285.3998999999999"/>
    <n v="2415.8000000000002"/>
    <n v="186"/>
    <n v="530817"/>
    <s v="20-May-2024"/>
    <n v="2415.8000000000002"/>
    <n v="1"/>
    <n v="2024"/>
    <n v="1.47"/>
    <m/>
  </r>
  <r>
    <x v="717"/>
    <n v="2421.6999999999998"/>
    <n v="2429.5"/>
    <n v="2421"/>
    <n v="2429.5"/>
    <n v="6"/>
    <n v="2381.6286"/>
    <n v="2350.5133000000001"/>
    <n v="2183.4978000000001"/>
    <x v="709"/>
    <n v="0.93830000000000002"/>
    <n v="1.0329999999999999"/>
    <n v="74.230999999999995"/>
    <n v="29.109500000000001"/>
    <n v="23.030200000000001"/>
    <n v="2418.9692"/>
    <n v="2267.1307999999999"/>
    <x v="0"/>
    <x v="0"/>
    <x v="717"/>
    <n v="2031360"/>
    <n v="5586.2002000000002"/>
    <n v="2285.3998999999999"/>
    <n v="2429.5"/>
    <n v="186"/>
    <n v="530817"/>
    <s v="21-May-2024"/>
    <n v="2429.5"/>
    <n v="1"/>
    <n v="2024"/>
    <n v="0.56999999999999995"/>
    <m/>
  </r>
  <r>
    <x v="718"/>
    <n v="2389.1999999999998"/>
    <n v="2417.6001000000001"/>
    <n v="2375.8000000000002"/>
    <n v="2417.5"/>
    <n v="180"/>
    <n v="2390.0857000000001"/>
    <n v="2352.8766999999998"/>
    <n v="2187.7910999999999"/>
    <x v="710"/>
    <n v="0.95440000000000003"/>
    <n v="1.0382"/>
    <n v="67.701400000000007"/>
    <n v="30.639600000000002"/>
    <n v="24.552099999999999"/>
    <n v="2429.9186"/>
    <n v="2265.8013999999998"/>
    <x v="0"/>
    <x v="1"/>
    <x v="718"/>
    <n v="2031354"/>
    <n v="5586.2002000000002"/>
    <n v="2285.3998999999999"/>
    <n v="2417.5"/>
    <n v="185"/>
    <n v="530811"/>
    <s v="22-May-2024"/>
    <n v="2417.5"/>
    <n v="1"/>
    <n v="2024"/>
    <n v="-0.49"/>
    <m/>
  </r>
  <r>
    <x v="719"/>
    <n v="2335"/>
    <n v="2371.1999999999998"/>
    <n v="2335"/>
    <n v="2371.1999999999998"/>
    <n v="365"/>
    <n v="2395.1143000000002"/>
    <n v="2353.8667"/>
    <n v="2191.3411000000001"/>
    <x v="711"/>
    <n v="1.2111000000000001"/>
    <n v="1.1007"/>
    <n v="62.059600000000003"/>
    <n v="27.7958"/>
    <n v="25.200800000000001"/>
    <n v="2431.8348999999998"/>
    <n v="2269.5050999999999"/>
    <x v="0"/>
    <x v="1"/>
    <x v="719"/>
    <n v="2031174"/>
    <n v="5586.2002000000002"/>
    <n v="2285.3998999999999"/>
    <n v="2371.1999999999998"/>
    <n v="184"/>
    <n v="530631"/>
    <s v="23-May-2024"/>
    <n v="2371.1999999999998"/>
    <n v="1"/>
    <n v="2024"/>
    <n v="-1.92"/>
    <m/>
  </r>
  <r>
    <x v="720"/>
    <n v="2332.5"/>
    <n v="2345.3998999999999"/>
    <n v="2332.5"/>
    <n v="2342.6001000000001"/>
    <n v="25"/>
    <n v="2392.4"/>
    <n v="2352.71"/>
    <n v="2194.8533000000002"/>
    <x v="712"/>
    <n v="1.2457"/>
    <n v="1.087"/>
    <n v="53.289000000000001"/>
    <n v="22.9695"/>
    <n v="24.7545"/>
    <n v="2431.6424999999999"/>
    <n v="2269.1675"/>
    <x v="0"/>
    <x v="1"/>
    <x v="720"/>
    <n v="2030809"/>
    <n v="5586.2002000000002"/>
    <n v="2285.3998999999999"/>
    <n v="2342.6001000000001"/>
    <n v="183"/>
    <n v="530266"/>
    <s v="24-May-2024"/>
    <n v="2342.6001000000001"/>
    <n v="1"/>
    <n v="2024"/>
    <n v="-1.21"/>
    <m/>
  </r>
  <r>
    <x v="721"/>
    <n v="2355.1999999999998"/>
    <n v="2359.6999999999998"/>
    <n v="2336.8998999999999"/>
    <n v="2336.8998999999999"/>
    <n v="26"/>
    <n v="2384.8856999999998"/>
    <n v="2351.87"/>
    <n v="2198.4544000000001"/>
    <x v="713"/>
    <n v="1.1086"/>
    <n v="1.0819000000000001"/>
    <n v="52.0642"/>
    <n v="18.471699999999998"/>
    <n v="23.498000000000001"/>
    <n v="2431.6680000000001"/>
    <n v="2269.3519999999999"/>
    <x v="1"/>
    <x v="1"/>
    <x v="721"/>
    <n v="2030784"/>
    <n v="5586.2002000000002"/>
    <n v="2285.3998999999999"/>
    <n v="2336.8998999999999"/>
    <n v="182"/>
    <n v="530241"/>
    <s v="28-May-2024"/>
    <n v="2336.8998999999999"/>
    <n v="1"/>
    <n v="2024"/>
    <n v="-0.24"/>
    <m/>
  </r>
  <r>
    <x v="722"/>
    <n v="2340.3000000000002"/>
    <n v="2340.3000000000002"/>
    <n v="2340.3000000000002"/>
    <n v="2340.3000000000002"/>
    <n v="119317"/>
    <n v="2379.1143000000002"/>
    <n v="2350.4133000000002"/>
    <n v="2201.9778000000001"/>
    <x v="714"/>
    <n v="1.1213"/>
    <n v="1.0673999999999999"/>
    <n v="54.481400000000001"/>
    <n v="15.0085"/>
    <n v="21.8001"/>
    <n v="2431.65"/>
    <n v="2271.15"/>
    <x v="1"/>
    <x v="1"/>
    <x v="722"/>
    <n v="2030758"/>
    <n v="5586.2002000000002"/>
    <n v="2285.3998999999999"/>
    <n v="2340.3000000000002"/>
    <n v="182"/>
    <n v="530241"/>
    <s v="29-May-2024"/>
    <n v="2340.3000000000002"/>
    <n v="1"/>
    <n v="2024"/>
    <n v="0.15"/>
    <m/>
  </r>
  <r>
    <x v="723"/>
    <n v="2342.8998999999999"/>
    <n v="2349.5"/>
    <n v="2320.8000000000002"/>
    <n v="2336.8998999999999"/>
    <n v="32587"/>
    <n v="2367.8427999999999"/>
    <n v="2348.8366999999998"/>
    <n v="2205.4843999999998"/>
    <x v="715"/>
    <n v="0.84089999999999998"/>
    <n v="1.0673999999999999"/>
    <n v="54.390099999999997"/>
    <n v="11.8529"/>
    <n v="19.810700000000001"/>
    <n v="2428.7238000000002"/>
    <n v="2278.9962"/>
    <x v="1"/>
    <x v="1"/>
    <x v="723"/>
    <n v="1911441"/>
    <n v="5586.2002000000002"/>
    <n v="2285.3998999999999"/>
    <n v="2336.8998999999999"/>
    <n v="182"/>
    <n v="530241"/>
    <s v="30-May-2024"/>
    <n v="2336.8998999999999"/>
    <n v="1"/>
    <n v="2024"/>
    <n v="-0.15"/>
    <m/>
  </r>
  <r>
    <x v="724"/>
    <n v="2322.8998999999999"/>
    <n v="2354"/>
    <n v="2319"/>
    <n v="2344.1001000000001"/>
    <n v="941"/>
    <n v="2355.6428999999998"/>
    <n v="2348.0266999999999"/>
    <n v="2208.9711000000002"/>
    <x v="716"/>
    <n v="0.79190000000000005"/>
    <n v="1.0632999999999999"/>
    <n v="45.3414"/>
    <n v="9.8199000000000005"/>
    <n v="17.8125"/>
    <n v="2428.4757"/>
    <n v="2281.4843000000001"/>
    <x v="0"/>
    <x v="1"/>
    <x v="724"/>
    <n v="1878854"/>
    <n v="5586.2002000000002"/>
    <n v="2285.3998999999999"/>
    <n v="2344.1001000000001"/>
    <n v="182"/>
    <n v="530241"/>
    <s v="31-May-2024"/>
    <n v="2344.1001000000001"/>
    <n v="1"/>
    <n v="2024"/>
    <n v="0.31"/>
    <m/>
  </r>
  <r>
    <x v="725"/>
    <n v="2346.6001000000001"/>
    <n v="2347.5"/>
    <n v="2312"/>
    <n v="2322.6001000000001"/>
    <n v="781"/>
    <n v="2342.0857000000001"/>
    <n v="2346.1367"/>
    <n v="2212.2977999999998"/>
    <x v="717"/>
    <n v="0.80669999999999997"/>
    <n v="1.0710999999999999"/>
    <n v="43.173999999999999"/>
    <n v="6.4001000000000001"/>
    <n v="15.53"/>
    <n v="2426.6833999999999"/>
    <n v="2285.5367000000001"/>
    <x v="1"/>
    <x v="1"/>
    <x v="725"/>
    <n v="1877913"/>
    <n v="5586.2002000000002"/>
    <n v="2285.3998999999999"/>
    <n v="2322.6001000000001"/>
    <n v="181"/>
    <n v="529300"/>
    <s v="03-Jun-2024"/>
    <n v="2322.6001000000001"/>
    <n v="1"/>
    <n v="2024"/>
    <n v="-0.92"/>
    <m/>
  </r>
  <r>
    <x v="726"/>
    <n v="2325.5"/>
    <n v="2347.6999999999998"/>
    <n v="2313.8998999999999"/>
    <n v="2347.5"/>
    <n v="890"/>
    <n v="2338.6999999999998"/>
    <n v="2344.9432999999999"/>
    <n v="2216.0243999999998"/>
    <x v="718"/>
    <n v="0.7641"/>
    <n v="1.0908"/>
    <n v="52.177199999999999"/>
    <n v="5.6341000000000001"/>
    <n v="13.550800000000001"/>
    <n v="2426.3101999999999"/>
    <n v="2288.3798999999999"/>
    <x v="0"/>
    <x v="1"/>
    <x v="726"/>
    <n v="1877132"/>
    <n v="5586.2002000000002"/>
    <n v="2285.3998999999999"/>
    <n v="2347.5"/>
    <n v="181"/>
    <n v="529300"/>
    <s v="04-Jun-2024"/>
    <n v="2347.5"/>
    <n v="1"/>
    <n v="2024"/>
    <n v="1.07"/>
    <m/>
  </r>
  <r>
    <x v="727"/>
    <n v="2354.1001000000001"/>
    <n v="2354.3000000000002"/>
    <n v="2326.1999999999998"/>
    <n v="2326.3998999999999"/>
    <n v="295"/>
    <n v="2336.3856999999998"/>
    <n v="2344.9"/>
    <n v="2219.41"/>
    <x v="719"/>
    <n v="0.69869999999999999"/>
    <n v="1.0159"/>
    <n v="43.220300000000002"/>
    <n v="3.2866"/>
    <n v="11.497999999999999"/>
    <n v="2426.2094000000002"/>
    <n v="2288.6905999999999"/>
    <x v="1"/>
    <x v="1"/>
    <x v="727"/>
    <n v="1876242"/>
    <n v="5586.2002000000002"/>
    <n v="2285.3998999999999"/>
    <n v="2326.3998999999999"/>
    <n v="180"/>
    <n v="528410"/>
    <s v="05-Jun-2024"/>
    <n v="2326.3998999999999"/>
    <n v="1"/>
    <n v="2024"/>
    <n v="-0.9"/>
    <m/>
  </r>
  <r>
    <x v="728"/>
    <n v="2370.3000000000002"/>
    <n v="2375.8000000000002"/>
    <n v="2355"/>
    <n v="2355"/>
    <n v="179"/>
    <n v="2338.9713999999999"/>
    <n v="2346.0232999999998"/>
    <n v="2223.0744"/>
    <x v="720"/>
    <n v="0.85219999999999996"/>
    <n v="1.0385"/>
    <n v="43.373100000000001"/>
    <n v="3.6913999999999998"/>
    <n v="9.9367000000000001"/>
    <n v="2425.1421999999998"/>
    <n v="2293.8978000000002"/>
    <x v="1"/>
    <x v="1"/>
    <x v="728"/>
    <n v="1875947"/>
    <n v="5586.2002000000002"/>
    <n v="2285.3998999999999"/>
    <n v="2355"/>
    <n v="180"/>
    <n v="528410"/>
    <s v="06-Jun-2024"/>
    <n v="2355"/>
    <n v="1"/>
    <n v="2024"/>
    <n v="1.23"/>
    <m/>
  </r>
  <r>
    <x v="729"/>
    <n v="2305.1999999999998"/>
    <n v="2385.1001000000001"/>
    <n v="2285.3998999999999"/>
    <n v="2379.8998999999999"/>
    <n v="269"/>
    <n v="2344.6286"/>
    <n v="2348.1867000000002"/>
    <n v="2226.9344000000001"/>
    <x v="721"/>
    <n v="0.92449999999999999"/>
    <n v="1.0525"/>
    <n v="49.8553"/>
    <n v="5.9527999999999999"/>
    <n v="9.1399000000000008"/>
    <n v="2424.9602"/>
    <n v="2300.9998999999998"/>
    <x v="0"/>
    <x v="1"/>
    <x v="729"/>
    <n v="1875768"/>
    <n v="5586.2002000000002"/>
    <n v="2285.3998999999999"/>
    <n v="2379.8998999999999"/>
    <n v="180"/>
    <n v="528410"/>
    <s v="07-Jun-2024"/>
    <n v="2379.8998999999999"/>
    <n v="1"/>
    <n v="2024"/>
    <n v="1.06"/>
    <m/>
  </r>
  <r>
    <x v="730"/>
    <n v="2307.6999999999998"/>
    <n v="2309.3000000000002"/>
    <n v="2290.5"/>
    <n v="2290.6001000000001"/>
    <n v="69"/>
    <n v="2338.0142999999998"/>
    <n v="2346.2766999999999"/>
    <n v="2229.77"/>
    <x v="722"/>
    <n v="1.7835000000000001"/>
    <n v="1.2359"/>
    <n v="31.064800000000002"/>
    <n v="0.53310000000000002"/>
    <n v="7.4184999999999999"/>
    <n v="2428.9920000000002"/>
    <n v="2289.2979999999998"/>
    <x v="1"/>
    <x v="1"/>
    <x v="730"/>
    <n v="1875499"/>
    <n v="5586.2002000000002"/>
    <n v="2290.5"/>
    <n v="2290.6001000000001"/>
    <n v="179"/>
    <n v="528141"/>
    <s v="10-Jun-2024"/>
    <n v="2290.6001000000001"/>
    <n v="1"/>
    <n v="2024"/>
    <n v="-3.75"/>
    <m/>
  </r>
  <r>
    <x v="731"/>
    <n v="2307.5"/>
    <n v="2314.1001000000001"/>
    <n v="2300"/>
    <n v="2300"/>
    <n v="871"/>
    <n v="2331.7143000000001"/>
    <n v="2345.1167"/>
    <n v="2232.6567"/>
    <x v="723"/>
    <n v="1.7895000000000001"/>
    <n v="1.2355"/>
    <n v="30.156300000000002"/>
    <n v="-2.9693999999999998"/>
    <n v="5.3410000000000002"/>
    <n v="2430.9234999999999"/>
    <n v="2281.5365000000002"/>
    <x v="1"/>
    <x v="1"/>
    <x v="731"/>
    <n v="1875430"/>
    <n v="5586.2002000000002"/>
    <n v="2295"/>
    <n v="2300"/>
    <n v="179"/>
    <n v="528141"/>
    <s v="11-Jun-2024"/>
    <n v="2300"/>
    <n v="1"/>
    <n v="2024"/>
    <n v="0.41"/>
    <m/>
  </r>
  <r>
    <x v="732"/>
    <n v="2336"/>
    <n v="2338.6999999999998"/>
    <n v="2310.3000000000002"/>
    <n v="2314.8998999999999"/>
    <n v="132"/>
    <n v="2330.6143000000002"/>
    <n v="2344.8633"/>
    <n v="2235.5466999999999"/>
    <x v="724"/>
    <n v="1.7909999999999999"/>
    <n v="1.2383"/>
    <n v="34.416800000000002"/>
    <n v="-4.4909999999999997"/>
    <n v="3.3746"/>
    <n v="2431.6464999999998"/>
    <n v="2278.7035000000001"/>
    <x v="1"/>
    <x v="1"/>
    <x v="732"/>
    <n v="1874559"/>
    <n v="5586.2002000000002"/>
    <n v="2295"/>
    <n v="2314.8998999999999"/>
    <n v="179"/>
    <n v="528141"/>
    <s v="12-Jun-2024"/>
    <n v="2314.8998999999999"/>
    <n v="1"/>
    <n v="2024"/>
    <n v="0.65"/>
    <m/>
  </r>
  <r>
    <x v="733"/>
    <n v="2300.1999999999998"/>
    <n v="2317.6999999999998"/>
    <n v="2296.1999999999998"/>
    <n v="2309.3998999999999"/>
    <n v="298"/>
    <n v="2325.1714000000002"/>
    <n v="2345.5866999999998"/>
    <n v="2238.5522000000001"/>
    <x v="725"/>
    <n v="1.7234"/>
    <n v="1.2068000000000001"/>
    <n v="39.285699999999999"/>
    <n v="-6.0707000000000004"/>
    <n v="1.4855"/>
    <n v="2431.6324"/>
    <n v="2273.4976000000001"/>
    <x v="0"/>
    <x v="1"/>
    <x v="733"/>
    <n v="1874427"/>
    <n v="5586.2002000000002"/>
    <n v="2295"/>
    <n v="2309.3998999999999"/>
    <n v="179"/>
    <n v="528141"/>
    <s v="13-Jun-2024"/>
    <n v="2309.3998999999999"/>
    <n v="1"/>
    <n v="2024"/>
    <n v="-0.24"/>
    <m/>
  </r>
  <r>
    <x v="734"/>
    <n v="2331.3998999999999"/>
    <n v="2331.3998999999999"/>
    <n v="2305.8000000000002"/>
    <n v="2307"/>
    <n v="948"/>
    <n v="2322.4"/>
    <n v="2345.0967000000001"/>
    <n v="2241.6756"/>
    <x v="726"/>
    <n v="1.6972"/>
    <n v="1.1755"/>
    <n v="43.211300000000001"/>
    <n v="-7.4306999999999999"/>
    <n v="-0.29770000000000002"/>
    <n v="2428.0005999999998"/>
    <n v="2268.8793999999998"/>
    <x v="1"/>
    <x v="1"/>
    <x v="734"/>
    <n v="1874129"/>
    <n v="5586.2002000000002"/>
    <n v="2295"/>
    <n v="2307"/>
    <n v="178"/>
    <n v="527843"/>
    <s v="14-Jun-2024"/>
    <n v="2307"/>
    <n v="1"/>
    <n v="2024"/>
    <n v="-0.1"/>
    <m/>
  </r>
  <r>
    <x v="735"/>
    <n v="2312.3998999999999"/>
    <n v="2320.1999999999998"/>
    <n v="2309.6001000000001"/>
    <n v="2320.1999999999998"/>
    <n v="110"/>
    <n v="2317.4285"/>
    <n v="2345.77"/>
    <n v="2244.8688999999999"/>
    <x v="727"/>
    <n v="1.6277999999999999"/>
    <n v="1.167"/>
    <n v="46.904000000000003"/>
    <n v="-7.3585000000000003"/>
    <n v="-1.7099"/>
    <n v="2424.4097000000002"/>
    <n v="2266.4203000000002"/>
    <x v="0"/>
    <x v="1"/>
    <x v="735"/>
    <n v="1873181"/>
    <n v="5586.2002000000002"/>
    <n v="2295"/>
    <n v="2320.1999999999998"/>
    <n v="178"/>
    <n v="527843"/>
    <s v="17-Jun-2024"/>
    <n v="2320.1999999999998"/>
    <n v="1"/>
    <n v="2024"/>
    <n v="0.56999999999999995"/>
    <m/>
  </r>
  <r>
    <x v="736"/>
    <n v="2330.3998999999999"/>
    <n v="2330.3998999999999"/>
    <n v="2311.8000000000002"/>
    <n v="2311.8000000000002"/>
    <n v="43"/>
    <n v="2307.6999999999998"/>
    <n v="2345.4032999999999"/>
    <n v="2248.0221999999999"/>
    <x v="728"/>
    <n v="1.5304"/>
    <n v="1.1549"/>
    <n v="44.8125"/>
    <n v="-7.8882000000000003"/>
    <n v="-2.9455"/>
    <n v="2413.1617999999999"/>
    <n v="2267.2682"/>
    <x v="1"/>
    <x v="1"/>
    <x v="736"/>
    <n v="1873071"/>
    <n v="5586.2002000000002"/>
    <n v="2295"/>
    <n v="2311.8000000000002"/>
    <n v="177"/>
    <n v="527733"/>
    <s v="18-Jun-2024"/>
    <n v="2311.8000000000002"/>
    <n v="1"/>
    <n v="2024"/>
    <n v="-0.36"/>
    <m/>
  </r>
  <r>
    <x v="737"/>
    <n v="2353.8000000000002"/>
    <n v="2354"/>
    <n v="2328.3000000000002"/>
    <n v="2328.8998999999999"/>
    <n v="183"/>
    <n v="2313.1714000000002"/>
    <n v="2345.5567000000001"/>
    <n v="2251.3211000000001"/>
    <x v="729"/>
    <n v="0.45900000000000002"/>
    <n v="1.1629"/>
    <n v="48.613"/>
    <n v="-6.8491999999999997"/>
    <n v="-3.7263000000000002"/>
    <n v="2394.8791000000001"/>
    <n v="2275.4908999999998"/>
    <x v="1"/>
    <x v="1"/>
    <x v="737"/>
    <n v="1873028"/>
    <n v="5586.2002000000002"/>
    <n v="2295"/>
    <n v="2328.8998999999999"/>
    <n v="177"/>
    <n v="527733"/>
    <s v="20-Jun-2024"/>
    <n v="2328.8998999999999"/>
    <n v="1"/>
    <n v="2024"/>
    <n v="0.74"/>
    <m/>
  </r>
  <r>
    <x v="738"/>
    <n v="2316.3998999999999"/>
    <n v="2331.1999999999998"/>
    <n v="2316.3998999999999"/>
    <n v="2331.1999999999998"/>
    <n v="76"/>
    <n v="2317.6284999999998"/>
    <n v="2346.1433000000002"/>
    <n v="2254.7177999999999"/>
    <x v="730"/>
    <n v="0.4546"/>
    <n v="1.1596"/>
    <n v="47.724800000000002"/>
    <n v="-5.7736000000000001"/>
    <n v="-4.1356999999999999"/>
    <n v="2376.2775999999999"/>
    <n v="2285.4623000000001"/>
    <x v="0"/>
    <x v="1"/>
    <x v="738"/>
    <n v="1872845"/>
    <n v="5586.2002000000002"/>
    <n v="2295"/>
    <n v="2331.1999999999998"/>
    <n v="177"/>
    <n v="527733"/>
    <s v="21-Jun-2024"/>
    <n v="2331.1999999999998"/>
    <n v="1"/>
    <n v="2024"/>
    <n v="0.1"/>
    <m/>
  </r>
  <r>
    <x v="739"/>
    <n v="2330"/>
    <n v="2332.8998999999999"/>
    <n v="2322.6999999999998"/>
    <n v="2323.3000000000002"/>
    <n v="99"/>
    <n v="2318.8285000000001"/>
    <n v="2346.5632999999998"/>
    <n v="2258.0311000000002"/>
    <x v="731"/>
    <n v="0.44309999999999999"/>
    <n v="1.1612"/>
    <n v="50.1297"/>
    <n v="-5.4953000000000003"/>
    <n v="-4.4077000000000002"/>
    <n v="2369.7950000000001"/>
    <n v="2287.1550000000002"/>
    <x v="1"/>
    <x v="1"/>
    <x v="739"/>
    <n v="1872769"/>
    <n v="5586.2002000000002"/>
    <n v="2295"/>
    <n v="2323.3000000000002"/>
    <n v="176"/>
    <n v="527657"/>
    <s v="24-Jun-2024"/>
    <n v="2323.3000000000002"/>
    <n v="1"/>
    <n v="2024"/>
    <n v="-0.34"/>
    <m/>
  </r>
  <r>
    <x v="740"/>
    <n v="2316.6001000000001"/>
    <n v="2333"/>
    <n v="2316.6001000000001"/>
    <n v="2324.3998999999999"/>
    <n v="105"/>
    <n v="2320.9713999999999"/>
    <n v="2345.1333"/>
    <n v="2261.7433000000001"/>
    <x v="732"/>
    <n v="0.42470000000000002"/>
    <n v="1.0672999999999999"/>
    <n v="45.306699999999999"/>
    <n v="-5.1269"/>
    <n v="-4.5514999999999999"/>
    <n v="2368.3737000000001"/>
    <n v="2286.7563"/>
    <x v="0"/>
    <x v="1"/>
    <x v="740"/>
    <n v="1872670"/>
    <n v="5586.2002000000002"/>
    <n v="2295"/>
    <n v="2324.3998999999999"/>
    <n v="176"/>
    <n v="527657"/>
    <s v="25-Jun-2024"/>
    <n v="2324.3998999999999"/>
    <n v="1"/>
    <n v="2024"/>
    <n v="0.05"/>
    <m/>
  </r>
  <r>
    <x v="741"/>
    <n v="2299.1999999999998"/>
    <n v="2314.3998999999999"/>
    <n v="2298"/>
    <n v="2307.8998999999999"/>
    <n v="986"/>
    <n v="2321.1"/>
    <n v="2343.4533000000001"/>
    <n v="2265.2356"/>
    <x v="733"/>
    <n v="0.5222"/>
    <n v="1.0724"/>
    <n v="46.169800000000002"/>
    <n v="-6.0960999999999999"/>
    <n v="-4.8604000000000003"/>
    <n v="2367.5826000000002"/>
    <n v="2284.6473000000001"/>
    <x v="0"/>
    <x v="1"/>
    <x v="741"/>
    <n v="1872565"/>
    <n v="5586.2002000000002"/>
    <n v="2295"/>
    <n v="2307.8998999999999"/>
    <n v="175"/>
    <n v="527552"/>
    <s v="26-Jun-2024"/>
    <n v="2307.8998999999999"/>
    <n v="1"/>
    <n v="2024"/>
    <n v="-0.71"/>
    <m/>
  </r>
  <r>
    <x v="742"/>
    <n v="2324.5"/>
    <n v="2329"/>
    <n v="2295"/>
    <n v="2296.8000000000002"/>
    <n v="1532"/>
    <n v="2317.7570999999998"/>
    <n v="2342.1466999999998"/>
    <n v="2268.4778000000001"/>
    <x v="734"/>
    <n v="0.48230000000000001"/>
    <n v="1.0626"/>
    <n v="37.008899999999997"/>
    <n v="-7.6714000000000002"/>
    <n v="-5.4226000000000001"/>
    <n v="2366.8143"/>
    <n v="2281.0657000000001"/>
    <x v="1"/>
    <x v="1"/>
    <x v="742"/>
    <n v="1871579"/>
    <n v="5586.2002000000002"/>
    <n v="2295"/>
    <n v="2296.8000000000002"/>
    <n v="174"/>
    <n v="526566"/>
    <s v="27-Jun-2024"/>
    <n v="2296.8000000000002"/>
    <n v="1"/>
    <n v="2024"/>
    <n v="-0.48"/>
    <m/>
  </r>
  <r>
    <x v="743"/>
    <n v="2327.6999999999998"/>
    <n v="2338.3000000000002"/>
    <n v="2319"/>
    <n v="2325.3998999999999"/>
    <n v="92"/>
    <n v="2319.6999999999998"/>
    <n v="2340.94"/>
    <n v="2271.92"/>
    <x v="735"/>
    <n v="0.69620000000000004"/>
    <n v="1.0685"/>
    <n v="38.032400000000003"/>
    <n v="-6.5368000000000004"/>
    <n v="-5.6455000000000002"/>
    <n v="2365.8137999999999"/>
    <n v="2280.9162000000001"/>
    <x v="1"/>
    <x v="1"/>
    <x v="743"/>
    <n v="1870047"/>
    <n v="5586.2002000000002"/>
    <n v="2319"/>
    <n v="2325.3998999999999"/>
    <n v="174"/>
    <n v="526566"/>
    <s v="28-Jun-2024"/>
    <n v="2325.3998999999999"/>
    <n v="1"/>
    <n v="2024"/>
    <n v="1.25"/>
    <m/>
  </r>
  <r>
    <x v="744"/>
    <n v="2327.6001000000001"/>
    <n v="2329.6999999999998"/>
    <n v="2321.6999999999998"/>
    <n v="2323.8000000000002"/>
    <n v="237"/>
    <n v="2318.9713999999999"/>
    <n v="2338.75"/>
    <n v="2275.2044000000001"/>
    <x v="736"/>
    <n v="0.63390000000000002"/>
    <n v="1.0429999999999999"/>
    <n v="61.857199999999999"/>
    <n v="-5.7008999999999999"/>
    <n v="-5.6565000000000003"/>
    <n v="2363.6669000000002"/>
    <n v="2281.0329999999999"/>
    <x v="1"/>
    <x v="1"/>
    <x v="744"/>
    <n v="1869955"/>
    <n v="5586.2002000000002"/>
    <n v="2321.6999999999998"/>
    <n v="2323.8000000000002"/>
    <n v="174"/>
    <n v="526566"/>
    <s v="01-Jul-2024"/>
    <n v="2323.8000000000002"/>
    <n v="1"/>
    <n v="2024"/>
    <n v="-7.0000000000000007E-2"/>
    <m/>
  </r>
  <r>
    <x v="745"/>
    <n v="2323"/>
    <n v="2334.6001000000001"/>
    <n v="2323"/>
    <n v="2330.6999999999998"/>
    <n v="30"/>
    <n v="2318.9"/>
    <n v="2337.0832999999998"/>
    <n v="2278.5100000000002"/>
    <x v="737"/>
    <n v="0.64490000000000003"/>
    <n v="1.0439000000000001"/>
    <n v="61.163699999999999"/>
    <n v="-4.4306999999999999"/>
    <n v="-5.4114000000000004"/>
    <n v="2364.2406999999998"/>
    <n v="2281.2692999999999"/>
    <x v="0"/>
    <x v="1"/>
    <x v="745"/>
    <n v="1869718"/>
    <n v="5586.2002000000002"/>
    <n v="2323"/>
    <n v="2330.6999999999998"/>
    <n v="174"/>
    <n v="526566"/>
    <s v="02-Jul-2024"/>
    <n v="2330.6999999999998"/>
    <n v="1"/>
    <n v="2024"/>
    <n v="0.3"/>
    <m/>
  </r>
  <r>
    <x v="746"/>
    <n v="2359.8000000000002"/>
    <n v="2361.6001000000001"/>
    <n v="2330.8998999999999"/>
    <n v="2330.8998999999999"/>
    <n v="59"/>
    <n v="2319.9857000000002"/>
    <n v="2334.2532999999999"/>
    <n v="2281.8978000000002"/>
    <x v="738"/>
    <n v="0.62780000000000002"/>
    <n v="1.0028999999999999"/>
    <n v="56.514699999999998"/>
    <n v="-3.3690000000000002"/>
    <n v="-5.0029000000000003"/>
    <n v="2361.9652000000001"/>
    <n v="2281.8847000000001"/>
    <x v="1"/>
    <x v="1"/>
    <x v="746"/>
    <n v="1869688"/>
    <n v="5586.2002000000002"/>
    <n v="2330.8998999999999"/>
    <n v="2330.8998999999999"/>
    <n v="173"/>
    <n v="526536"/>
    <s v="03-Jul-2024"/>
    <n v="2330.8998999999999"/>
    <n v="1"/>
    <n v="2024"/>
    <n v="0.01"/>
    <m/>
  </r>
  <r>
    <x v="747"/>
    <n v="2388.5"/>
    <n v="2388.5"/>
    <n v="2354.8998999999999"/>
    <n v="2354.8998999999999"/>
    <n v="72"/>
    <n v="2324.3427999999999"/>
    <n v="2331.7665999999999"/>
    <n v="2285.4621999999999"/>
    <x v="739"/>
    <n v="0.72909999999999997"/>
    <n v="1.0172000000000001"/>
    <n v="66.1006"/>
    <n v="-0.58430000000000004"/>
    <n v="-4.1192000000000002"/>
    <n v="2366.0039999999999"/>
    <n v="2280.6959000000002"/>
    <x v="1"/>
    <x v="1"/>
    <x v="747"/>
    <n v="1869629"/>
    <n v="5586.2002000000002"/>
    <n v="2351.8998999999999"/>
    <n v="2354.8998999999999"/>
    <n v="173"/>
    <n v="526536"/>
    <s v="05-Jul-2024"/>
    <n v="2354.8998999999999"/>
    <n v="1"/>
    <n v="2024"/>
    <n v="1.03"/>
    <m/>
  </r>
  <r>
    <x v="748"/>
    <n v="2355.1999999999998"/>
    <n v="2383.8000000000002"/>
    <n v="2352.8000000000002"/>
    <n v="2381.6999999999998"/>
    <n v="64"/>
    <n v="2334.8856999999998"/>
    <n v="2330.5733"/>
    <n v="2289.3044"/>
    <x v="740"/>
    <n v="0.68259999999999998"/>
    <n v="1.0387"/>
    <n v="72.540899999999993"/>
    <n v="3.742"/>
    <n v="-2.5468999999999999"/>
    <n v="2372.8281000000002"/>
    <n v="2276.5418"/>
    <x v="0"/>
    <x v="0"/>
    <x v="748"/>
    <n v="1869557"/>
    <n v="5586.2002000000002"/>
    <n v="2351.8998999999999"/>
    <n v="2381.6999999999998"/>
    <n v="173"/>
    <n v="526536"/>
    <s v="08-Jul-2024"/>
    <n v="2381.6999999999998"/>
    <n v="1"/>
    <n v="2024"/>
    <n v="1.1399999999999999"/>
    <m/>
  </r>
  <r>
    <x v="749"/>
    <n v="2360.1001000000001"/>
    <n v="2363.6999999999998"/>
    <n v="2360.1001000000001"/>
    <n v="2363.1001000000001"/>
    <n v="9"/>
    <n v="2344.3571000000002"/>
    <n v="2330.3033"/>
    <n v="2293.0111000000002"/>
    <x v="741"/>
    <n v="0.75639999999999996"/>
    <n v="0.98770000000000002"/>
    <n v="62.536700000000003"/>
    <n v="5.6052"/>
    <n v="-0.91649999999999998"/>
    <n v="2368.3829999999998"/>
    <n v="2279.3069"/>
    <x v="0"/>
    <x v="1"/>
    <x v="749"/>
    <n v="1869493"/>
    <n v="5586.2002000000002"/>
    <n v="2351.8998999999999"/>
    <n v="2363.1001000000001"/>
    <n v="172"/>
    <n v="526472"/>
    <s v="09-Jul-2024"/>
    <n v="2363.1001000000001"/>
    <n v="1"/>
    <n v="2024"/>
    <n v="-0.78"/>
    <m/>
  </r>
  <r>
    <x v="750"/>
    <n v="2372.1999999999998"/>
    <n v="2377"/>
    <n v="2365.8000000000002"/>
    <n v="2366.3000000000002"/>
    <n v="19"/>
    <n v="2350.1999999999998"/>
    <n v="2331.0933"/>
    <n v="2296.6999999999998"/>
    <x v="742"/>
    <n v="0.66259999999999997"/>
    <n v="0.96150000000000002"/>
    <n v="66.425700000000006"/>
    <n v="7.2563000000000004"/>
    <n v="0.71809999999999996"/>
    <n v="2373.1282999999999"/>
    <n v="2282.1316000000002"/>
    <x v="1"/>
    <x v="1"/>
    <x v="750"/>
    <n v="1869484"/>
    <n v="5586.2002000000002"/>
    <n v="2351.8998999999999"/>
    <n v="2366.3000000000002"/>
    <n v="171"/>
    <n v="526463"/>
    <s v="10-Jul-2024"/>
    <n v="2366.3000000000002"/>
    <n v="1"/>
    <n v="2024"/>
    <n v="0.14000000000000001"/>
    <m/>
  </r>
  <r>
    <x v="751"/>
    <n v="2415"/>
    <n v="2416.6999999999998"/>
    <n v="2378.6999999999998"/>
    <n v="2378.6999999999998"/>
    <n v="72"/>
    <n v="2358.0428000000002"/>
    <n v="2332.4866000000002"/>
    <n v="2300.4288999999999"/>
    <x v="743"/>
    <n v="0.65269999999999995"/>
    <n v="0.96399999999999997"/>
    <n v="65.446799999999996"/>
    <n v="9.4564000000000004"/>
    <n v="2.4657"/>
    <n v="2380.4859999999999"/>
    <n v="2282.6439999999998"/>
    <x v="1"/>
    <x v="1"/>
    <x v="751"/>
    <n v="1869465"/>
    <n v="5586.2002000000002"/>
    <n v="2351.8998999999999"/>
    <n v="2378.6999999999998"/>
    <n v="171"/>
    <n v="526463"/>
    <s v="11-Jul-2024"/>
    <n v="2378.6999999999998"/>
    <n v="1"/>
    <n v="2024"/>
    <n v="0.52"/>
    <m/>
  </r>
  <r>
    <x v="752"/>
    <n v="2414"/>
    <n v="2414"/>
    <n v="2391.3000000000002"/>
    <n v="2399.8000000000002"/>
    <n v="355"/>
    <n v="2367.9142999999999"/>
    <n v="2334.4699999999998"/>
    <n v="2303.9422"/>
    <x v="744"/>
    <n v="0.68420000000000003"/>
    <n v="0.97560000000000002"/>
    <n v="69.055700000000002"/>
    <n v="12.755599999999999"/>
    <n v="4.5236999999999998"/>
    <n v="2392.7233999999999"/>
    <n v="2278.8964999999998"/>
    <x v="1"/>
    <x v="1"/>
    <x v="752"/>
    <n v="1869393"/>
    <n v="5586.2002000000002"/>
    <n v="2351.8998999999999"/>
    <n v="2399.8000000000002"/>
    <n v="171"/>
    <n v="526463"/>
    <s v="12-Jul-2024"/>
    <n v="2399.8000000000002"/>
    <n v="1"/>
    <n v="2024"/>
    <n v="0.89"/>
    <m/>
  </r>
  <r>
    <x v="753"/>
    <n v="2422.8998999999999"/>
    <n v="2436"/>
    <n v="2422.8998999999999"/>
    <n v="2430"/>
    <n v="540"/>
    <n v="2382.0713999999998"/>
    <n v="2337.5733"/>
    <n v="2307.4432999999999"/>
    <x v="745"/>
    <n v="0.72099999999999997"/>
    <n v="0.99739999999999995"/>
    <n v="76.371799999999993"/>
    <n v="17.604099999999999"/>
    <n v="7.1398000000000001"/>
    <n v="2411.1720999999998"/>
    <n v="2272.5079000000001"/>
    <x v="0"/>
    <x v="0"/>
    <x v="753"/>
    <n v="1869038"/>
    <n v="5586.2002000000002"/>
    <n v="2351.8998999999999"/>
    <n v="2430"/>
    <n v="171"/>
    <n v="526463"/>
    <s v="15-Jul-2024"/>
    <n v="2430"/>
    <n v="1"/>
    <n v="2024"/>
    <n v="1.26"/>
    <m/>
  </r>
  <r>
    <x v="754"/>
    <n v="2462.3998999999999"/>
    <n v="2462.3998999999999"/>
    <n v="2427.3998999999999"/>
    <n v="2427.3998999999999"/>
    <n v="93"/>
    <n v="2392.4286000000002"/>
    <n v="2340.35"/>
    <n v="2310.7977999999998"/>
    <x v="746"/>
    <n v="0.73560000000000003"/>
    <n v="0.99780000000000002"/>
    <n v="75.27"/>
    <n v="20.994800000000001"/>
    <n v="9.9108000000000001"/>
    <n v="2424.9310999999998"/>
    <n v="2270.7887999999998"/>
    <x v="1"/>
    <x v="0"/>
    <x v="754"/>
    <n v="1868498"/>
    <n v="5586.2002000000002"/>
    <n v="2351.8998999999999"/>
    <n v="2427.3998999999999"/>
    <n v="170"/>
    <n v="525923"/>
    <s v="16-Jul-2024"/>
    <n v="2427.3998999999999"/>
    <n v="1"/>
    <n v="2024"/>
    <n v="-0.11"/>
    <m/>
  </r>
  <r>
    <x v="755"/>
    <n v="2454.8000000000002"/>
    <n v="2473.1001000000001"/>
    <n v="2454.8000000000002"/>
    <n v="2472.8998999999999"/>
    <n v="10"/>
    <n v="2405.4571000000001"/>
    <n v="2345.36"/>
    <n v="2314.4189000000001"/>
    <x v="747"/>
    <n v="0.88929999999999998"/>
    <n v="1.0273000000000001"/>
    <n v="85.438199999999995"/>
    <n v="27.041699999999999"/>
    <n v="13.337"/>
    <n v="2449.4366"/>
    <n v="2261.5533999999998"/>
    <x v="0"/>
    <x v="0"/>
    <x v="755"/>
    <n v="1868405"/>
    <n v="5586.2002000000002"/>
    <n v="2351.8998999999999"/>
    <n v="2472.8998999999999"/>
    <n v="170"/>
    <n v="525923"/>
    <s v="17-Jul-2024"/>
    <n v="2472.8998999999999"/>
    <n v="1"/>
    <n v="2024"/>
    <n v="1.87"/>
    <m/>
  </r>
  <r>
    <x v="756"/>
    <n v="2451.8000000000002"/>
    <n v="2466"/>
    <n v="2451.8000000000002"/>
    <n v="2466"/>
    <n v="2"/>
    <n v="2420.1570999999999"/>
    <n v="2349.31"/>
    <n v="2317.7377999999999"/>
    <x v="748"/>
    <n v="0.77810000000000001"/>
    <n v="1.018"/>
    <n v="87.007999999999996"/>
    <n v="30.9207"/>
    <n v="16.8537"/>
    <n v="2466.8562999999999"/>
    <n v="2259.5536000000002"/>
    <x v="0"/>
    <x v="0"/>
    <x v="756"/>
    <n v="1868395"/>
    <n v="5586.2002000000002"/>
    <n v="2351.8998999999999"/>
    <n v="2466"/>
    <n v="169"/>
    <n v="525913"/>
    <s v="18-Jul-2024"/>
    <n v="2466"/>
    <n v="1"/>
    <n v="2024"/>
    <n v="-0.28000000000000003"/>
    <m/>
  </r>
  <r>
    <x v="757"/>
    <n v="2395.5"/>
    <n v="2419.1999999999998"/>
    <n v="2395.5"/>
    <n v="2418.8000000000002"/>
    <n v="15"/>
    <n v="2427.6570999999999"/>
    <n v="2352.39"/>
    <n v="2320.38"/>
    <x v="749"/>
    <n v="1.2377"/>
    <n v="1.0703"/>
    <n v="68.8917"/>
    <n v="29.842199999999998"/>
    <n v="19.4514"/>
    <n v="2472.8735000000001"/>
    <n v="2262.5264999999999"/>
    <x v="0"/>
    <x v="1"/>
    <x v="757"/>
    <n v="1868393"/>
    <n v="5586.2002000000002"/>
    <n v="2351.8998999999999"/>
    <n v="2418.8000000000002"/>
    <n v="168"/>
    <n v="525911"/>
    <s v="19-Jul-2024"/>
    <n v="2418.8000000000002"/>
    <n v="1"/>
    <n v="2024"/>
    <n v="-1.91"/>
    <m/>
  </r>
  <r>
    <x v="758"/>
    <n v="2392"/>
    <n v="2402.1001000000001"/>
    <n v="2392"/>
    <n v="2402.1001000000001"/>
    <n v="18"/>
    <n v="2431"/>
    <n v="2353.96"/>
    <n v="2322.8200000000002"/>
    <x v="750"/>
    <n v="1.2885"/>
    <n v="1.06"/>
    <n v="64.925700000000006"/>
    <n v="27.324999999999999"/>
    <n v="21.0261"/>
    <n v="2476.0171999999998"/>
    <n v="2266.4728"/>
    <x v="0"/>
    <x v="1"/>
    <x v="758"/>
    <n v="1868378"/>
    <n v="5586.2002000000002"/>
    <n v="2351.8998999999999"/>
    <n v="2402.1001000000001"/>
    <n v="167"/>
    <n v="525896"/>
    <s v="22-Jul-2024"/>
    <n v="2402.1001000000001"/>
    <n v="1"/>
    <n v="2024"/>
    <n v="-0.69"/>
    <m/>
  </r>
  <r>
    <x v="759"/>
    <n v="2404.6001000000001"/>
    <n v="2404.6001000000001"/>
    <n v="2388.6999999999998"/>
    <n v="2395.8000000000002"/>
    <n v="41"/>
    <n v="2430.4286000000002"/>
    <n v="2354.4899999999998"/>
    <n v="2325.4122000000002"/>
    <x v="751"/>
    <n v="1.2512000000000001"/>
    <n v="1.0448999999999999"/>
    <n v="62.437899999999999"/>
    <n v="24.538799999999998"/>
    <n v="21.7287"/>
    <n v="2477.6556"/>
    <n v="2272.0844000000002"/>
    <x v="1"/>
    <x v="1"/>
    <x v="759"/>
    <n v="1868360"/>
    <n v="5586.2002000000002"/>
    <n v="2351.8998999999999"/>
    <n v="2395.8000000000002"/>
    <n v="166"/>
    <n v="525878"/>
    <s v="23-Jul-2024"/>
    <n v="2395.8000000000002"/>
    <n v="1"/>
    <n v="2024"/>
    <n v="-0.26"/>
    <m/>
  </r>
  <r>
    <x v="760"/>
    <n v="2413.3000000000002"/>
    <n v="2421"/>
    <n v="2411.6001000000001"/>
    <n v="2421"/>
    <n v="6"/>
    <n v="2429.1428999999998"/>
    <n v="2358.8366000000001"/>
    <n v="2328.2788999999998"/>
    <x v="752"/>
    <n v="1.2181"/>
    <n v="0.78029999999999999"/>
    <n v="65.713300000000004"/>
    <n v="24.086500000000001"/>
    <n v="22.200199999999999"/>
    <n v="2481.5744"/>
    <n v="2277.8256000000001"/>
    <x v="0"/>
    <x v="1"/>
    <x v="760"/>
    <n v="1868319"/>
    <n v="5586.2002000000002"/>
    <n v="2351.8998999999999"/>
    <n v="2421"/>
    <n v="166"/>
    <n v="525878"/>
    <s v="24-Jul-2024"/>
    <n v="2421"/>
    <n v="1"/>
    <n v="2024"/>
    <n v="1.05"/>
    <m/>
  </r>
  <r>
    <x v="761"/>
    <n v="2351.8998999999999"/>
    <n v="2365.5"/>
    <n v="2351.8998999999999"/>
    <n v="2365.5"/>
    <n v="31"/>
    <n v="2420.3000000000002"/>
    <n v="2361.02"/>
    <n v="2330.5432999999998"/>
    <x v="753"/>
    <n v="1.4865999999999999"/>
    <n v="0.90049999999999997"/>
    <n v="51.665599999999998"/>
    <n v="19.0303"/>
    <n v="21.566299999999998"/>
    <n v="2479.0196000000001"/>
    <n v="2286.1404000000002"/>
    <x v="0"/>
    <x v="1"/>
    <x v="761"/>
    <n v="1868313"/>
    <n v="5586.2002000000002"/>
    <n v="2351.8998999999999"/>
    <n v="2365.5"/>
    <n v="165"/>
    <n v="525872"/>
    <s v="25-Jul-2024"/>
    <n v="2365.5"/>
    <n v="1"/>
    <n v="2024"/>
    <n v="-2.29"/>
    <m/>
  </r>
  <r>
    <x v="762"/>
    <n v="2380"/>
    <n v="2386.8998999999999"/>
    <n v="2368.6999999999998"/>
    <n v="2368.6999999999998"/>
    <n v="95"/>
    <n v="2405.4142999999999"/>
    <n v="2362.8132999999998"/>
    <n v="2333.0156000000002"/>
    <x v="754"/>
    <n v="1.1608000000000001"/>
    <n v="0.89449999999999996"/>
    <n v="47.793599999999998"/>
    <n v="15.1073"/>
    <n v="20.2745"/>
    <n v="2474.1388999999999"/>
    <n v="2298.2111"/>
    <x v="1"/>
    <x v="1"/>
    <x v="762"/>
    <n v="1868282"/>
    <n v="5586.2002000000002"/>
    <n v="2367.3998999999999"/>
    <n v="2368.6999999999998"/>
    <n v="164"/>
    <n v="525841"/>
    <s v="26-Jul-2024"/>
    <n v="2368.6999999999998"/>
    <n v="1"/>
    <n v="2024"/>
    <n v="0.14000000000000001"/>
    <m/>
  </r>
  <r>
    <x v="763"/>
    <n v="2377.3000000000002"/>
    <n v="2377.3000000000002"/>
    <n v="2377.3000000000002"/>
    <n v="2377.3000000000002"/>
    <n v="126409"/>
    <n v="2392.7429000000002"/>
    <n v="2365.0767000000001"/>
    <n v="2335.4733000000001"/>
    <x v="755"/>
    <n v="1.2152000000000001"/>
    <n v="0.89390000000000003"/>
    <n v="52.494700000000002"/>
    <n v="12.547599999999999"/>
    <n v="18.729099999999999"/>
    <n v="2472.1262999999999"/>
    <n v="2305.4137000000001"/>
    <x v="1"/>
    <x v="1"/>
    <x v="763"/>
    <n v="1868187"/>
    <n v="5586.2002000000002"/>
    <n v="2367.3998999999999"/>
    <n v="2377.3000000000002"/>
    <n v="164"/>
    <n v="525841"/>
    <s v="29-Jul-2024"/>
    <n v="2377.3000000000002"/>
    <n v="1"/>
    <n v="2024"/>
    <n v="0.36"/>
    <m/>
  </r>
  <r>
    <x v="764"/>
    <n v="2405"/>
    <n v="2409.3000000000002"/>
    <n v="2373.8000000000002"/>
    <n v="2380.8998999999999"/>
    <n v="25944"/>
    <n v="2387.3285999999998"/>
    <n v="2367.54"/>
    <n v="2337.9578000000001"/>
    <x v="756"/>
    <n v="1.0599000000000001"/>
    <n v="0.8931"/>
    <n v="52.561399999999999"/>
    <n v="10.686299999999999"/>
    <n v="17.1205"/>
    <n v="2469.3317999999999"/>
    <n v="2313.9182000000001"/>
    <x v="1"/>
    <x v="1"/>
    <x v="764"/>
    <n v="1741778"/>
    <n v="5586.2002000000002"/>
    <n v="2367.3998999999999"/>
    <n v="2380.8998999999999"/>
    <n v="164"/>
    <n v="525841"/>
    <s v="30-Jul-2024"/>
    <n v="2380.8998999999999"/>
    <n v="1"/>
    <n v="2024"/>
    <n v="0.15"/>
    <m/>
  </r>
  <r>
    <x v="765"/>
    <n v="2426.5"/>
    <n v="2447.6001000000001"/>
    <n v="2402.8000000000002"/>
    <n v="2407.1001000000001"/>
    <n v="1313"/>
    <n v="2388.0428999999999"/>
    <n v="2370.4367000000002"/>
    <n v="2340.1810999999998"/>
    <x v="757"/>
    <n v="1.1406000000000001"/>
    <n v="0.90759999999999996"/>
    <n v="54.752400000000002"/>
    <n v="11.196300000000001"/>
    <n v="15.935700000000001"/>
    <n v="2467.8733999999999"/>
    <n v="2323.0165999999999"/>
    <x v="1"/>
    <x v="1"/>
    <x v="765"/>
    <n v="1715834"/>
    <n v="5586.2002000000002"/>
    <n v="2367.3998999999999"/>
    <n v="2407.1001000000001"/>
    <n v="164"/>
    <n v="525841"/>
    <s v="31-Jul-2024"/>
    <n v="2407.1001000000001"/>
    <n v="1"/>
    <n v="2024"/>
    <n v="1.1000000000000001"/>
    <m/>
  </r>
  <r>
    <x v="766"/>
    <n v="2435"/>
    <n v="2455.1001000000001"/>
    <n v="2430.3998999999999"/>
    <n v="2446.6999999999998"/>
    <n v="690"/>
    <n v="2395.3143"/>
    <n v="2374.9333000000001"/>
    <n v="2343.1532999999999"/>
    <x v="758"/>
    <n v="1.2773000000000001"/>
    <n v="0.94359999999999999"/>
    <n v="57.390500000000003"/>
    <n v="14.6273"/>
    <n v="15.673999999999999"/>
    <n v="2470.3777"/>
    <n v="2332.0922999999998"/>
    <x v="0"/>
    <x v="1"/>
    <x v="766"/>
    <n v="1714521"/>
    <n v="5586.2002000000002"/>
    <n v="2367.3998999999999"/>
    <n v="2446.6999999999998"/>
    <n v="164"/>
    <n v="525841"/>
    <s v="01-Aug-2024"/>
    <n v="2446.6999999999998"/>
    <n v="1"/>
    <n v="2024"/>
    <n v="1.65"/>
    <m/>
  </r>
  <r>
    <x v="767"/>
    <n v="2425.6999999999998"/>
    <n v="2477"/>
    <n v="2416"/>
    <n v="2444"/>
    <n v="550"/>
    <n v="2398.6"/>
    <n v="2378.77"/>
    <n v="2346.2399999999998"/>
    <x v="759"/>
    <n v="1.2394000000000001"/>
    <n v="0.93940000000000001"/>
    <n v="52.415500000000002"/>
    <n v="16.933199999999999"/>
    <n v="15.9259"/>
    <n v="2473.7354999999998"/>
    <n v="2337.6444999999999"/>
    <x v="0"/>
    <x v="1"/>
    <x v="767"/>
    <n v="1713831"/>
    <n v="5586.2002000000002"/>
    <n v="2367.3998999999999"/>
    <n v="2444"/>
    <n v="163"/>
    <n v="525151"/>
    <s v="02-Aug-2024"/>
    <n v="2444"/>
    <n v="1"/>
    <n v="2024"/>
    <n v="-0.11"/>
    <m/>
  </r>
  <r>
    <x v="768"/>
    <n v="2401.6999999999998"/>
    <n v="2449.8000000000002"/>
    <n v="2367.3998999999999"/>
    <n v="2442"/>
    <n v="334"/>
    <n v="2409.5286000000001"/>
    <n v="2382.4632999999999"/>
    <n v="2349.1210999999998"/>
    <x v="760"/>
    <n v="0.66379999999999995"/>
    <n v="0.94040000000000001"/>
    <n v="52.5242"/>
    <n v="18.3874"/>
    <n v="16.418199999999999"/>
    <n v="2477.6129999999998"/>
    <n v="2339.797"/>
    <x v="0"/>
    <x v="1"/>
    <x v="768"/>
    <n v="1713281"/>
    <n v="5586.2002000000002"/>
    <n v="2367.3998999999999"/>
    <n v="2442"/>
    <n v="162"/>
    <n v="524601"/>
    <s v="05-Aug-2024"/>
    <n v="2442"/>
    <n v="1"/>
    <n v="2024"/>
    <n v="-0.08"/>
    <m/>
  </r>
  <r>
    <x v="769"/>
    <n v="2389.1001000000001"/>
    <n v="2421.8000000000002"/>
    <n v="2380"/>
    <n v="2414.5"/>
    <n v="163"/>
    <n v="2416.0713999999998"/>
    <n v="2385.5032999999999"/>
    <n v="2351.7332999999999"/>
    <x v="761"/>
    <n v="0.89629999999999999"/>
    <n v="0.96540000000000004"/>
    <n v="39.232999999999997"/>
    <n v="17.1234"/>
    <n v="16.559200000000001"/>
    <n v="2476.7709"/>
    <n v="2345.7791000000002"/>
    <x v="0"/>
    <x v="1"/>
    <x v="769"/>
    <n v="1712947"/>
    <n v="5586.2002000000002"/>
    <n v="2380"/>
    <n v="2414.5"/>
    <n v="161"/>
    <n v="524267"/>
    <s v="06-Aug-2024"/>
    <n v="2414.5"/>
    <n v="1"/>
    <n v="2024"/>
    <n v="-1.1299999999999999"/>
    <m/>
  </r>
  <r>
    <x v="770"/>
    <n v="2390.5"/>
    <n v="2401"/>
    <n v="2384.5"/>
    <n v="2392.1999999999998"/>
    <n v="130"/>
    <n v="2418.1999999999998"/>
    <n v="2387.7633000000001"/>
    <n v="2353.94"/>
    <x v="762"/>
    <n v="1.0016"/>
    <n v="0.98450000000000004"/>
    <n v="37.124899999999997"/>
    <n v="14.1591"/>
    <n v="16.0792"/>
    <n v="2475.2869000000001"/>
    <n v="2349.8530999999998"/>
    <x v="0"/>
    <x v="1"/>
    <x v="770"/>
    <n v="1712784"/>
    <n v="5586.2002000000002"/>
    <n v="2384.3000000000002"/>
    <n v="2392.1999999999998"/>
    <n v="160"/>
    <n v="524104"/>
    <s v="07-Aug-2024"/>
    <n v="2392.1999999999998"/>
    <n v="1"/>
    <n v="2024"/>
    <n v="-0.92"/>
    <m/>
  </r>
  <r>
    <x v="771"/>
    <n v="2422.1999999999998"/>
    <n v="2422.8000000000002"/>
    <n v="2384.3000000000002"/>
    <n v="2384.3000000000002"/>
    <n v="201"/>
    <n v="2418.6857"/>
    <n v="2390.31"/>
    <n v="2355.5911000000001"/>
    <x v="763"/>
    <n v="1.0134000000000001"/>
    <n v="0.97609999999999997"/>
    <n v="43.024700000000003"/>
    <n v="11.045"/>
    <n v="15.0724"/>
    <n v="2474.9775"/>
    <n v="2350.7224999999999"/>
    <x v="1"/>
    <x v="1"/>
    <x v="771"/>
    <n v="1712654"/>
    <n v="5586.2002000000002"/>
    <n v="2384.3000000000002"/>
    <n v="2384.3000000000002"/>
    <n v="159"/>
    <n v="523974"/>
    <s v="08-Aug-2024"/>
    <n v="2384.3000000000002"/>
    <n v="1"/>
    <n v="2024"/>
    <n v="-0.33"/>
    <m/>
  </r>
  <r>
    <x v="772"/>
    <n v="2432.1001000000001"/>
    <n v="2432.1001000000001"/>
    <n v="2418.5"/>
    <n v="2422.3000000000002"/>
    <n v="611"/>
    <n v="2420.8571000000002"/>
    <n v="2394.4933000000001"/>
    <n v="2357.4832999999999"/>
    <x v="764"/>
    <n v="1.113"/>
    <n v="1.0056"/>
    <n v="53.760199999999998"/>
    <n v="11.5107"/>
    <n v="14.36"/>
    <n v="2475.9220999999998"/>
    <n v="2352.0279"/>
    <x v="1"/>
    <x v="1"/>
    <x v="772"/>
    <n v="1712453"/>
    <n v="5586.2002000000002"/>
    <n v="2418.5"/>
    <n v="2422.3000000000002"/>
    <n v="159"/>
    <n v="523974"/>
    <s v="09-Aug-2024"/>
    <n v="2422.3000000000002"/>
    <n v="1"/>
    <n v="2024"/>
    <n v="1.59"/>
    <m/>
  </r>
  <r>
    <x v="773"/>
    <n v="2462.3998999999999"/>
    <n v="2469.8000000000002"/>
    <n v="2432"/>
    <n v="2432.6999999999998"/>
    <n v="566"/>
    <n v="2418.8571000000002"/>
    <n v="2398.0700000000002"/>
    <n v="2359.1610999999998"/>
    <x v="219"/>
    <n v="0.90649999999999997"/>
    <n v="0.98670000000000002"/>
    <n v="56.765700000000002"/>
    <n v="12.574"/>
    <n v="14.002800000000001"/>
    <n v="2476.2157000000002"/>
    <n v="2352.0043000000001"/>
    <x v="1"/>
    <x v="1"/>
    <x v="773"/>
    <n v="1711842"/>
    <n v="5586.2002000000002"/>
    <n v="2431.1999999999998"/>
    <n v="2432.6999999999998"/>
    <n v="159"/>
    <n v="523974"/>
    <s v="12-Aug-2024"/>
    <n v="2432.6999999999998"/>
    <n v="1"/>
    <n v="2024"/>
    <n v="0.43"/>
    <m/>
  </r>
  <r>
    <x v="774"/>
    <n v="2466.6999999999998"/>
    <n v="2470"/>
    <n v="2456.5"/>
    <n v="2461"/>
    <n v="510"/>
    <n v="2421.2856999999999"/>
    <n v="2402.6433000000002"/>
    <n v="2360.9310999999998"/>
    <x v="765"/>
    <n v="1.0198"/>
    <n v="1.0025999999999999"/>
    <n v="57.251600000000003"/>
    <n v="15.5213"/>
    <n v="14.3065"/>
    <n v="2481.1423"/>
    <n v="2350.4376999999999"/>
    <x v="1"/>
    <x v="1"/>
    <x v="774"/>
    <n v="1711276"/>
    <n v="5586.2002000000002"/>
    <n v="2431.1999999999998"/>
    <n v="2461"/>
    <n v="159"/>
    <n v="523974"/>
    <s v="13-Aug-2024"/>
    <n v="2461"/>
    <n v="1"/>
    <n v="2024"/>
    <n v="1.1599999999999999"/>
    <m/>
  </r>
  <r>
    <x v="775"/>
    <n v="2439.3998999999999"/>
    <n v="2472.1001000000001"/>
    <n v="2439.3998999999999"/>
    <n v="2468"/>
    <n v="274"/>
    <n v="2425"/>
    <n v="2407.2199999999998"/>
    <n v="2362.9178000000002"/>
    <x v="766"/>
    <n v="1.0181"/>
    <n v="1.0025999999999999"/>
    <n v="72.547300000000007"/>
    <n v="18.212"/>
    <n v="15.0876"/>
    <n v="2480.0268000000001"/>
    <n v="2351.0632000000001"/>
    <x v="0"/>
    <x v="0"/>
    <x v="775"/>
    <n v="1710766"/>
    <n v="5586.2002000000002"/>
    <n v="2431.1999999999998"/>
    <n v="2468"/>
    <n v="159"/>
    <n v="523974"/>
    <s v="14-Aug-2024"/>
    <n v="2468"/>
    <n v="1"/>
    <n v="2024"/>
    <n v="0.28000000000000003"/>
    <m/>
  </r>
  <r>
    <x v="776"/>
    <n v="2453.1001000000001"/>
    <n v="2467.6999999999998"/>
    <n v="2431.1999999999998"/>
    <n v="2451.8000000000002"/>
    <n v="285"/>
    <n v="2430.3285999999998"/>
    <n v="2411.25"/>
    <n v="2364.3200000000002"/>
    <x v="767"/>
    <n v="0.93130000000000002"/>
    <n v="1.0141"/>
    <n v="67.290899999999993"/>
    <n v="18.8203"/>
    <n v="15.834199999999999"/>
    <n v="2477.2575000000002"/>
    <n v="2352.4124999999999"/>
    <x v="1"/>
    <x v="1"/>
    <x v="776"/>
    <n v="1710492"/>
    <n v="5586.2002000000002"/>
    <n v="2431.1999999999998"/>
    <n v="2451.8000000000002"/>
    <n v="158"/>
    <n v="523700"/>
    <s v="15-Aug-2024"/>
    <n v="2451.8000000000002"/>
    <n v="1"/>
    <n v="2024"/>
    <n v="-0.66"/>
    <m/>
  </r>
  <r>
    <x v="777"/>
    <n v="2498.6001000000001"/>
    <n v="2508"/>
    <n v="2451.3998999999999"/>
    <n v="2453.5"/>
    <n v="197"/>
    <n v="2439.0857000000001"/>
    <n v="2414.5367000000001"/>
    <n v="2365.6055999999999"/>
    <x v="768"/>
    <n v="0.79290000000000005"/>
    <n v="1.0013000000000001"/>
    <n v="66.323899999999995"/>
    <n v="19.2179"/>
    <n v="16.510899999999999"/>
    <n v="2481.3413"/>
    <n v="2351.7988"/>
    <x v="1"/>
    <x v="1"/>
    <x v="777"/>
    <n v="1710207"/>
    <n v="5586.2002000000002"/>
    <n v="2451.3998999999999"/>
    <n v="2453.5"/>
    <n v="158"/>
    <n v="523700"/>
    <s v="16-Aug-2024"/>
    <n v="2453.5"/>
    <n v="1"/>
    <n v="2024"/>
    <n v="7.0000000000000007E-2"/>
    <m/>
  </r>
  <r>
    <x v="778"/>
    <n v="2501.8000000000002"/>
    <n v="2508.5"/>
    <n v="2487.1999999999998"/>
    <n v="2508.5"/>
    <n v="88"/>
    <n v="2456.8285999999998"/>
    <n v="2418.7633000000001"/>
    <n v="2367.4043999999999"/>
    <x v="769"/>
    <n v="0.98880000000000001"/>
    <n v="1.0578000000000001"/>
    <n v="72.401700000000005"/>
    <n v="23.698"/>
    <n v="17.9483"/>
    <n v="2498.1215999999999"/>
    <n v="2345.6583999999998"/>
    <x v="0"/>
    <x v="0"/>
    <x v="778"/>
    <n v="1710010"/>
    <n v="5586.2002000000002"/>
    <n v="2471.1001000000001"/>
    <n v="2508.5"/>
    <n v="158"/>
    <n v="523700"/>
    <s v="19-Aug-2024"/>
    <n v="2508.5"/>
    <n v="1"/>
    <n v="2024"/>
    <n v="2.2400000000000002"/>
    <m/>
  </r>
  <r>
    <x v="779"/>
    <n v="2511.3000000000002"/>
    <n v="2527.3000000000002"/>
    <n v="2500.6999999999998"/>
    <n v="2503.5"/>
    <n v="187"/>
    <n v="2468.4286000000002"/>
    <n v="2423.4432999999999"/>
    <n v="2369.2044000000001"/>
    <x v="770"/>
    <n v="0.96030000000000004"/>
    <n v="1.0448999999999999"/>
    <n v="68.285300000000007"/>
    <n v="26.539000000000001"/>
    <n v="19.666499999999999"/>
    <n v="2510.6296000000002"/>
    <n v="2343.9204"/>
    <x v="1"/>
    <x v="1"/>
    <x v="779"/>
    <n v="1709922"/>
    <n v="5586.2002000000002"/>
    <n v="2471.1001000000001"/>
    <n v="2503.5"/>
    <n v="157"/>
    <n v="523612"/>
    <s v="20-Aug-2024"/>
    <n v="2503.5"/>
    <n v="1"/>
    <n v="2024"/>
    <n v="-0.2"/>
    <m/>
  </r>
  <r>
    <x v="780"/>
    <n v="2508.3998999999999"/>
    <n v="2515.3998999999999"/>
    <n v="2503.8998999999999"/>
    <n v="2511"/>
    <n v="96"/>
    <n v="2479.6143000000002"/>
    <n v="2428.2667000000001"/>
    <n v="2370.69"/>
    <x v="771"/>
    <n v="0.96260000000000001"/>
    <n v="1.0449999999999999"/>
    <n v="63.887700000000002"/>
    <n v="29.0608"/>
    <n v="21.545300000000001"/>
    <n v="2523.0450000000001"/>
    <n v="2340.5050000000001"/>
    <x v="0"/>
    <x v="1"/>
    <x v="780"/>
    <n v="1709735"/>
    <n v="5586.2002000000002"/>
    <n v="2471.1001000000001"/>
    <n v="2511"/>
    <n v="157"/>
    <n v="523612"/>
    <s v="21-Aug-2024"/>
    <n v="2511"/>
    <n v="1"/>
    <n v="2024"/>
    <n v="0.3"/>
    <m/>
  </r>
  <r>
    <x v="781"/>
    <n v="2478.8998999999999"/>
    <n v="2504.1001000000001"/>
    <n v="2471.1001000000001"/>
    <n v="2504.1001000000001"/>
    <n v="210"/>
    <n v="2485.7714000000001"/>
    <n v="2432.4467"/>
    <n v="2372.2678000000001"/>
    <x v="478"/>
    <n v="0.94"/>
    <n v="1.0467"/>
    <n v="62.749299999999998"/>
    <n v="30.154900000000001"/>
    <n v="23.267299999999999"/>
    <n v="2529.8341999999998"/>
    <n v="2347.5758000000001"/>
    <x v="0"/>
    <x v="1"/>
    <x v="781"/>
    <n v="1709639"/>
    <n v="5586.2002000000002"/>
    <n v="2471.1001000000001"/>
    <n v="2504.1001000000001"/>
    <n v="156"/>
    <n v="523516"/>
    <s v="22-Aug-2024"/>
    <n v="2504.1001000000001"/>
    <n v="1"/>
    <n v="2024"/>
    <n v="-0.27"/>
    <m/>
  </r>
  <r>
    <x v="782"/>
    <n v="2508.3998999999999"/>
    <n v="2508.3998999999999"/>
    <n v="2486.5"/>
    <n v="2486.5"/>
    <n v="94"/>
    <n v="2488.4142999999999"/>
    <n v="2435.3366999999998"/>
    <n v="2373.4067"/>
    <x v="772"/>
    <n v="1.0061"/>
    <n v="1.0497000000000001"/>
    <n v="58.853999999999999"/>
    <n v="29.264500000000002"/>
    <n v="24.466699999999999"/>
    <n v="2531.8168999999998"/>
    <n v="2357.3732"/>
    <x v="1"/>
    <x v="1"/>
    <x v="782"/>
    <n v="1709429"/>
    <n v="5586.2002000000002"/>
    <n v="2476.3000000000002"/>
    <n v="2486.5"/>
    <n v="155"/>
    <n v="523306"/>
    <s v="23-Aug-2024"/>
    <n v="2486.5"/>
    <n v="1"/>
    <n v="2024"/>
    <n v="-0.7"/>
    <m/>
  </r>
  <r>
    <x v="783"/>
    <n v="2517.6999999999998"/>
    <n v="2523.1001000000001"/>
    <n v="2509.1001000000001"/>
    <n v="2509.8998999999999"/>
    <n v="290"/>
    <n v="2496.7143000000001"/>
    <n v="2438"/>
    <n v="2374.8033"/>
    <x v="773"/>
    <n v="0.98399999999999999"/>
    <n v="1.0394000000000001"/>
    <n v="69.296099999999996"/>
    <n v="30.100100000000001"/>
    <n v="25.593399999999999"/>
    <n v="2537.0563000000002"/>
    <n v="2365.3937000000001"/>
    <x v="1"/>
    <x v="1"/>
    <x v="783"/>
    <n v="1709335"/>
    <n v="5586.2002000000002"/>
    <n v="2476.3000000000002"/>
    <n v="2509.8998999999999"/>
    <n v="155"/>
    <n v="523306"/>
    <s v="26-Aug-2024"/>
    <n v="2509.8998999999999"/>
    <n v="1"/>
    <n v="2024"/>
    <n v="0.94"/>
    <m/>
  </r>
  <r>
    <x v="784"/>
    <n v="2516"/>
    <n v="2523.1001000000001"/>
    <n v="2506.8998999999999"/>
    <n v="2515.1999999999998"/>
    <n v="100"/>
    <n v="2505.5286000000001"/>
    <n v="2440.9267"/>
    <n v="2376.4344000000001"/>
    <x v="774"/>
    <n v="0.97889999999999999"/>
    <n v="1.0387"/>
    <n v="76.715900000000005"/>
    <n v="30.834499999999998"/>
    <n v="26.6416"/>
    <n v="2541.5916999999999"/>
    <n v="2374.2883000000002"/>
    <x v="1"/>
    <x v="0"/>
    <x v="784"/>
    <n v="1709045"/>
    <n v="5586.2002000000002"/>
    <n v="2476.3000000000002"/>
    <n v="2515.1999999999998"/>
    <n v="155"/>
    <n v="523306"/>
    <s v="27-Aug-2024"/>
    <n v="2515.1999999999998"/>
    <n v="1"/>
    <n v="2024"/>
    <n v="0.21"/>
    <m/>
  </r>
  <r>
    <x v="785"/>
    <n v="2501"/>
    <n v="2501"/>
    <n v="2501"/>
    <n v="2501"/>
    <n v="2353"/>
    <n v="2504.4571000000001"/>
    <n v="2441.8633"/>
    <n v="2377.7867000000001"/>
    <x v="775"/>
    <n v="0.56799999999999995"/>
    <n v="0.99139999999999995"/>
    <n v="74.672300000000007"/>
    <n v="29.925699999999999"/>
    <n v="27.298400000000001"/>
    <n v="2544.7995000000001"/>
    <n v="2380.4704999999999"/>
    <x v="1"/>
    <x v="0"/>
    <x v="785"/>
    <n v="1708945"/>
    <n v="5586.2002000000002"/>
    <n v="2476.3000000000002"/>
    <n v="2501"/>
    <n v="155"/>
    <n v="523306"/>
    <s v="28-Aug-2024"/>
    <n v="2501"/>
    <n v="1"/>
    <n v="2024"/>
    <n v="-0.56000000000000005"/>
    <m/>
  </r>
  <r>
    <x v="786"/>
    <n v="2525.6999999999998"/>
    <n v="2525.6999999999998"/>
    <n v="2503.8998999999999"/>
    <n v="2504.1001000000001"/>
    <n v="3966"/>
    <n v="2504.5428999999999"/>
    <n v="2443.1333"/>
    <n v="2379.1289000000002"/>
    <x v="776"/>
    <n v="0.56620000000000004"/>
    <n v="0.98960000000000004"/>
    <n v="70.287700000000001"/>
    <n v="29.12"/>
    <n v="27.662700000000001"/>
    <n v="2549.3193000000001"/>
    <n v="2381.6907000000001"/>
    <x v="1"/>
    <x v="0"/>
    <x v="786"/>
    <n v="1706592"/>
    <n v="5586.2002000000002"/>
    <n v="2476.3000000000002"/>
    <n v="2504.1001000000001"/>
    <n v="155"/>
    <n v="523306"/>
    <s v="29-Aug-2024"/>
    <n v="2504.1001000000001"/>
    <n v="1"/>
    <n v="2024"/>
    <n v="0.12"/>
    <m/>
  </r>
  <r>
    <x v="787"/>
    <n v="2493.8000000000002"/>
    <n v="2525.3998999999999"/>
    <n v="2493.8000000000002"/>
    <n v="2519.5"/>
    <n v="208"/>
    <n v="2505.7570999999998"/>
    <n v="2446.4899999999998"/>
    <n v="2381.2600000000002"/>
    <x v="777"/>
    <n v="0.6048"/>
    <n v="0.9214"/>
    <n v="71.006799999999998"/>
    <n v="29.385400000000001"/>
    <n v="28.007300000000001"/>
    <n v="2555.7741999999998"/>
    <n v="2382.7858000000001"/>
    <x v="0"/>
    <x v="0"/>
    <x v="787"/>
    <n v="1702626"/>
    <n v="5586.2002000000002"/>
    <n v="2476.3000000000002"/>
    <n v="2519.5"/>
    <n v="155"/>
    <n v="523306"/>
    <s v="30-Aug-2024"/>
    <n v="2519.5"/>
    <n v="1"/>
    <n v="2024"/>
    <n v="0.62"/>
    <m/>
  </r>
  <r>
    <x v="788"/>
    <n v="2489.8998999999999"/>
    <n v="2501.8000000000002"/>
    <n v="2476.3000000000002"/>
    <n v="2501.6001000000001"/>
    <n v="206"/>
    <n v="2505.4"/>
    <n v="2449.8067000000001"/>
    <n v="2383.2633000000001"/>
    <x v="778"/>
    <n v="0.6633"/>
    <n v="0.92200000000000004"/>
    <n v="60.346600000000002"/>
    <n v="27.830500000000001"/>
    <n v="27.971900000000002"/>
    <n v="2558.9034999999999"/>
    <n v="2385.6165000000001"/>
    <x v="0"/>
    <x v="1"/>
    <x v="788"/>
    <n v="1702418"/>
    <n v="5586.2002000000002"/>
    <n v="2476.3000000000002"/>
    <n v="2501.6001000000001"/>
    <n v="154"/>
    <n v="523098"/>
    <s v="03-Sep-2024"/>
    <n v="2501.6001000000001"/>
    <n v="1"/>
    <n v="2024"/>
    <n v="-0.71"/>
    <m/>
  </r>
  <r>
    <x v="789"/>
    <n v="2493.3998999999999"/>
    <n v="2493.3998999999999"/>
    <n v="2483.5"/>
    <n v="2490.8998999999999"/>
    <n v="470"/>
    <n v="2506.0286000000001"/>
    <n v="2452.9767000000002"/>
    <n v="2385.2177999999999"/>
    <x v="779"/>
    <n v="0.62250000000000005"/>
    <n v="0.92500000000000004"/>
    <n v="55.727800000000002"/>
    <n v="25.441500000000001"/>
    <n v="27.465800000000002"/>
    <n v="2558.6417999999999"/>
    <n v="2393.5182"/>
    <x v="1"/>
    <x v="1"/>
    <x v="789"/>
    <n v="1702212"/>
    <n v="5586.2002000000002"/>
    <n v="2483.5"/>
    <n v="2490.8998999999999"/>
    <n v="153"/>
    <n v="522892"/>
    <s v="04-Sep-2024"/>
    <n v="2490.8998999999999"/>
    <n v="1"/>
    <n v="2024"/>
    <n v="-0.43"/>
    <m/>
  </r>
  <r>
    <x v="790"/>
    <n v="2511.3998999999999"/>
    <n v="2513.3000000000002"/>
    <n v="2493.3998999999999"/>
    <n v="2493.6999999999998"/>
    <n v="54"/>
    <n v="2503.7143000000001"/>
    <n v="2455.4"/>
    <n v="2386.8377999999998"/>
    <x v="780"/>
    <n v="0.48280000000000001"/>
    <n v="0.90859999999999996"/>
    <n v="61.233199999999997"/>
    <n v="23.503299999999999"/>
    <n v="26.673300000000001"/>
    <n v="2553.902"/>
    <n v="2408.4079999999999"/>
    <x v="1"/>
    <x v="1"/>
    <x v="790"/>
    <n v="1701742"/>
    <n v="5586.2002000000002"/>
    <n v="2483.6999999999998"/>
    <n v="2493.6999999999998"/>
    <n v="153"/>
    <n v="522892"/>
    <s v="05-Sep-2024"/>
    <n v="2493.6999999999998"/>
    <n v="1"/>
    <n v="2024"/>
    <n v="0.11"/>
    <m/>
  </r>
  <r>
    <x v="791"/>
    <n v="2493.5"/>
    <n v="2517.8998999999999"/>
    <n v="2483.6999999999998"/>
    <n v="2510.3000000000002"/>
    <n v="96"/>
    <n v="2503.0142999999998"/>
    <n v="2460.2267000000002"/>
    <n v="2388.7878000000001"/>
    <x v="781"/>
    <n v="0.5554"/>
    <n v="0.79279999999999995"/>
    <n v="64.101299999999995"/>
    <n v="23.0411"/>
    <n v="25.946899999999999"/>
    <n v="2545.1518000000001"/>
    <n v="2429.7583"/>
    <x v="0"/>
    <x v="1"/>
    <x v="791"/>
    <n v="1701688"/>
    <n v="5586.2002000000002"/>
    <n v="2483.6999999999998"/>
    <n v="2510.3000000000002"/>
    <n v="153"/>
    <n v="522892"/>
    <s v="06-Sep-2024"/>
    <n v="2510.3000000000002"/>
    <n v="1"/>
    <n v="2024"/>
    <n v="0.67"/>
    <m/>
  </r>
  <r>
    <x v="792"/>
    <n v="2501.8000000000002"/>
    <n v="2504.6999999999998"/>
    <n v="2491.3000000000002"/>
    <n v="2491.3000000000002"/>
    <n v="96"/>
    <n v="2501.6286"/>
    <n v="2464.3132999999998"/>
    <n v="2390.6633000000002"/>
    <x v="782"/>
    <n v="0.59009999999999996"/>
    <n v="0.81189999999999996"/>
    <n v="44.8005"/>
    <n v="20.900700000000001"/>
    <n v="24.9376"/>
    <n v="2539.7741000000001"/>
    <n v="2442.0358999999999"/>
    <x v="1"/>
    <x v="1"/>
    <x v="792"/>
    <n v="1701592"/>
    <n v="5586.2002000000002"/>
    <n v="2491.3000000000002"/>
    <n v="2491.3000000000002"/>
    <n v="152"/>
    <n v="522796"/>
    <s v="09-Sep-2024"/>
    <n v="2491.3000000000002"/>
    <n v="1"/>
    <n v="2024"/>
    <n v="-0.76"/>
    <m/>
  </r>
  <r>
    <x v="793"/>
    <n v="2512.3000000000002"/>
    <n v="2512.3000000000002"/>
    <n v="2512.3000000000002"/>
    <n v="2512.3000000000002"/>
    <n v="5"/>
    <n v="2502.8000000000002"/>
    <n v="2468.8132999999998"/>
    <n v="2393.1588999999999"/>
    <x v="783"/>
    <n v="0.68169999999999997"/>
    <n v="0.82050000000000001"/>
    <n v="52.425600000000003"/>
    <n v="20.660799999999998"/>
    <n v="24.0823"/>
    <n v="2536.1723000000002"/>
    <n v="2453.5978"/>
    <x v="1"/>
    <x v="1"/>
    <x v="793"/>
    <n v="1701496"/>
    <n v="5586.2002000000002"/>
    <n v="2502.3000000000002"/>
    <n v="2512.3000000000002"/>
    <n v="152"/>
    <n v="522796"/>
    <s v="10-Sep-2024"/>
    <n v="2512.3000000000002"/>
    <n v="1"/>
    <n v="2024"/>
    <n v="0.84"/>
    <m/>
  </r>
  <r>
    <x v="794"/>
    <n v="2512.1001000000001"/>
    <n v="2525.8000000000002"/>
    <n v="2502.3000000000002"/>
    <n v="2525.8000000000002"/>
    <n v="90"/>
    <n v="2503.6999999999998"/>
    <n v="2473.6433000000002"/>
    <n v="2395.4267"/>
    <x v="784"/>
    <n v="0.67149999999999999"/>
    <n v="0.82289999999999996"/>
    <n v="53.948799999999999"/>
    <n v="21.314399999999999"/>
    <n v="23.528700000000001"/>
    <n v="2538.3732"/>
    <n v="2457.8768"/>
    <x v="0"/>
    <x v="1"/>
    <x v="794"/>
    <n v="1701491"/>
    <n v="5586.2002000000002"/>
    <n v="2502.3000000000002"/>
    <n v="2525.8000000000002"/>
    <n v="152"/>
    <n v="522796"/>
    <s v="11-Sep-2024"/>
    <n v="2525.8000000000002"/>
    <n v="1"/>
    <n v="2024"/>
    <n v="0.54"/>
    <m/>
  </r>
  <r>
    <x v="795"/>
    <n v="2551.1999999999998"/>
    <n v="2557"/>
    <n v="2523.3998999999999"/>
    <n v="2529.1001000000001"/>
    <n v="132"/>
    <n v="2507.6286"/>
    <n v="2477.71"/>
    <n v="2397.9722000000002"/>
    <x v="785"/>
    <n v="0.58509999999999995"/>
    <n v="0.80520000000000003"/>
    <n v="56.800899999999999"/>
    <n v="21.846699999999998"/>
    <n v="23.192299999999999"/>
    <n v="2541.0743000000002"/>
    <n v="2461.2856999999999"/>
    <x v="1"/>
    <x v="1"/>
    <x v="795"/>
    <n v="1701401"/>
    <n v="5586.2002000000002"/>
    <n v="2523.3998999999999"/>
    <n v="2529.1001000000001"/>
    <n v="151"/>
    <n v="522706"/>
    <s v="12-Sep-2024"/>
    <n v="2529.1001000000001"/>
    <n v="1"/>
    <n v="2024"/>
    <n v="0.13"/>
    <m/>
  </r>
  <r>
    <x v="796"/>
    <n v="2581.3000000000002"/>
    <n v="2581.8000000000002"/>
    <n v="2565"/>
    <n v="2568.8000000000002"/>
    <n v="31"/>
    <n v="2518.7572"/>
    <n v="2481.7800000000002"/>
    <n v="2400.7055999999998"/>
    <x v="786"/>
    <n v="0.7228"/>
    <n v="0.80049999999999999"/>
    <n v="69.985399999999998"/>
    <n v="25.181799999999999"/>
    <n v="23.590199999999999"/>
    <n v="2550.5816"/>
    <n v="2463.4784"/>
    <x v="1"/>
    <x v="1"/>
    <x v="796"/>
    <n v="1701269"/>
    <n v="5586.2002000000002"/>
    <n v="2549.1999999999998"/>
    <n v="2568.8000000000002"/>
    <n v="151"/>
    <n v="522706"/>
    <s v="13-Sep-2024"/>
    <n v="2568.8000000000002"/>
    <n v="1"/>
    <n v="2024"/>
    <n v="1.57"/>
    <m/>
  </r>
  <r>
    <x v="797"/>
    <n v="2580.3998999999999"/>
    <n v="2580.3998999999999"/>
    <n v="2580.3998999999999"/>
    <n v="2580.3998999999999"/>
    <n v="28"/>
    <n v="2531.1428999999998"/>
    <n v="2486.3267000000001"/>
    <n v="2403.5511000000001"/>
    <x v="787"/>
    <n v="0.70809999999999995"/>
    <n v="0.8004"/>
    <n v="68.160700000000006"/>
    <n v="28.4331"/>
    <n v="24.558800000000002"/>
    <n v="2560.8856999999998"/>
    <n v="2465.8643000000002"/>
    <x v="1"/>
    <x v="1"/>
    <x v="797"/>
    <n v="1701238"/>
    <n v="5586.2002000000002"/>
    <n v="2549.1999999999998"/>
    <n v="2580.3998999999999"/>
    <n v="151"/>
    <n v="522706"/>
    <s v="16-Sep-2024"/>
    <n v="2580.3998999999999"/>
    <n v="1"/>
    <n v="2024"/>
    <n v="0.45"/>
    <m/>
  </r>
  <r>
    <x v="798"/>
    <n v="2564.3000000000002"/>
    <n v="2581.8000000000002"/>
    <n v="2564.3000000000002"/>
    <n v="2581.1999999999998"/>
    <n v="22"/>
    <n v="2541.2714000000001"/>
    <n v="2490.9666999999999"/>
    <n v="2406.5243999999998"/>
    <x v="170"/>
    <n v="0.72260000000000002"/>
    <n v="0.7994"/>
    <n v="67.405100000000004"/>
    <n v="30.720300000000002"/>
    <n v="25.7911"/>
    <n v="2573.2692000000002"/>
    <n v="2460.7507999999998"/>
    <x v="0"/>
    <x v="1"/>
    <x v="798"/>
    <n v="1701210"/>
    <n v="5586.2002000000002"/>
    <n v="2549.1999999999998"/>
    <n v="2581.1999999999998"/>
    <n v="151"/>
    <n v="522706"/>
    <s v="17-Sep-2024"/>
    <n v="2581.1999999999998"/>
    <n v="1"/>
    <n v="2024"/>
    <n v="0.03"/>
    <m/>
  </r>
  <r>
    <x v="799"/>
    <n v="2570.6999999999998"/>
    <n v="2570.6999999999998"/>
    <n v="2549.1999999999998"/>
    <n v="2570.6999999999998"/>
    <n v="25"/>
    <n v="2552.6143000000002"/>
    <n v="2496.1732999999999"/>
    <n v="2409.4133000000002"/>
    <x v="246"/>
    <n v="0.6361"/>
    <n v="0.76880000000000004"/>
    <n v="68.746600000000001"/>
    <n v="31.3245"/>
    <n v="26.8978"/>
    <n v="2581.0825"/>
    <n v="2459.6574999999998"/>
    <x v="1"/>
    <x v="1"/>
    <x v="799"/>
    <n v="1701188"/>
    <n v="5586.2002000000002"/>
    <n v="2549.1999999999998"/>
    <n v="2570.6999999999998"/>
    <n v="150"/>
    <n v="522684"/>
    <s v="18-Sep-2024"/>
    <n v="2570.6999999999998"/>
    <n v="1"/>
    <n v="2024"/>
    <n v="-0.41"/>
    <m/>
  </r>
  <r>
    <x v="800"/>
    <n v="2588"/>
    <n v="2588"/>
    <n v="2566"/>
    <n v="2566"/>
    <n v="99"/>
    <n v="2560.2856999999999"/>
    <n v="2501.9666999999999"/>
    <n v="2411.6210999999998"/>
    <x v="788"/>
    <n v="0.64870000000000005"/>
    <n v="0.74250000000000005"/>
    <n v="66.506600000000006"/>
    <n v="31.065999999999999"/>
    <n v="27.731400000000001"/>
    <n v="2586.9479999999999"/>
    <n v="2459.2919999999999"/>
    <x v="1"/>
    <x v="1"/>
    <x v="800"/>
    <n v="1701163"/>
    <n v="5586.2002000000002"/>
    <n v="2554.1999999999998"/>
    <n v="2566"/>
    <n v="150"/>
    <n v="522684"/>
    <s v="19-Sep-2024"/>
    <n v="2566"/>
    <n v="1"/>
    <n v="2024"/>
    <n v="-0.18"/>
    <m/>
  </r>
  <r>
    <x v="801"/>
    <n v="2619.8998999999999"/>
    <n v="2621.8"/>
    <n v="2590.3998999999999"/>
    <n v="2590.3998999999999"/>
    <n v="17"/>
    <n v="2569.5142999999998"/>
    <n v="2508.8366999999998"/>
    <n v="2414.1999999999998"/>
    <x v="789"/>
    <n v="0.69089999999999996"/>
    <n v="0.74560000000000004"/>
    <n v="68.040700000000001"/>
    <n v="32.4559"/>
    <n v="28.676300000000001"/>
    <n v="2597.2377999999999"/>
    <n v="2457.6322"/>
    <x v="1"/>
    <x v="1"/>
    <x v="801"/>
    <n v="1701064"/>
    <n v="5586.2002000000002"/>
    <n v="2554.1999999999998"/>
    <n v="2590.3998999999999"/>
    <n v="150"/>
    <n v="522684"/>
    <s v="20-Sep-2024"/>
    <n v="2590.3998999999999"/>
    <n v="1"/>
    <n v="2024"/>
    <n v="0.95"/>
    <m/>
  </r>
  <r>
    <x v="802"/>
    <n v="2626.5"/>
    <n v="2626.5"/>
    <n v="2626.5"/>
    <n v="2626.5"/>
    <n v="9"/>
    <n v="2583.4285"/>
    <n v="2515.6433000000002"/>
    <n v="2417.4277999999999"/>
    <x v="790"/>
    <n v="0.77929999999999999"/>
    <n v="0.73429999999999995"/>
    <n v="79.087000000000003"/>
    <n v="36.054699999999997"/>
    <n v="30.152000000000001"/>
    <n v="2614.3062"/>
    <n v="2454.5637999999999"/>
    <x v="1"/>
    <x v="0"/>
    <x v="802"/>
    <n v="1701047"/>
    <n v="5586.2002000000002"/>
    <n v="2554.1999999999998"/>
    <n v="2626.5"/>
    <n v="150"/>
    <n v="522684"/>
    <s v="23-Sep-2024"/>
    <n v="2626.5"/>
    <n v="1"/>
    <n v="2024"/>
    <n v="1.39"/>
    <m/>
  </r>
  <r>
    <x v="803"/>
    <n v="2651.2"/>
    <n v="2662.3"/>
    <n v="2625.5"/>
    <n v="2636.8"/>
    <n v="35"/>
    <n v="2593.1428000000001"/>
    <n v="2522.4467"/>
    <n v="2420.4854999999998"/>
    <x v="791"/>
    <n v="0.63460000000000005"/>
    <n v="0.73399999999999999"/>
    <n v="84.0411"/>
    <n v="39.2851"/>
    <n v="31.9786"/>
    <n v="2631.8249999999998"/>
    <n v="2449.7350000000001"/>
    <x v="1"/>
    <x v="0"/>
    <x v="803"/>
    <n v="1701038"/>
    <n v="5586.2002000000002"/>
    <n v="2554.1999999999998"/>
    <n v="2636.8"/>
    <n v="150"/>
    <n v="522684"/>
    <s v="24-Sep-2024"/>
    <n v="2636.8"/>
    <n v="1"/>
    <n v="2024"/>
    <n v="0.39"/>
    <m/>
  </r>
  <r>
    <x v="804"/>
    <n v="2659.2"/>
    <n v="2664.2"/>
    <n v="2649.3"/>
    <n v="2656.3"/>
    <n v="175"/>
    <n v="2603.9857000000002"/>
    <n v="2528.9567000000002"/>
    <n v="2423.4499999999998"/>
    <x v="792"/>
    <n v="0.64949999999999997"/>
    <n v="0.72019999999999995"/>
    <n v="85.194800000000001"/>
    <n v="42.923900000000003"/>
    <n v="34.167700000000004"/>
    <n v="2651.5236"/>
    <n v="2444.1464999999998"/>
    <x v="1"/>
    <x v="0"/>
    <x v="804"/>
    <n v="1701003"/>
    <n v="5586.2002000000002"/>
    <n v="2554.1999999999998"/>
    <n v="2656.3"/>
    <n v="150"/>
    <n v="522684"/>
    <s v="25-Sep-2024"/>
    <n v="2656.3"/>
    <n v="1"/>
    <n v="2024"/>
    <n v="0.74"/>
    <m/>
  </r>
  <r>
    <x v="805"/>
    <n v="2669.8998999999999"/>
    <n v="2669.8998999999999"/>
    <n v="2660.8"/>
    <n v="2662.3"/>
    <n v="17216"/>
    <n v="2615.5713999999998"/>
    <n v="2535.4333000000001"/>
    <n v="2426.5789"/>
    <x v="793"/>
    <n v="0.63419999999999999"/>
    <n v="0.72019999999999995"/>
    <n v="84.482799999999997"/>
    <n v="45.764200000000002"/>
    <n v="36.487000000000002"/>
    <n v="2668.9222"/>
    <n v="2442.8778000000002"/>
    <x v="1"/>
    <x v="0"/>
    <x v="805"/>
    <n v="1700828"/>
    <n v="5586.2002000000002"/>
    <n v="2554.1999999999998"/>
    <n v="2662.3"/>
    <n v="150"/>
    <n v="522684"/>
    <s v="26-Sep-2024"/>
    <n v="2662.3"/>
    <n v="1"/>
    <n v="2024"/>
    <n v="0.23"/>
    <m/>
  </r>
  <r>
    <x v="806"/>
    <n v="2644.3"/>
    <n v="2672.1001000000001"/>
    <n v="2641.7"/>
    <n v="2670"/>
    <n v="4228"/>
    <n v="2629.7570999999998"/>
    <n v="2542.7067000000002"/>
    <n v="2429.4032999999999"/>
    <x v="794"/>
    <n v="0.52329999999999999"/>
    <n v="0.69940000000000002"/>
    <n v="92.730800000000002"/>
    <n v="48.082299999999996"/>
    <n v="38.805999999999997"/>
    <n v="2685.2743999999998"/>
    <n v="2443.1156000000001"/>
    <x v="0"/>
    <x v="0"/>
    <x v="806"/>
    <n v="1683612"/>
    <n v="5586.2002000000002"/>
    <n v="2554.1999999999998"/>
    <n v="2670"/>
    <n v="150"/>
    <n v="522684"/>
    <s v="27-Sep-2024"/>
    <n v="2670"/>
    <n v="1"/>
    <n v="2024"/>
    <n v="0.28999999999999998"/>
    <m/>
  </r>
  <r>
    <x v="807"/>
    <n v="2636.1001000000001"/>
    <n v="2662.1001000000001"/>
    <n v="2623.2"/>
    <n v="2660.8998999999999"/>
    <n v="973"/>
    <n v="2643.3143"/>
    <n v="2549.62"/>
    <n v="2431.9744000000001"/>
    <x v="795"/>
    <n v="0.56189999999999996"/>
    <n v="0.7077"/>
    <n v="87.677499999999995"/>
    <n v="48.624600000000001"/>
    <n v="40.769799999999996"/>
    <n v="2697.7482"/>
    <n v="2444.7818000000002"/>
    <x v="0"/>
    <x v="0"/>
    <x v="807"/>
    <n v="1679384"/>
    <n v="5586.2002000000002"/>
    <n v="2554.1999999999998"/>
    <n v="2660.8998999999999"/>
    <n v="149"/>
    <n v="518456"/>
    <s v="30-Sep-2024"/>
    <n v="2660.8998999999999"/>
    <n v="1"/>
    <n v="2024"/>
    <n v="-0.34"/>
    <m/>
  </r>
  <r>
    <x v="808"/>
    <n v="2667.3"/>
    <n v="2670.8998999999999"/>
    <n v="2631.3998999999999"/>
    <n v="2631.3998999999999"/>
    <n v="153"/>
    <n v="2649.1714000000002"/>
    <n v="2553.7166999999999"/>
    <n v="2434.3510999999999"/>
    <x v="796"/>
    <n v="0.79169999999999996"/>
    <n v="0.6482"/>
    <n v="74.7654"/>
    <n v="46.142000000000003"/>
    <n v="41.844200000000001"/>
    <n v="2702.4956999999999"/>
    <n v="2453.0142999999998"/>
    <x v="1"/>
    <x v="0"/>
    <x v="808"/>
    <n v="1678411"/>
    <n v="5586.2002000000002"/>
    <n v="2554.1999999999998"/>
    <n v="2631.3998999999999"/>
    <n v="148"/>
    <n v="517483"/>
    <s v="01-Oct-2024"/>
    <n v="2631.3998999999999"/>
    <n v="1"/>
    <n v="2024"/>
    <n v="-1.1100000000000001"/>
    <m/>
  </r>
  <r>
    <x v="809"/>
    <n v="2647.1001000000001"/>
    <n v="2657.2"/>
    <n v="2640"/>
    <n v="2650.6001000000001"/>
    <n v="72"/>
    <n v="2652.6143000000002"/>
    <n v="2558.62"/>
    <n v="2437.4555999999998"/>
    <x v="797"/>
    <n v="0.65700000000000003"/>
    <n v="0.65259999999999996"/>
    <n v="76.516800000000003"/>
    <n v="45.202800000000003"/>
    <n v="42.515900000000002"/>
    <n v="2707.4805000000001"/>
    <n v="2463.9994999999999"/>
    <x v="0"/>
    <x v="0"/>
    <x v="809"/>
    <n v="1678258"/>
    <n v="5586.2002000000002"/>
    <n v="2554.1999999999998"/>
    <n v="2650.6001000000001"/>
    <n v="148"/>
    <n v="517483"/>
    <s v="02-Oct-2024"/>
    <n v="2650.6001000000001"/>
    <n v="1"/>
    <n v="2024"/>
    <n v="0.73"/>
    <m/>
  </r>
  <r>
    <x v="810"/>
    <n v="2657.1001000000001"/>
    <n v="2657.1001000000001"/>
    <n v="2640"/>
    <n v="2642.8"/>
    <n v="354"/>
    <n v="2653.4713999999999"/>
    <n v="2563.0133000000001"/>
    <n v="2440.7910999999999"/>
    <x v="798"/>
    <n v="0.66300000000000003"/>
    <n v="0.65820000000000001"/>
    <n v="68.762699999999995"/>
    <n v="43.329599999999999"/>
    <n v="42.678699999999999"/>
    <n v="2709.3359999999998"/>
    <n v="2477.0540000000001"/>
    <x v="1"/>
    <x v="1"/>
    <x v="810"/>
    <n v="1678186"/>
    <n v="5586.2002000000002"/>
    <n v="2554.1999999999998"/>
    <n v="2642.8"/>
    <n v="147"/>
    <n v="517411"/>
    <s v="03-Oct-2024"/>
    <n v="2642.8"/>
    <n v="1"/>
    <n v="2024"/>
    <n v="-0.28999999999999998"/>
    <m/>
  </r>
  <r>
    <x v="811"/>
    <n v="2645.8"/>
    <n v="2667"/>
    <n v="2639"/>
    <n v="2656"/>
    <n v="114"/>
    <n v="2653.4286000000002"/>
    <n v="2568.0767000000001"/>
    <n v="2444.3366999999998"/>
    <x v="799"/>
    <n v="0.62560000000000004"/>
    <n v="0.6552"/>
    <n v="69.014099999999999"/>
    <n v="42.421199999999999"/>
    <n v="42.627200000000002"/>
    <n v="2712.9479000000001"/>
    <n v="2488.0120999999999"/>
    <x v="0"/>
    <x v="1"/>
    <x v="811"/>
    <n v="1677832"/>
    <n v="5586.2002000000002"/>
    <n v="2554.1999999999998"/>
    <n v="2656"/>
    <n v="147"/>
    <n v="517411"/>
    <s v="04-Oct-2024"/>
    <n v="2656"/>
    <n v="1"/>
    <n v="2024"/>
    <n v="0.5"/>
    <m/>
  </r>
  <r>
    <x v="812"/>
    <n v="2644.8"/>
    <n v="2657.3998999999999"/>
    <n v="2639"/>
    <n v="2648.7"/>
    <n v="284"/>
    <n v="2651.4857000000002"/>
    <n v="2573.4832999999999"/>
    <n v="2447.7633000000001"/>
    <x v="388"/>
    <n v="0.62409999999999999"/>
    <n v="0.63939999999999997"/>
    <n v="66.439300000000003"/>
    <n v="40.643700000000003"/>
    <n v="42.230499999999999"/>
    <n v="2710.1745000000001"/>
    <n v="2506.5255000000002"/>
    <x v="0"/>
    <x v="1"/>
    <x v="812"/>
    <n v="1677718"/>
    <n v="5586.2002000000002"/>
    <n v="2554.1999999999998"/>
    <n v="2648.7"/>
    <n v="146"/>
    <n v="517297"/>
    <s v="07-Oct-2024"/>
    <n v="2648.7"/>
    <n v="1"/>
    <n v="2024"/>
    <n v="-0.27"/>
    <m/>
  </r>
  <r>
    <x v="813"/>
    <n v="2615"/>
    <n v="2639"/>
    <n v="2609.3000000000002"/>
    <n v="2639"/>
    <n v="687"/>
    <n v="2647.0571"/>
    <n v="2577.7867000000001"/>
    <n v="2451.12"/>
    <x v="800"/>
    <n v="0.61"/>
    <n v="0.63249999999999995"/>
    <n v="66.699299999999994"/>
    <n v="38.014200000000002"/>
    <n v="41.3872"/>
    <n v="2706.6350000000002"/>
    <n v="2522.7350000000001"/>
    <x v="0"/>
    <x v="1"/>
    <x v="813"/>
    <n v="1677434"/>
    <n v="5586.2002000000002"/>
    <n v="2554.1999999999998"/>
    <n v="2639"/>
    <n v="145"/>
    <n v="517013"/>
    <s v="08-Oct-2024"/>
    <n v="2639"/>
    <n v="1"/>
    <n v="2024"/>
    <n v="-0.37"/>
    <m/>
  </r>
  <r>
    <x v="814"/>
    <n v="2606"/>
    <n v="2607.6999999999998"/>
    <n v="2603"/>
    <n v="2603"/>
    <n v="152"/>
    <n v="2638.7856999999999"/>
    <n v="2580.7132999999999"/>
    <n v="2453.9967000000001"/>
    <x v="801"/>
    <n v="0.76270000000000004"/>
    <n v="0.69159999999999999"/>
    <n v="57.845599999999997"/>
    <n v="32.648899999999998"/>
    <n v="39.639600000000002"/>
    <n v="2700.7492000000002"/>
    <n v="2536.3407999999999"/>
    <x v="1"/>
    <x v="1"/>
    <x v="814"/>
    <n v="1676747"/>
    <n v="5586.2002000000002"/>
    <n v="2554.1999999999998"/>
    <n v="2603"/>
    <n v="144"/>
    <n v="516326"/>
    <s v="09-Oct-2024"/>
    <n v="2603"/>
    <n v="1"/>
    <n v="2024"/>
    <n v="-1.36"/>
    <m/>
  </r>
  <r>
    <x v="815"/>
    <n v="2620.6001000000001"/>
    <n v="2628.3"/>
    <n v="2602.5"/>
    <n v="2602.5"/>
    <n v="320"/>
    <n v="2634.6572000000001"/>
    <n v="2584.0967000000001"/>
    <n v="2457.1066999999998"/>
    <x v="802"/>
    <n v="0.6794"/>
    <n v="0.68010000000000004"/>
    <n v="52.8551"/>
    <n v="28.0335"/>
    <n v="37.318300000000001"/>
    <n v="2693.424"/>
    <n v="2551.0059000000001"/>
    <x v="1"/>
    <x v="1"/>
    <x v="815"/>
    <n v="1676595"/>
    <n v="5586.2002000000002"/>
    <n v="2554.1999999999998"/>
    <n v="2602.5"/>
    <n v="144"/>
    <n v="516326"/>
    <s v="10-Oct-2024"/>
    <n v="2602.5"/>
    <n v="1"/>
    <n v="2024"/>
    <n v="-0.02"/>
    <m/>
  </r>
  <r>
    <x v="816"/>
    <n v="2657.6001000000001"/>
    <n v="2658.1001000000001"/>
    <n v="2638.2"/>
    <n v="2638.3"/>
    <n v="12"/>
    <n v="2632.9"/>
    <n v="2588.5700000000002"/>
    <n v="2460.3377999999998"/>
    <x v="803"/>
    <n v="0.84370000000000001"/>
    <n v="0.71679999999999999"/>
    <n v="52.7883"/>
    <n v="26.953700000000001"/>
    <n v="35.245399999999997"/>
    <n v="2692.5756000000001"/>
    <n v="2558.8042999999998"/>
    <x v="1"/>
    <x v="1"/>
    <x v="816"/>
    <n v="1676275"/>
    <n v="5586.2002000000002"/>
    <n v="2554.1999999999998"/>
    <n v="2638.3"/>
    <n v="144"/>
    <n v="516326"/>
    <s v="11-Oct-2024"/>
    <n v="2638.3"/>
    <n v="1"/>
    <n v="2024"/>
    <n v="1.38"/>
    <m/>
  </r>
  <r>
    <x v="817"/>
    <n v="2647.8"/>
    <n v="2655.3"/>
    <n v="2647.8"/>
    <n v="2655"/>
    <n v="40"/>
    <n v="2634.6428999999998"/>
    <n v="2593.0866999999998"/>
    <n v="2463.9888999999998"/>
    <x v="804"/>
    <n v="0.87370000000000003"/>
    <n v="0.71719999999999995"/>
    <n v="54.174300000000002"/>
    <n v="27.1328"/>
    <n v="33.622900000000001"/>
    <n v="2693.9501"/>
    <n v="2564.8899000000001"/>
    <x v="0"/>
    <x v="1"/>
    <x v="817"/>
    <n v="1676263"/>
    <n v="5586.2002000000002"/>
    <n v="2554.1999999999998"/>
    <n v="2655"/>
    <n v="144"/>
    <n v="516326"/>
    <s v="14-Oct-2024"/>
    <n v="2655"/>
    <n v="1"/>
    <n v="2024"/>
    <n v="0.63"/>
    <m/>
  </r>
  <r>
    <x v="818"/>
    <n v="2661.3998999999999"/>
    <n v="2661.3998999999999"/>
    <n v="2661.3998999999999"/>
    <n v="2661.3998999999999"/>
    <n v="39"/>
    <n v="2635.4142999999999"/>
    <n v="2598.4133000000002"/>
    <n v="2467.3933000000002"/>
    <x v="805"/>
    <n v="0.85780000000000001"/>
    <n v="0.69740000000000002"/>
    <n v="51.244500000000002"/>
    <n v="27.474399999999999"/>
    <n v="32.3932"/>
    <n v="2695.2541999999999"/>
    <n v="2571.6057999999998"/>
    <x v="1"/>
    <x v="1"/>
    <x v="818"/>
    <n v="1676223"/>
    <n v="5586.2002000000002"/>
    <n v="2554.1999999999998"/>
    <n v="2661.3998999999999"/>
    <n v="143"/>
    <n v="516286"/>
    <s v="15-Oct-2024"/>
    <n v="2661.3998999999999"/>
    <n v="1"/>
    <n v="2024"/>
    <n v="0.24"/>
    <m/>
  </r>
  <r>
    <x v="819"/>
    <n v="2674"/>
    <n v="2674"/>
    <n v="2674"/>
    <n v="2674"/>
    <n v="6"/>
    <n v="2639.0286000000001"/>
    <n v="2604.5167000000001"/>
    <n v="2470.6610999999998"/>
    <x v="806"/>
    <n v="0.85980000000000001"/>
    <n v="0.68830000000000002"/>
    <n v="52.765900000000002"/>
    <n v="28.434100000000001"/>
    <n v="31.601400000000002"/>
    <n v="2695.4103"/>
    <n v="2581.7797"/>
    <x v="1"/>
    <x v="1"/>
    <x v="819"/>
    <n v="1676184"/>
    <n v="5586.2002000000002"/>
    <n v="2554.1999999999998"/>
    <n v="2674"/>
    <n v="143"/>
    <n v="516286"/>
    <s v="16-Oct-2024"/>
    <n v="2674"/>
    <n v="1"/>
    <n v="2024"/>
    <n v="0.47"/>
    <m/>
  </r>
  <r>
    <x v="820"/>
    <n v="2691"/>
    <n v="2691.7"/>
    <n v="2677.2"/>
    <n v="2677.3998999999999"/>
    <n v="30"/>
    <n v="2644.5142999999998"/>
    <n v="2610.64"/>
    <n v="2474.9589000000001"/>
    <x v="807"/>
    <n v="0.83120000000000005"/>
    <n v="0.68830000000000002"/>
    <n v="51.785699999999999"/>
    <n v="29.133199999999999"/>
    <n v="31.107800000000001"/>
    <n v="2692.1741999999999"/>
    <n v="2596.1558"/>
    <x v="1"/>
    <x v="1"/>
    <x v="820"/>
    <n v="1676178"/>
    <n v="5586.2002000000002"/>
    <n v="2554.1999999999998"/>
    <n v="2677.3998999999999"/>
    <n v="143"/>
    <n v="516286"/>
    <s v="17-Oct-2024"/>
    <n v="2677.3998999999999"/>
    <n v="1"/>
    <n v="2024"/>
    <n v="0.13"/>
    <m/>
  </r>
  <r>
    <x v="821"/>
    <n v="2713.7"/>
    <n v="2719.6001000000001"/>
    <n v="2713.7"/>
    <n v="2713.7"/>
    <n v="29"/>
    <n v="2660.3285000000001"/>
    <n v="2617.42"/>
    <n v="2479.5554999999999"/>
    <x v="808"/>
    <n v="0.5665"/>
    <n v="0.71399999999999997"/>
    <n v="61.262799999999999"/>
    <n v="32.244700000000002"/>
    <n v="31.335100000000001"/>
    <n v="2700.8692000000001"/>
    <n v="2599.7908000000002"/>
    <x v="1"/>
    <x v="1"/>
    <x v="821"/>
    <n v="1676148"/>
    <n v="5586.2002000000002"/>
    <n v="2554.1999999999998"/>
    <n v="2713.7"/>
    <n v="143"/>
    <n v="516286"/>
    <s v="18-Oct-2024"/>
    <n v="2713.7"/>
    <n v="1"/>
    <n v="2024"/>
    <n v="1.36"/>
    <m/>
  </r>
  <r>
    <x v="822"/>
    <n v="2723.1001000000001"/>
    <n v="2738.3998999999999"/>
    <n v="2719.5"/>
    <n v="2721.8998999999999"/>
    <n v="52"/>
    <n v="2677.3856999999998"/>
    <n v="2625.1066999999998"/>
    <n v="2484.0778"/>
    <x v="809"/>
    <n v="0.51919999999999999"/>
    <n v="0.68759999999999999"/>
    <n v="71.234200000000001"/>
    <n v="34.969099999999997"/>
    <n v="32.061900000000001"/>
    <n v="2713.5569999999998"/>
    <n v="2596.643"/>
    <x v="1"/>
    <x v="0"/>
    <x v="822"/>
    <n v="1676119"/>
    <n v="5586.2002000000002"/>
    <n v="2554.1999999999998"/>
    <n v="2721.8998999999999"/>
    <n v="143"/>
    <n v="516286"/>
    <s v="21-Oct-2024"/>
    <n v="2721.8998999999999"/>
    <n v="1"/>
    <n v="2024"/>
    <n v="0.3"/>
    <m/>
  </r>
  <r>
    <x v="823"/>
    <n v="2744.2"/>
    <n v="2746"/>
    <n v="2728.6001000000001"/>
    <n v="2731.7"/>
    <n v="93"/>
    <n v="2690.7285000000002"/>
    <n v="2632.42"/>
    <n v="2488.77"/>
    <x v="810"/>
    <n v="0.41139999999999999"/>
    <n v="0.68"/>
    <n v="69.906700000000001"/>
    <n v="37.486800000000002"/>
    <n v="33.146900000000002"/>
    <n v="2726.8314999999998"/>
    <n v="2592.8584000000001"/>
    <x v="1"/>
    <x v="1"/>
    <x v="823"/>
    <n v="1676067"/>
    <n v="5586.2002000000002"/>
    <n v="2554.1999999999998"/>
    <n v="2731.7"/>
    <n v="143"/>
    <n v="516286"/>
    <s v="22-Oct-2024"/>
    <n v="2731.7"/>
    <n v="1"/>
    <n v="2024"/>
    <n v="0.36"/>
    <m/>
  </r>
  <r>
    <x v="824"/>
    <n v="2714.3998999999999"/>
    <n v="2742.5"/>
    <n v="2714.2"/>
    <n v="2742.5"/>
    <n v="18"/>
    <n v="2703.2285000000002"/>
    <n v="2639.6433000000002"/>
    <n v="2493.6089000000002"/>
    <x v="811"/>
    <n v="0.4083"/>
    <n v="0.67869999999999997"/>
    <n v="74.117099999999994"/>
    <n v="39.893799999999999"/>
    <n v="34.496299999999998"/>
    <n v="2740.6051000000002"/>
    <n v="2587.7049000000002"/>
    <x v="0"/>
    <x v="0"/>
    <x v="824"/>
    <n v="1675974"/>
    <n v="5586.2002000000002"/>
    <n v="2554.1999999999998"/>
    <n v="2742.5"/>
    <n v="143"/>
    <n v="516286"/>
    <s v="23-Oct-2024"/>
    <n v="2742.5"/>
    <n v="1"/>
    <n v="2024"/>
    <n v="0.4"/>
    <m/>
  </r>
  <r>
    <x v="825"/>
    <n v="2734.8998999999999"/>
    <n v="2736.1001000000001"/>
    <n v="2729"/>
    <n v="2729"/>
    <n v="27"/>
    <n v="2712.8856999999998"/>
    <n v="2646.3065999999999"/>
    <n v="2498.1511"/>
    <x v="812"/>
    <n v="0.54610000000000003"/>
    <n v="0.69269999999999998"/>
    <n v="67.632900000000006"/>
    <n v="40.247999999999998"/>
    <n v="35.646599999999999"/>
    <n v="2749.2352999999998"/>
    <n v="2585.7446"/>
    <x v="1"/>
    <x v="1"/>
    <x v="825"/>
    <n v="1675956"/>
    <n v="5586.2002000000002"/>
    <n v="2554.1999999999998"/>
    <n v="2729"/>
    <n v="142"/>
    <n v="516268"/>
    <s v="24-Oct-2024"/>
    <n v="2729"/>
    <n v="1"/>
    <n v="2024"/>
    <n v="-0.49"/>
    <m/>
  </r>
  <r>
    <x v="826"/>
    <n v="2740.8998999999999"/>
    <n v="2742.3998999999999"/>
    <n v="2725.5"/>
    <n v="2725.5"/>
    <n v="29"/>
    <n v="2720.2428"/>
    <n v="2651.53"/>
    <n v="2502.7478000000001"/>
    <x v="813"/>
    <n v="0.57210000000000005"/>
    <n v="0.64970000000000006"/>
    <n v="68.8977"/>
    <n v="39.787700000000001"/>
    <n v="36.474800000000002"/>
    <n v="2756.038"/>
    <n v="2584.4920000000002"/>
    <x v="1"/>
    <x v="1"/>
    <x v="826"/>
    <n v="1675929"/>
    <n v="5586.2002000000002"/>
    <n v="2554.1999999999998"/>
    <n v="2725.5"/>
    <n v="142"/>
    <n v="516268"/>
    <s v="25-Oct-2024"/>
    <n v="2725.5"/>
    <n v="1"/>
    <n v="2024"/>
    <n v="-0.13"/>
    <m/>
  </r>
  <r>
    <x v="827"/>
    <n v="2742.8998999999999"/>
    <n v="2742.8998999999999"/>
    <n v="2729.5"/>
    <n v="2736.1001000000001"/>
    <n v="56"/>
    <n v="2728.6286"/>
    <n v="2656.72"/>
    <n v="2507.2721999999999"/>
    <x v="814"/>
    <n v="0.56940000000000002"/>
    <n v="0.64890000000000003"/>
    <n v="73.787400000000005"/>
    <n v="39.819200000000002"/>
    <n v="37.143700000000003"/>
    <n v="2764.5319"/>
    <n v="2583.5180999999998"/>
    <x v="1"/>
    <x v="0"/>
    <x v="827"/>
    <n v="1675900"/>
    <n v="5586.2002000000002"/>
    <n v="2554.1999999999998"/>
    <n v="2736.1001000000001"/>
    <n v="142"/>
    <n v="516268"/>
    <s v="28-Oct-2024"/>
    <n v="2736.1001000000001"/>
    <n v="1"/>
    <n v="2024"/>
    <n v="0.39"/>
    <m/>
  </r>
  <r>
    <x v="828"/>
    <n v="2768.3998999999999"/>
    <n v="2768.3998999999999"/>
    <n v="2768.3998999999999"/>
    <n v="2768.3998999999999"/>
    <n v="848"/>
    <n v="2736.4427999999998"/>
    <n v="2662.96"/>
    <n v="2512.13"/>
    <x v="815"/>
    <n v="0.51729999999999998"/>
    <n v="0.67230000000000001"/>
    <n v="91.267499999999998"/>
    <n v="41.966700000000003"/>
    <n v="38.1083"/>
    <n v="2778.2736"/>
    <n v="2583.4762999999998"/>
    <x v="1"/>
    <x v="0"/>
    <x v="828"/>
    <n v="1675844"/>
    <n v="5586.2002000000002"/>
    <n v="2554.1999999999998"/>
    <n v="2768.3998999999999"/>
    <n v="142"/>
    <n v="516268"/>
    <s v="29-Oct-2024"/>
    <n v="2768.3998999999999"/>
    <n v="1"/>
    <n v="2024"/>
    <n v="1.18"/>
    <m/>
  </r>
  <r>
    <x v="829"/>
    <n v="2788.5"/>
    <n v="2789"/>
    <n v="2774.6001000000001"/>
    <n v="2774.6001000000001"/>
    <n v="231"/>
    <n v="2743.9713999999999"/>
    <n v="2669.7566999999999"/>
    <n v="2517.1444000000001"/>
    <x v="816"/>
    <n v="0.51780000000000004"/>
    <n v="0.6613"/>
    <n v="91.751599999999996"/>
    <n v="43.665599999999998"/>
    <n v="39.219799999999999"/>
    <n v="2791.8654000000001"/>
    <n v="2582.2846"/>
    <x v="1"/>
    <x v="0"/>
    <x v="829"/>
    <n v="1674996"/>
    <n v="5586.2002000000002"/>
    <n v="2554.1999999999998"/>
    <n v="2774.6001000000001"/>
    <n v="142"/>
    <n v="516268"/>
    <s v="30-Oct-2024"/>
    <n v="2774.6001000000001"/>
    <n v="1"/>
    <n v="2024"/>
    <n v="0.22"/>
    <m/>
  </r>
  <r>
    <x v="830"/>
    <n v="2738.3"/>
    <n v="2787.5"/>
    <n v="2733.5"/>
    <n v="2787.3998999999999"/>
    <n v="849"/>
    <n v="2751.9286000000002"/>
    <n v="2677.1367"/>
    <n v="2522.2889"/>
    <x v="667"/>
    <n v="0.52190000000000003"/>
    <n v="0.65690000000000004"/>
    <n v="90.715400000000002"/>
    <n v="45.520099999999999"/>
    <n v="40.479799999999997"/>
    <n v="2805.9616999999998"/>
    <n v="2582.6482999999998"/>
    <x v="0"/>
    <x v="0"/>
    <x v="830"/>
    <n v="1674765"/>
    <n v="5586.2002000000002"/>
    <n v="2554.1999999999998"/>
    <n v="2787.3998999999999"/>
    <n v="142"/>
    <n v="516268"/>
    <s v="31-Oct-2024"/>
    <n v="2787.3998999999999"/>
    <n v="1"/>
    <n v="2024"/>
    <n v="0.46"/>
    <m/>
  </r>
  <r>
    <x v="831"/>
    <n v="2738.6001000000001"/>
    <n v="2756"/>
    <n v="2734.2"/>
    <n v="2745.5"/>
    <n v="109"/>
    <n v="2752.3571000000002"/>
    <n v="2682.3067000000001"/>
    <n v="2527.1511"/>
    <x v="817"/>
    <n v="0.84889999999999999"/>
    <n v="0.72009999999999996"/>
    <n v="71.723500000000001"/>
    <n v="43.111899999999999"/>
    <n v="41.0062"/>
    <n v="2811.1444000000001"/>
    <n v="2586.4155000000001"/>
    <x v="0"/>
    <x v="0"/>
    <x v="831"/>
    <n v="1673916"/>
    <n v="5586.2002000000002"/>
    <n v="2554.1999999999998"/>
    <n v="2745.5"/>
    <n v="141"/>
    <n v="515419"/>
    <s v="01-Nov-2024"/>
    <n v="2745.5"/>
    <n v="1"/>
    <n v="2024"/>
    <n v="-1.5"/>
    <m/>
  </r>
  <r>
    <x v="832"/>
    <n v="2736.1001000000001"/>
    <n v="2737.1001000000001"/>
    <n v="2736.1001000000001"/>
    <n v="2736.5"/>
    <n v="16"/>
    <n v="2753.4286000000002"/>
    <n v="2685.9733000000001"/>
    <n v="2532.0367000000001"/>
    <x v="818"/>
    <n v="0.83460000000000001"/>
    <n v="0.68930000000000002"/>
    <n v="67.804699999999997"/>
    <n v="40.015799999999999"/>
    <n v="40.808199999999999"/>
    <n v="2814.1482000000001"/>
    <n v="2592.1918000000001"/>
    <x v="0"/>
    <x v="1"/>
    <x v="832"/>
    <n v="1673807"/>
    <n v="5586.2002000000002"/>
    <n v="2554.1999999999998"/>
    <n v="2736.5"/>
    <n v="140"/>
    <n v="515310"/>
    <s v="04-Nov-2024"/>
    <n v="2736.5"/>
    <n v="1"/>
    <n v="2024"/>
    <n v="-0.33"/>
    <m/>
  </r>
  <r>
    <x v="833"/>
    <n v="2740.3"/>
    <n v="2743.8998999999999"/>
    <n v="2740.3"/>
    <n v="2743"/>
    <n v="23"/>
    <n v="2755.9286000000002"/>
    <n v="2689.5133000000001"/>
    <n v="2536.6767"/>
    <x v="819"/>
    <n v="0.83350000000000002"/>
    <n v="0.68789999999999996"/>
    <n v="66.845699999999994"/>
    <n v="37.6526"/>
    <n v="40.177"/>
    <n v="2816.3948999999998"/>
    <n v="2600.3449999999998"/>
    <x v="0"/>
    <x v="1"/>
    <x v="833"/>
    <n v="1673791"/>
    <n v="5586.2002000000002"/>
    <n v="2554.1999999999998"/>
    <n v="2743"/>
    <n v="139"/>
    <n v="515294"/>
    <s v="05-Nov-2024"/>
    <n v="2743"/>
    <n v="1"/>
    <n v="2024"/>
    <n v="0.24"/>
    <m/>
  </r>
  <r>
    <x v="834"/>
    <n v="2667.6001000000001"/>
    <n v="2734.5"/>
    <n v="2659.3998999999999"/>
    <n v="2734.5"/>
    <n v="427"/>
    <n v="2755.7"/>
    <n v="2692.12"/>
    <n v="2541.2399999999998"/>
    <x v="820"/>
    <n v="0.83430000000000004"/>
    <n v="0.68269999999999997"/>
    <n v="63.601700000000001"/>
    <n v="34.694000000000003"/>
    <n v="39.080399999999997"/>
    <n v="2811.3487"/>
    <n v="2618.5412999999999"/>
    <x v="0"/>
    <x v="1"/>
    <x v="834"/>
    <n v="1673768"/>
    <n v="5586.2002000000002"/>
    <n v="2554.1999999999998"/>
    <n v="2734.5"/>
    <n v="138"/>
    <n v="515271"/>
    <s v="06-Nov-2024"/>
    <n v="2734.5"/>
    <n v="1"/>
    <n v="2024"/>
    <n v="-0.31"/>
    <m/>
  </r>
  <r>
    <x v="835"/>
    <n v="2698.3998999999999"/>
    <n v="2699.1001000000001"/>
    <n v="2662.5"/>
    <n v="2662.5"/>
    <n v="676"/>
    <n v="2740.5713999999998"/>
    <n v="2692.1266999999998"/>
    <n v="2544.9267"/>
    <x v="821"/>
    <n v="1.1252"/>
    <n v="0.84470000000000001"/>
    <n v="39.576599999999999"/>
    <n v="26.236999999999998"/>
    <n v="36.511699999999998"/>
    <n v="2802.6383000000001"/>
    <n v="2633.2516999999998"/>
    <x v="1"/>
    <x v="1"/>
    <x v="835"/>
    <n v="1673341"/>
    <n v="5586.2002000000002"/>
    <n v="2554.1999999999998"/>
    <n v="2662.5"/>
    <n v="137"/>
    <n v="514844"/>
    <s v="07-Nov-2024"/>
    <n v="2662.5"/>
    <n v="1"/>
    <n v="2024"/>
    <n v="-2.63"/>
    <m/>
  </r>
  <r>
    <x v="836"/>
    <n v="2687.5"/>
    <n v="2694.6001000000001"/>
    <n v="2682.8998999999999"/>
    <n v="2688.5"/>
    <n v="1038"/>
    <n v="2728.2714000000001"/>
    <n v="2692.7433000000001"/>
    <n v="2548.9"/>
    <x v="822"/>
    <n v="1.2414000000000001"/>
    <n v="0.8619"/>
    <n v="43.659799999999997"/>
    <n v="21.386199999999999"/>
    <n v="33.486600000000003"/>
    <n v="2797.8728000000001"/>
    <n v="2643.0372000000002"/>
    <x v="0"/>
    <x v="1"/>
    <x v="836"/>
    <n v="1672665"/>
    <n v="5586.2002000000002"/>
    <n v="2554.1999999999998"/>
    <n v="2688.5"/>
    <n v="137"/>
    <n v="514844"/>
    <s v="08-Nov-2024"/>
    <n v="2688.5"/>
    <n v="1"/>
    <n v="2024"/>
    <n v="0.98"/>
    <m/>
  </r>
  <r>
    <x v="837"/>
    <n v="2611.1999999999998"/>
    <n v="2671.7"/>
    <n v="2611.1999999999998"/>
    <n v="2671.7"/>
    <n v="20"/>
    <n v="2711.7429000000002"/>
    <n v="2693.1033000000002"/>
    <n v="2552.42"/>
    <x v="823"/>
    <n v="1.1758"/>
    <n v="0.86760000000000004"/>
    <n v="38.905299999999997"/>
    <n v="16.001899999999999"/>
    <n v="29.989699999999999"/>
    <n v="2796.0499"/>
    <n v="2646.53"/>
    <x v="0"/>
    <x v="1"/>
    <x v="837"/>
    <n v="1671627"/>
    <n v="5586.2002000000002"/>
    <n v="2554.1999999999998"/>
    <n v="2671.7"/>
    <n v="136"/>
    <n v="513806"/>
    <s v="11-Nov-2024"/>
    <n v="2671.7"/>
    <n v="1"/>
    <n v="2024"/>
    <n v="-0.62"/>
    <m/>
  </r>
  <r>
    <x v="838"/>
    <n v="2600"/>
    <n v="2605.5"/>
    <n v="2592.8000000000002"/>
    <n v="2605.5"/>
    <n v="118"/>
    <n v="2691.7429000000002"/>
    <n v="2692.24"/>
    <n v="2554.9067"/>
    <x v="824"/>
    <n v="1.3462000000000001"/>
    <n v="0.96"/>
    <n v="28.974799999999998"/>
    <n v="6.3201000000000001"/>
    <n v="25.255800000000001"/>
    <n v="2805.8083999999999"/>
    <n v="2631.1815999999999"/>
    <x v="0"/>
    <x v="2"/>
    <x v="838"/>
    <n v="1671607"/>
    <n v="5586.2002000000002"/>
    <n v="2554.1999999999998"/>
    <n v="2605.5"/>
    <n v="135"/>
    <n v="513786"/>
    <s v="12-Nov-2024"/>
    <n v="2605.5"/>
    <n v="1"/>
    <n v="2024"/>
    <n v="-2.48"/>
    <m/>
  </r>
  <r>
    <x v="839"/>
    <n v="2580.8000000000002"/>
    <n v="2611.8000000000002"/>
    <n v="2580.8000000000002"/>
    <n v="2611.1001000000001"/>
    <n v="53"/>
    <n v="2673.8285999999998"/>
    <n v="2690.9232999999999"/>
    <n v="2557.6622000000002"/>
    <x v="825"/>
    <n v="1.3887"/>
    <n v="0.95050000000000001"/>
    <n v="31.456399999999999"/>
    <n v="-0.89059999999999995"/>
    <n v="20.026499999999999"/>
    <n v="2813.2955000000002"/>
    <n v="2617.4045000000001"/>
    <x v="0"/>
    <x v="1"/>
    <x v="839"/>
    <n v="1671489"/>
    <n v="5586.2002000000002"/>
    <n v="2554.1999999999998"/>
    <n v="2611.1001000000001"/>
    <n v="134"/>
    <n v="513668"/>
    <s v="13-Nov-2024"/>
    <n v="2611.1001000000001"/>
    <n v="1"/>
    <n v="2024"/>
    <n v="0.21"/>
    <m/>
  </r>
  <r>
    <x v="840"/>
    <n v="2568.1999999999998"/>
    <n v="2576.1999999999998"/>
    <n v="2554.1999999999998"/>
    <n v="2555.1001000000001"/>
    <n v="27"/>
    <n v="2646.9857000000002"/>
    <n v="2688"/>
    <n v="2559.7600000000002"/>
    <x v="826"/>
    <n v="1.4237"/>
    <n v="1.0244"/>
    <n v="26.997800000000002"/>
    <n v="-10.997199999999999"/>
    <n v="13.8217"/>
    <n v="2829.8128000000002"/>
    <n v="2588.6572000000001"/>
    <x v="1"/>
    <x v="2"/>
    <x v="840"/>
    <n v="1671436"/>
    <n v="5586.2002000000002"/>
    <n v="2554.1999999999998"/>
    <n v="2555.1001000000001"/>
    <n v="133"/>
    <n v="513615"/>
    <s v="14-Nov-2024"/>
    <n v="2555.1001000000001"/>
    <n v="1"/>
    <n v="2024"/>
    <n v="-2.14"/>
    <m/>
  </r>
  <r>
    <x v="841"/>
    <n v="2565.6999999999998"/>
    <n v="2565.6999999999998"/>
    <n v="2565.6999999999998"/>
    <n v="2565.6999999999998"/>
    <n v="20"/>
    <n v="2622.8714"/>
    <n v="2684.99"/>
    <n v="2561.8377999999998"/>
    <x v="827"/>
    <n v="1.5062"/>
    <n v="1.0226999999999999"/>
    <n v="26.997800000000002"/>
    <n v="-17.944500000000001"/>
    <n v="7.4684999999999997"/>
    <n v="2838.3690999999999"/>
    <n v="2565.3009000000002"/>
    <x v="1"/>
    <x v="2"/>
    <x v="841"/>
    <n v="1671409"/>
    <n v="5586.2002000000002"/>
    <n v="2565.6999999999998"/>
    <n v="2565.6999999999998"/>
    <n v="133"/>
    <n v="513615"/>
    <s v="15-Nov-2024"/>
    <n v="2565.6999999999998"/>
    <n v="1"/>
    <n v="2024"/>
    <n v="0.41"/>
    <m/>
  </r>
  <r>
    <x v="842"/>
    <n v="2610.6001000000001"/>
    <n v="2610.6999999999998"/>
    <n v="2589.3998999999999"/>
    <n v="2591.6999999999998"/>
    <n v="136"/>
    <n v="2612.7570999999998"/>
    <n v="2683.09"/>
    <n v="2563.9699999999998"/>
    <x v="828"/>
    <n v="1.4341999999999999"/>
    <n v="1.0424"/>
    <n v="25.7347"/>
    <n v="-21.109000000000002"/>
    <n v="1.7529999999999999"/>
    <n v="2840.0039000000002"/>
    <n v="2550.6460999999999"/>
    <x v="1"/>
    <x v="2"/>
    <x v="842"/>
    <n v="1671389"/>
    <n v="5586.2002000000002"/>
    <n v="2582.1001000000001"/>
    <n v="2591.6999999999998"/>
    <n v="133"/>
    <n v="513615"/>
    <s v="18-Nov-2024"/>
    <n v="2591.6999999999998"/>
    <n v="1"/>
    <n v="2024"/>
    <n v="1.01"/>
    <m/>
  </r>
  <r>
    <x v="843"/>
    <n v="2627.1001000000001"/>
    <n v="2627.7"/>
    <n v="2619.3000000000002"/>
    <n v="2621.8998999999999"/>
    <n v="87"/>
    <n v="2603.2429000000002"/>
    <n v="2682.52"/>
    <n v="2566.1021999999998"/>
    <x v="829"/>
    <n v="1.4653"/>
    <n v="1.0646"/>
    <n v="30.327200000000001"/>
    <n v="-20.938600000000001"/>
    <n v="-2.7852999999999999"/>
    <n v="2837.0135"/>
    <n v="2542.6565000000001"/>
    <x v="1"/>
    <x v="1"/>
    <x v="843"/>
    <n v="1671253"/>
    <n v="5586.2002000000002"/>
    <n v="2582.1001000000001"/>
    <n v="2621.8998999999999"/>
    <n v="133"/>
    <n v="513615"/>
    <s v="19-Nov-2024"/>
    <n v="2621.8998999999999"/>
    <n v="1"/>
    <n v="2024"/>
    <n v="1.17"/>
    <m/>
  </r>
  <r>
    <x v="844"/>
    <n v="2648.2"/>
    <n v="2648.2"/>
    <n v="2638.5"/>
    <n v="2638.5"/>
    <n v="27"/>
    <n v="2598.5"/>
    <n v="2683.7033000000001"/>
    <n v="2568.4477999999999"/>
    <x v="830"/>
    <n v="1.5024"/>
    <n v="1.0395000000000001"/>
    <n v="31.002800000000001"/>
    <n v="-19.2423"/>
    <n v="-6.0766999999999998"/>
    <n v="2831.3270000000002"/>
    <n v="2537.9430000000002"/>
    <x v="1"/>
    <x v="1"/>
    <x v="844"/>
    <n v="1671166"/>
    <n v="5586.2002000000002"/>
    <n v="2582.1001000000001"/>
    <n v="2638.5"/>
    <n v="133"/>
    <n v="513615"/>
    <s v="20-Nov-2024"/>
    <n v="2638.5"/>
    <n v="1"/>
    <n v="2024"/>
    <n v="0.63"/>
    <m/>
  </r>
  <r>
    <x v="845"/>
    <n v="2672.1001000000001"/>
    <n v="2672.1001000000001"/>
    <n v="2655.7"/>
    <n v="2659.3"/>
    <n v="33"/>
    <n v="2606.1857"/>
    <n v="2685.5967000000001"/>
    <n v="2570.5189"/>
    <x v="831"/>
    <n v="1.1257999999999999"/>
    <n v="1.0481"/>
    <n v="38.3765"/>
    <n v="-16.034700000000001"/>
    <n v="-8.0683000000000007"/>
    <n v="2826.7116000000001"/>
    <n v="2535.5884000000001"/>
    <x v="1"/>
    <x v="1"/>
    <x v="845"/>
    <n v="1671139"/>
    <n v="5586.2002000000002"/>
    <n v="2582.1001000000001"/>
    <n v="2659.3"/>
    <n v="133"/>
    <n v="513615"/>
    <s v="21-Nov-2024"/>
    <n v="2659.3"/>
    <n v="1"/>
    <n v="2024"/>
    <n v="0.79"/>
    <m/>
  </r>
  <r>
    <x v="846"/>
    <n v="2709.8998999999999"/>
    <n v="2710.5"/>
    <n v="2685.6001000000001"/>
    <n v="2687.5"/>
    <n v="41"/>
    <n v="2617.1"/>
    <n v="2687.2366999999999"/>
    <n v="2572.98"/>
    <x v="832"/>
    <n v="1.1601999999999999"/>
    <n v="1.0361"/>
    <n v="43.7179"/>
    <n v="-11.0893"/>
    <n v="-8.6724999999999994"/>
    <n v="2823.3589000000002"/>
    <n v="2535.1410999999998"/>
    <x v="1"/>
    <x v="1"/>
    <x v="846"/>
    <n v="1671106"/>
    <n v="5586.2002000000002"/>
    <n v="2582.1001000000001"/>
    <n v="2687.5"/>
    <n v="133"/>
    <n v="513615"/>
    <s v="22-Nov-2024"/>
    <n v="2687.5"/>
    <n v="1"/>
    <n v="2024"/>
    <n v="1.06"/>
    <m/>
  </r>
  <r>
    <x v="847"/>
    <n v="2616.8000000000002"/>
    <n v="2689.3998999999999"/>
    <n v="2616.8000000000002"/>
    <n v="2689.3998999999999"/>
    <n v="94"/>
    <n v="2636.2856999999999"/>
    <n v="2688.3833"/>
    <n v="2575.9866999999999"/>
    <x v="833"/>
    <n v="0.39279999999999998"/>
    <n v="1.0306"/>
    <n v="43.046199999999999"/>
    <n v="-6.9367999999999999"/>
    <n v="-8.3254000000000001"/>
    <n v="2818.6390000000001"/>
    <n v="2535.1909999999998"/>
    <x v="0"/>
    <x v="1"/>
    <x v="847"/>
    <n v="1671065"/>
    <n v="5586.2002000000002"/>
    <n v="2582.1001000000001"/>
    <n v="2689.3998999999999"/>
    <n v="133"/>
    <n v="513615"/>
    <s v="25-Nov-2024"/>
    <n v="2689.3998999999999"/>
    <n v="1"/>
    <n v="2024"/>
    <n v="7.0000000000000007E-2"/>
    <m/>
  </r>
  <r>
    <x v="848"/>
    <n v="2620.3000000000002"/>
    <n v="2625.6001000000001"/>
    <n v="2620.3000000000002"/>
    <n v="2625.6001000000001"/>
    <n v="177858"/>
    <n v="2644.8427999999999"/>
    <n v="2687.19"/>
    <n v="2578.4699999999998"/>
    <x v="834"/>
    <n v="1.2496"/>
    <n v="1.1203000000000001"/>
    <n v="37.6447"/>
    <n v="-8.6937999999999995"/>
    <n v="-8.3991000000000007"/>
    <n v="2806.3890999999999"/>
    <n v="2533.1608999999999"/>
    <x v="0"/>
    <x v="1"/>
    <x v="848"/>
    <n v="1670971"/>
    <n v="5586.2002000000002"/>
    <n v="2582.1001000000001"/>
    <n v="2625.6001000000001"/>
    <n v="132"/>
    <n v="513521"/>
    <s v="26-Nov-2024"/>
    <n v="2625.6001000000001"/>
    <n v="1"/>
    <n v="2024"/>
    <n v="-2.37"/>
    <m/>
  </r>
  <r>
    <x v="849"/>
    <n v="2639.8998999999999"/>
    <n v="2657.8998999999999"/>
    <n v="2627.2"/>
    <n v="2633.5"/>
    <n v="61653"/>
    <n v="2650.8143"/>
    <n v="2685.84"/>
    <n v="2581.1111000000001"/>
    <x v="835"/>
    <n v="1.2138"/>
    <n v="1.1180000000000001"/>
    <n v="46.149799999999999"/>
    <n v="-9.3411000000000008"/>
    <n v="-8.5875000000000004"/>
    <n v="2790.8508999999999"/>
    <n v="2534.5891000000001"/>
    <x v="1"/>
    <x v="1"/>
    <x v="849"/>
    <n v="1493113"/>
    <n v="5586.2002000000002"/>
    <n v="2582.1001000000001"/>
    <n v="2633.5"/>
    <n v="131"/>
    <n v="335663"/>
    <s v="27-Nov-2024"/>
    <n v="2633.5"/>
    <n v="1"/>
    <n v="2024"/>
    <n v="0.3"/>
    <m/>
  </r>
  <r>
    <x v="850"/>
    <n v="2657"/>
    <n v="2664.3"/>
    <n v="2620.6999999999998"/>
    <n v="2636.3998999999999"/>
    <n v="3861"/>
    <n v="2652.8856999999998"/>
    <n v="2684.4733000000001"/>
    <n v="2583.5043999999998"/>
    <x v="836"/>
    <n v="1.1425000000000001"/>
    <n v="1.1178999999999999"/>
    <n v="42.630800000000001"/>
    <n v="-9.5105000000000004"/>
    <n v="-8.7721"/>
    <n v="2769.4097000000002"/>
    <n v="2540.9301999999998"/>
    <x v="1"/>
    <x v="1"/>
    <x v="850"/>
    <n v="1431460"/>
    <n v="5586.2002000000002"/>
    <n v="2582.1001000000001"/>
    <n v="2636.3998999999999"/>
    <n v="131"/>
    <n v="335663"/>
    <s v="29-Nov-2024"/>
    <n v="2636.3998999999999"/>
    <n v="1"/>
    <n v="2024"/>
    <n v="0.11"/>
    <m/>
  </r>
  <r>
    <x v="851"/>
    <n v="2634.8998999999999"/>
    <n v="2649.8"/>
    <n v="2621.7"/>
    <n v="2649"/>
    <n v="695"/>
    <n v="2654.3856999999998"/>
    <n v="2682.3166999999999"/>
    <n v="2586.6543999999999"/>
    <x v="837"/>
    <n v="1.1315999999999999"/>
    <n v="1.0911"/>
    <n v="46.750599999999999"/>
    <n v="-8.5297000000000001"/>
    <n v="-8.7235999999999994"/>
    <n v="2756.3775999999998"/>
    <n v="2544.3123999999998"/>
    <x v="0"/>
    <x v="1"/>
    <x v="851"/>
    <n v="1427599"/>
    <n v="5586.2002000000002"/>
    <n v="2582.1001000000001"/>
    <n v="2649"/>
    <n v="131"/>
    <n v="335663"/>
    <s v="02-Dec-2024"/>
    <n v="2649"/>
    <n v="1"/>
    <n v="2024"/>
    <n v="0.48"/>
    <m/>
  </r>
  <r>
    <x v="852"/>
    <n v="2644.7"/>
    <n v="2654.7"/>
    <n v="2636"/>
    <n v="2639"/>
    <n v="1062"/>
    <n v="2651.4857000000002"/>
    <n v="2679.5533"/>
    <n v="2589.6578"/>
    <x v="838"/>
    <n v="1.0920000000000001"/>
    <n v="1.0901000000000001"/>
    <n v="55.714799999999997"/>
    <n v="-8.4617000000000004"/>
    <n v="-8.6712000000000007"/>
    <n v="2743.4866999999999"/>
    <n v="2547.4533000000001"/>
    <x v="1"/>
    <x v="1"/>
    <x v="852"/>
    <n v="1426904"/>
    <n v="5586.2002000000002"/>
    <n v="2582.1001000000001"/>
    <n v="2639"/>
    <n v="130"/>
    <n v="334968"/>
    <s v="03-Dec-2024"/>
    <n v="2639"/>
    <n v="1"/>
    <n v="2024"/>
    <n v="-0.38"/>
    <m/>
  </r>
  <r>
    <x v="853"/>
    <n v="2653.8"/>
    <n v="2658.3"/>
    <n v="2637"/>
    <n v="2639.2"/>
    <n v="249"/>
    <n v="2644.5857000000001"/>
    <n v="2676.47"/>
    <n v="2592.5677999999998"/>
    <x v="839"/>
    <n v="0.97060000000000002"/>
    <n v="1.0869"/>
    <n v="54.883499999999998"/>
    <n v="-8.2960999999999991"/>
    <n v="-8.5961999999999996"/>
    <n v="2726.8802000000001"/>
    <n v="2553.6797999999999"/>
    <x v="1"/>
    <x v="1"/>
    <x v="853"/>
    <n v="1425842"/>
    <n v="5586.2002000000002"/>
    <n v="2582.1001000000001"/>
    <n v="2639.2"/>
    <n v="130"/>
    <n v="334968"/>
    <s v="04-Dec-2024"/>
    <n v="2639.2"/>
    <n v="1"/>
    <n v="2024"/>
    <n v="0.01"/>
    <m/>
  </r>
  <r>
    <x v="854"/>
    <n v="2626.6001000000001"/>
    <n v="2655"/>
    <n v="2625.7"/>
    <n v="2652.3998999999999"/>
    <n v="573"/>
    <n v="2639.3"/>
    <n v="2673.4666999999999"/>
    <n v="2595.5844000000002"/>
    <x v="840"/>
    <n v="1.0075000000000001"/>
    <n v="1.0887"/>
    <n v="69.865300000000005"/>
    <n v="-7.0189000000000004"/>
    <n v="-8.2806999999999995"/>
    <n v="2710.9456"/>
    <n v="2561.4043999999999"/>
    <x v="0"/>
    <x v="1"/>
    <x v="854"/>
    <n v="1425593"/>
    <n v="5586.2002000000002"/>
    <n v="2582.1001000000001"/>
    <n v="2652.3998999999999"/>
    <n v="130"/>
    <n v="334968"/>
    <s v="05-Dec-2024"/>
    <n v="2652.3998999999999"/>
    <n v="1"/>
    <n v="2024"/>
    <n v="0.5"/>
    <m/>
  </r>
  <r>
    <x v="855"/>
    <n v="2638.6001000000001"/>
    <n v="2643.1001000000001"/>
    <n v="2617.5"/>
    <n v="2620.1999999999998"/>
    <n v="571"/>
    <n v="2638.5284999999999"/>
    <n v="2669.84"/>
    <n v="2597.9522000000002"/>
    <x v="841"/>
    <n v="0.60440000000000005"/>
    <n v="1.1053999999999999"/>
    <n v="60.225200000000001"/>
    <n v="-8.5068000000000001"/>
    <n v="-8.3260000000000005"/>
    <n v="2708.0844999999999"/>
    <n v="2560.0354000000002"/>
    <x v="1"/>
    <x v="1"/>
    <x v="855"/>
    <n v="1425020"/>
    <n v="5586.2002000000002"/>
    <n v="2582.1001000000001"/>
    <n v="2620.1999999999998"/>
    <n v="129"/>
    <n v="334395"/>
    <s v="06-Dec-2024"/>
    <n v="2620.1999999999998"/>
    <n v="1"/>
    <n v="2024"/>
    <n v="-1.21"/>
    <m/>
  </r>
  <r>
    <x v="856"/>
    <n v="2664.8998999999999"/>
    <n v="2677.1001000000001"/>
    <n v="2630.8"/>
    <n v="2632.1001000000001"/>
    <n v="935"/>
    <n v="2638.3285000000001"/>
    <n v="2666.7267000000002"/>
    <n v="2600.0122000000001"/>
    <x v="842"/>
    <n v="0.62090000000000001"/>
    <n v="1.1105"/>
    <n v="58.0032"/>
    <n v="-8.6263000000000005"/>
    <n v="-8.3859999999999992"/>
    <n v="2700.6880000000001"/>
    <n v="2561.7919999999999"/>
    <x v="1"/>
    <x v="1"/>
    <x v="856"/>
    <n v="1424449"/>
    <n v="5586.2002000000002"/>
    <n v="2582.1001000000001"/>
    <n v="2632.1001000000001"/>
    <n v="129"/>
    <n v="334395"/>
    <s v="09-Dec-2024"/>
    <n v="2632.1001000000001"/>
    <n v="1"/>
    <n v="2024"/>
    <n v="0.45"/>
    <m/>
  </r>
  <r>
    <x v="857"/>
    <n v="2697.6001000000001"/>
    <n v="2698.2"/>
    <n v="2661"/>
    <n v="2662.3"/>
    <n v="437"/>
    <n v="2642.0286000000001"/>
    <n v="2664.2667000000001"/>
    <n v="2602.4378000000002"/>
    <x v="843"/>
    <n v="0.7611"/>
    <n v="1.1307"/>
    <n v="58.0032"/>
    <n v="-6.2126000000000001"/>
    <n v="-7.9512999999999998"/>
    <n v="2699.1846"/>
    <n v="2562.3553999999999"/>
    <x v="1"/>
    <x v="1"/>
    <x v="857"/>
    <n v="1423514"/>
    <n v="5586.2002000000002"/>
    <n v="2582.1001000000001"/>
    <n v="2662.3"/>
    <n v="129"/>
    <n v="334395"/>
    <s v="10-Dec-2024"/>
    <n v="2662.3"/>
    <n v="1"/>
    <n v="2024"/>
    <n v="1.1499999999999999"/>
    <m/>
  </r>
  <r>
    <x v="858"/>
    <n v="2733.8"/>
    <n v="2733.8"/>
    <n v="2693.1001000000001"/>
    <n v="2701.8"/>
    <n v="3387"/>
    <n v="2649.5713999999998"/>
    <n v="2662.0466999999999"/>
    <n v="2605.3244"/>
    <x v="844"/>
    <n v="0.91449999999999998"/>
    <n v="1.1436999999999999"/>
    <n v="61.496600000000001"/>
    <n v="-1.0995999999999999"/>
    <n v="-6.5810000000000004"/>
    <n v="2709.8188"/>
    <n v="2561.3510999999999"/>
    <x v="1"/>
    <x v="1"/>
    <x v="858"/>
    <n v="1423077"/>
    <n v="5586.2002000000002"/>
    <n v="2582.1001000000001"/>
    <n v="2701.8"/>
    <n v="129"/>
    <n v="334395"/>
    <s v="11-Dec-2024"/>
    <n v="2701.8"/>
    <n v="1"/>
    <n v="2024"/>
    <n v="1.48"/>
    <m/>
  </r>
  <r>
    <x v="859"/>
    <n v="2687.5"/>
    <n v="2725.1001000000001"/>
    <n v="2677.3998999999999"/>
    <n v="2725.1001000000001"/>
    <n v="2365"/>
    <n v="2661.8714"/>
    <n v="2660.3966999999998"/>
    <n v="2608.7755999999999"/>
    <x v="571"/>
    <n v="0.88419999999999999"/>
    <n v="1.1554"/>
    <n v="61.8431"/>
    <n v="4.7774000000000001"/>
    <n v="-4.3093000000000004"/>
    <n v="2724.5592000000001"/>
    <n v="2558.0108"/>
    <x v="0"/>
    <x v="1"/>
    <x v="859"/>
    <n v="1419690"/>
    <n v="5586.2002000000002"/>
    <n v="2582.1001000000001"/>
    <n v="2725.1001000000001"/>
    <n v="129"/>
    <n v="334395"/>
    <s v="12-Dec-2024"/>
    <n v="2725.1001000000001"/>
    <n v="1"/>
    <n v="2024"/>
    <n v="0.86"/>
    <m/>
  </r>
  <r>
    <x v="860"/>
    <n v="2656"/>
    <n v="2689.3"/>
    <n v="2647.8998999999999"/>
    <n v="2688.2"/>
    <n v="1125"/>
    <n v="2668.8714"/>
    <n v="2657.09"/>
    <n v="2612.0644000000002"/>
    <x v="845"/>
    <n v="1.1195999999999999"/>
    <n v="1.1748000000000001"/>
    <n v="50.122199999999999"/>
    <n v="6.3838999999999997"/>
    <n v="-2.1707000000000001"/>
    <n v="2723.0913"/>
    <n v="2572.7885999999999"/>
    <x v="0"/>
    <x v="1"/>
    <x v="860"/>
    <n v="1417325"/>
    <n v="5586.2002000000002"/>
    <n v="2582.1001000000001"/>
    <n v="2688.2"/>
    <n v="128"/>
    <n v="332030"/>
    <s v="13-Dec-2024"/>
    <n v="2688.2"/>
    <n v="1"/>
    <n v="2024"/>
    <n v="-1.35"/>
    <m/>
  </r>
  <r>
    <x v="861"/>
    <n v="2651.3998999999999"/>
    <n v="2663.3"/>
    <n v="2651"/>
    <n v="2658.3"/>
    <n v="877"/>
    <n v="2669.7143000000001"/>
    <n v="2654.1833000000001"/>
    <n v="2615.1089000000002"/>
    <x v="846"/>
    <n v="1.2249000000000001"/>
    <n v="1.161"/>
    <n v="45.055700000000002"/>
    <n v="5.1847000000000003"/>
    <n v="-0.6996"/>
    <n v="2717.0383999999999"/>
    <n v="2588.1015000000002"/>
    <x v="0"/>
    <x v="1"/>
    <x v="861"/>
    <n v="1416200"/>
    <n v="5586.2002000000002"/>
    <n v="2582.1001000000001"/>
    <n v="2658.3"/>
    <n v="127"/>
    <n v="330905"/>
    <s v="16-Dec-2024"/>
    <n v="2658.3"/>
    <n v="1"/>
    <n v="2024"/>
    <n v="-1.1100000000000001"/>
    <m/>
  </r>
  <r>
    <x v="862"/>
    <n v="2644.3998999999999"/>
    <n v="2652.3"/>
    <n v="2632.5"/>
    <n v="2651.8"/>
    <n v="705"/>
    <n v="2674.2285999999999"/>
    <n v="2651.36"/>
    <n v="2617.6588999999999"/>
    <x v="847"/>
    <n v="1.109"/>
    <n v="1.1605000000000001"/>
    <n v="55.093299999999999"/>
    <n v="3.6675"/>
    <n v="0.17380000000000001"/>
    <n v="2713.3526000000002"/>
    <n v="2597.7973999999999"/>
    <x v="0"/>
    <x v="1"/>
    <x v="862"/>
    <n v="1415323"/>
    <n v="5586.2002000000002"/>
    <n v="2582.1001000000001"/>
    <n v="2651.8"/>
    <n v="126"/>
    <n v="330028"/>
    <s v="17-Dec-2024"/>
    <n v="2651.8"/>
    <n v="1"/>
    <n v="2024"/>
    <n v="-0.24"/>
    <m/>
  </r>
  <r>
    <x v="863"/>
    <n v="2636.5"/>
    <n v="2647.1001000000001"/>
    <n v="2590.1999999999998"/>
    <n v="2644.3"/>
    <n v="566"/>
    <n v="2675.9715000000001"/>
    <n v="2648.07"/>
    <n v="2620.0100000000002"/>
    <x v="848"/>
    <n v="1.1133"/>
    <n v="1.1592"/>
    <n v="52.102800000000002"/>
    <n v="1.8387"/>
    <n v="0.50680000000000003"/>
    <n v="2712.5608999999999"/>
    <n v="2600.8292000000001"/>
    <x v="0"/>
    <x v="1"/>
    <x v="863"/>
    <n v="1414618"/>
    <n v="5586.2002000000002"/>
    <n v="2582.1001000000001"/>
    <n v="2644.3"/>
    <n v="125"/>
    <n v="329323"/>
    <s v="18-Dec-2024"/>
    <n v="2644.3"/>
    <n v="1"/>
    <n v="2024"/>
    <n v="-0.28000000000000003"/>
    <m/>
  </r>
  <r>
    <x v="864"/>
    <n v="2592.1999999999998"/>
    <n v="2610.3000000000002"/>
    <n v="2582.1001000000001"/>
    <n v="2582.1001000000001"/>
    <n v="238"/>
    <n v="2664.5142999999998"/>
    <n v="2642.99"/>
    <n v="2621.3555999999999"/>
    <x v="849"/>
    <n v="1.3167"/>
    <n v="1.2289000000000001"/>
    <n v="41.411000000000001"/>
    <n v="-4.5769000000000002"/>
    <n v="-0.51"/>
    <n v="2718.5994999999998"/>
    <n v="2589.1505000000002"/>
    <x v="1"/>
    <x v="1"/>
    <x v="864"/>
    <n v="1414052"/>
    <n v="5586.2002000000002"/>
    <n v="2582.1001000000001"/>
    <n v="2582.1001000000001"/>
    <n v="124"/>
    <n v="328757"/>
    <s v="19-Dec-2024"/>
    <n v="2582.1001000000001"/>
    <n v="1"/>
    <n v="2024"/>
    <n v="-2.35"/>
    <m/>
  </r>
  <r>
    <x v="865"/>
    <n v="2628.7"/>
    <n v="2631.6001000000001"/>
    <n v="2604.8998999999999"/>
    <n v="2605.3000000000002"/>
    <n v="592"/>
    <n v="2650.7285999999999"/>
    <n v="2641.0832999999998"/>
    <n v="2622.8811000000001"/>
    <x v="850"/>
    <n v="1.1873"/>
    <n v="1.153"/>
    <n v="43.311900000000001"/>
    <n v="-7.7004999999999999"/>
    <n v="-1.9480999999999999"/>
    <n v="2719.3593999999998"/>
    <n v="2582.9906000000001"/>
    <x v="1"/>
    <x v="1"/>
    <x v="865"/>
    <n v="1413814"/>
    <n v="5586.2002000000002"/>
    <n v="2597"/>
    <n v="2605.3000000000002"/>
    <n v="124"/>
    <n v="328757"/>
    <s v="20-Dec-2024"/>
    <n v="2605.3000000000002"/>
    <n v="1"/>
    <n v="2024"/>
    <n v="0.9"/>
    <m/>
  </r>
  <r>
    <x v="866"/>
    <n v="2612.3000000000002"/>
    <n v="2627.7"/>
    <n v="2611.1001000000001"/>
    <n v="2620"/>
    <n v="451"/>
    <n v="2635.7143000000001"/>
    <n v="2638.8"/>
    <n v="2624.75"/>
    <x v="851"/>
    <n v="1.1338999999999999"/>
    <n v="1.1425000000000001"/>
    <n v="47.133400000000002"/>
    <n v="-8.8872999999999998"/>
    <n v="-3.3359000000000001"/>
    <n v="2715.0902000000001"/>
    <n v="2580.5097999999998"/>
    <x v="0"/>
    <x v="1"/>
    <x v="866"/>
    <n v="1413222"/>
    <n v="5586.2002000000002"/>
    <n v="2597"/>
    <n v="2620"/>
    <n v="124"/>
    <n v="328757"/>
    <s v="23-Dec-2024"/>
    <n v="2620"/>
    <n v="1"/>
    <n v="2024"/>
    <n v="0.56000000000000005"/>
    <m/>
  </r>
  <r>
    <x v="867"/>
    <n v="2620"/>
    <n v="2620"/>
    <n v="2609.5"/>
    <n v="2613"/>
    <n v="35"/>
    <n v="2624.9715000000001"/>
    <n v="2636.8433"/>
    <n v="2626.5221999999999"/>
    <x v="852"/>
    <n v="1.0792999999999999"/>
    <n v="1.1385000000000001"/>
    <n v="46.126600000000003"/>
    <n v="-10.2743"/>
    <n v="-4.7236000000000002"/>
    <n v="2709.9888000000001"/>
    <n v="2577.9712"/>
    <x v="1"/>
    <x v="1"/>
    <x v="867"/>
    <n v="1412771"/>
    <n v="5586.2002000000002"/>
    <n v="2597"/>
    <n v="2613"/>
    <n v="123"/>
    <n v="328306"/>
    <s v="24-Dec-2024"/>
    <n v="2613"/>
    <n v="1"/>
    <n v="2024"/>
    <n v="-0.27"/>
    <m/>
  </r>
  <r>
    <x v="868"/>
    <n v="2638.8"/>
    <n v="2638.8"/>
    <n v="2627.8998999999999"/>
    <n v="2628.5"/>
    <n v="84"/>
    <n v="2620.7143000000001"/>
    <n v="2637.61"/>
    <n v="2627.8555999999999"/>
    <x v="853"/>
    <n v="1.0841000000000001"/>
    <n v="1.0488999999999999"/>
    <n v="46.490499999999997"/>
    <n v="-10.007400000000001"/>
    <n v="-5.7804000000000002"/>
    <n v="2709.9764"/>
    <n v="2578.2737000000002"/>
    <x v="1"/>
    <x v="1"/>
    <x v="868"/>
    <n v="1412736"/>
    <n v="5586.2002000000002"/>
    <n v="2597"/>
    <n v="2628.5"/>
    <n v="123"/>
    <n v="328306"/>
    <s v="26-Dec-2024"/>
    <n v="2628.5"/>
    <n v="1"/>
    <n v="2024"/>
    <n v="0.59"/>
    <m/>
  </r>
  <r>
    <x v="869"/>
    <n v="2617.1999999999998"/>
    <n v="2617.6999999999998"/>
    <n v="2616.3998999999999"/>
    <n v="2617.6999999999998"/>
    <n v="642"/>
    <n v="2615.8429000000001"/>
    <n v="2637.83"/>
    <n v="2629.1244000000002"/>
    <x v="854"/>
    <n v="1.0882000000000001"/>
    <n v="1.0513999999999999"/>
    <n v="49.6083"/>
    <n v="-10.5458"/>
    <n v="-6.7335000000000003"/>
    <n v="2710.0958999999998"/>
    <n v="2576.5740999999998"/>
    <x v="0"/>
    <x v="1"/>
    <x v="869"/>
    <n v="1412652"/>
    <n v="5586.2002000000002"/>
    <n v="2597"/>
    <n v="2617.6999999999998"/>
    <n v="123"/>
    <n v="328306"/>
    <s v="27-Dec-2024"/>
    <n v="2617.6999999999998"/>
    <n v="1"/>
    <n v="2024"/>
    <n v="-0.41"/>
    <m/>
  </r>
  <r>
    <x v="870"/>
    <n v="2606.1001000000001"/>
    <n v="2626.8998999999999"/>
    <n v="2597"/>
    <n v="2620.6999999999998"/>
    <n v="794"/>
    <n v="2612.4713999999999"/>
    <n v="2640.0167000000001"/>
    <n v="2630.3433"/>
    <x v="855"/>
    <n v="1.0923"/>
    <n v="0.96909999999999996"/>
    <n v="48.162500000000001"/>
    <n v="-10.6082"/>
    <n v="-7.5084"/>
    <n v="2710.0196999999998"/>
    <n v="2575.0803000000001"/>
    <x v="0"/>
    <x v="1"/>
    <x v="870"/>
    <n v="1412010"/>
    <n v="5586.2002000000002"/>
    <n v="2597"/>
    <n v="2620.6999999999998"/>
    <n v="122"/>
    <n v="327664"/>
    <s v="30-Dec-2024"/>
    <n v="2620.6999999999998"/>
    <n v="1"/>
    <n v="2024"/>
    <n v="0.11"/>
    <m/>
  </r>
  <r>
    <x v="871"/>
    <n v="2629.2"/>
    <n v="2629.2"/>
    <n v="2604.8998999999999"/>
    <n v="2608.3998999999999"/>
    <n v="401"/>
    <n v="2616.2285999999999"/>
    <n v="2641.44"/>
    <n v="2631.5021999999999"/>
    <x v="856"/>
    <n v="0.54800000000000004"/>
    <n v="0.97230000000000005"/>
    <n v="40.78"/>
    <n v="-11.517300000000001"/>
    <n v="-8.3102"/>
    <n v="2709.5965000000001"/>
    <n v="2571.4434999999999"/>
    <x v="1"/>
    <x v="1"/>
    <x v="871"/>
    <n v="1411216"/>
    <n v="5586.2002000000002"/>
    <n v="2604.8998999999999"/>
    <n v="2608.3998999999999"/>
    <n v="121"/>
    <n v="326870"/>
    <s v="31-Dec-2024"/>
    <n v="2608.3998999999999"/>
    <n v="1"/>
    <n v="2024"/>
    <n v="-0.47"/>
    <m/>
  </r>
  <r>
    <x v="872"/>
    <n v="2658.8998999999999"/>
    <n v="2663.1001000000001"/>
    <n v="2633"/>
    <n v="2633"/>
    <n v="1728"/>
    <n v="2620.1857"/>
    <n v="2642.8166999999999"/>
    <n v="2633.13"/>
    <x v="857"/>
    <n v="0.55830000000000002"/>
    <n v="0.97"/>
    <n v="37.5991"/>
    <n v="-10.135999999999999"/>
    <n v="-8.6753"/>
    <n v="2709.3764000000001"/>
    <n v="2571.0636"/>
    <x v="1"/>
    <x v="1"/>
    <x v="872"/>
    <n v="1410815"/>
    <n v="5586.2002000000002"/>
    <n v="2617.3000000000002"/>
    <n v="2633"/>
    <n v="121"/>
    <n v="326870"/>
    <s v="02-Jan-2025"/>
    <n v="2633"/>
    <n v="1"/>
    <n v="2025"/>
    <n v="0.94"/>
    <m/>
  </r>
  <r>
    <x v="873"/>
    <n v="2645"/>
    <n v="2658.7"/>
    <n v="2641.8"/>
    <n v="2658.7"/>
    <n v="591"/>
    <n v="2625.7143000000001"/>
    <n v="2644.0432999999998"/>
    <n v="2634.7833000000001"/>
    <x v="858"/>
    <n v="0.62649999999999995"/>
    <n v="0.96319999999999995"/>
    <n v="38.134399999999999"/>
    <n v="-6.8880999999999997"/>
    <n v="-8.3178999999999998"/>
    <n v="2710.8389999999999"/>
    <n v="2571.5509999999999"/>
    <x v="0"/>
    <x v="1"/>
    <x v="873"/>
    <n v="1409087"/>
    <n v="5586.2002000000002"/>
    <n v="2617.3000000000002"/>
    <n v="2658.7"/>
    <n v="121"/>
    <n v="326870"/>
    <s v="03-Jan-2025"/>
    <n v="2658.7"/>
    <n v="1"/>
    <n v="2025"/>
    <n v="0.98"/>
    <m/>
  </r>
  <r>
    <x v="874"/>
    <n v="2638.3998999999999"/>
    <n v="2647"/>
    <n v="2617.3000000000002"/>
    <n v="2645.5"/>
    <n v="960"/>
    <n v="2630.3571000000002"/>
    <n v="2644.2766999999999"/>
    <n v="2636.2311"/>
    <x v="859"/>
    <n v="0.66069999999999995"/>
    <n v="0.9617"/>
    <n v="41.663400000000003"/>
    <n v="-5.3178999999999998"/>
    <n v="-7.7179000000000002"/>
    <n v="2710.3283999999999"/>
    <n v="2571.3715999999999"/>
    <x v="0"/>
    <x v="1"/>
    <x v="874"/>
    <n v="1408496"/>
    <n v="5586.2002000000002"/>
    <n v="2617.3000000000002"/>
    <n v="2645.5"/>
    <n v="120"/>
    <n v="326279"/>
    <s v="06-Jan-2025"/>
    <n v="2645.5"/>
    <n v="1"/>
    <n v="2025"/>
    <n v="-0.5"/>
    <m/>
  </r>
  <r>
    <x v="875"/>
    <n v="2656.7"/>
    <n v="2657.5"/>
    <n v="2653"/>
    <n v="2653.3998999999999"/>
    <n v="643"/>
    <n v="2633.9142000000002"/>
    <n v="2644.08"/>
    <n v="2637.9243999999999"/>
    <x v="860"/>
    <n v="0.63900000000000001"/>
    <n v="0.95220000000000005"/>
    <n v="48.953400000000002"/>
    <n v="-3.3969"/>
    <n v="-6.8536999999999999"/>
    <n v="2711.4958000000001"/>
    <n v="2573.5243"/>
    <x v="1"/>
    <x v="1"/>
    <x v="875"/>
    <n v="1407536"/>
    <n v="5586.2002000000002"/>
    <n v="2653"/>
    <n v="2653.3998999999999"/>
    <n v="119"/>
    <n v="325319"/>
    <s v="07-Jan-2025"/>
    <n v="2653.3998999999999"/>
    <n v="1"/>
    <n v="2025"/>
    <n v="0.3"/>
    <m/>
  </r>
  <r>
    <x v="876"/>
    <n v="2664.5"/>
    <n v="2676.8998999999999"/>
    <n v="2653.5"/>
    <n v="2655.5"/>
    <n v="999"/>
    <n v="2639.3141999999998"/>
    <n v="2643.0133000000001"/>
    <n v="2639.6066999999998"/>
    <x v="861"/>
    <n v="0.59430000000000005"/>
    <n v="0.93100000000000005"/>
    <n v="50.805399999999999"/>
    <n v="-1.6856"/>
    <n v="-5.8201000000000001"/>
    <n v="2712.7161000000001"/>
    <n v="2574.6439"/>
    <x v="1"/>
    <x v="1"/>
    <x v="876"/>
    <n v="1406893"/>
    <n v="5586.2002000000002"/>
    <n v="2653.5"/>
    <n v="2655.5"/>
    <n v="119"/>
    <n v="325319"/>
    <s v="08-Jan-2025"/>
    <n v="2655.5"/>
    <n v="1"/>
    <n v="2025"/>
    <n v="0.08"/>
    <m/>
  </r>
  <r>
    <x v="877"/>
    <n v="2683.8"/>
    <n v="2686.3"/>
    <n v="2667.8998999999999"/>
    <n v="2669.7"/>
    <n v="1139"/>
    <n v="2646.3141999999998"/>
    <n v="2642.3566999999998"/>
    <n v="2641.2755999999999"/>
    <x v="862"/>
    <n v="0.60460000000000003"/>
    <n v="0.93669999999999998"/>
    <n v="55.372199999999999"/>
    <n v="0.80710000000000004"/>
    <n v="-4.4946000000000002"/>
    <n v="2713.5837999999999"/>
    <n v="2574.5162"/>
    <x v="1"/>
    <x v="1"/>
    <x v="877"/>
    <n v="1405894"/>
    <n v="5586.2002000000002"/>
    <n v="2667.8998999999999"/>
    <n v="2669.7"/>
    <n v="119"/>
    <n v="325319"/>
    <s v="09-Jan-2025"/>
    <n v="2669.7"/>
    <n v="1"/>
    <n v="2025"/>
    <n v="0.53"/>
    <m/>
  </r>
  <r>
    <x v="878"/>
    <n v="2708.5"/>
    <n v="2720.1001000000001"/>
    <n v="2683.7"/>
    <n v="2686.1001000000001"/>
    <n v="403"/>
    <n v="2657.4142999999999"/>
    <n v="2644.3733000000002"/>
    <n v="2643.3256000000001"/>
    <x v="863"/>
    <n v="0.5171"/>
    <n v="0.83079999999999998"/>
    <n v="77.282300000000006"/>
    <n v="4.0591999999999997"/>
    <n v="-2.7839"/>
    <n v="2710.3656000000001"/>
    <n v="2576.1644000000001"/>
    <x v="1"/>
    <x v="0"/>
    <x v="878"/>
    <n v="1404755"/>
    <n v="5586.2002000000002"/>
    <n v="2670.8"/>
    <n v="2686.1001000000001"/>
    <n v="119"/>
    <n v="325319"/>
    <s v="10-Jan-2025"/>
    <n v="2686.1001000000001"/>
    <n v="1"/>
    <n v="2025"/>
    <n v="0.61"/>
    <m/>
  </r>
  <r>
    <x v="879"/>
    <n v="2673.5"/>
    <n v="2711.2"/>
    <n v="2673.5"/>
    <n v="2711.1001000000001"/>
    <n v="765"/>
    <n v="2668.5713999999998"/>
    <n v="2646.96"/>
    <n v="2645.7721999999999"/>
    <x v="864"/>
    <n v="0.5151"/>
    <n v="0.84450000000000003"/>
    <n v="77.494799999999998"/>
    <n v="8.5550999999999995"/>
    <n v="-0.5161"/>
    <n v="2706.2775999999999"/>
    <n v="2578.8524000000002"/>
    <x v="0"/>
    <x v="0"/>
    <x v="879"/>
    <n v="1404352"/>
    <n v="5586.2002000000002"/>
    <n v="2670.8"/>
    <n v="2711.1001000000001"/>
    <n v="119"/>
    <n v="325319"/>
    <s v="13-Jan-2025"/>
    <n v="2711.1001000000001"/>
    <n v="1"/>
    <n v="2025"/>
    <n v="0.93"/>
    <m/>
  </r>
  <r>
    <x v="880"/>
    <n v="2677.5"/>
    <n v="2688.3"/>
    <n v="2670.8"/>
    <n v="2673.6001000000001"/>
    <n v="794"/>
    <n v="2670.7"/>
    <n v="2648.2"/>
    <n v="2647.7710999999999"/>
    <x v="865"/>
    <n v="0.78920000000000001"/>
    <n v="0.88680000000000003"/>
    <n v="62.453499999999998"/>
    <n v="8.9885999999999999"/>
    <n v="1.3849"/>
    <n v="2703.6523999999999"/>
    <n v="2580.0176000000001"/>
    <x v="1"/>
    <x v="1"/>
    <x v="880"/>
    <n v="1403587"/>
    <n v="5586.2002000000002"/>
    <n v="2670.8"/>
    <n v="2673.6001000000001"/>
    <n v="118"/>
    <n v="324554"/>
    <s v="14-Jan-2025"/>
    <n v="2673.6001000000001"/>
    <n v="1"/>
    <n v="2025"/>
    <n v="-1.38"/>
    <m/>
  </r>
  <r>
    <x v="881"/>
    <n v="2712.5"/>
    <n v="2712.5"/>
    <n v="2690.8"/>
    <n v="2690.8"/>
    <n v="930"/>
    <n v="2677.1714999999999"/>
    <n v="2649.5933"/>
    <n v="2649.7766999999999"/>
    <x v="866"/>
    <n v="0.7671"/>
    <n v="0.8901"/>
    <n v="67.258200000000002"/>
    <n v="10.597899999999999"/>
    <n v="3.2275"/>
    <n v="2708.7130000000002"/>
    <n v="2578.2069999999999"/>
    <x v="1"/>
    <x v="1"/>
    <x v="881"/>
    <n v="1402793"/>
    <n v="5586.2002000000002"/>
    <n v="2690.8"/>
    <n v="2690.8"/>
    <n v="118"/>
    <n v="324554"/>
    <s v="15-Jan-2025"/>
    <n v="2690.8"/>
    <n v="1"/>
    <n v="2025"/>
    <n v="0.64"/>
    <m/>
  </r>
  <r>
    <x v="882"/>
    <n v="2746.3998999999999"/>
    <n v="2749.8"/>
    <n v="2731.7"/>
    <n v="2731.7"/>
    <n v="1721"/>
    <n v="2688.3571999999999"/>
    <n v="2652.6833000000001"/>
    <n v="2652.4477999999999"/>
    <x v="867"/>
    <n v="0.9073"/>
    <n v="0.92500000000000004"/>
    <n v="70.574100000000001"/>
    <n v="15.0007"/>
    <n v="5.5820999999999996"/>
    <n v="2723.7132999999999"/>
    <n v="2571.1967"/>
    <x v="1"/>
    <x v="0"/>
    <x v="882"/>
    <n v="1401863"/>
    <n v="5586.2002000000002"/>
    <n v="2724.8"/>
    <n v="2731.7"/>
    <n v="118"/>
    <n v="324554"/>
    <s v="16-Jan-2025"/>
    <n v="2731.7"/>
    <n v="1"/>
    <n v="2025"/>
    <n v="1.52"/>
    <m/>
  </r>
  <r>
    <x v="883"/>
    <n v="2744.3"/>
    <n v="2751.6001000000001"/>
    <n v="2725.5"/>
    <n v="2736"/>
    <n v="1214"/>
    <n v="2699.8571999999999"/>
    <n v="2655.91"/>
    <n v="2654.9333000000001"/>
    <x v="868"/>
    <n v="0.90290000000000004"/>
    <n v="0.92469999999999997"/>
    <n v="74.212000000000003"/>
    <n v="18.622199999999999"/>
    <n v="8.1900999999999993"/>
    <n v="2737.9195"/>
    <n v="2566.1605"/>
    <x v="1"/>
    <x v="0"/>
    <x v="883"/>
    <n v="1400142"/>
    <n v="5586.2002000000002"/>
    <n v="2724.8"/>
    <n v="2736"/>
    <n v="118"/>
    <n v="324554"/>
    <s v="17-Jan-2025"/>
    <n v="2736"/>
    <n v="1"/>
    <n v="2025"/>
    <n v="0.16"/>
    <m/>
  </r>
  <r>
    <x v="884"/>
    <n v="2755"/>
    <n v="2755"/>
    <n v="2724.8"/>
    <n v="2746"/>
    <n v="1439"/>
    <n v="2710.7572"/>
    <n v="2659.03"/>
    <n v="2657.38"/>
    <x v="194"/>
    <n v="0.90190000000000003"/>
    <n v="0.92320000000000002"/>
    <n v="74.930400000000006"/>
    <n v="22.045100000000001"/>
    <n v="10.9611"/>
    <n v="2749.2368999999999"/>
    <n v="2571.2330999999999"/>
    <x v="1"/>
    <x v="0"/>
    <x v="884"/>
    <n v="1398928"/>
    <n v="5586.2002000000002"/>
    <n v="2724.8"/>
    <n v="2746"/>
    <n v="118"/>
    <n v="324554"/>
    <s v="21-Jan-2025"/>
    <n v="2746"/>
    <n v="1"/>
    <n v="2025"/>
    <n v="0.37"/>
    <m/>
  </r>
  <r>
    <x v="885"/>
    <n v="2767.6001000000001"/>
    <n v="2768.8"/>
    <n v="2753.5"/>
    <n v="2754.5"/>
    <n v="2079"/>
    <n v="2720.5286000000001"/>
    <n v="2663.5066999999999"/>
    <n v="2659.8843999999999"/>
    <x v="869"/>
    <n v="0.89759999999999995"/>
    <n v="0.88849999999999996"/>
    <n v="79.515199999999993"/>
    <n v="25.153600000000001"/>
    <n v="13.7996"/>
    <n v="2762.1534000000001"/>
    <n v="2573.2366000000002"/>
    <x v="1"/>
    <x v="0"/>
    <x v="885"/>
    <n v="1397489"/>
    <n v="5586.2002000000002"/>
    <n v="2737.5"/>
    <n v="2754.5"/>
    <n v="118"/>
    <n v="324554"/>
    <s v="22-Jan-2025"/>
    <n v="2754.5"/>
    <n v="1"/>
    <n v="2025"/>
    <n v="0.31"/>
    <m/>
  </r>
  <r>
    <x v="886"/>
    <n v="2763.1001000000001"/>
    <n v="2765"/>
    <n v="2745.3998999999999"/>
    <n v="2760"/>
    <n v="2201"/>
    <n v="2727.5142999999998"/>
    <n v="2667.77"/>
    <n v="2662.0088999999998"/>
    <x v="870"/>
    <n v="0.86240000000000006"/>
    <n v="0.88690000000000002"/>
    <n v="77.802099999999996"/>
    <n v="27.741199999999999"/>
    <n v="16.587900000000001"/>
    <n v="2774.8494000000001"/>
    <n v="2574.5405999999998"/>
    <x v="1"/>
    <x v="0"/>
    <x v="886"/>
    <n v="1395410"/>
    <n v="5586.2002000000002"/>
    <n v="2737.5"/>
    <n v="2760"/>
    <n v="118"/>
    <n v="324554"/>
    <s v="23-Jan-2025"/>
    <n v="2760"/>
    <n v="1"/>
    <n v="2025"/>
    <n v="0.2"/>
    <m/>
  </r>
  <r>
    <x v="887"/>
    <n v="2777.3"/>
    <n v="2792"/>
    <n v="2759.8"/>
    <n v="2759.8"/>
    <n v="1593"/>
    <n v="2739.8285999999998"/>
    <n v="2671.02"/>
    <n v="2664.0021999999999"/>
    <x v="871"/>
    <n v="0.51090000000000002"/>
    <n v="0.86750000000000005"/>
    <n v="74.913799999999995"/>
    <n v="29.436499999999999"/>
    <n v="19.157599999999999"/>
    <n v="2784.6388000000002"/>
    <n v="2579.4312"/>
    <x v="1"/>
    <x v="0"/>
    <x v="887"/>
    <n v="1393209"/>
    <n v="5586.2002000000002"/>
    <n v="2737.5"/>
    <n v="2759.8"/>
    <n v="118"/>
    <n v="324554"/>
    <s v="24-Jan-2025"/>
    <n v="2759.8"/>
    <n v="1"/>
    <n v="2025"/>
    <n v="-0.01"/>
    <m/>
  </r>
  <r>
    <x v="888"/>
    <n v="2737.5"/>
    <n v="2762.2"/>
    <n v="2737.5"/>
    <n v="2761.1001000000001"/>
    <n v="984"/>
    <n v="2749.8714"/>
    <n v="2672.9967000000001"/>
    <n v="2666.0011"/>
    <x v="872"/>
    <n v="0.52390000000000003"/>
    <n v="0.82869999999999999"/>
    <n v="80.261799999999994"/>
    <n v="30.532900000000001"/>
    <n v="21.432700000000001"/>
    <n v="2793.8085000000001"/>
    <n v="2583.5214999999998"/>
    <x v="0"/>
    <x v="0"/>
    <x v="888"/>
    <n v="1391616"/>
    <n v="5586.2002000000002"/>
    <n v="2737.5"/>
    <n v="2761.1001000000001"/>
    <n v="118"/>
    <n v="324554"/>
    <s v="27-Jan-2025"/>
    <n v="2761.1001000000001"/>
    <n v="1"/>
    <n v="2025"/>
    <n v="0.05"/>
    <m/>
  </r>
  <r>
    <x v="889"/>
    <n v="2766.8"/>
    <n v="2766.8"/>
    <n v="2738"/>
    <n v="2738"/>
    <n v="2307"/>
    <n v="2750.7714000000001"/>
    <n v="2673.4267"/>
    <n v="2667.86"/>
    <x v="873"/>
    <n v="0.40589999999999998"/>
    <n v="0.83109999999999995"/>
    <n v="70.514099999999999"/>
    <n v="29.2012"/>
    <n v="22.9864"/>
    <n v="2796.4396000000002"/>
    <n v="2592.9204"/>
    <x v="1"/>
    <x v="0"/>
    <x v="889"/>
    <n v="1390632"/>
    <n v="5586.2002000000002"/>
    <n v="2738"/>
    <n v="2738"/>
    <n v="117"/>
    <n v="323570"/>
    <s v="28-Jan-2025"/>
    <n v="2738"/>
    <n v="1"/>
    <n v="2025"/>
    <n v="-0.84"/>
    <m/>
  </r>
  <r>
    <x v="890"/>
    <n v="2769.1001000000001"/>
    <n v="2769.1001000000001"/>
    <n v="2769.1001000000001"/>
    <n v="2769.1001000000001"/>
    <n v="125692"/>
    <n v="2755.5"/>
    <n v="2676.1233000000002"/>
    <n v="2670.1167"/>
    <x v="874"/>
    <n v="0.5847"/>
    <n v="0.81340000000000001"/>
    <n v="74.149699999999996"/>
    <n v="30.306000000000001"/>
    <n v="24.450299999999999"/>
    <n v="2802.7824000000001"/>
    <n v="2601.4176000000002"/>
    <x v="1"/>
    <x v="0"/>
    <x v="890"/>
    <n v="1388325"/>
    <n v="5586.2002000000002"/>
    <n v="2769.1001000000001"/>
    <n v="2769.1001000000001"/>
    <n v="117"/>
    <n v="323570"/>
    <s v="29-Jan-2025"/>
    <n v="2769.1001000000001"/>
    <n v="1"/>
    <n v="2025"/>
    <n v="1.1399999999999999"/>
    <m/>
  </r>
  <r>
    <x v="891"/>
    <n v="2823"/>
    <n v="2829.5"/>
    <n v="2770"/>
    <n v="2772.5"/>
    <n v="40141"/>
    <n v="2759.2856999999999"/>
    <n v="2679.93"/>
    <n v="2672.14"/>
    <x v="875"/>
    <n v="0.5786"/>
    <n v="0.78039999999999998"/>
    <n v="72.905500000000004"/>
    <n v="31.0974"/>
    <n v="25.779699999999998"/>
    <n v="2805.4286999999999"/>
    <n v="2615.1813000000002"/>
    <x v="1"/>
    <x v="0"/>
    <x v="891"/>
    <n v="1262633"/>
    <n v="5586.2002000000002"/>
    <n v="2770"/>
    <n v="2772.5"/>
    <n v="117"/>
    <n v="323570"/>
    <s v="30-Jan-2025"/>
    <n v="2772.5"/>
    <n v="1"/>
    <n v="2025"/>
    <n v="0.12"/>
    <m/>
  </r>
  <r>
    <x v="892"/>
    <n v="2812.5"/>
    <n v="2838"/>
    <n v="2804"/>
    <n v="2829"/>
    <n v="3443"/>
    <n v="2769.9286000000002"/>
    <n v="2685.8366999999998"/>
    <n v="2674.39"/>
    <x v="876"/>
    <n v="0.92730000000000001"/>
    <n v="0.84950000000000003"/>
    <n v="77.013199999999998"/>
    <n v="35.870199999999997"/>
    <n v="27.797799999999999"/>
    <n v="2821.8499000000002"/>
    <n v="2618.3600999999999"/>
    <x v="0"/>
    <x v="0"/>
    <x v="892"/>
    <n v="1222492"/>
    <n v="5586.2002000000002"/>
    <n v="2780.8998999999999"/>
    <n v="2829"/>
    <n v="117"/>
    <n v="323570"/>
    <s v="31-Jan-2025"/>
    <n v="2829"/>
    <n v="1"/>
    <n v="2025"/>
    <n v="2.04"/>
    <m/>
  </r>
  <r>
    <x v="893"/>
    <n v="2833.8998999999999"/>
    <n v="2848.3998999999999"/>
    <n v="2780.8998999999999"/>
    <n v="2818.2"/>
    <n v="2649"/>
    <n v="2778.2429000000002"/>
    <n v="2691.6333"/>
    <n v="2676.4056"/>
    <x v="877"/>
    <n v="0.97170000000000001"/>
    <n v="0.85170000000000001"/>
    <n v="71.394300000000001"/>
    <n v="38.339300000000001"/>
    <n v="29.906099999999999"/>
    <n v="2834.4578000000001"/>
    <n v="2621.7022000000002"/>
    <x v="1"/>
    <x v="0"/>
    <x v="893"/>
    <n v="1219049"/>
    <n v="5586.2002000000002"/>
    <n v="2780.8998999999999"/>
    <n v="2818.2"/>
    <n v="116"/>
    <n v="320127"/>
    <s v="03-Feb-2025"/>
    <n v="2818.2"/>
    <n v="1"/>
    <n v="2025"/>
    <n v="-0.38"/>
    <m/>
  </r>
  <r>
    <x v="894"/>
    <n v="2853.3"/>
    <n v="2853.3"/>
    <n v="2816.1001000000001"/>
    <n v="2827.6001000000001"/>
    <n v="2187"/>
    <n v="2787.9286000000002"/>
    <n v="2699.8166999999999"/>
    <n v="2678.3089"/>
    <x v="878"/>
    <n v="0.96209999999999996"/>
    <n v="0.70009999999999994"/>
    <n v="84.653400000000005"/>
    <n v="40.5867"/>
    <n v="32.042200000000001"/>
    <n v="2844.9654"/>
    <n v="2629.4045999999998"/>
    <x v="1"/>
    <x v="0"/>
    <x v="894"/>
    <n v="1216400"/>
    <n v="5586.2002000000002"/>
    <n v="2816.1001000000001"/>
    <n v="2827.6001000000001"/>
    <n v="116"/>
    <n v="320127"/>
    <s v="04-Feb-2025"/>
    <n v="2827.6001000000001"/>
    <n v="1"/>
    <n v="2025"/>
    <n v="0.33"/>
    <m/>
  </r>
  <r>
    <x v="895"/>
    <n v="2871.6001000000001"/>
    <n v="2880.5"/>
    <n v="2848"/>
    <n v="2850"/>
    <n v="4519"/>
    <n v="2800.6286"/>
    <n v="2707.9733000000001"/>
    <n v="2680.3944000000001"/>
    <x v="879"/>
    <n v="0.96399999999999997"/>
    <n v="0.69720000000000004"/>
    <n v="85.004400000000004"/>
    <n v="43.671799999999998"/>
    <n v="34.368200000000002"/>
    <n v="2858.4209999999998"/>
    <n v="2635.6091000000001"/>
    <x v="1"/>
    <x v="0"/>
    <x v="895"/>
    <n v="1214213"/>
    <n v="5586.2002000000002"/>
    <n v="2834.1001000000001"/>
    <n v="2850"/>
    <n v="116"/>
    <n v="320127"/>
    <s v="05-Feb-2025"/>
    <n v="2850"/>
    <n v="1"/>
    <n v="2025"/>
    <n v="0.79"/>
    <m/>
  </r>
  <r>
    <x v="896"/>
    <n v="2856"/>
    <n v="2871.7"/>
    <n v="2836.3"/>
    <n v="2865.2"/>
    <n v="3116"/>
    <n v="2818.8"/>
    <n v="2716.1466999999998"/>
    <n v="2682.5632999999998"/>
    <x v="880"/>
    <n v="0.77869999999999995"/>
    <n v="0.69679999999999997"/>
    <n v="83.093699999999998"/>
    <n v="46.803800000000003"/>
    <n v="36.8553"/>
    <n v="2872.0679"/>
    <n v="2642.9321"/>
    <x v="0"/>
    <x v="0"/>
    <x v="896"/>
    <n v="1209694"/>
    <n v="5586.2002000000002"/>
    <n v="2834.1001000000001"/>
    <n v="2865.2"/>
    <n v="116"/>
    <n v="320127"/>
    <s v="06-Feb-2025"/>
    <n v="2865.2"/>
    <n v="1"/>
    <n v="2025"/>
    <n v="0.53"/>
    <m/>
  </r>
  <r>
    <x v="897"/>
    <n v="2867.3"/>
    <n v="2889.5"/>
    <n v="2857.8"/>
    <n v="2859.8998999999999"/>
    <n v="1822"/>
    <n v="2831.7714000000001"/>
    <n v="2724.3766999999998"/>
    <n v="2684.7743999999998"/>
    <x v="881"/>
    <n v="0.80200000000000005"/>
    <n v="0.69469999999999998"/>
    <n v="80.562399999999997"/>
    <n v="48.301499999999997"/>
    <n v="39.144500000000001"/>
    <n v="2882.4639999999999"/>
    <n v="2651.5560999999998"/>
    <x v="1"/>
    <x v="0"/>
    <x v="897"/>
    <n v="1206578"/>
    <n v="5586.2002000000002"/>
    <n v="2834.1001000000001"/>
    <n v="2859.8998999999999"/>
    <n v="115"/>
    <n v="317011"/>
    <s v="07-Feb-2025"/>
    <n v="2859.8998999999999"/>
    <n v="1"/>
    <n v="2025"/>
    <n v="-0.19"/>
    <m/>
  </r>
  <r>
    <x v="898"/>
    <n v="2914.3"/>
    <n v="2916.1001000000001"/>
    <n v="2863.8"/>
    <n v="2864.2"/>
    <n v="2237"/>
    <n v="2844.8714"/>
    <n v="2732.2332999999999"/>
    <n v="2687.3611000000001"/>
    <x v="882"/>
    <n v="0.80010000000000003"/>
    <n v="0.69299999999999995"/>
    <n v="80"/>
    <n v="49.267400000000002"/>
    <n v="41.1691"/>
    <n v="2892.5603000000001"/>
    <n v="2659.2696999999998"/>
    <x v="1"/>
    <x v="0"/>
    <x v="898"/>
    <n v="1204756"/>
    <n v="5586.2002000000002"/>
    <n v="2834.1001000000001"/>
    <n v="2864.2"/>
    <n v="115"/>
    <n v="317011"/>
    <s v="10-Feb-2025"/>
    <n v="2864.2"/>
    <n v="1"/>
    <n v="2025"/>
    <n v="0.15"/>
    <m/>
  </r>
  <r>
    <x v="899"/>
    <n v="2912.5"/>
    <n v="2945.3998999999999"/>
    <n v="2890"/>
    <n v="2925.5"/>
    <n v="2554"/>
    <n v="2858.6570999999999"/>
    <n v="2742.4933000000001"/>
    <n v="2690.4155999999998"/>
    <x v="883"/>
    <n v="0.83379999999999999"/>
    <n v="0.75770000000000004"/>
    <n v="84.2273"/>
    <n v="54.352800000000002"/>
    <n v="43.805900000000001"/>
    <n v="2916.8215"/>
    <n v="2656.4485"/>
    <x v="0"/>
    <x v="0"/>
    <x v="899"/>
    <n v="1202519"/>
    <n v="5586.2002000000002"/>
    <n v="2834.1001000000001"/>
    <n v="2925.5"/>
    <n v="115"/>
    <n v="317011"/>
    <s v="11-Feb-2025"/>
    <n v="2925.5"/>
    <n v="1"/>
    <n v="2025"/>
    <n v="2.14"/>
    <m/>
  </r>
  <r>
    <x v="900"/>
    <n v="2909"/>
    <n v="2912.3"/>
    <n v="2868.6001000000001"/>
    <n v="2902"/>
    <n v="2504"/>
    <n v="2870.6286"/>
    <n v="2751.87"/>
    <n v="2693.2955999999999"/>
    <x v="884"/>
    <n v="0.91769999999999996"/>
    <n v="0.78649999999999998"/>
    <n v="76.512299999999996"/>
    <n v="55.8431"/>
    <n v="46.213299999999997"/>
    <n v="2926.5518000000002"/>
    <n v="2669.5581999999999"/>
    <x v="1"/>
    <x v="0"/>
    <x v="900"/>
    <n v="1199965"/>
    <n v="5586.2002000000002"/>
    <n v="2834.1001000000001"/>
    <n v="2902"/>
    <n v="114"/>
    <n v="314457"/>
    <s v="12-Feb-2025"/>
    <n v="2902"/>
    <n v="1"/>
    <n v="2025"/>
    <n v="-0.8"/>
    <m/>
  </r>
  <r>
    <x v="901"/>
    <n v="2925.8998999999999"/>
    <n v="2937.7"/>
    <n v="2910.6001000000001"/>
    <n v="2911.3"/>
    <n v="4670"/>
    <n v="2882.5857000000001"/>
    <n v="2761.9666999999999"/>
    <n v="2696.1322"/>
    <x v="885"/>
    <n v="0.91790000000000005"/>
    <n v="0.77139999999999997"/>
    <n v="77.356399999999994"/>
    <n v="57.116100000000003"/>
    <n v="48.393900000000002"/>
    <n v="2936.6641"/>
    <n v="2681.4958999999999"/>
    <x v="1"/>
    <x v="0"/>
    <x v="901"/>
    <n v="1197461"/>
    <n v="5586.2002000000002"/>
    <n v="2834.1001000000001"/>
    <n v="2911.3"/>
    <n v="114"/>
    <n v="314457"/>
    <s v="13-Feb-2025"/>
    <n v="2911.3"/>
    <n v="1"/>
    <n v="2025"/>
    <n v="0.32"/>
    <m/>
  </r>
  <r>
    <x v="902"/>
    <n v="2883.6001000000001"/>
    <n v="2944.3998999999999"/>
    <n v="2874.8"/>
    <n v="2937.3"/>
    <n v="1992"/>
    <n v="2895.0571"/>
    <n v="2772.11"/>
    <n v="2699.3389000000002"/>
    <x v="886"/>
    <n v="0.92549999999999999"/>
    <n v="0.7702"/>
    <n v="79.210800000000006"/>
    <n v="59.536700000000003"/>
    <n v="50.622399999999999"/>
    <n v="2953.6482000000001"/>
    <n v="2685.0718000000002"/>
    <x v="0"/>
    <x v="0"/>
    <x v="902"/>
    <n v="1192791"/>
    <n v="5586.2002000000002"/>
    <n v="2834.1001000000001"/>
    <n v="2937.3"/>
    <n v="114"/>
    <n v="314457"/>
    <s v="14-Feb-2025"/>
    <n v="2937.3"/>
    <n v="1"/>
    <n v="2025"/>
    <n v="0.89"/>
    <m/>
  </r>
  <r>
    <x v="903"/>
    <n v="2931.6001000000001"/>
    <n v="2936.3998999999999"/>
    <n v="2873.8"/>
    <n v="2879.2"/>
    <n v="4010"/>
    <n v="2897.0571"/>
    <n v="2779.46"/>
    <n v="2702.0077999999999"/>
    <x v="887"/>
    <n v="1.2945"/>
    <n v="0.87190000000000001"/>
    <n v="70.974400000000003"/>
    <n v="56.119900000000001"/>
    <n v="51.721899999999998"/>
    <n v="2957.3191000000002"/>
    <n v="2695.7208999999998"/>
    <x v="1"/>
    <x v="0"/>
    <x v="903"/>
    <n v="1190799"/>
    <n v="5586.2002000000002"/>
    <n v="2834.1001000000001"/>
    <n v="2879.2"/>
    <n v="113"/>
    <n v="312465"/>
    <s v="18-Feb-2025"/>
    <n v="2879.2"/>
    <n v="1"/>
    <n v="2025"/>
    <n v="-1.98"/>
    <m/>
  </r>
  <r>
    <x v="904"/>
    <n v="2919.3998999999999"/>
    <n v="2946"/>
    <n v="2917.1001000000001"/>
    <n v="2938.7"/>
    <n v="2630"/>
    <n v="2908.3143"/>
    <n v="2789.2332999999999"/>
    <n v="2705.7377999999999"/>
    <x v="888"/>
    <n v="1.4843999999999999"/>
    <n v="0.91859999999999997"/>
    <n v="73.232799999999997"/>
    <n v="57.549900000000001"/>
    <n v="52.887500000000003"/>
    <n v="2970.3262"/>
    <n v="2701.9838"/>
    <x v="0"/>
    <x v="0"/>
    <x v="904"/>
    <n v="1186789"/>
    <n v="5586.2002000000002"/>
    <n v="2834.1001000000001"/>
    <n v="2938.7"/>
    <n v="113"/>
    <n v="312465"/>
    <s v="19-Feb-2025"/>
    <n v="2938.7"/>
    <n v="1"/>
    <n v="2025"/>
    <n v="2.0699999999999998"/>
    <m/>
  </r>
  <r>
    <x v="905"/>
    <n v="2940"/>
    <n v="2955.8"/>
    <n v="2924.2"/>
    <n v="2949.1001000000001"/>
    <n v="656"/>
    <n v="2920.4429"/>
    <n v="2799.09"/>
    <n v="2709.5889000000002"/>
    <x v="889"/>
    <n v="1.4806999999999999"/>
    <n v="0.91849999999999998"/>
    <n v="73.736500000000007"/>
    <n v="58.844000000000001"/>
    <n v="54.078800000000001"/>
    <n v="2983.3083999999999"/>
    <n v="2708.4616000000001"/>
    <x v="0"/>
    <x v="0"/>
    <x v="905"/>
    <n v="1184159"/>
    <n v="5586.2002000000002"/>
    <n v="2834.1001000000001"/>
    <n v="2949.1001000000001"/>
    <n v="112"/>
    <n v="309835"/>
    <s v="20-Feb-2025"/>
    <n v="2949.1001000000001"/>
    <n v="1"/>
    <n v="2025"/>
    <n v="0.35"/>
    <m/>
  </r>
  <r>
    <x v="906"/>
    <n v="2937.6001000000001"/>
    <n v="2940"/>
    <n v="2917.3"/>
    <n v="2938.8"/>
    <n v="570"/>
    <n v="2922.3429000000001"/>
    <n v="2808.5333000000001"/>
    <n v="2712.9277999999999"/>
    <x v="890"/>
    <n v="1.2870999999999999"/>
    <n v="0.92630000000000001"/>
    <n v="66.850800000000007"/>
    <n v="58.365600000000001"/>
    <n v="54.936199999999999"/>
    <n v="2991.9866000000002"/>
    <n v="2717.6633999999999"/>
    <x v="0"/>
    <x v="1"/>
    <x v="906"/>
    <n v="1183503"/>
    <n v="5586.2002000000002"/>
    <n v="2834.1001000000001"/>
    <n v="2938.8"/>
    <n v="111"/>
    <n v="309179"/>
    <s v="21-Feb-2025"/>
    <n v="2938.8"/>
    <n v="1"/>
    <n v="2025"/>
    <n v="-0.35"/>
    <m/>
  </r>
  <r>
    <x v="907"/>
    <n v="2947.8998999999999"/>
    <n v="2957.8998999999999"/>
    <n v="2933.1001000000001"/>
    <n v="2933.1001000000001"/>
    <n v="415"/>
    <n v="2926.7856999999999"/>
    <n v="2817.3134"/>
    <n v="2716.0178000000001"/>
    <x v="891"/>
    <n v="1.2377"/>
    <n v="0.93059999999999998"/>
    <n v="67.913899999999998"/>
    <n v="56.871099999999998"/>
    <n v="55.323099999999997"/>
    <n v="2997.2287999999999"/>
    <n v="2729.7512000000002"/>
    <x v="1"/>
    <x v="1"/>
    <x v="907"/>
    <n v="1182933"/>
    <n v="5586.2002000000002"/>
    <n v="2834.1001000000001"/>
    <n v="2933.1001000000001"/>
    <n v="110"/>
    <n v="308609"/>
    <s v="24-Feb-2025"/>
    <n v="2933.1001000000001"/>
    <n v="1"/>
    <n v="2025"/>
    <n v="-0.19"/>
    <m/>
  </r>
  <r>
    <x v="908"/>
    <n v="2904.5"/>
    <n v="2943.2"/>
    <n v="2890"/>
    <n v="2938.7"/>
    <n v="1854"/>
    <n v="2930.7"/>
    <n v="2825.7332999999999"/>
    <n v="2719.0989"/>
    <x v="892"/>
    <n v="1.2358"/>
    <n v="0.92920000000000003"/>
    <n v="67.529200000000003"/>
    <n v="55.498699999999999"/>
    <n v="55.3583"/>
    <n v="3000.9694"/>
    <n v="2743.7705999999998"/>
    <x v="0"/>
    <x v="1"/>
    <x v="908"/>
    <n v="1182518"/>
    <n v="5586.2002000000002"/>
    <n v="2834.1001000000001"/>
    <n v="2938.7"/>
    <n v="110"/>
    <n v="308609"/>
    <s v="25-Feb-2025"/>
    <n v="2938.7"/>
    <n v="1"/>
    <n v="2025"/>
    <n v="0.19"/>
    <m/>
  </r>
  <r>
    <x v="909"/>
    <n v="2916.8"/>
    <n v="2917"/>
    <n v="2913"/>
    <n v="2913.5"/>
    <n v="2050"/>
    <n v="2927.3"/>
    <n v="2832.48"/>
    <n v="2721.76"/>
    <x v="893"/>
    <n v="1.2353000000000001"/>
    <n v="0.94479999999999997"/>
    <n v="59.931199999999997"/>
    <n v="51.780700000000003"/>
    <n v="54.642800000000001"/>
    <n v="2994.1433000000002"/>
    <n v="2768.1466999999998"/>
    <x v="1"/>
    <x v="1"/>
    <x v="909"/>
    <n v="1180664"/>
    <n v="5586.2002000000002"/>
    <n v="2834.1001000000001"/>
    <n v="2913.5"/>
    <n v="109"/>
    <n v="306755"/>
    <s v="26-Feb-2025"/>
    <n v="2913.5"/>
    <n v="1"/>
    <n v="2025"/>
    <n v="-0.86"/>
    <m/>
  </r>
  <r>
    <x v="910"/>
    <n v="2883.2"/>
    <n v="2922.8"/>
    <n v="2870.3998999999999"/>
    <n v="2918.5"/>
    <n v="3215"/>
    <n v="2932.9142999999999"/>
    <n v="2840.6433000000002"/>
    <n v="2724.4389000000001"/>
    <x v="894"/>
    <n v="0.92049999999999998"/>
    <n v="0.89370000000000005"/>
    <n v="58.610700000000001"/>
    <n v="48.676600000000001"/>
    <n v="53.4495"/>
    <n v="2989.5331000000001"/>
    <n v="2787.6968999999999"/>
    <x v="0"/>
    <x v="1"/>
    <x v="910"/>
    <n v="1178614"/>
    <n v="5586.2002000000002"/>
    <n v="2834.1001000000001"/>
    <n v="2918.5"/>
    <n v="109"/>
    <n v="306755"/>
    <s v="27-Feb-2025"/>
    <n v="2918.5"/>
    <n v="1"/>
    <n v="2025"/>
    <n v="0.17"/>
    <m/>
  </r>
  <r>
    <x v="911"/>
    <n v="2836.8"/>
    <n v="2877.1001000000001"/>
    <n v="2834.1001000000001"/>
    <n v="2877.1001000000001"/>
    <n v="990"/>
    <n v="2924.1143000000002"/>
    <n v="2846.8533000000002"/>
    <n v="2726.2543999999998"/>
    <x v="895"/>
    <n v="0.64119999999999999"/>
    <n v="0.94399999999999995"/>
    <n v="52.488500000000002"/>
    <n v="42.387300000000003"/>
    <n v="51.237099999999998"/>
    <n v="2979.0432999999998"/>
    <n v="2808.6466999999998"/>
    <x v="0"/>
    <x v="1"/>
    <x v="911"/>
    <n v="1175399"/>
    <n v="5586.2002000000002"/>
    <n v="2834.1001000000001"/>
    <n v="2877.1001000000001"/>
    <n v="108"/>
    <n v="303540"/>
    <s v="28-Feb-2025"/>
    <n v="2877.1001000000001"/>
    <n v="1"/>
    <n v="2025"/>
    <n v="-1.42"/>
    <m/>
  </r>
  <r>
    <x v="912"/>
    <n v="2890.2"/>
    <n v="2891.8"/>
    <n v="2863.3998999999999"/>
    <n v="2872.7"/>
    <n v="423"/>
    <n v="2913.2"/>
    <n v="2851.5533"/>
    <n v="2727.93"/>
    <x v="896"/>
    <n v="0.58069999999999999"/>
    <n v="0.91400000000000003"/>
    <n v="51.229399999999998"/>
    <n v="36.625700000000002"/>
    <n v="48.314799999999998"/>
    <n v="2976.3265999999999"/>
    <n v="2815.7334000000001"/>
    <x v="1"/>
    <x v="1"/>
    <x v="912"/>
    <n v="1174409"/>
    <n v="5586.2002000000002"/>
    <n v="2863.3998999999999"/>
    <n v="2872.7"/>
    <n v="107"/>
    <n v="302550"/>
    <s v="03-Mar-2025"/>
    <n v="2872.7"/>
    <n v="1"/>
    <n v="2025"/>
    <n v="-0.15"/>
    <m/>
  </r>
  <r>
    <x v="913"/>
    <n v="2909.6001000000001"/>
    <n v="2927.8998999999999"/>
    <n v="2886.1001000000001"/>
    <n v="2886.1001000000001"/>
    <n v="885"/>
    <n v="2905.6714999999999"/>
    <n v="2856.5567000000001"/>
    <n v="2729.6455999999998"/>
    <x v="897"/>
    <n v="0.66239999999999999"/>
    <n v="0.91549999999999998"/>
    <n v="43.384799999999998"/>
    <n v="32.763300000000001"/>
    <n v="45.204500000000003"/>
    <n v="2971.1502"/>
    <n v="2827.6997999999999"/>
    <x v="1"/>
    <x v="1"/>
    <x v="913"/>
    <n v="1173986"/>
    <n v="5586.2002000000002"/>
    <n v="2880.2"/>
    <n v="2886.1001000000001"/>
    <n v="107"/>
    <n v="302550"/>
    <s v="04-Mar-2025"/>
    <n v="2886.1001000000001"/>
    <n v="1"/>
    <n v="2025"/>
    <n v="0.47"/>
    <m/>
  </r>
  <r>
    <x v="914"/>
    <n v="2915.3"/>
    <n v="2922"/>
    <n v="2893"/>
    <n v="2916.7"/>
    <n v="551"/>
    <n v="2903.3285999999998"/>
    <n v="2862.2467000000001"/>
    <n v="2731.5810999999999"/>
    <x v="898"/>
    <n v="0.83040000000000003"/>
    <n v="0.92900000000000005"/>
    <n v="52.410600000000002"/>
    <n v="31.8047"/>
    <n v="42.5246"/>
    <n v="2967.4227999999998"/>
    <n v="2840.3371999999999"/>
    <x v="0"/>
    <x v="1"/>
    <x v="914"/>
    <n v="1173101"/>
    <n v="5586.2002000000002"/>
    <n v="2880.2"/>
    <n v="2916.7"/>
    <n v="107"/>
    <n v="302550"/>
    <s v="05-Mar-2025"/>
    <n v="2916.7"/>
    <n v="1"/>
    <n v="2025"/>
    <n v="1.06"/>
    <m/>
  </r>
  <r>
    <x v="915"/>
    <n v="2916.6001000000001"/>
    <n v="2918.6001000000001"/>
    <n v="2903.8"/>
    <n v="2904"/>
    <n v="870"/>
    <n v="2898.3714"/>
    <n v="2867.23"/>
    <n v="2733.5255999999999"/>
    <x v="899"/>
    <n v="0.83040000000000003"/>
    <n v="0.93610000000000004"/>
    <n v="48.816099999999999"/>
    <n v="29.6782"/>
    <n v="39.955300000000001"/>
    <n v="2964.8537999999999"/>
    <n v="2848.3062"/>
    <x v="1"/>
    <x v="1"/>
    <x v="915"/>
    <n v="1172550"/>
    <n v="5586.2002000000002"/>
    <n v="2880.2"/>
    <n v="2904"/>
    <n v="106"/>
    <n v="301999"/>
    <s v="06-Mar-2025"/>
    <n v="2904"/>
    <n v="1"/>
    <n v="2025"/>
    <n v="-0.44"/>
    <m/>
  </r>
  <r>
    <x v="916"/>
    <n v="2904.7"/>
    <n v="2927.3"/>
    <n v="2900.5"/>
    <n v="2900.8998999999999"/>
    <n v="531"/>
    <n v="2896.5713999999998"/>
    <n v="2871.9267"/>
    <n v="2735.4744000000001"/>
    <x v="900"/>
    <n v="0.77280000000000004"/>
    <n v="0.9375"/>
    <n v="43.622999999999998"/>
    <n v="27.426600000000001"/>
    <n v="37.449599999999997"/>
    <n v="2963.3987999999999"/>
    <n v="2853.3312000000001"/>
    <x v="1"/>
    <x v="1"/>
    <x v="916"/>
    <n v="1171680"/>
    <n v="5586.2002000000002"/>
    <n v="2880.2"/>
    <n v="2900.8998999999999"/>
    <n v="106"/>
    <n v="301999"/>
    <s v="07-Mar-2025"/>
    <n v="2900.8998999999999"/>
    <n v="1"/>
    <n v="2025"/>
    <n v="-0.11"/>
    <m/>
  </r>
  <r>
    <x v="917"/>
    <n v="2891"/>
    <n v="2915.1001000000001"/>
    <n v="2880.2"/>
    <n v="2910.1001000000001"/>
    <n v="55"/>
    <n v="2895.3714"/>
    <n v="2876.9367000000002"/>
    <n v="2737.4078"/>
    <x v="901"/>
    <n v="0.78190000000000004"/>
    <n v="0.93730000000000002"/>
    <n v="56.532800000000002"/>
    <n v="26.0839"/>
    <n v="35.176400000000001"/>
    <n v="2960.9582"/>
    <n v="2860.7918"/>
    <x v="0"/>
    <x v="1"/>
    <x v="917"/>
    <n v="1171149"/>
    <n v="5586.2002000000002"/>
    <n v="2880.2"/>
    <n v="2910.1001000000001"/>
    <n v="106"/>
    <n v="301999"/>
    <s v="10-Mar-2025"/>
    <n v="2910.1001000000001"/>
    <n v="1"/>
    <n v="2025"/>
    <n v="0.32"/>
    <m/>
  </r>
  <r>
    <x v="918"/>
    <n v="2912.8998999999999"/>
    <n v="2916.7"/>
    <n v="2880.3998999999999"/>
    <n v="2884.3998999999999"/>
    <n v="197"/>
    <n v="2896.4142999999999"/>
    <n v="2881.0466999999999"/>
    <n v="2738.6967"/>
    <x v="902"/>
    <n v="0.63729999999999998"/>
    <n v="0.95699999999999996"/>
    <n v="36.605800000000002"/>
    <n v="22.6845"/>
    <n v="32.678100000000001"/>
    <n v="2958.7139999999999"/>
    <n v="2865.056"/>
    <x v="1"/>
    <x v="1"/>
    <x v="918"/>
    <n v="1171094"/>
    <n v="5586.2002000000002"/>
    <n v="2880.3998999999999"/>
    <n v="2884.3998999999999"/>
    <n v="105"/>
    <n v="301944"/>
    <s v="11-Mar-2025"/>
    <n v="2884.3998999999999"/>
    <n v="1"/>
    <n v="2025"/>
    <n v="-0.88"/>
    <m/>
  </r>
  <r>
    <x v="919"/>
    <n v="2939.1001000000001"/>
    <n v="2939.1001000000001"/>
    <n v="2910"/>
    <n v="2912"/>
    <n v="213"/>
    <n v="2902.0286000000001"/>
    <n v="2886.8467000000001"/>
    <n v="2740.2233000000001"/>
    <x v="903"/>
    <n v="0.71509999999999996"/>
    <n v="0.94930000000000003"/>
    <n v="41.564300000000003"/>
    <n v="21.964400000000001"/>
    <n v="30.535299999999999"/>
    <n v="2957.5998"/>
    <n v="2864.8202000000001"/>
    <x v="1"/>
    <x v="1"/>
    <x v="919"/>
    <n v="1170897"/>
    <n v="5586.2002000000002"/>
    <n v="2910"/>
    <n v="2912"/>
    <n v="105"/>
    <n v="301944"/>
    <s v="12-Mar-2025"/>
    <n v="2912"/>
    <n v="1"/>
    <n v="2025"/>
    <n v="0.96"/>
    <m/>
  </r>
  <r>
    <x v="920"/>
    <n v="2984.3"/>
    <n v="2988"/>
    <n v="2935.2"/>
    <n v="2937.1001000000001"/>
    <n v="2366"/>
    <n v="2909.3143"/>
    <n v="2892.4467"/>
    <n v="2741.8867"/>
    <x v="904"/>
    <n v="0.75460000000000005"/>
    <n v="0.94130000000000003"/>
    <n v="49.637799999999999"/>
    <n v="23.152200000000001"/>
    <n v="29.058700000000002"/>
    <n v="2960.5286999999998"/>
    <n v="2865.4013"/>
    <x v="1"/>
    <x v="1"/>
    <x v="920"/>
    <n v="1170684"/>
    <n v="5586.2002000000002"/>
    <n v="2935.2"/>
    <n v="2937.1001000000001"/>
    <n v="105"/>
    <n v="301944"/>
    <s v="13-Mar-2025"/>
    <n v="2937.1001000000001"/>
    <n v="1"/>
    <n v="2025"/>
    <n v="0.86"/>
    <m/>
  </r>
  <r>
    <x v="921"/>
    <n v="2994.5"/>
    <n v="3004.8"/>
    <n v="2986"/>
    <n v="2994.3998999999999"/>
    <n v="1800"/>
    <n v="2920.4142999999999"/>
    <n v="2899.8433"/>
    <n v="2744.6522"/>
    <x v="905"/>
    <n v="0.96040000000000003"/>
    <n v="0.99380000000000002"/>
    <n v="60.705500000000001"/>
    <n v="28.389900000000001"/>
    <n v="28.924900000000001"/>
    <n v="2976.9962999999998"/>
    <n v="2857.2438000000002"/>
    <x v="1"/>
    <x v="1"/>
    <x v="921"/>
    <n v="1168318"/>
    <n v="5586.2002000000002"/>
    <n v="2949.7"/>
    <n v="2994.3998999999999"/>
    <n v="105"/>
    <n v="301944"/>
    <s v="14-Mar-2025"/>
    <n v="2994.3998999999999"/>
    <n v="1"/>
    <n v="2025"/>
    <n v="1.95"/>
    <m/>
  </r>
  <r>
    <x v="922"/>
    <n v="3000"/>
    <n v="3001.5"/>
    <n v="2989"/>
    <n v="2991"/>
    <n v="214"/>
    <n v="2932.8427999999999"/>
    <n v="2905.2433000000001"/>
    <n v="2747.48"/>
    <x v="906"/>
    <n v="0.92179999999999995"/>
    <n v="0.93720000000000003"/>
    <n v="59.204500000000003"/>
    <n v="31.898700000000002"/>
    <n v="29.5197"/>
    <n v="2987.7622000000001"/>
    <n v="2851.8478"/>
    <x v="1"/>
    <x v="1"/>
    <x v="922"/>
    <n v="1166518"/>
    <n v="5586.2002000000002"/>
    <n v="2949.7"/>
    <n v="2991"/>
    <n v="105"/>
    <n v="301944"/>
    <s v="17-Mar-2025"/>
    <n v="2991"/>
    <n v="1"/>
    <n v="2025"/>
    <n v="-0.11"/>
    <m/>
  </r>
  <r>
    <x v="923"/>
    <n v="3035.1001000000001"/>
    <n v="3039.2"/>
    <n v="3004.3998999999999"/>
    <n v="3006.3998999999999"/>
    <n v="428"/>
    <n v="2947.9142999999999"/>
    <n v="2911.5167000000001"/>
    <n v="2750.4067"/>
    <x v="907"/>
    <n v="0.89129999999999998"/>
    <n v="0.93269999999999997"/>
    <n v="66.933999999999997"/>
    <n v="35.512799999999999"/>
    <n v="30.718299999999999"/>
    <n v="3001.527"/>
    <n v="2850.8029999999999"/>
    <x v="1"/>
    <x v="1"/>
    <x v="923"/>
    <n v="1166304"/>
    <n v="5586.2002000000002"/>
    <n v="2949.7"/>
    <n v="3006.3998999999999"/>
    <n v="105"/>
    <n v="301944"/>
    <s v="18-Mar-2025"/>
    <n v="3006.3998999999999"/>
    <n v="1"/>
    <n v="2025"/>
    <n v="0.51"/>
    <m/>
  </r>
  <r>
    <x v="924"/>
    <n v="3035.8998999999999"/>
    <n v="3050.8998999999999"/>
    <n v="3030.8998999999999"/>
    <n v="3035.2"/>
    <n v="175"/>
    <n v="2965.7856999999999"/>
    <n v="2918.4367000000002"/>
    <n v="2753.7478000000001"/>
    <x v="908"/>
    <n v="0.90039999999999998"/>
    <n v="0.94220000000000004"/>
    <n v="69.573899999999995"/>
    <n v="40.237000000000002"/>
    <n v="32.622"/>
    <n v="3020.7184000000002"/>
    <n v="2841.2615999999998"/>
    <x v="1"/>
    <x v="1"/>
    <x v="924"/>
    <n v="1165876"/>
    <n v="5586.2002000000002"/>
    <n v="2949.7"/>
    <n v="3035.2"/>
    <n v="105"/>
    <n v="301944"/>
    <s v="19-Mar-2025"/>
    <n v="3035.2"/>
    <n v="1"/>
    <n v="2025"/>
    <n v="0.96"/>
    <m/>
  </r>
  <r>
    <x v="925"/>
    <n v="3040"/>
    <n v="3047.3"/>
    <n v="3034.3998999999999"/>
    <n v="3047.3"/>
    <n v="185"/>
    <n v="2989.0571"/>
    <n v="2925.0133000000001"/>
    <n v="2758.0232999999998"/>
    <x v="252"/>
    <n v="0.63959999999999995"/>
    <n v="0.93700000000000006"/>
    <n v="81.659199999999998"/>
    <n v="44.445099999999996"/>
    <n v="34.986600000000003"/>
    <n v="3039.4792000000002"/>
    <n v="2832.3208"/>
    <x v="0"/>
    <x v="0"/>
    <x v="925"/>
    <n v="1165701"/>
    <n v="5586.2002000000002"/>
    <n v="2949.7"/>
    <n v="3047.3"/>
    <n v="105"/>
    <n v="301944"/>
    <s v="20-Mar-2025"/>
    <n v="3047.3"/>
    <n v="1"/>
    <n v="2025"/>
    <n v="0.4"/>
    <m/>
  </r>
  <r>
    <x v="926"/>
    <n v="3018.2"/>
    <n v="3037.5"/>
    <n v="3000.8998999999999"/>
    <n v="3034.5"/>
    <n v="151"/>
    <n v="3006.5571"/>
    <n v="2930.6567"/>
    <n v="2761.8678"/>
    <x v="909"/>
    <n v="0.77659999999999996"/>
    <n v="0.94240000000000002"/>
    <n v="79.184700000000007"/>
    <n v="46.214399999999998"/>
    <n v="37.232199999999999"/>
    <n v="3053.2781"/>
    <n v="2828.0918999999999"/>
    <x v="0"/>
    <x v="0"/>
    <x v="926"/>
    <n v="1165516"/>
    <n v="5586.2002000000002"/>
    <n v="2949.7"/>
    <n v="3034.5"/>
    <n v="104"/>
    <n v="301759"/>
    <s v="21-Mar-2025"/>
    <n v="3034.5"/>
    <n v="1"/>
    <n v="2025"/>
    <n v="-0.42"/>
    <m/>
  </r>
  <r>
    <x v="927"/>
    <n v="3013.1001000000001"/>
    <n v="3024.3"/>
    <n v="3006"/>
    <n v="3024.3"/>
    <n v="137"/>
    <n v="3019.0142999999998"/>
    <n v="2936.1367"/>
    <n v="2765.7856000000002"/>
    <x v="910"/>
    <n v="0.83709999999999996"/>
    <n v="0.94489999999999996"/>
    <n v="75.218900000000005"/>
    <n v="46.260300000000001"/>
    <n v="39.037799999999997"/>
    <n v="3063.7752999999998"/>
    <n v="2826.7147"/>
    <x v="0"/>
    <x v="0"/>
    <x v="927"/>
    <n v="1165365"/>
    <n v="5586.2002000000002"/>
    <n v="2949.7"/>
    <n v="3024.3"/>
    <n v="103"/>
    <n v="301608"/>
    <s v="24-Mar-2025"/>
    <n v="3024.3"/>
    <n v="1"/>
    <n v="2025"/>
    <n v="-0.34"/>
    <m/>
  </r>
  <r>
    <x v="928"/>
    <n v="3023.7"/>
    <n v="3028.8"/>
    <n v="3023.7"/>
    <n v="3026.3998999999999"/>
    <n v="74"/>
    <n v="3023.5857000000001"/>
    <n v="2941.5432999999998"/>
    <n v="2770.4621999999999"/>
    <x v="911"/>
    <n v="0.4975"/>
    <n v="0.94520000000000004"/>
    <n v="72.342100000000002"/>
    <n v="45.936599999999999"/>
    <n v="40.4176"/>
    <n v="3073.5088999999998"/>
    <n v="2825.7510000000002"/>
    <x v="0"/>
    <x v="0"/>
    <x v="928"/>
    <n v="1165228"/>
    <n v="5586.2002000000002"/>
    <n v="2949.7"/>
    <n v="3026.3998999999999"/>
    <n v="102"/>
    <n v="301471"/>
    <s v="25-Mar-2025"/>
    <n v="3026.3998999999999"/>
    <n v="1"/>
    <n v="2025"/>
    <n v="7.0000000000000007E-2"/>
    <m/>
  </r>
  <r>
    <x v="929"/>
    <n v="3020.8998999999999"/>
    <n v="3033.2"/>
    <n v="3019.5"/>
    <n v="3033.2"/>
    <n v="83"/>
    <n v="3029.6143000000002"/>
    <n v="2945.1333"/>
    <n v="2775.1522"/>
    <x v="912"/>
    <n v="0.48349999999999999"/>
    <n v="0.87050000000000005"/>
    <n v="76.961600000000004"/>
    <n v="45.701900000000002"/>
    <n v="41.474400000000003"/>
    <n v="3083.6410000000001"/>
    <n v="2827.5889999999999"/>
    <x v="0"/>
    <x v="0"/>
    <x v="929"/>
    <n v="1165154"/>
    <n v="5586.2002000000002"/>
    <n v="2949.7"/>
    <n v="3033.2"/>
    <n v="101"/>
    <n v="301397"/>
    <s v="26-Mar-2025"/>
    <n v="3033.2"/>
    <n v="1"/>
    <n v="2025"/>
    <n v="0.22"/>
    <m/>
  </r>
  <r>
    <x v="930"/>
    <n v="3060.2"/>
    <n v="3065"/>
    <n v="3025.5"/>
    <n v="3025.5"/>
    <n v="124359"/>
    <n v="3032.3427999999999"/>
    <n v="2949.25"/>
    <n v="2780.3789000000002"/>
    <x v="913"/>
    <n v="0.48770000000000002"/>
    <n v="0.85599999999999998"/>
    <n v="75.511899999999997"/>
    <n v="44.383000000000003"/>
    <n v="42.056100000000001"/>
    <n v="3091.3809999999999"/>
    <n v="2830.549"/>
    <x v="1"/>
    <x v="0"/>
    <x v="930"/>
    <n v="1165071"/>
    <n v="5586.2002000000002"/>
    <n v="2949.7"/>
    <n v="3025.5"/>
    <n v="100"/>
    <n v="301314"/>
    <s v="27-Mar-2025"/>
    <n v="3025.5"/>
    <n v="1"/>
    <n v="2025"/>
    <n v="-0.25"/>
    <m/>
  </r>
  <r>
    <x v="931"/>
    <n v="3086.5"/>
    <n v="3094.8998999999999"/>
    <n v="3066.8"/>
    <n v="3069.7"/>
    <n v="31206"/>
    <n v="3037.2714000000001"/>
    <n v="2954.53"/>
    <n v="2785.9789000000001"/>
    <x v="914"/>
    <n v="0.64749999999999996"/>
    <n v="0.88880000000000003"/>
    <n v="78.581599999999995"/>
    <n v="46.369799999999998"/>
    <n v="42.918900000000001"/>
    <n v="3103.3589999999999"/>
    <n v="2837.8310000000001"/>
    <x v="1"/>
    <x v="0"/>
    <x v="931"/>
    <n v="1040712"/>
    <n v="5586.2002000000002"/>
    <n v="2949.7"/>
    <n v="3069.7"/>
    <n v="100"/>
    <n v="301314"/>
    <s v="28-Mar-2025"/>
    <n v="3069.7"/>
    <n v="1"/>
    <n v="2025"/>
    <n v="1.46"/>
    <m/>
  </r>
  <r>
    <x v="932"/>
    <n v="3122.8"/>
    <n v="3132.5"/>
    <n v="3086"/>
    <n v="3091"/>
    <n v="3438"/>
    <n v="3043.5142999999998"/>
    <n v="2959.6532999999999"/>
    <n v="2791.5266999999999"/>
    <x v="915"/>
    <n v="0.6744"/>
    <n v="0.88400000000000001"/>
    <n v="87.590999999999994"/>
    <n v="49.097099999999998"/>
    <n v="44.154499999999999"/>
    <n v="3116.2658999999999"/>
    <n v="2846.7541000000001"/>
    <x v="1"/>
    <x v="0"/>
    <x v="932"/>
    <n v="1009506"/>
    <n v="5586.2002000000002"/>
    <n v="2949.7"/>
    <n v="3091"/>
    <n v="100"/>
    <n v="301314"/>
    <s v="31-Mar-2025"/>
    <n v="3091"/>
    <n v="1"/>
    <n v="2025"/>
    <n v="0.69"/>
    <m/>
  </r>
  <r>
    <x v="933"/>
    <n v="3118.8998999999999"/>
    <n v="3149.5"/>
    <n v="3104"/>
    <n v="3129.7"/>
    <n v="1721"/>
    <n v="3057.1143000000002"/>
    <n v="2968.0032999999999"/>
    <n v="2797.1689000000001"/>
    <x v="916"/>
    <n v="0.71099999999999997"/>
    <n v="0.80620000000000003"/>
    <n v="88.072800000000001"/>
    <n v="53.761600000000001"/>
    <n v="46.075899999999997"/>
    <n v="3135.9618999999998"/>
    <n v="2851.4180999999999"/>
    <x v="0"/>
    <x v="0"/>
    <x v="933"/>
    <n v="1006068"/>
    <n v="5586.2002000000002"/>
    <n v="2949.7"/>
    <n v="3129.7"/>
    <n v="100"/>
    <n v="301314"/>
    <s v="01-Apr-2025"/>
    <n v="3129.7"/>
    <n v="1"/>
    <n v="2025"/>
    <n v="1.25"/>
    <m/>
  </r>
  <r>
    <x v="934"/>
    <n v="3139.8998999999999"/>
    <n v="3168.6001000000001"/>
    <n v="3117.3998999999999"/>
    <n v="3120.7"/>
    <n v="5946"/>
    <n v="3070.8856999999998"/>
    <n v="2974.07"/>
    <n v="2802.5266999999999"/>
    <x v="917"/>
    <n v="0.70230000000000004"/>
    <n v="0.73819999999999997"/>
    <n v="84.025199999999998"/>
    <n v="56.0854"/>
    <n v="48.077800000000003"/>
    <n v="3152.0502000000001"/>
    <n v="2855.7296999999999"/>
    <x v="1"/>
    <x v="0"/>
    <x v="934"/>
    <n v="1004347"/>
    <n v="5586.2002000000002"/>
    <n v="2949.7"/>
    <n v="3120.7"/>
    <n v="99"/>
    <n v="299593"/>
    <s v="02-Apr-2025"/>
    <n v="3120.7"/>
    <n v="1"/>
    <n v="2025"/>
    <n v="-0.28999999999999998"/>
    <m/>
  </r>
  <r>
    <x v="935"/>
    <n v="3097"/>
    <n v="3166.8998999999999"/>
    <n v="3052"/>
    <n v="3150"/>
    <n v="5516"/>
    <n v="3088.5428000000002"/>
    <n v="2980.7667000000001"/>
    <n v="2807.9789000000001"/>
    <x v="918"/>
    <n v="0.70040000000000002"/>
    <n v="0.74990000000000001"/>
    <n v="82.175399999999996"/>
    <n v="59.604300000000002"/>
    <n v="50.383099999999999"/>
    <n v="3170.1644999999999"/>
    <n v="2862.2154"/>
    <x v="0"/>
    <x v="0"/>
    <x v="935"/>
    <n v="998401"/>
    <n v="5586.2002000000002"/>
    <n v="2949.7"/>
    <n v="3150"/>
    <n v="99"/>
    <n v="299593"/>
    <s v="03-Apr-2025"/>
    <n v="3150"/>
    <n v="1"/>
    <n v="2025"/>
    <n v="0.94"/>
    <m/>
  </r>
  <r>
    <x v="936"/>
    <n v="3012"/>
    <n v="3127.7"/>
    <n v="3011"/>
    <n v="3110.5"/>
    <n v="3247"/>
    <n v="3099.5857000000001"/>
    <n v="2986.49"/>
    <n v="2812.6788999999999"/>
    <x v="919"/>
    <n v="0.9879"/>
    <n v="0.79079999999999995"/>
    <n v="71.500500000000002"/>
    <n v="58.530999999999999"/>
    <n v="52.012700000000002"/>
    <n v="3176.0686000000001"/>
    <n v="2877.2714000000001"/>
    <x v="0"/>
    <x v="0"/>
    <x v="936"/>
    <n v="992885"/>
    <n v="5586.2002000000002"/>
    <n v="2949.7"/>
    <n v="3110.5"/>
    <n v="98"/>
    <n v="294077"/>
    <s v="04-Apr-2025"/>
    <n v="3110.5"/>
    <n v="1"/>
    <n v="2025"/>
    <n v="-1.25"/>
    <m/>
  </r>
  <r>
    <x v="937"/>
    <n v="2951.3"/>
    <n v="3050.8"/>
    <n v="2949.7"/>
    <n v="3016.3998999999999"/>
    <n v="4424"/>
    <n v="3098.2856999999999"/>
    <n v="2989.2667000000001"/>
    <n v="2816.3121999999998"/>
    <x v="920"/>
    <n v="1.6261000000000001"/>
    <n v="0.9839"/>
    <n v="51.402099999999997"/>
    <n v="49.516500000000001"/>
    <n v="51.513500000000001"/>
    <n v="3171.134"/>
    <n v="2892.8359"/>
    <x v="0"/>
    <x v="1"/>
    <x v="937"/>
    <n v="989638"/>
    <n v="5586.2002000000002"/>
    <n v="2949.7"/>
    <n v="3016.3998999999999"/>
    <n v="97"/>
    <n v="290830"/>
    <s v="07-Apr-2025"/>
    <n v="3016.3998999999999"/>
    <n v="1"/>
    <n v="2025"/>
    <n v="-3.03"/>
    <m/>
  </r>
  <r>
    <x v="938"/>
    <n v="2968.3998999999999"/>
    <n v="3014.5"/>
    <n v="2968.3998999999999"/>
    <n v="2994"/>
    <n v="3213"/>
    <n v="3087.4713999999999"/>
    <n v="2991.11"/>
    <n v="2820.4056"/>
    <x v="921"/>
    <n v="1.4972000000000001"/>
    <n v="0.99550000000000005"/>
    <n v="44.117699999999999"/>
    <n v="40.102699999999999"/>
    <n v="49.231299999999997"/>
    <n v="3159.7525000000001"/>
    <n v="2915.1774999999998"/>
    <x v="0"/>
    <x v="1"/>
    <x v="938"/>
    <n v="985214"/>
    <n v="5586.2002000000002"/>
    <n v="2965.8"/>
    <n v="2994"/>
    <n v="96"/>
    <n v="286406"/>
    <s v="08-Apr-2025"/>
    <n v="2994"/>
    <n v="1"/>
    <n v="2025"/>
    <n v="-0.74"/>
    <m/>
  </r>
  <r>
    <x v="939"/>
    <n v="3056.5"/>
    <n v="3090.3998999999999"/>
    <n v="2965.8"/>
    <n v="2965.8"/>
    <n v="2175"/>
    <n v="3069.5857000000001"/>
    <n v="2992.8533000000002"/>
    <n v="2824.0978"/>
    <x v="922"/>
    <n v="1.4340999999999999"/>
    <n v="0.99829999999999997"/>
    <n v="38.8752"/>
    <n v="30.020700000000001"/>
    <n v="45.389200000000002"/>
    <n v="3152.8092999999999"/>
    <n v="2927.5005999999998"/>
    <x v="1"/>
    <x v="1"/>
    <x v="939"/>
    <n v="982001"/>
    <n v="5586.2002000000002"/>
    <n v="2965.8"/>
    <n v="2965.8"/>
    <n v="95"/>
    <n v="283193"/>
    <s v="09-Apr-2025"/>
    <n v="2965.8"/>
    <n v="1"/>
    <n v="2025"/>
    <n v="-0.94"/>
    <m/>
  </r>
  <r>
    <x v="940"/>
    <n v="3155.2"/>
    <n v="3167"/>
    <n v="3072.1001000000001"/>
    <n v="3073.8998999999999"/>
    <n v="3456"/>
    <n v="3061.6143000000002"/>
    <n v="2998.0333000000001"/>
    <n v="2828.9589000000001"/>
    <x v="923"/>
    <n v="2.0823"/>
    <n v="1.1935"/>
    <n v="54.267800000000001"/>
    <n v="30.402799999999999"/>
    <n v="42.3919"/>
    <n v="3149.4542000000001"/>
    <n v="2944.5358000000001"/>
    <x v="1"/>
    <x v="1"/>
    <x v="940"/>
    <n v="979826"/>
    <n v="5586.2002000000002"/>
    <n v="3072.1001000000001"/>
    <n v="3073.8998999999999"/>
    <n v="95"/>
    <n v="283193"/>
    <s v="10-Apr-2025"/>
    <n v="3073.8998999999999"/>
    <n v="1"/>
    <n v="2025"/>
    <n v="3.64"/>
    <m/>
  </r>
  <r>
    <x v="941"/>
    <n v="3222.2"/>
    <n v="3235"/>
    <n v="3182.1001000000001"/>
    <n v="3182.1001000000001"/>
    <n v="862"/>
    <n v="3070.3856999999998"/>
    <n v="3008.2"/>
    <n v="2834.8822"/>
    <x v="924"/>
    <n v="2.5188000000000001"/>
    <n v="1.3011999999999999"/>
    <n v="64.099400000000003"/>
    <n v="38.987099999999998"/>
    <n v="41.710999999999999"/>
    <n v="3172.0843"/>
    <n v="2940.6756999999998"/>
    <x v="1"/>
    <x v="1"/>
    <x v="941"/>
    <n v="976370"/>
    <n v="5586.2002000000002"/>
    <n v="3125"/>
    <n v="3182.1001000000001"/>
    <n v="95"/>
    <n v="283193"/>
    <s v="11-Apr-2025"/>
    <n v="3182.1001000000001"/>
    <n v="1"/>
    <n v="2025"/>
    <n v="3.52"/>
    <m/>
  </r>
  <r>
    <x v="942"/>
    <n v="3204.8"/>
    <n v="3228.8"/>
    <n v="3194.5"/>
    <n v="3215.5"/>
    <n v="263"/>
    <n v="3079.7429000000002"/>
    <n v="3019.6266999999998"/>
    <n v="2841.2878000000001"/>
    <x v="925"/>
    <n v="2.5238"/>
    <n v="1.3039000000000001"/>
    <n v="66.001000000000005"/>
    <n v="47.9328"/>
    <n v="42.955300000000001"/>
    <n v="3199.0866000000001"/>
    <n v="2936.1233999999999"/>
    <x v="0"/>
    <x v="1"/>
    <x v="942"/>
    <n v="975508"/>
    <n v="5586.2002000000002"/>
    <n v="3125"/>
    <n v="3215.5"/>
    <n v="95"/>
    <n v="283193"/>
    <s v="14-Apr-2025"/>
    <n v="3215.5"/>
    <n v="1"/>
    <n v="2025"/>
    <n v="1.05"/>
    <m/>
  </r>
  <r>
    <x v="943"/>
    <n v="3218.7"/>
    <n v="3218.7"/>
    <n v="3214"/>
    <n v="3216"/>
    <n v="390"/>
    <n v="3094.8143"/>
    <n v="3030.6233000000002"/>
    <n v="2847.6967"/>
    <x v="926"/>
    <n v="2.4358"/>
    <n v="1.3055000000000001"/>
    <n v="65.634600000000006"/>
    <n v="54.435200000000002"/>
    <n v="45.251300000000001"/>
    <n v="3221.8638000000001"/>
    <n v="2934.3062"/>
    <x v="1"/>
    <x v="1"/>
    <x v="943"/>
    <n v="975245"/>
    <n v="5586.2002000000002"/>
    <n v="3125"/>
    <n v="3216"/>
    <n v="94"/>
    <n v="282930"/>
    <s v="15-Apr-2025"/>
    <n v="3216"/>
    <n v="1"/>
    <n v="2025"/>
    <n v="0.02"/>
    <m/>
  </r>
  <r>
    <x v="944"/>
    <n v="3326.6001000000001"/>
    <n v="3334.8998999999999"/>
    <n v="3238.3"/>
    <n v="3238.3"/>
    <n v="1874"/>
    <n v="3126.5142999999998"/>
    <n v="3041.3433"/>
    <n v="2854.2067000000002"/>
    <x v="927"/>
    <n v="1.8802000000000001"/>
    <n v="1.3005"/>
    <n v="67.757000000000005"/>
    <n v="60.688200000000002"/>
    <n v="48.338700000000003"/>
    <n v="3247.1579000000002"/>
    <n v="2929.3220000000001"/>
    <x v="1"/>
    <x v="1"/>
    <x v="944"/>
    <n v="974855"/>
    <n v="5586.2002000000002"/>
    <n v="3125"/>
    <n v="3238.3"/>
    <n v="94"/>
    <n v="282930"/>
    <s v="16-Apr-2025"/>
    <n v="3238.3"/>
    <n v="1"/>
    <n v="2025"/>
    <n v="0.69"/>
    <m/>
  </r>
  <r>
    <x v="945"/>
    <n v="3308.7"/>
    <n v="3345"/>
    <n v="3287.8"/>
    <n v="3345"/>
    <n v="824"/>
    <n v="3176.6572000000001"/>
    <n v="3056.0432999999998"/>
    <n v="2862.26"/>
    <x v="928"/>
    <n v="1.8634999999999999"/>
    <n v="1.3968"/>
    <n v="70.802499999999995"/>
    <n v="73.407399999999996"/>
    <n v="53.352400000000003"/>
    <n v="3297.6713"/>
    <n v="2908.5787"/>
    <x v="0"/>
    <x v="0"/>
    <x v="945"/>
    <n v="972981"/>
    <n v="5586.2002000000002"/>
    <n v="3125"/>
    <n v="3345"/>
    <n v="94"/>
    <n v="282930"/>
    <s v="17-Apr-2025"/>
    <n v="3345"/>
    <n v="1"/>
    <n v="2025"/>
    <n v="3.29"/>
    <m/>
  </r>
  <r>
    <x v="946"/>
    <n v="3406.2"/>
    <n v="3418.5"/>
    <n v="3342.2"/>
    <n v="3342.2"/>
    <n v="78"/>
    <n v="3230.4286000000002"/>
    <n v="3070.7532999999999"/>
    <n v="2870.15"/>
    <x v="929"/>
    <n v="1.6875"/>
    <n v="1.3965000000000001"/>
    <n v="69.5274"/>
    <n v="82.312600000000003"/>
    <n v="59.144500000000001"/>
    <n v="3337.3551000000002"/>
    <n v="2899.6648"/>
    <x v="1"/>
    <x v="1"/>
    <x v="946"/>
    <n v="972157"/>
    <n v="5586.2002000000002"/>
    <n v="3125"/>
    <n v="3342.2"/>
    <n v="93"/>
    <n v="282106"/>
    <s v="21-Apr-2025"/>
    <n v="3342.2"/>
    <n v="1"/>
    <n v="2025"/>
    <n v="-0.08"/>
    <m/>
  </r>
  <r>
    <x v="947"/>
    <n v="3400.8"/>
    <n v="3485.6001000000001"/>
    <n v="3361.7"/>
    <n v="3422.2"/>
    <n v="785"/>
    <n v="3280.1857"/>
    <n v="3087.8233"/>
    <n v="2878.5933"/>
    <x v="930"/>
    <n v="1.508"/>
    <n v="1.4389000000000001"/>
    <n v="71.366"/>
    <n v="94.733400000000003"/>
    <n v="66.262299999999996"/>
    <n v="3390.9409999999998"/>
    <n v="2885.8690000000001"/>
    <x v="0"/>
    <x v="0"/>
    <x v="947"/>
    <n v="972079"/>
    <n v="5586.2002000000002"/>
    <n v="3125"/>
    <n v="3422.2"/>
    <n v="93"/>
    <n v="282106"/>
    <s v="22-Apr-2025"/>
    <n v="3422.2"/>
    <n v="1"/>
    <n v="2025"/>
    <n v="2.39"/>
    <m/>
  </r>
  <r>
    <x v="948"/>
    <n v="3276.3"/>
    <n v="3370.3"/>
    <n v="3256.2"/>
    <n v="3321.2"/>
    <n v="331"/>
    <n v="3300.0571"/>
    <n v="3102.3833"/>
    <n v="2885.4756000000002"/>
    <x v="931"/>
    <n v="2.0044"/>
    <n v="1.5548"/>
    <n v="62.910499999999999"/>
    <n v="95.328199999999995"/>
    <n v="72.075400000000002"/>
    <n v="3412.4769000000001"/>
    <n v="2893.8130000000001"/>
    <x v="0"/>
    <x v="1"/>
    <x v="948"/>
    <n v="971294"/>
    <n v="5586.2002000000002"/>
    <n v="3125"/>
    <n v="3321.2"/>
    <n v="92"/>
    <n v="281321"/>
    <s v="23-Apr-2025"/>
    <n v="3321.2"/>
    <n v="1"/>
    <n v="2025"/>
    <n v="-2.95"/>
    <m/>
  </r>
  <r>
    <x v="949"/>
    <n v="3332"/>
    <n v="3353.8998999999999"/>
    <n v="3304.8998999999999"/>
    <n v="3305.3998999999999"/>
    <n v="560"/>
    <n v="3312.9"/>
    <n v="3115.4965999999999"/>
    <n v="2891.9232999999999"/>
    <x v="932"/>
    <n v="2.0339"/>
    <n v="1.5618000000000001"/>
    <n v="60.183500000000002"/>
    <n v="93.447500000000005"/>
    <n v="76.349900000000005"/>
    <n v="3428.1448999999998"/>
    <n v="2905.3651"/>
    <x v="1"/>
    <x v="1"/>
    <x v="949"/>
    <n v="970963"/>
    <n v="5586.2002000000002"/>
    <n v="3125"/>
    <n v="3305.3998999999999"/>
    <n v="91"/>
    <n v="280990"/>
    <s v="24-Apr-2025"/>
    <n v="3305.3998999999999"/>
    <n v="1"/>
    <n v="2025"/>
    <n v="-0.48"/>
    <m/>
  </r>
  <r>
    <x v="950"/>
    <n v="3282.3998999999999"/>
    <n v="3355.5"/>
    <n v="3266.1001000000001"/>
    <n v="3355.5"/>
    <n v="162"/>
    <n v="3332.8285000000001"/>
    <n v="3129.4432999999999"/>
    <n v="2899.3377999999998"/>
    <x v="933"/>
    <n v="2.0638999999999998"/>
    <n v="1.5724"/>
    <n v="65.835099999999997"/>
    <n v="94.905600000000007"/>
    <n v="80.061000000000007"/>
    <n v="3448.7312999999999"/>
    <n v="2917.7786999999998"/>
    <x v="0"/>
    <x v="1"/>
    <x v="950"/>
    <n v="970403"/>
    <n v="5586.2002000000002"/>
    <n v="3125"/>
    <n v="3355.5"/>
    <n v="91"/>
    <n v="280990"/>
    <s v="25-Apr-2025"/>
    <n v="3355.5"/>
    <n v="1"/>
    <n v="2025"/>
    <n v="1.52"/>
    <m/>
  </r>
  <r>
    <x v="951"/>
    <n v="3332.5"/>
    <n v="3332.5"/>
    <n v="3284.5"/>
    <n v="3284.5"/>
    <n v="1300"/>
    <n v="3339.4285"/>
    <n v="3139.1133"/>
    <n v="2906.2955999999999"/>
    <x v="934"/>
    <n v="2.3075000000000001"/>
    <n v="1.6140000000000001"/>
    <n v="67.861400000000003"/>
    <n v="89.302700000000002"/>
    <n v="81.909300000000002"/>
    <n v="3457.5007999999998"/>
    <n v="2930.4892"/>
    <x v="1"/>
    <x v="1"/>
    <x v="951"/>
    <n v="970241"/>
    <n v="5586.2002000000002"/>
    <n v="3125"/>
    <n v="3284.5"/>
    <n v="90"/>
    <n v="280828"/>
    <s v="28-Apr-2025"/>
    <n v="3284.5"/>
    <n v="1"/>
    <n v="2025"/>
    <n v="-2.12"/>
    <m/>
  </r>
  <r>
    <x v="952"/>
    <n v="3318.8"/>
    <n v="3340"/>
    <n v="3299.8998999999999"/>
    <n v="3340"/>
    <n v="1278"/>
    <n v="3338.7143000000001"/>
    <n v="3150.7465999999999"/>
    <n v="2913.9422"/>
    <x v="935"/>
    <n v="2.0125999999999999"/>
    <n v="1.6307"/>
    <n v="72.077600000000004"/>
    <n v="88.322599999999994"/>
    <n v="83.191999999999993"/>
    <n v="3472.9731999999999"/>
    <n v="2939.9167000000002"/>
    <x v="0"/>
    <x v="0"/>
    <x v="952"/>
    <n v="968941"/>
    <n v="5586.2002000000002"/>
    <n v="3125"/>
    <n v="3340"/>
    <n v="90"/>
    <n v="280828"/>
    <s v="29-Apr-2025"/>
    <n v="3340"/>
    <n v="1"/>
    <n v="2025"/>
    <n v="1.69"/>
    <m/>
  </r>
  <r>
    <x v="953"/>
    <n v="3305"/>
    <n v="3318.7"/>
    <n v="3268"/>
    <n v="3318.7"/>
    <n v="207"/>
    <n v="3335.3571000000002"/>
    <n v="3161.1565999999998"/>
    <n v="2921.4355999999998"/>
    <x v="936"/>
    <n v="2.0270999999999999"/>
    <n v="1.641"/>
    <n v="72.7179"/>
    <n v="84.849000000000004"/>
    <n v="83.523399999999995"/>
    <n v="3484.3613999999998"/>
    <n v="2947.4286000000002"/>
    <x v="0"/>
    <x v="0"/>
    <x v="953"/>
    <n v="967663"/>
    <n v="5586.2002000000002"/>
    <n v="3125"/>
    <n v="3318.7"/>
    <n v="89"/>
    <n v="279550"/>
    <s v="30-Apr-2025"/>
    <n v="3318.7"/>
    <n v="1"/>
    <n v="2025"/>
    <n v="-0.64"/>
    <m/>
  </r>
  <r>
    <x v="954"/>
    <n v="3210"/>
    <n v="3275"/>
    <n v="3198.6001000000001"/>
    <n v="3272.8998999999999"/>
    <n v="2131"/>
    <n v="3314.0284999999999"/>
    <n v="3169.08"/>
    <n v="2929.1111000000001"/>
    <x v="937"/>
    <n v="1.7401"/>
    <n v="1.6660999999999999"/>
    <n v="63.927799999999998"/>
    <n v="77.507000000000005"/>
    <n v="82.320099999999996"/>
    <n v="3489.2242000000001"/>
    <n v="2957.7858000000001"/>
    <x v="0"/>
    <x v="1"/>
    <x v="954"/>
    <n v="967456"/>
    <n v="5586.2002000000002"/>
    <n v="3125"/>
    <n v="3272.8998999999999"/>
    <n v="88"/>
    <n v="279343"/>
    <s v="01-May-2025"/>
    <n v="3272.8998999999999"/>
    <n v="1"/>
    <n v="2025"/>
    <n v="-1.38"/>
    <m/>
  </r>
  <r>
    <x v="955"/>
    <n v="3231.8998999999999"/>
    <n v="3257"/>
    <n v="3225"/>
    <n v="3239.8998999999999"/>
    <n v="1349"/>
    <n v="3302.4142000000002"/>
    <n v="3175.5"/>
    <n v="2936.1622000000002"/>
    <x v="938"/>
    <n v="1.4348000000000001"/>
    <n v="1.6819"/>
    <n v="54.521299999999997"/>
    <n v="68.239000000000004"/>
    <n v="79.503900000000002"/>
    <n v="3491.5160999999998"/>
    <n v="2964.4839000000002"/>
    <x v="0"/>
    <x v="1"/>
    <x v="955"/>
    <n v="965325"/>
    <n v="5586.2002000000002"/>
    <n v="3125"/>
    <n v="3239.8998999999999"/>
    <n v="87"/>
    <n v="277212"/>
    <s v="02-May-2025"/>
    <n v="3239.8998999999999"/>
    <n v="1"/>
    <n v="2025"/>
    <n v="-1.01"/>
    <m/>
  </r>
  <r>
    <x v="956"/>
    <n v="3311.3"/>
    <n v="3315.7"/>
    <n v="3239.7"/>
    <n v="3242.7"/>
    <n v="244"/>
    <n v="3293.4571000000001"/>
    <n v="3182.44"/>
    <n v="2943.0810999999999"/>
    <x v="939"/>
    <n v="1.4419999999999999"/>
    <n v="1.6778"/>
    <n v="52.2346"/>
    <n v="60.423499999999997"/>
    <n v="75.687799999999996"/>
    <n v="3492.2836000000002"/>
    <n v="2976.9364"/>
    <x v="1"/>
    <x v="1"/>
    <x v="956"/>
    <n v="963976"/>
    <n v="5586.2002000000002"/>
    <n v="3125"/>
    <n v="3242.7"/>
    <n v="86"/>
    <n v="275863"/>
    <s v="05-May-2025"/>
    <n v="3242.7"/>
    <n v="1"/>
    <n v="2025"/>
    <n v="0.09"/>
    <m/>
  </r>
  <r>
    <x v="957"/>
    <n v="3411.3998999999999"/>
    <n v="3430.8998999999999"/>
    <n v="3356.8"/>
    <n v="3365.5"/>
    <n v="2357"/>
    <n v="3294.8856999999998"/>
    <n v="3193.8132999999998"/>
    <n v="2951.4422"/>
    <x v="940"/>
    <n v="2.0406"/>
    <n v="1.7943"/>
    <n v="60.2271"/>
    <n v="63.407600000000002"/>
    <n v="73.231800000000007"/>
    <n v="3494.3359999999998"/>
    <n v="3009.7939000000001"/>
    <x v="1"/>
    <x v="1"/>
    <x v="957"/>
    <n v="963732"/>
    <n v="5586.2002000000002"/>
    <n v="3125"/>
    <n v="3365.5"/>
    <n v="86"/>
    <n v="275863"/>
    <s v="06-May-2025"/>
    <n v="3365.5"/>
    <n v="1"/>
    <n v="2025"/>
    <n v="3.79"/>
    <m/>
  </r>
  <r>
    <x v="958"/>
    <n v="3381.3998999999999"/>
    <n v="3418.7"/>
    <n v="3364.7"/>
    <n v="3418.7"/>
    <n v="1080"/>
    <n v="3314.0571"/>
    <n v="3206.89"/>
    <n v="2960.2222000000002"/>
    <x v="941"/>
    <n v="1.8532999999999999"/>
    <n v="1.8066"/>
    <n v="61.840400000000002"/>
    <n v="69.266900000000007"/>
    <n v="72.438800000000001"/>
    <n v="3493.8035"/>
    <n v="3052.7964000000002"/>
    <x v="0"/>
    <x v="1"/>
    <x v="958"/>
    <n v="961375"/>
    <n v="5586.2002000000002"/>
    <n v="3125"/>
    <n v="3418.7"/>
    <n v="86"/>
    <n v="275863"/>
    <s v="07-May-2025"/>
    <n v="3418.7"/>
    <n v="1"/>
    <n v="2025"/>
    <n v="1.58"/>
    <m/>
  </r>
  <r>
    <x v="959"/>
    <n v="3296.6001000000001"/>
    <n v="3390"/>
    <n v="3288.7"/>
    <n v="3390"/>
    <n v="200"/>
    <n v="3321.2"/>
    <n v="3218.7833000000001"/>
    <n v="2968.8033"/>
    <x v="942"/>
    <n v="1.8492999999999999"/>
    <n v="1.8210999999999999"/>
    <n v="53.290399999999998"/>
    <n v="70.778700000000001"/>
    <n v="72.106800000000007"/>
    <n v="3466.8126999999999"/>
    <n v="3122.2073"/>
    <x v="0"/>
    <x v="1"/>
    <x v="959"/>
    <n v="960295"/>
    <n v="5586.2002000000002"/>
    <n v="3125"/>
    <n v="3390"/>
    <n v="85"/>
    <n v="274783"/>
    <s v="08-May-2025"/>
    <n v="3390"/>
    <n v="1"/>
    <n v="2025"/>
    <n v="-0.84"/>
    <m/>
  </r>
  <r>
    <x v="960"/>
    <n v="3335.3998999999999"/>
    <n v="3335.5"/>
    <n v="3299"/>
    <n v="3299"/>
    <n v="216"/>
    <n v="3318.3856999999998"/>
    <n v="3227.9"/>
    <n v="2976.34"/>
    <x v="943"/>
    <n v="2.1467000000000001"/>
    <n v="1.9028"/>
    <n v="47.202100000000002"/>
    <n v="63.897300000000001"/>
    <n v="70.4649"/>
    <n v="3443.2896999999998"/>
    <n v="3168.2402999999999"/>
    <x v="1"/>
    <x v="1"/>
    <x v="960"/>
    <n v="960095"/>
    <n v="5586.2002000000002"/>
    <n v="3125"/>
    <n v="3299"/>
    <n v="84"/>
    <n v="274583"/>
    <s v="09-May-2025"/>
    <n v="3299"/>
    <n v="1"/>
    <n v="2025"/>
    <n v="-2.68"/>
    <m/>
  </r>
  <r>
    <x v="961"/>
    <n v="3220"/>
    <n v="3300.7"/>
    <n v="3205"/>
    <n v="3300.7"/>
    <n v="886"/>
    <n v="3322.3571000000002"/>
    <n v="3235.6"/>
    <n v="2984.0322000000001"/>
    <x v="944"/>
    <n v="2.0672999999999999"/>
    <n v="1.8907"/>
    <n v="41.242600000000003"/>
    <n v="57.9133"/>
    <n v="67.954599999999999"/>
    <n v="3436.3978000000002"/>
    <n v="3186.9920999999999"/>
    <x v="0"/>
    <x v="1"/>
    <x v="961"/>
    <n v="959879"/>
    <n v="5586.2002000000002"/>
    <n v="3125"/>
    <n v="3300.7"/>
    <n v="84"/>
    <n v="274583"/>
    <s v="12-May-2025"/>
    <n v="3300.7"/>
    <n v="1"/>
    <n v="2025"/>
    <n v="0.05"/>
    <m/>
  </r>
  <r>
    <x v="962"/>
    <n v="3240.3"/>
    <n v="3251.3998999999999"/>
    <n v="3223.5"/>
    <n v="3232"/>
    <n v="2424"/>
    <n v="3321.2285999999999"/>
    <n v="3240.3"/>
    <n v="2990.6878000000002"/>
    <x v="945"/>
    <n v="2.2019000000000002"/>
    <n v="1.9359999999999999"/>
    <n v="43.256700000000002"/>
    <n v="47.084699999999998"/>
    <n v="63.7806"/>
    <n v="3434.7368000000001"/>
    <n v="3190.3031999999998"/>
    <x v="1"/>
    <x v="1"/>
    <x v="962"/>
    <n v="958993"/>
    <n v="5586.2002000000002"/>
    <n v="3125"/>
    <n v="3232"/>
    <n v="83"/>
    <n v="273697"/>
    <s v="13-May-2025"/>
    <n v="3232"/>
    <n v="1"/>
    <n v="2025"/>
    <n v="-2.08"/>
    <m/>
  </r>
  <r>
    <x v="963"/>
    <n v="3181.3998999999999"/>
    <n v="3233"/>
    <n v="3171.7"/>
    <n v="3233"/>
    <n v="3518"/>
    <n v="3319.8427999999999"/>
    <n v="3243.7433000000001"/>
    <n v="2997.0689000000002"/>
    <x v="946"/>
    <n v="2.2016"/>
    <n v="1.9252"/>
    <n v="44.401499999999999"/>
    <n v="38.143900000000002"/>
    <n v="58.653199999999998"/>
    <n v="3432.9686999999999"/>
    <n v="3193.7712000000001"/>
    <x v="0"/>
    <x v="1"/>
    <x v="963"/>
    <n v="956569"/>
    <n v="5586.2002000000002"/>
    <n v="3125"/>
    <n v="3233"/>
    <n v="83"/>
    <n v="273697"/>
    <s v="14-May-2025"/>
    <n v="3233"/>
    <n v="1"/>
    <n v="2025"/>
    <n v="0.03"/>
    <m/>
  </r>
  <r>
    <x v="964"/>
    <n v="3220.7"/>
    <n v="3228.1001000000001"/>
    <n v="3125"/>
    <n v="3151"/>
    <n v="652"/>
    <n v="3289.2"/>
    <n v="3244.7532999999999"/>
    <n v="3002.6855"/>
    <x v="947"/>
    <n v="1.5907"/>
    <n v="1.9847999999999999"/>
    <n v="34.93"/>
    <n v="24.163"/>
    <n v="51.755200000000002"/>
    <n v="3445.3411000000001"/>
    <n v="3172.6687999999999"/>
    <x v="1"/>
    <x v="1"/>
    <x v="964"/>
    <n v="953051"/>
    <n v="5586.2002000000002"/>
    <n v="3125"/>
    <n v="3151"/>
    <n v="82"/>
    <n v="270179"/>
    <s v="15-May-2025"/>
    <n v="3151"/>
    <n v="1"/>
    <n v="2025"/>
    <n v="-2.54"/>
    <m/>
  </r>
  <r>
    <x v="965"/>
    <n v="3182"/>
    <n v="3228.1001000000001"/>
    <n v="3173.8998999999999"/>
    <n v="3227.7"/>
    <n v="199"/>
    <n v="3261.9142999999999"/>
    <n v="3247.3433"/>
    <n v="3009.0666999999999"/>
    <x v="948"/>
    <n v="1.8295999999999999"/>
    <n v="2.0261999999999998"/>
    <n v="45.849200000000003"/>
    <n v="19.052499999999998"/>
    <n v="45.214700000000001"/>
    <n v="3443.0028000000002"/>
    <n v="3163.2770999999998"/>
    <x v="0"/>
    <x v="1"/>
    <x v="965"/>
    <n v="952399"/>
    <n v="5586.2002000000002"/>
    <n v="3173.8998999999999"/>
    <n v="3227.7"/>
    <n v="82"/>
    <n v="270179"/>
    <s v="16-May-2025"/>
    <n v="3227.7"/>
    <n v="1"/>
    <n v="2025"/>
    <n v="2.4300000000000002"/>
    <m/>
  </r>
  <r>
    <x v="966"/>
    <n v="3228.8998999999999"/>
    <n v="3241"/>
    <n v="3228.3"/>
    <n v="3234.3998999999999"/>
    <n v="266"/>
    <n v="3239.6857"/>
    <n v="3251.4733000000001"/>
    <n v="3015.4989"/>
    <x v="949"/>
    <n v="1.8686"/>
    <n v="2.0099999999999998"/>
    <n v="41.690300000000001"/>
    <n v="15.3659"/>
    <n v="39.244900000000001"/>
    <n v="3439.5698000000002"/>
    <n v="3155.9301"/>
    <x v="0"/>
    <x v="1"/>
    <x v="966"/>
    <n v="952200"/>
    <n v="5586.2002000000002"/>
    <n v="3207.5"/>
    <n v="3234.3998999999999"/>
    <n v="81"/>
    <n v="269980"/>
    <s v="19-May-2025"/>
    <n v="3234.3998999999999"/>
    <n v="1"/>
    <n v="2025"/>
    <n v="0.21"/>
    <m/>
  </r>
  <r>
    <x v="967"/>
    <n v="3280.3"/>
    <n v="3293.2"/>
    <n v="3207.5"/>
    <n v="3219"/>
    <n v="356"/>
    <n v="3228.2570999999998"/>
    <n v="3258.2266"/>
    <n v="3021.6021999999998"/>
    <x v="950"/>
    <n v="1.6412"/>
    <n v="1.9231"/>
    <n v="42.081000000000003"/>
    <n v="11.0739"/>
    <n v="33.610700000000001"/>
    <n v="3420.7186999999999"/>
    <n v="3154.4612999999999"/>
    <x v="1"/>
    <x v="1"/>
    <x v="967"/>
    <n v="951934"/>
    <n v="5586.2002000000002"/>
    <n v="3207.5"/>
    <n v="3219"/>
    <n v="80"/>
    <n v="269714"/>
    <s v="20-May-2025"/>
    <n v="3219"/>
    <n v="1"/>
    <n v="2025"/>
    <n v="-0.48"/>
    <m/>
  </r>
  <r>
    <x v="968"/>
    <n v="3309.3"/>
    <n v="3317.5"/>
    <n v="3290.2"/>
    <n v="3293.3998999999999"/>
    <n v="979"/>
    <n v="3227.2143000000001"/>
    <n v="3268.2066"/>
    <n v="3028.35"/>
    <x v="951"/>
    <n v="1.9278999999999999"/>
    <n v="1.9501999999999999"/>
    <n v="51.557499999999997"/>
    <n v="13.520099999999999"/>
    <n v="29.592600000000001"/>
    <n v="3418.4286000000002"/>
    <n v="3153.9713999999999"/>
    <x v="1"/>
    <x v="1"/>
    <x v="968"/>
    <n v="951578"/>
    <n v="5586.2002000000002"/>
    <n v="3242.3998999999999"/>
    <n v="3293.3998999999999"/>
    <n v="80"/>
    <n v="269714"/>
    <s v="21-May-2025"/>
    <n v="3293.3998999999999"/>
    <n v="1"/>
    <n v="2025"/>
    <n v="2.31"/>
    <m/>
  </r>
  <r>
    <x v="969"/>
    <n v="3292.3"/>
    <n v="3328"/>
    <n v="3282.7"/>
    <n v="3327.3"/>
    <n v="1210"/>
    <n v="3240.8285000000001"/>
    <n v="3280.2566000000002"/>
    <n v="3035.1967"/>
    <x v="952"/>
    <n v="1.7197"/>
    <n v="1.9389000000000001"/>
    <n v="56.631300000000003"/>
    <n v="17.986799999999999"/>
    <n v="27.2714"/>
    <n v="3420.5518000000002"/>
    <n v="3154.0382"/>
    <x v="0"/>
    <x v="1"/>
    <x v="969"/>
    <n v="950599"/>
    <n v="5586.2002000000002"/>
    <n v="3242.3998999999999"/>
    <n v="3327.3"/>
    <n v="80"/>
    <n v="269714"/>
    <s v="22-May-2025"/>
    <n v="3327.3"/>
    <n v="1"/>
    <n v="2025"/>
    <n v="1.03"/>
    <m/>
  </r>
  <r>
    <x v="970"/>
    <n v="3363.6001000000001"/>
    <n v="3363.6001000000001"/>
    <n v="3323.5"/>
    <n v="3328"/>
    <n v="47"/>
    <n v="3254.4"/>
    <n v="3288.7266"/>
    <n v="3042.4677999999999"/>
    <x v="953"/>
    <n v="1.7201"/>
    <n v="1.8402000000000001"/>
    <n v="56.492600000000003"/>
    <n v="21.337199999999999"/>
    <n v="26.084599999999998"/>
    <n v="3416.7591000000002"/>
    <n v="3155.0808000000002"/>
    <x v="1"/>
    <x v="1"/>
    <x v="970"/>
    <n v="949389"/>
    <n v="5586.2002000000002"/>
    <n v="3242.3998999999999"/>
    <n v="3328"/>
    <n v="79"/>
    <n v="268504"/>
    <s v="23-May-2025"/>
    <n v="3328"/>
    <n v="1"/>
    <n v="2025"/>
    <n v="0.02"/>
    <m/>
  </r>
  <r>
    <x v="971"/>
    <n v="3299.1001000000001"/>
    <n v="3341"/>
    <n v="3296.3"/>
    <n v="3332.5"/>
    <n v="189"/>
    <n v="3280.3285000000001"/>
    <n v="3293.74"/>
    <n v="3049.5978"/>
    <x v="954"/>
    <n v="1.1572"/>
    <n v="1.7356"/>
    <n v="46.936500000000002"/>
    <n v="24.077999999999999"/>
    <n v="25.683299999999999"/>
    <n v="3420.8000999999999"/>
    <n v="3155.8398999999999"/>
    <x v="0"/>
    <x v="1"/>
    <x v="971"/>
    <n v="949342"/>
    <n v="5586.2002000000002"/>
    <n v="3242.3998999999999"/>
    <n v="3332.5"/>
    <n v="79"/>
    <n v="268504"/>
    <s v="27-May-2025"/>
    <n v="3332.5"/>
    <n v="1"/>
    <n v="2025"/>
    <n v="0.14000000000000001"/>
    <m/>
  </r>
  <r>
    <x v="972"/>
    <n v="3293.6001000000001"/>
    <n v="3293.6001000000001"/>
    <n v="3293.6001000000001"/>
    <n v="3293.6001000000001"/>
    <n v="127758"/>
    <n v="3289.7429000000002"/>
    <n v="3296.3433"/>
    <n v="3055.8411000000001"/>
    <x v="955"/>
    <n v="1.1140000000000001"/>
    <n v="1.744"/>
    <n v="38.069800000000001"/>
    <n v="22.847899999999999"/>
    <n v="25.116199999999999"/>
    <n v="3416.2761999999998"/>
    <n v="3155.7237"/>
    <x v="1"/>
    <x v="1"/>
    <x v="972"/>
    <n v="949153"/>
    <n v="5586.2002000000002"/>
    <n v="3242.3998999999999"/>
    <n v="3293.6001000000001"/>
    <n v="78"/>
    <n v="268315"/>
    <s v="28-May-2025"/>
    <n v="3293.6001000000001"/>
    <n v="1"/>
    <n v="2025"/>
    <n v="-1.17"/>
    <m/>
  </r>
  <r>
    <x v="973"/>
    <n v="3317.1001000000001"/>
    <n v="3328.8"/>
    <n v="3242.3998999999999"/>
    <n v="3283.7"/>
    <n v="24370"/>
    <n v="3296.7856999999999"/>
    <n v="3298.6"/>
    <n v="3061.9267"/>
    <x v="956"/>
    <n v="1.1369"/>
    <n v="1.7454000000000001"/>
    <n v="39.485599999999998"/>
    <n v="20.8339"/>
    <n v="24.259699999999999"/>
    <n v="3413.6138999999998"/>
    <n v="3154.8861000000002"/>
    <x v="1"/>
    <x v="1"/>
    <x v="973"/>
    <n v="821395"/>
    <n v="5586.2002000000002"/>
    <n v="3242.3998999999999"/>
    <n v="3283.7"/>
    <n v="78"/>
    <n v="268315"/>
    <s v="29-May-2025"/>
    <n v="3283.7"/>
    <n v="1"/>
    <n v="2025"/>
    <n v="-0.3"/>
    <m/>
  </r>
  <r>
    <x v="974"/>
    <n v="3288.8998999999999"/>
    <n v="3318"/>
    <n v="3270.8998999999999"/>
    <n v="3315.1001000000001"/>
    <n v="2213"/>
    <n v="3310.5142999999998"/>
    <n v="3301.16"/>
    <n v="3068.25"/>
    <x v="957"/>
    <n v="1.1191"/>
    <n v="1.7493000000000001"/>
    <n v="51.805300000000003"/>
    <n v="21.523499999999999"/>
    <n v="23.712499999999999"/>
    <n v="3416.3195999999998"/>
    <n v="3156.4002999999998"/>
    <x v="0"/>
    <x v="1"/>
    <x v="974"/>
    <n v="797025"/>
    <n v="5586.2002000000002"/>
    <n v="3253.8"/>
    <n v="3315.1001000000001"/>
    <n v="78"/>
    <n v="268315"/>
    <s v="30-May-2025"/>
    <n v="3315.1001000000001"/>
    <n v="1"/>
    <n v="2025"/>
    <n v="0.96"/>
    <m/>
  </r>
  <r>
    <x v="975"/>
    <n v="3370.6001000000001"/>
    <n v="3380.8"/>
    <n v="3296.8998999999999"/>
    <n v="3296.8998999999999"/>
    <n v="976"/>
    <n v="3311.0142999999998"/>
    <n v="3299.5565999999999"/>
    <n v="3074.2766999999999"/>
    <x v="958"/>
    <n v="0.79"/>
    <n v="1.6443000000000001"/>
    <n v="49.589100000000002"/>
    <n v="20.366599999999998"/>
    <n v="23.043299999999999"/>
    <n v="3417.3672000000001"/>
    <n v="3161.0527999999999"/>
    <x v="1"/>
    <x v="1"/>
    <x v="975"/>
    <n v="794812"/>
    <n v="5586.2002000000002"/>
    <n v="3253.8"/>
    <n v="3296.8998999999999"/>
    <n v="77"/>
    <n v="266102"/>
    <s v="02-Jun-2025"/>
    <n v="3296.8998999999999"/>
    <n v="1"/>
    <n v="2025"/>
    <n v="-0.55000000000000004"/>
    <m/>
  </r>
  <r>
    <x v="976"/>
    <n v="3350.2"/>
    <n v="3390"/>
    <n v="3331.3"/>
    <n v="3385.1001000000001"/>
    <n v="6410"/>
    <n v="3319.2714000000001"/>
    <n v="3300.9866000000002"/>
    <n v="3081.2222000000002"/>
    <x v="959"/>
    <n v="1.2514000000000001"/>
    <n v="1.7170000000000001"/>
    <n v="65.885000000000005"/>
    <n v="26.263999999999999"/>
    <n v="23.6875"/>
    <n v="3429.3382000000001"/>
    <n v="3163.3218000000002"/>
    <x v="0"/>
    <x v="1"/>
    <x v="976"/>
    <n v="793836"/>
    <n v="5586.2002000000002"/>
    <n v="3253.8"/>
    <n v="3385.1001000000001"/>
    <n v="77"/>
    <n v="266102"/>
    <s v="03-Jun-2025"/>
    <n v="3385.1001000000001"/>
    <n v="1"/>
    <n v="2025"/>
    <n v="2.68"/>
    <m/>
  </r>
  <r>
    <x v="977"/>
    <n v="3373.5"/>
    <n v="3380"/>
    <n v="3344"/>
    <n v="3355"/>
    <n v="207"/>
    <n v="3323.1286"/>
    <n v="3298.7465999999999"/>
    <n v="3087.8355000000001"/>
    <x v="960"/>
    <n v="1.3247"/>
    <n v="1.6668000000000001"/>
    <n v="61.937399999999997"/>
    <n v="28.184000000000001"/>
    <n v="24.5868"/>
    <n v="3427.7422000000001"/>
    <n v="3163.8678"/>
    <x v="1"/>
    <x v="1"/>
    <x v="977"/>
    <n v="787426"/>
    <n v="5586.2002000000002"/>
    <n v="3253.8"/>
    <n v="3355"/>
    <n v="76"/>
    <n v="259692"/>
    <s v="04-Jun-2025"/>
    <n v="3355"/>
    <n v="1"/>
    <n v="2025"/>
    <n v="-0.89"/>
    <m/>
  </r>
  <r>
    <x v="978"/>
    <n v="3350.7"/>
    <n v="3400"/>
    <n v="3343.7"/>
    <n v="3371.5"/>
    <n v="731"/>
    <n v="3328.7"/>
    <n v="3300.4232999999999"/>
    <n v="3094.6178"/>
    <x v="961"/>
    <n v="1.3321000000000001"/>
    <n v="1.5764"/>
    <n v="74.747399999999999"/>
    <n v="30.683399999999999"/>
    <n v="25.806100000000001"/>
    <n v="3417.5844999999999"/>
    <n v="3169.3054999999999"/>
    <x v="0"/>
    <x v="0"/>
    <x v="978"/>
    <n v="787219"/>
    <n v="5586.2002000000002"/>
    <n v="3253.8"/>
    <n v="3371.5"/>
    <n v="76"/>
    <n v="259692"/>
    <s v="05-Jun-2025"/>
    <n v="3371.5"/>
    <n v="1"/>
    <n v="2025"/>
    <n v="0.49"/>
    <m/>
  </r>
  <r>
    <x v="979"/>
    <n v="3322.7"/>
    <n v="3364.3"/>
    <n v="3306"/>
    <n v="3364.3"/>
    <n v="81"/>
    <n v="3338.8"/>
    <n v="3302.3867"/>
    <n v="3101.5767000000001"/>
    <x v="962"/>
    <n v="1.2157"/>
    <n v="1.5741000000000001"/>
    <n v="68.164900000000003"/>
    <n v="31.717600000000001"/>
    <n v="26.988399999999999"/>
    <n v="3412.5672"/>
    <n v="3171.7528000000002"/>
    <x v="0"/>
    <x v="1"/>
    <x v="979"/>
    <n v="786488"/>
    <n v="5586.2002000000002"/>
    <n v="3253.8"/>
    <n v="3364.3"/>
    <n v="75"/>
    <n v="258961"/>
    <s v="06-Jun-2025"/>
    <n v="3364.3"/>
    <n v="1"/>
    <n v="2025"/>
    <n v="-0.21"/>
    <m/>
  </r>
  <r>
    <x v="980"/>
    <n v="3332.1001000000001"/>
    <n v="3334.6001000000001"/>
    <n v="3290"/>
    <n v="3315.6001000000001"/>
    <n v="1887"/>
    <n v="3343.3571999999999"/>
    <n v="3301.0567000000001"/>
    <n v="3107.6489000000001"/>
    <x v="963"/>
    <n v="1.3782000000000001"/>
    <n v="1.5731999999999999"/>
    <n v="59.712899999999998"/>
    <n v="28.281400000000001"/>
    <n v="27.247"/>
    <n v="3413.8238000000001"/>
    <n v="3172.1561999999999"/>
    <x v="1"/>
    <x v="1"/>
    <x v="980"/>
    <n v="786407"/>
    <n v="5586.2002000000002"/>
    <n v="3253.8"/>
    <n v="3315.6001000000001"/>
    <n v="74"/>
    <n v="258880"/>
    <s v="09-Jun-2025"/>
    <n v="3315.6001000000001"/>
    <n v="1"/>
    <n v="2025"/>
    <n v="-1.45"/>
    <m/>
  </r>
  <r>
    <x v="981"/>
    <n v="3320.8998999999999"/>
    <n v="3344.3"/>
    <n v="3302"/>
    <n v="3302"/>
    <n v="65"/>
    <n v="3341.4857000000002"/>
    <n v="3301.64"/>
    <n v="3113.5322000000001"/>
    <x v="964"/>
    <n v="1.3406"/>
    <n v="1.5253000000000001"/>
    <n v="59.971200000000003"/>
    <n v="24.182099999999998"/>
    <n v="26.634"/>
    <n v="3413.9077000000002"/>
    <n v="3172.2022999999999"/>
    <x v="1"/>
    <x v="1"/>
    <x v="981"/>
    <n v="784520"/>
    <n v="5586.2002000000002"/>
    <n v="3253.8"/>
    <n v="3302"/>
    <n v="74"/>
    <n v="258880"/>
    <s v="10-Jun-2025"/>
    <n v="3302"/>
    <n v="1"/>
    <n v="2025"/>
    <n v="-0.41"/>
    <m/>
  </r>
  <r>
    <x v="982"/>
    <n v="3321.3"/>
    <n v="3356"/>
    <n v="3321.3"/>
    <n v="3328"/>
    <n v="2106"/>
    <n v="3345.9286000000002"/>
    <n v="3301.24"/>
    <n v="3119.0767000000001"/>
    <x v="965"/>
    <n v="1.3526"/>
    <n v="1.5001"/>
    <n v="54.703600000000002"/>
    <n v="22.768899999999999"/>
    <n v="25.861000000000001"/>
    <n v="3416.0949000000001"/>
    <n v="3179.6151"/>
    <x v="0"/>
    <x v="1"/>
    <x v="982"/>
    <n v="784455"/>
    <n v="5586.2002000000002"/>
    <n v="3253.8"/>
    <n v="3328"/>
    <n v="74"/>
    <n v="258880"/>
    <s v="11-Jun-2025"/>
    <n v="3328"/>
    <n v="1"/>
    <n v="2025"/>
    <n v="0.79"/>
    <m/>
  </r>
  <r>
    <x v="983"/>
    <n v="3380.8998999999999"/>
    <n v="3395.8998999999999"/>
    <n v="3353.3998999999999"/>
    <n v="3363"/>
    <n v="1818"/>
    <n v="3342.7714000000001"/>
    <n v="3302.7166999999999"/>
    <n v="3125.13"/>
    <x v="966"/>
    <n v="0.91390000000000005"/>
    <n v="1.5071000000000001"/>
    <n v="54.838700000000003"/>
    <n v="24.194199999999999"/>
    <n v="25.5276"/>
    <n v="3421.8739999999998"/>
    <n v="3186.8359999999998"/>
    <x v="1"/>
    <x v="1"/>
    <x v="983"/>
    <n v="782349"/>
    <n v="5586.2002000000002"/>
    <n v="3253.8"/>
    <n v="3363"/>
    <n v="73"/>
    <n v="256774"/>
    <s v="12-Jun-2025"/>
    <n v="3363"/>
    <n v="1"/>
    <n v="2025"/>
    <n v="1.05"/>
    <m/>
  </r>
  <r>
    <x v="984"/>
    <n v="3431.2"/>
    <n v="3444"/>
    <n v="3407.3"/>
    <n v="3407.3"/>
    <n v="499"/>
    <n v="3350.2429000000002"/>
    <n v="3307.1967"/>
    <n v="3131.5711000000001"/>
    <x v="967"/>
    <n v="0.97099999999999997"/>
    <n v="1.4988999999999999"/>
    <n v="59.612099999999998"/>
    <n v="28.569099999999999"/>
    <n v="26.135899999999999"/>
    <n v="3419.1466"/>
    <n v="3215.1934000000001"/>
    <x v="1"/>
    <x v="1"/>
    <x v="984"/>
    <n v="780531"/>
    <n v="5586.2002000000002"/>
    <n v="3253.8"/>
    <n v="3407.3"/>
    <n v="73"/>
    <n v="256774"/>
    <s v="13-Jun-2025"/>
    <n v="3407.3"/>
    <n v="1"/>
    <n v="2025"/>
    <n v="1.32"/>
    <m/>
  </r>
  <r>
    <x v="985"/>
    <n v="3396.3998999999999"/>
    <n v="3442"/>
    <n v="3385.3998999999999"/>
    <n v="3442"/>
    <n v="480"/>
    <n v="3360.3143"/>
    <n v="3313.9333000000001"/>
    <n v="3138.1489000000001"/>
    <x v="968"/>
    <n v="1.0145"/>
    <n v="1.4907999999999999"/>
    <n v="62.3673"/>
    <n v="34.439300000000003"/>
    <n v="27.796600000000002"/>
    <n v="3435.1747999999998"/>
    <n v="3220.5952000000002"/>
    <x v="0"/>
    <x v="1"/>
    <x v="985"/>
    <n v="780032"/>
    <n v="5586.2002000000002"/>
    <n v="3253.8"/>
    <n v="3442"/>
    <n v="73"/>
    <n v="256774"/>
    <s v="16-Jun-2025"/>
    <n v="3442"/>
    <n v="1"/>
    <n v="2025"/>
    <n v="1.02"/>
    <m/>
  </r>
  <r>
    <x v="986"/>
    <n v="3386.6001000000001"/>
    <n v="3398.3"/>
    <n v="3376.1001000000001"/>
    <n v="3398.3"/>
    <n v="1477"/>
    <n v="3365.1714999999999"/>
    <n v="3319.12"/>
    <n v="3144.0722000000001"/>
    <x v="969"/>
    <n v="1.1702999999999999"/>
    <n v="1.5150999999999999"/>
    <n v="61.698300000000003"/>
    <n v="35.1599"/>
    <n v="29.269300000000001"/>
    <n v="3438.2186000000002"/>
    <n v="3233.9414999999999"/>
    <x v="0"/>
    <x v="1"/>
    <x v="986"/>
    <n v="779552"/>
    <n v="5586.2002000000002"/>
    <n v="3253.8"/>
    <n v="3398.3"/>
    <n v="72"/>
    <n v="256294"/>
    <s v="17-Jun-2025"/>
    <n v="3398.3"/>
    <n v="1"/>
    <n v="2025"/>
    <n v="-1.27"/>
    <m/>
  </r>
  <r>
    <x v="987"/>
    <n v="3389.8"/>
    <n v="3391.8998999999999"/>
    <n v="3365.1001000000001"/>
    <n v="3385.3"/>
    <n v="0"/>
    <n v="3375.1286"/>
    <n v="3319.78"/>
    <n v="3149.91"/>
    <x v="970"/>
    <n v="0.98209999999999997"/>
    <n v="1.3543000000000001"/>
    <n v="61.273899999999998"/>
    <n v="34.286700000000003"/>
    <n v="30.2728"/>
    <n v="3432.5162999999998"/>
    <n v="3256.2737000000002"/>
    <x v="1"/>
    <x v="1"/>
    <x v="987"/>
    <n v="778075"/>
    <n v="5586.2002000000002"/>
    <n v="3253.8"/>
    <n v="3385.3"/>
    <n v="71"/>
    <n v="254817"/>
    <s v="18-Jun-2025"/>
    <n v="3385.3"/>
    <n v="1"/>
    <n v="2025"/>
    <n v="-0.38"/>
    <m/>
  </r>
  <r>
    <x v="988"/>
    <n v="3368.1001000000001"/>
    <n v="3372.8998999999999"/>
    <n v="3341"/>
    <n v="3350"/>
    <n v="709"/>
    <n v="3381.9857000000002"/>
    <n v="3317.49"/>
    <n v="3155.3078"/>
    <x v="971"/>
    <n v="1.0825"/>
    <n v="1.3351999999999999"/>
    <n v="53.839399999999998"/>
    <n v="30.396000000000001"/>
    <n v="30.2974"/>
    <n v="3432.0234999999998"/>
    <n v="3262.4265999999998"/>
    <x v="1"/>
    <x v="1"/>
    <x v="988"/>
    <n v="778075"/>
    <n v="5586.2002000000002"/>
    <n v="3253.8"/>
    <n v="3350"/>
    <n v="71"/>
    <n v="254817"/>
    <s v="20-Jun-2025"/>
    <n v="3350"/>
    <n v="1"/>
    <n v="2025"/>
    <n v="-1.04"/>
    <m/>
  </r>
  <r>
    <x v="989"/>
    <n v="3377.7"/>
    <n v="3387.8998999999999"/>
    <n v="3350"/>
    <n v="3365.8998999999999"/>
    <n v="30"/>
    <n v="3387.4"/>
    <n v="3316.6867000000002"/>
    <n v="3160.2011000000002"/>
    <x v="972"/>
    <n v="1.0609999999999999"/>
    <n v="1.3303"/>
    <n v="57.629399999999997"/>
    <n v="28.269600000000001"/>
    <n v="29.8918"/>
    <n v="3433.8009999999999"/>
    <n v="3264.5091000000002"/>
    <x v="1"/>
    <x v="1"/>
    <x v="989"/>
    <n v="777366"/>
    <n v="5586.2002000000002"/>
    <n v="3253.8"/>
    <n v="3365.8998999999999"/>
    <n v="71"/>
    <n v="254817"/>
    <s v="23-Jun-2025"/>
    <n v="3365.8998999999999"/>
    <n v="1"/>
    <n v="2025"/>
    <n v="0.47"/>
    <m/>
  </r>
  <r>
    <x v="990"/>
    <n v="3317.3998999999999"/>
    <n v="3358"/>
    <n v="3301"/>
    <n v="3358"/>
    <n v="538"/>
    <n v="3386.6857"/>
    <n v="3318.6532999999999"/>
    <n v="3165.2678000000001"/>
    <x v="973"/>
    <n v="0.99129999999999996"/>
    <n v="1.2323999999999999"/>
    <n v="46.356499999999997"/>
    <n v="25.651299999999999"/>
    <n v="29.043700000000001"/>
    <n v="3434.7842000000001"/>
    <n v="3266.5259000000001"/>
    <x v="0"/>
    <x v="1"/>
    <x v="990"/>
    <n v="777336"/>
    <n v="5586.2002000000002"/>
    <n v="3253.8"/>
    <n v="3358"/>
    <n v="71"/>
    <n v="254817"/>
    <s v="24-Jun-2025"/>
    <n v="3358"/>
    <n v="1"/>
    <n v="2025"/>
    <n v="-0.23"/>
    <m/>
  </r>
  <r>
    <x v="991"/>
    <n v="3327.1001000000001"/>
    <n v="3331.2"/>
    <n v="3310.6001000000001"/>
    <n v="3321.6001000000001"/>
    <n v="373"/>
    <n v="3374.4429"/>
    <n v="3319.35"/>
    <n v="3169.8267000000001"/>
    <x v="974"/>
    <n v="0.85929999999999995"/>
    <n v="1.2502"/>
    <n v="45.584400000000002"/>
    <n v="20.4039"/>
    <n v="27.315799999999999"/>
    <n v="3434.8732"/>
    <n v="3265.3467999999998"/>
    <x v="1"/>
    <x v="1"/>
    <x v="991"/>
    <n v="776798"/>
    <n v="5586.2002000000002"/>
    <n v="3253.8"/>
    <n v="3321.6001000000001"/>
    <n v="70"/>
    <n v="254279"/>
    <s v="25-Jun-2025"/>
    <n v="3321.6001000000001"/>
    <n v="1"/>
    <n v="2025"/>
    <n v="-1.08"/>
    <m/>
  </r>
  <r>
    <x v="992"/>
    <n v="3333.5"/>
    <n v="3333.5"/>
    <n v="3332.3998999999999"/>
    <n v="3332.3998999999999"/>
    <n v="2058"/>
    <n v="3358.7856999999999"/>
    <n v="3322.6967"/>
    <n v="3174.2166999999999"/>
    <x v="975"/>
    <n v="0.69889999999999997"/>
    <n v="1.1856"/>
    <n v="44.7517"/>
    <n v="16.921700000000001"/>
    <n v="25.236999999999998"/>
    <n v="3433.0605"/>
    <n v="3271.0396000000001"/>
    <x v="1"/>
    <x v="1"/>
    <x v="992"/>
    <n v="776425"/>
    <n v="5586.2002000000002"/>
    <n v="3253.8"/>
    <n v="3332.3998999999999"/>
    <n v="70"/>
    <n v="254279"/>
    <s v="26-Jun-2025"/>
    <n v="3332.3998999999999"/>
    <n v="1"/>
    <n v="2025"/>
    <n v="0.33"/>
    <m/>
  </r>
  <r>
    <x v="993"/>
    <n v="3273.7"/>
    <n v="3318.7"/>
    <n v="3253.8"/>
    <n v="3318.7"/>
    <n v="284"/>
    <n v="3347.4142999999999"/>
    <n v="3325.5533"/>
    <n v="3179.1"/>
    <x v="976"/>
    <n v="0.60160000000000002"/>
    <n v="1.1894"/>
    <n v="43.984099999999998"/>
    <n v="12.9078"/>
    <n v="22.771100000000001"/>
    <n v="3429.9605999999999"/>
    <n v="3277.6395000000002"/>
    <x v="0"/>
    <x v="1"/>
    <x v="993"/>
    <n v="774367"/>
    <n v="5586.2002000000002"/>
    <n v="3253.8"/>
    <n v="3318.7"/>
    <n v="70"/>
    <n v="254279"/>
    <s v="27-Jun-2025"/>
    <n v="3318.7"/>
    <n v="1"/>
    <n v="2025"/>
    <n v="-0.41"/>
    <m/>
  </r>
  <r>
    <x v="994"/>
    <n v="3294.3998999999999"/>
    <n v="3306.8998999999999"/>
    <n v="3262"/>
    <n v="3265.8998999999999"/>
    <n v="1242"/>
    <n v="3330.3571000000002"/>
    <n v="3329.3833"/>
    <n v="3182.7354999999998"/>
    <x v="977"/>
    <n v="0.76749999999999996"/>
    <n v="1.1282000000000001"/>
    <n v="43.513399999999997"/>
    <n v="5.4039000000000001"/>
    <n v="19.297699999999999"/>
    <n v="3435.5198999999998"/>
    <n v="3267.1601000000001"/>
    <x v="1"/>
    <x v="1"/>
    <x v="994"/>
    <n v="774083"/>
    <n v="5586.2002000000002"/>
    <n v="3262"/>
    <n v="3265.8998999999999"/>
    <n v="69"/>
    <n v="253995"/>
    <s v="30-Jun-2025"/>
    <n v="3265.8998999999999"/>
    <n v="1"/>
    <n v="2025"/>
    <n v="-1.59"/>
    <m/>
  </r>
  <r>
    <x v="995"/>
    <n v="3336.7"/>
    <n v="3354.1001000000001"/>
    <n v="3310.1001000000001"/>
    <n v="3310.1001000000001"/>
    <n v="371"/>
    <n v="3324.6570999999999"/>
    <n v="3332.13"/>
    <n v="3186.7467000000001"/>
    <x v="978"/>
    <n v="0.99150000000000005"/>
    <n v="1.0676000000000001"/>
    <n v="50.978999999999999"/>
    <n v="2.9891000000000001"/>
    <n v="16.036000000000001"/>
    <n v="3434.5744"/>
    <n v="3269.4256"/>
    <x v="1"/>
    <x v="1"/>
    <x v="995"/>
    <n v="772841"/>
    <n v="5586.2002000000002"/>
    <n v="3263.8998999999999"/>
    <n v="3310.1001000000001"/>
    <n v="69"/>
    <n v="253995"/>
    <s v="01-Jul-2025"/>
    <n v="3310.1001000000001"/>
    <n v="1"/>
    <n v="2025"/>
    <n v="1.35"/>
    <m/>
  </r>
  <r>
    <x v="996"/>
    <n v="3348"/>
    <n v="3357.5"/>
    <n v="3329"/>
    <n v="3329"/>
    <n v="39"/>
    <n v="3319.3856999999998"/>
    <n v="3335.2833000000001"/>
    <n v="3191.0821999999998"/>
    <x v="979"/>
    <n v="1.0024999999999999"/>
    <n v="1.0710999999999999"/>
    <n v="50.122999999999998"/>
    <n v="2.5708000000000002"/>
    <n v="13.3429"/>
    <n v="3430.8413"/>
    <n v="3267.5486999999998"/>
    <x v="1"/>
    <x v="1"/>
    <x v="996"/>
    <n v="772470"/>
    <n v="5586.2002000000002"/>
    <n v="3263.8998999999999"/>
    <n v="3329"/>
    <n v="69"/>
    <n v="253995"/>
    <s v="02-Jul-2025"/>
    <n v="3329"/>
    <n v="1"/>
    <n v="2025"/>
    <n v="0.56999999999999995"/>
    <m/>
  </r>
  <r>
    <x v="997"/>
    <n v="3331.6001000000001"/>
    <n v="3362"/>
    <n v="3322.3"/>
    <n v="3362"/>
    <n v="0"/>
    <n v="3319.9571000000001"/>
    <n v="3340.05"/>
    <n v="3195.8478"/>
    <x v="698"/>
    <n v="1.0891999999999999"/>
    <n v="1.0771999999999999"/>
    <n v="49.876399999999997"/>
    <n v="4.8463000000000003"/>
    <n v="11.643599999999999"/>
    <n v="3431.3559"/>
    <n v="3267.7341000000001"/>
    <x v="0"/>
    <x v="1"/>
    <x v="997"/>
    <n v="772431"/>
    <n v="5586.2002000000002"/>
    <n v="3263.8998999999999"/>
    <n v="3362"/>
    <n v="69"/>
    <n v="253995"/>
    <s v="03-Jul-2025"/>
    <n v="3362"/>
    <n v="1"/>
    <n v="2025"/>
    <n v="0.99"/>
    <m/>
  </r>
  <r>
    <x v="998"/>
    <n v="3332.5"/>
    <n v="3342"/>
    <n v="3332.5"/>
    <n v="3342"/>
    <n v="0"/>
    <n v="3322.8714"/>
    <n v="3341.67"/>
    <n v="3200.3289"/>
    <x v="980"/>
    <n v="1.0199"/>
    <n v="1.0044999999999999"/>
    <n v="41.414700000000003"/>
    <n v="4.9783999999999997"/>
    <n v="10.310600000000001"/>
    <n v="3429.2757999999999"/>
    <n v="3266.8643000000002"/>
    <x v="0"/>
    <x v="1"/>
    <x v="998"/>
    <n v="772431"/>
    <n v="5586.2002000000002"/>
    <n v="3263.8998999999999"/>
    <n v="3342"/>
    <n v="68"/>
    <n v="253995"/>
    <s v="04-Jul-2025"/>
    <n v="3342"/>
    <n v="1"/>
    <n v="2025"/>
    <n v="-0.59"/>
    <m/>
  </r>
  <r>
    <x v="999"/>
    <n v="3332.2"/>
    <n v="3333.3"/>
    <n v="3299.2"/>
    <n v="3305.5"/>
    <n v="254"/>
    <n v="3319.0286000000001"/>
    <n v="3340.9432999999999"/>
    <n v="3204.6844000000001"/>
    <x v="981"/>
    <n v="1.1032"/>
    <n v="1.0081"/>
    <n v="32.138199999999998"/>
    <n v="2.1135000000000002"/>
    <n v="8.6712000000000007"/>
    <n v="3428.1001000000001"/>
    <n v="3262.1599000000001"/>
    <x v="1"/>
    <x v="1"/>
    <x v="999"/>
    <n v="772431"/>
    <n v="5586.2002000000002"/>
    <n v="3263.8998999999999"/>
    <n v="3305.5"/>
    <n v="67"/>
    <n v="253995"/>
    <s v="07-Jul-2025"/>
    <n v="3305.5"/>
    <n v="1"/>
    <n v="2025"/>
    <n v="-1.0900000000000001"/>
    <m/>
  </r>
  <r>
    <x v="1000"/>
    <n v="3307"/>
    <n v="3334.5"/>
    <n v="3287.6001000000001"/>
    <n v="3330.3998999999999"/>
    <n v="909"/>
    <n v="3320.7"/>
    <n v="3341.0232999999998"/>
    <n v="3209.2611000000002"/>
    <x v="982"/>
    <n v="1.1375"/>
    <n v="1.0178"/>
    <n v="40.655099999999997"/>
    <n v="1.8310999999999999"/>
    <n v="7.3030999999999997"/>
    <n v="3427.9908"/>
    <n v="3263.7492000000002"/>
    <x v="0"/>
    <x v="1"/>
    <x v="1000"/>
    <n v="772177"/>
    <n v="5586.2002000000002"/>
    <n v="3263.8998999999999"/>
    <n v="3330.3998999999999"/>
    <n v="67"/>
    <n v="253995"/>
    <s v="08-Jul-2025"/>
    <n v="3330.3998999999999"/>
    <n v="1"/>
    <n v="2025"/>
    <n v="0.75"/>
    <m/>
  </r>
  <r>
    <x v="1001"/>
    <n v="3311.6001000000001"/>
    <n v="3314"/>
    <n v="3282"/>
    <n v="3289.3998999999999"/>
    <n v="114"/>
    <n v="3324.0571"/>
    <n v="3339.5866999999998"/>
    <n v="3213.8422"/>
    <x v="983"/>
    <n v="1.0559000000000001"/>
    <n v="1.0422"/>
    <n v="37.745899999999999"/>
    <n v="-1.6816"/>
    <n v="5.5061999999999998"/>
    <n v="3428.9558000000002"/>
    <n v="3261.5241999999998"/>
    <x v="1"/>
    <x v="1"/>
    <x v="1001"/>
    <n v="771268"/>
    <n v="5586.2002000000002"/>
    <n v="3263.8998999999999"/>
    <n v="3289.3998999999999"/>
    <n v="66"/>
    <n v="253086"/>
    <s v="09-Jul-2025"/>
    <n v="3289.3998999999999"/>
    <n v="1"/>
    <n v="2025"/>
    <n v="-1.23"/>
    <m/>
  </r>
  <r>
    <x v="1002"/>
    <n v="3317.3998999999999"/>
    <n v="3330.5"/>
    <n v="3311.6001000000001"/>
    <n v="3323.6001000000001"/>
    <n v="209"/>
    <n v="3325.9857000000002"/>
    <n v="3340.5866999999998"/>
    <n v="3218.8521999999998"/>
    <x v="984"/>
    <n v="0.99929999999999997"/>
    <n v="1.0376000000000001"/>
    <n v="46.617100000000001"/>
    <n v="-1.6863999999999999"/>
    <n v="4.0677000000000003"/>
    <n v="3428.9494"/>
    <n v="3261.0906"/>
    <x v="0"/>
    <x v="1"/>
    <x v="1002"/>
    <n v="771154"/>
    <n v="5586.2002000000002"/>
    <n v="3263.8998999999999"/>
    <n v="3323.6001000000001"/>
    <n v="66"/>
    <n v="253086"/>
    <s v="10-Jul-2025"/>
    <n v="3323.6001000000001"/>
    <n v="1"/>
    <n v="2025"/>
    <n v="1.04"/>
    <m/>
  </r>
  <r>
    <x v="1003"/>
    <n v="3356"/>
    <n v="3370"/>
    <n v="3330.5"/>
    <n v="3330.5"/>
    <n v="776"/>
    <n v="3326.2"/>
    <n v="3342.1466999999998"/>
    <n v="3223.79"/>
    <x v="949"/>
    <n v="0.97770000000000001"/>
    <n v="1.0361"/>
    <n v="45.3568"/>
    <n v="-1.1205000000000001"/>
    <n v="3.03"/>
    <n v="3427.1167999999998"/>
    <n v="3259.6732000000002"/>
    <x v="1"/>
    <x v="1"/>
    <x v="1003"/>
    <n v="770945"/>
    <n v="5586.2002000000002"/>
    <n v="3263.8998999999999"/>
    <n v="3330.5"/>
    <n v="65"/>
    <n v="252877"/>
    <s v="11-Jul-2025"/>
    <n v="3330.5"/>
    <n v="1"/>
    <n v="2025"/>
    <n v="0.21"/>
    <m/>
  </r>
  <r>
    <x v="1004"/>
    <n v="3351.5"/>
    <n v="3375.5"/>
    <n v="3350"/>
    <n v="3367"/>
    <n v="583"/>
    <n v="3326.9142999999999"/>
    <n v="3343.8766999999998"/>
    <n v="3228.7932999999998"/>
    <x v="705"/>
    <n v="0.99590000000000001"/>
    <n v="1.0406"/>
    <n v="51.098100000000002"/>
    <n v="2.2473000000000001"/>
    <n v="2.8734999999999999"/>
    <n v="3420.4355999999998"/>
    <n v="3262.3243000000002"/>
    <x v="0"/>
    <x v="1"/>
    <x v="1004"/>
    <n v="770169"/>
    <n v="5586.2002000000002"/>
    <n v="3263.8998999999999"/>
    <n v="3367"/>
    <n v="65"/>
    <n v="252877"/>
    <s v="14-Jul-2025"/>
    <n v="3367"/>
    <n v="1"/>
    <n v="2025"/>
    <n v="1.1000000000000001"/>
    <m/>
  </r>
  <r>
    <x v="1005"/>
    <n v="3329.8"/>
    <n v="3341"/>
    <n v="3329.8"/>
    <n v="3341"/>
    <n v="210"/>
    <n v="3326.7714000000001"/>
    <n v="3345.3467000000001"/>
    <n v="3233.6489000000001"/>
    <x v="985"/>
    <n v="1.0163"/>
    <n v="1.0459000000000001"/>
    <n v="52.428600000000003"/>
    <n v="2.7863000000000002"/>
    <n v="2.8561000000000001"/>
    <n v="3399.6624000000002"/>
    <n v="3272.9974999999999"/>
    <x v="0"/>
    <x v="1"/>
    <x v="1005"/>
    <n v="769586"/>
    <n v="5586.2002000000002"/>
    <n v="3263.8998999999999"/>
    <n v="3341"/>
    <n v="64"/>
    <n v="252294"/>
    <s v="15-Jul-2025"/>
    <n v="3341"/>
    <n v="1"/>
    <n v="2025"/>
    <n v="-0.77"/>
    <m/>
  </r>
  <r>
    <x v="1006"/>
    <n v="3352.5"/>
    <n v="3352.8998999999999"/>
    <n v="3329.5"/>
    <n v="3341.2"/>
    <n v="10"/>
    <n v="3331.8714"/>
    <n v="3343.8833"/>
    <n v="3238.5410999999999"/>
    <x v="986"/>
    <n v="0.89739999999999998"/>
    <n v="0.92090000000000005"/>
    <n v="51.131700000000002"/>
    <n v="3.1926999999999999"/>
    <n v="2.9234"/>
    <n v="3389.8060999999998"/>
    <n v="3277.1439"/>
    <x v="1"/>
    <x v="1"/>
    <x v="1006"/>
    <n v="769376"/>
    <n v="5586.2002000000002"/>
    <n v="3263.8998999999999"/>
    <n v="3341.2"/>
    <n v="63"/>
    <n v="252084"/>
    <s v="16-Jul-2025"/>
    <n v="3341.2"/>
    <n v="1"/>
    <n v="2025"/>
    <n v="0.01"/>
    <m/>
  </r>
  <r>
    <x v="1007"/>
    <n v="3340.1001000000001"/>
    <n v="3340.8"/>
    <n v="3313.8"/>
    <n v="3313.8"/>
    <n v="667"/>
    <n v="3329.5"/>
    <n v="3342.51"/>
    <n v="3243.0266999999999"/>
    <x v="987"/>
    <n v="0.91990000000000005"/>
    <n v="0.91879999999999995"/>
    <n v="49.391300000000001"/>
    <n v="1.2889999999999999"/>
    <n v="2.5964999999999998"/>
    <n v="3381.2365"/>
    <n v="3278.5635000000002"/>
    <x v="1"/>
    <x v="1"/>
    <x v="1007"/>
    <n v="769366"/>
    <n v="5586.2002000000002"/>
    <n v="3263.8998999999999"/>
    <n v="3313.8"/>
    <n v="63"/>
    <n v="252084"/>
    <s v="17-Jul-2025"/>
    <n v="3313.8"/>
    <n v="1"/>
    <n v="2025"/>
    <n v="-0.82"/>
    <m/>
  </r>
  <r>
    <x v="1008"/>
    <n v="3353"/>
    <n v="3353"/>
    <n v="3338.2"/>
    <n v="3338.2"/>
    <n v="602"/>
    <n v="3336.4713999999999"/>
    <n v="3341.4"/>
    <n v="3248.0689000000002"/>
    <x v="988"/>
    <n v="0.79769999999999996"/>
    <n v="0.92469999999999997"/>
    <n v="59.663200000000003"/>
    <n v="1.7292000000000001"/>
    <n v="2.4230999999999998"/>
    <n v="3379.9402"/>
    <n v="3278.6797999999999"/>
    <x v="1"/>
    <x v="1"/>
    <x v="1008"/>
    <n v="768699"/>
    <n v="5586.2002000000002"/>
    <n v="3263.8998999999999"/>
    <n v="3338.2"/>
    <n v="63"/>
    <n v="252084"/>
    <s v="18-Jul-2025"/>
    <n v="3338.2"/>
    <n v="1"/>
    <n v="2025"/>
    <n v="0.74"/>
    <m/>
  </r>
  <r>
    <x v="1009"/>
    <n v="3401.8998999999999"/>
    <n v="3411.7"/>
    <n v="3350.3"/>
    <n v="3350.3"/>
    <n v="53"/>
    <n v="3340.2856999999999"/>
    <n v="3340.9333000000001"/>
    <n v="3252.9389000000001"/>
    <x v="989"/>
    <n v="0.71779999999999999"/>
    <n v="0.92669999999999997"/>
    <n v="55.877200000000002"/>
    <n v="3.0196999999999998"/>
    <n v="2.5424000000000002"/>
    <n v="3377.2305999999999"/>
    <n v="3279.8294000000001"/>
    <x v="1"/>
    <x v="1"/>
    <x v="1009"/>
    <n v="768097"/>
    <n v="5586.2002000000002"/>
    <n v="3263.8998999999999"/>
    <n v="3350.3"/>
    <n v="63"/>
    <n v="252084"/>
    <s v="21-Jul-2025"/>
    <n v="3350.3"/>
    <n v="1"/>
    <n v="2025"/>
    <n v="0.36"/>
    <m/>
  </r>
  <r>
    <x v="1010"/>
    <n v="3439.2"/>
    <n v="3441"/>
    <n v="3395.6001000000001"/>
    <n v="3411"/>
    <n v="39"/>
    <n v="3351.7856999999999"/>
    <n v="3344.1133"/>
    <n v="3258.2044000000001"/>
    <x v="990"/>
    <n v="0.96519999999999995"/>
    <n v="0.94320000000000004"/>
    <n v="60.682699999999997"/>
    <n v="8.8384999999999998"/>
    <n v="3.8016000000000001"/>
    <n v="3391.1066000000001"/>
    <n v="3271.2534000000001"/>
    <x v="1"/>
    <x v="1"/>
    <x v="1010"/>
    <n v="768044"/>
    <n v="5586.2002000000002"/>
    <n v="3263.8998999999999"/>
    <n v="3411"/>
    <n v="63"/>
    <n v="252084"/>
    <s v="22-Jul-2025"/>
    <n v="3411"/>
    <n v="1"/>
    <n v="2025"/>
    <n v="1.81"/>
    <m/>
  </r>
  <r>
    <x v="1011"/>
    <n v="3394.1001000000001"/>
    <n v="3433.8998999999999"/>
    <n v="3388.1001000000001"/>
    <n v="3430.3"/>
    <n v="63"/>
    <n v="3360.8285999999998"/>
    <n v="3348.39"/>
    <n v="3263.0477999999998"/>
    <x v="991"/>
    <n v="0.91600000000000004"/>
    <n v="0.94189999999999996"/>
    <n v="59.227200000000003"/>
    <n v="14.8362"/>
    <n v="6.0084999999999997"/>
    <n v="3410.8838999999998"/>
    <n v="3262.346"/>
    <x v="0"/>
    <x v="1"/>
    <x v="1011"/>
    <n v="768005"/>
    <n v="5586.2002000000002"/>
    <n v="3263.8998999999999"/>
    <n v="3430.3"/>
    <n v="63"/>
    <n v="252084"/>
    <s v="23-Jul-2025"/>
    <n v="3430.3"/>
    <n v="1"/>
    <n v="2025"/>
    <n v="0.56999999999999995"/>
    <m/>
  </r>
  <r>
    <x v="1012"/>
    <n v="3371"/>
    <n v="3371"/>
    <n v="3367"/>
    <n v="3367"/>
    <n v="1175"/>
    <n v="3364.5428999999999"/>
    <n v="3349.69"/>
    <n v="3267.2255"/>
    <x v="992"/>
    <n v="1.1732"/>
    <n v="0.99950000000000006"/>
    <n v="53.023699999999998"/>
    <n v="14.316700000000001"/>
    <n v="7.6702000000000004"/>
    <n v="3413.8029000000001"/>
    <n v="3262.8870000000002"/>
    <x v="1"/>
    <x v="1"/>
    <x v="1012"/>
    <n v="767942"/>
    <n v="5586.2002000000002"/>
    <n v="3263.8998999999999"/>
    <n v="3367"/>
    <n v="62"/>
    <n v="252021"/>
    <s v="24-Jul-2025"/>
    <n v="3367"/>
    <n v="1"/>
    <n v="2025"/>
    <n v="-1.85"/>
    <m/>
  </r>
  <r>
    <x v="1013"/>
    <n v="3334"/>
    <n v="3345"/>
    <n v="3326.5"/>
    <n v="3344"/>
    <n v="67"/>
    <n v="3364.9429"/>
    <n v="3349.0567000000001"/>
    <n v="3270.9767000000002"/>
    <x v="993"/>
    <n v="1.2122999999999999"/>
    <n v="0.98929999999999996"/>
    <n v="54.813699999999997"/>
    <n v="11.9117"/>
    <n v="8.5184999999999995"/>
    <n v="3414.5275999999999"/>
    <n v="3264.6923999999999"/>
    <x v="0"/>
    <x v="1"/>
    <x v="1013"/>
    <n v="766767"/>
    <n v="5586.2002000000002"/>
    <n v="3263.8998999999999"/>
    <n v="3344"/>
    <n v="62"/>
    <n v="252021"/>
    <s v="25-Jul-2025"/>
    <n v="3344"/>
    <n v="1"/>
    <n v="2025"/>
    <n v="-0.68"/>
    <m/>
  </r>
  <r>
    <x v="1014"/>
    <n v="3309.1001000000001"/>
    <n v="3326.8"/>
    <n v="3309.1001000000001"/>
    <n v="3326.6001000000001"/>
    <n v="533"/>
    <n v="3366.7714000000001"/>
    <n v="3346.3667"/>
    <n v="3274.2143999999998"/>
    <x v="994"/>
    <n v="1.1827000000000001"/>
    <n v="0.96050000000000002"/>
    <n v="49.515799999999999"/>
    <n v="8.5037000000000003"/>
    <n v="8.5154999999999994"/>
    <n v="3409.4706999999999"/>
    <n v="3275.8193000000001"/>
    <x v="0"/>
    <x v="1"/>
    <x v="1014"/>
    <n v="766700"/>
    <n v="5586.2002000000002"/>
    <n v="3263.8998999999999"/>
    <n v="3326.6001000000001"/>
    <n v="61"/>
    <n v="251954"/>
    <s v="28-Jul-2025"/>
    <n v="3326.6001000000001"/>
    <n v="1"/>
    <n v="2025"/>
    <n v="-0.52"/>
    <m/>
  </r>
  <r>
    <x v="1015"/>
    <n v="3323.3998999999999"/>
    <n v="3323.3998999999999"/>
    <n v="3323.3998999999999"/>
    <n v="3323.3998999999999"/>
    <n v="113144"/>
    <n v="3364.6572000000001"/>
    <n v="3342.4133000000002"/>
    <n v="3277.2822000000001"/>
    <x v="995"/>
    <n v="1.1447000000000001"/>
    <n v="0.93810000000000004"/>
    <n v="54.7941"/>
    <n v="5.4813999999999998"/>
    <n v="7.9086999999999996"/>
    <n v="3409.0275999999999"/>
    <n v="3277.5924"/>
    <x v="1"/>
    <x v="1"/>
    <x v="1015"/>
    <n v="766167"/>
    <n v="5586.2002000000002"/>
    <n v="3263.8998999999999"/>
    <n v="3323.3998999999999"/>
    <n v="60"/>
    <n v="251421"/>
    <s v="29-Jul-2025"/>
    <n v="3323.3998999999999"/>
    <n v="1"/>
    <n v="2025"/>
    <n v="-0.1"/>
    <m/>
  </r>
  <r>
    <x v="1016"/>
    <n v="3295.8"/>
    <n v="3331.8"/>
    <n v="3263.8998999999999"/>
    <n v="3325.8"/>
    <n v="19252"/>
    <n v="3361.1572000000001"/>
    <n v="3339.9967000000001"/>
    <n v="3280.5189"/>
    <x v="996"/>
    <n v="1.1322000000000001"/>
    <n v="0.91259999999999997"/>
    <n v="50.340800000000002"/>
    <n v="3.2425999999999999"/>
    <n v="6.9755000000000003"/>
    <n v="3409.0295999999998"/>
    <n v="3277.2703999999999"/>
    <x v="0"/>
    <x v="1"/>
    <x v="1016"/>
    <n v="653023"/>
    <n v="5586.2002000000002"/>
    <n v="3263.8998999999999"/>
    <n v="3325.8"/>
    <n v="60"/>
    <n v="251421"/>
    <s v="30-Jul-2025"/>
    <n v="3325.8"/>
    <n v="1"/>
    <n v="2025"/>
    <n v="7.0000000000000007E-2"/>
    <m/>
  </r>
  <r>
    <x v="1017"/>
    <n v="3293.2"/>
    <n v="3312"/>
    <n v="3272.8998999999999"/>
    <n v="3272.8998999999999"/>
    <n v="3704"/>
    <n v="3341.4286000000002"/>
    <n v="3336.25"/>
    <n v="3283.2811000000002"/>
    <x v="997"/>
    <n v="0.87639999999999996"/>
    <n v="0.95279999999999998"/>
    <n v="42.190899999999999"/>
    <n v="-2.7685"/>
    <n v="5.0266999999999999"/>
    <n v="3410.9495000000002"/>
    <n v="3266.4404"/>
    <x v="1"/>
    <x v="1"/>
    <x v="1017"/>
    <n v="633771"/>
    <n v="5586.2002000000002"/>
    <n v="3272.8998999999999"/>
    <n v="3272.8998999999999"/>
    <n v="59"/>
    <n v="232169"/>
    <s v="31-Jul-2025"/>
    <n v="3272.8998999999999"/>
    <n v="1"/>
    <n v="2025"/>
    <n v="-1.59"/>
    <m/>
  </r>
  <r>
    <x v="1018"/>
    <n v="3347.7"/>
    <n v="3360.6001000000001"/>
    <n v="3281"/>
    <n v="3286.2"/>
    <n v="3420"/>
    <n v="3320.8427999999999"/>
    <n v="3334.1233000000002"/>
    <n v="3286.1678000000002"/>
    <x v="998"/>
    <n v="0.84289999999999998"/>
    <n v="0.94040000000000001"/>
    <n v="38.310200000000002"/>
    <n v="-6.3853999999999997"/>
    <n v="2.7443"/>
    <n v="3411.8377999999998"/>
    <n v="3259.9721"/>
    <x v="1"/>
    <x v="1"/>
    <x v="1018"/>
    <n v="630067"/>
    <n v="5586.2002000000002"/>
    <n v="3281"/>
    <n v="3286.2"/>
    <n v="59"/>
    <n v="232169"/>
    <s v="01-Aug-2025"/>
    <n v="3286.2"/>
    <n v="1"/>
    <n v="2025"/>
    <n v="0.41"/>
    <m/>
  </r>
  <r>
    <x v="1019"/>
    <n v="3374.3998999999999"/>
    <n v="3386.5"/>
    <n v="3347.3998999999999"/>
    <n v="3367.6001000000001"/>
    <n v="351"/>
    <n v="3320.9286000000002"/>
    <n v="3334.18"/>
    <n v="3289.8833"/>
    <x v="999"/>
    <n v="1.2637"/>
    <n v="1.0448999999999999"/>
    <n v="53.316699999999997"/>
    <n v="-2.653"/>
    <n v="1.6648000000000001"/>
    <n v="3414.7865000000002"/>
    <n v="3263.2334999999998"/>
    <x v="1"/>
    <x v="1"/>
    <x v="1019"/>
    <n v="626647"/>
    <n v="5586.2002000000002"/>
    <n v="3310.1001000000001"/>
    <n v="3367.6001000000001"/>
    <n v="59"/>
    <n v="232169"/>
    <s v="04-Aug-2025"/>
    <n v="3367.6001000000001"/>
    <n v="1"/>
    <n v="2025"/>
    <n v="2.48"/>
    <m/>
  </r>
  <r>
    <x v="1020"/>
    <n v="3381.8998999999999"/>
    <n v="3387.2"/>
    <n v="3351.2"/>
    <n v="3378.5"/>
    <n v="915"/>
    <n v="3325.8571000000002"/>
    <n v="3334.8633"/>
    <n v="3293.8054999999999"/>
    <x v="1000"/>
    <n v="1.2285999999999999"/>
    <n v="1.0454000000000001"/>
    <n v="54.53"/>
    <n v="1.171"/>
    <n v="1.5660000000000001"/>
    <n v="3419.0708"/>
    <n v="3263.7592"/>
    <x v="1"/>
    <x v="1"/>
    <x v="1020"/>
    <n v="626296"/>
    <n v="5586.2002000000002"/>
    <n v="3310.1001000000001"/>
    <n v="3378.5"/>
    <n v="59"/>
    <n v="232169"/>
    <s v="05-Aug-2025"/>
    <n v="3378.5"/>
    <n v="1"/>
    <n v="2025"/>
    <n v="0.32"/>
    <m/>
  </r>
  <r>
    <x v="1021"/>
    <n v="3380"/>
    <n v="3383.3"/>
    <n v="3361.3"/>
    <n v="3380.7"/>
    <n v="1492"/>
    <n v="3333.5857000000001"/>
    <n v="3336.8332999999998"/>
    <n v="3297.2611000000002"/>
    <x v="1001"/>
    <n v="1.1946000000000001"/>
    <n v="1.0242"/>
    <n v="58.654600000000002"/>
    <n v="4.3292000000000002"/>
    <n v="2.1187"/>
    <n v="3421.4650000000001"/>
    <n v="3270.4949999999999"/>
    <x v="0"/>
    <x v="1"/>
    <x v="1021"/>
    <n v="625381"/>
    <n v="5586.2002000000002"/>
    <n v="3310.1001000000001"/>
    <n v="3380.7"/>
    <n v="59"/>
    <n v="232169"/>
    <s v="06-Aug-2025"/>
    <n v="3380.7"/>
    <n v="1"/>
    <n v="2025"/>
    <n v="7.0000000000000007E-2"/>
    <m/>
  </r>
  <r>
    <x v="1022"/>
    <n v="3400.3"/>
    <n v="3422.8998999999999"/>
    <n v="3384.8998999999999"/>
    <n v="3384.8998999999999"/>
    <n v="5464"/>
    <n v="3342.3714"/>
    <n v="3338.5832999999998"/>
    <n v="3300.5266999999999"/>
    <x v="1002"/>
    <n v="1.1872"/>
    <n v="1.0230999999999999"/>
    <n v="56.374499999999998"/>
    <n v="7.0891999999999999"/>
    <n v="3.1128"/>
    <n v="3425.6732000000002"/>
    <n v="3272.4168"/>
    <x v="1"/>
    <x v="1"/>
    <x v="1022"/>
    <n v="623889"/>
    <n v="5586.2002000000002"/>
    <n v="3310.1001000000001"/>
    <n v="3384.8998999999999"/>
    <n v="58"/>
    <n v="230677"/>
    <s v="07-Aug-2025"/>
    <n v="3384.8998999999999"/>
    <n v="1"/>
    <n v="2025"/>
    <n v="0.12"/>
    <m/>
  </r>
  <r>
    <x v="1023"/>
    <n v="3439.1001000000001"/>
    <n v="3477"/>
    <n v="3402.5"/>
    <n v="3438.8"/>
    <n v="7657"/>
    <n v="3358.5142999999998"/>
    <n v="3342.5866999999998"/>
    <n v="3303.9611"/>
    <x v="1003"/>
    <n v="1.2806999999999999"/>
    <n v="1.0563"/>
    <n v="60.8429"/>
    <n v="13.470599999999999"/>
    <n v="5.1843000000000004"/>
    <n v="3440.3204000000001"/>
    <n v="3268.5996"/>
    <x v="1"/>
    <x v="1"/>
    <x v="1023"/>
    <n v="618425"/>
    <n v="5586.2002000000002"/>
    <n v="3310.1001000000001"/>
    <n v="3438.8"/>
    <n v="58"/>
    <n v="230677"/>
    <s v="08-Aug-2025"/>
    <n v="3438.8"/>
    <n v="1"/>
    <n v="2025"/>
    <n v="1.59"/>
    <m/>
  </r>
  <r>
    <x v="1024"/>
    <n v="3353.1001000000001"/>
    <n v="3383.8998999999999"/>
    <n v="3349.2"/>
    <n v="3383.8998999999999"/>
    <n v="1488"/>
    <n v="3374.3714"/>
    <n v="3346.52"/>
    <n v="3306.8854999999999"/>
    <x v="1004"/>
    <n v="1.2823"/>
    <n v="1.0566"/>
    <n v="46.631900000000002"/>
    <n v="13.937200000000001"/>
    <n v="6.9348999999999998"/>
    <n v="3442.0135"/>
    <n v="3268.5965000000001"/>
    <x v="0"/>
    <x v="1"/>
    <x v="1024"/>
    <n v="610768"/>
    <n v="5586.2002000000002"/>
    <n v="3310.1001000000001"/>
    <n v="3383.8998999999999"/>
    <n v="58"/>
    <n v="230677"/>
    <s v="11-Aug-2025"/>
    <n v="3383.8998999999999"/>
    <n v="1"/>
    <n v="2025"/>
    <n v="-1.6"/>
    <m/>
  </r>
  <r>
    <x v="1025"/>
    <n v="3348.8998999999999"/>
    <n v="3356.2"/>
    <n v="3330.1001000000001"/>
    <n v="3356.2"/>
    <n v="1611"/>
    <n v="3384.3714"/>
    <n v="3348.0567000000001"/>
    <n v="3309.1767"/>
    <x v="1005"/>
    <n v="1.375"/>
    <n v="1.0438000000000001"/>
    <n v="40.9788"/>
    <n v="11.9343"/>
    <n v="7.9348000000000001"/>
    <n v="3442.5115999999998"/>
    <n v="3269.6183999999998"/>
    <x v="0"/>
    <x v="1"/>
    <x v="1025"/>
    <n v="609280"/>
    <n v="5586.2002000000002"/>
    <n v="3310.1001000000001"/>
    <n v="3356.2"/>
    <n v="57"/>
    <n v="229189"/>
    <s v="12-Aug-2025"/>
    <n v="3356.2"/>
    <n v="1"/>
    <n v="2025"/>
    <n v="-0.82"/>
    <m/>
  </r>
  <r>
    <x v="1026"/>
    <n v="3358.7"/>
    <n v="3363.3998999999999"/>
    <n v="3358.7"/>
    <n v="3358.8"/>
    <n v="1011"/>
    <n v="3383.1143000000002"/>
    <n v="3349.05"/>
    <n v="3311.9355"/>
    <x v="1006"/>
    <n v="0.98970000000000002"/>
    <n v="1.0391999999999999"/>
    <n v="48.828600000000002"/>
    <n v="10.436500000000001"/>
    <n v="8.4351000000000003"/>
    <n v="3443.1124"/>
    <n v="3270.7775999999999"/>
    <x v="0"/>
    <x v="1"/>
    <x v="1026"/>
    <n v="607669"/>
    <n v="5586.2002000000002"/>
    <n v="3310.1001000000001"/>
    <n v="3358.8"/>
    <n v="56"/>
    <n v="227578"/>
    <s v="13-Aug-2025"/>
    <n v="3358.8"/>
    <n v="1"/>
    <n v="2025"/>
    <n v="0.08"/>
    <m/>
  </r>
  <r>
    <x v="1027"/>
    <n v="3335.2"/>
    <n v="3356"/>
    <n v="3328.8998999999999"/>
    <n v="3346.8"/>
    <n v="592"/>
    <n v="3378.5857000000001"/>
    <n v="3348.5432999999998"/>
    <n v="3315.6066999999998"/>
    <x v="1007"/>
    <n v="0.98219999999999996"/>
    <n v="1.0255000000000001"/>
    <n v="50.412999999999997"/>
    <n v="8.1867999999999999"/>
    <n v="8.3855000000000004"/>
    <n v="3442.5183000000002"/>
    <n v="3274.6716999999999"/>
    <x v="0"/>
    <x v="1"/>
    <x v="1027"/>
    <n v="606658"/>
    <n v="5586.2002000000002"/>
    <n v="3310.1001000000001"/>
    <n v="3346.8"/>
    <n v="55"/>
    <n v="226567"/>
    <s v="14-Aug-2025"/>
    <n v="3346.8"/>
    <n v="1"/>
    <n v="2025"/>
    <n v="-0.36"/>
    <m/>
  </r>
  <r>
    <x v="1028"/>
    <n v="3336"/>
    <n v="3346.8"/>
    <n v="3335.8998999999999"/>
    <n v="3346.8"/>
    <n v="1185"/>
    <n v="3373.7429000000002"/>
    <n v="3348.7033000000001"/>
    <n v="3319.5266999999999"/>
    <x v="381"/>
    <n v="0.98040000000000005"/>
    <n v="1.0195000000000001"/>
    <n v="53.140500000000003"/>
    <n v="6.3308999999999997"/>
    <n v="7.9744999999999999"/>
    <n v="3442.5956999999999"/>
    <n v="3275.4542999999999"/>
    <x v="0"/>
    <x v="1"/>
    <x v="1028"/>
    <n v="606066"/>
    <n v="5586.2002000000002"/>
    <n v="3310.1001000000001"/>
    <n v="3346.8"/>
    <n v="54"/>
    <n v="225975"/>
    <s v="15-Aug-2025"/>
    <n v="3346.8"/>
    <n v="1"/>
    <n v="2025"/>
    <n v="0"/>
    <m/>
  </r>
  <r>
    <x v="1029"/>
    <n v="3331.7"/>
    <n v="3347.8"/>
    <n v="3331.7"/>
    <n v="3333.5"/>
    <n v="646"/>
    <n v="3366.4"/>
    <n v="3349.6367"/>
    <n v="3323.6122"/>
    <x v="1008"/>
    <n v="0.9768"/>
    <n v="1.0014000000000001"/>
    <n v="51.522500000000001"/>
    <n v="3.7437"/>
    <n v="7.1284000000000001"/>
    <n v="3442.4596999999999"/>
    <n v="3273.9101999999998"/>
    <x v="0"/>
    <x v="1"/>
    <x v="1029"/>
    <n v="604881"/>
    <n v="5586.2002000000002"/>
    <n v="3310.1001000000001"/>
    <n v="3333.5"/>
    <n v="53"/>
    <n v="224790"/>
    <s v="18-Aug-2025"/>
    <n v="3333.5"/>
    <n v="1"/>
    <n v="2025"/>
    <n v="-0.4"/>
    <m/>
  </r>
  <r>
    <x v="1030"/>
    <n v="3313.3998999999999"/>
    <n v="3343.5"/>
    <n v="3313.3998999999999"/>
    <n v="3330.2"/>
    <n v="1655"/>
    <n v="3350.8856999999998"/>
    <n v="3349.63"/>
    <n v="3326.46"/>
    <x v="1009"/>
    <n v="0.5867"/>
    <n v="0.99229999999999996"/>
    <n v="50.6614"/>
    <n v="1.4108000000000001"/>
    <n v="5.9848999999999997"/>
    <n v="3435.4539"/>
    <n v="3272.8361"/>
    <x v="0"/>
    <x v="1"/>
    <x v="1030"/>
    <n v="604235"/>
    <n v="5586.2002000000002"/>
    <n v="3310.1001000000001"/>
    <n v="3330.2"/>
    <n v="52"/>
    <n v="224144"/>
    <s v="19-Aug-2025"/>
    <n v="3330.2"/>
    <n v="1"/>
    <n v="2025"/>
    <n v="-0.1"/>
    <m/>
  </r>
  <r>
    <x v="1031"/>
    <n v="3343.3998999999999"/>
    <n v="3343.5"/>
    <n v="3310.1001000000001"/>
    <n v="3310.6001000000001"/>
    <n v="1213"/>
    <n v="3340.4142999999999"/>
    <n v="3350.3366999999998"/>
    <n v="3327.8878"/>
    <x v="1010"/>
    <n v="0.32579999999999998"/>
    <n v="0.97140000000000004"/>
    <n v="56.298099999999998"/>
    <n v="-1.9964999999999999"/>
    <n v="4.3886000000000003"/>
    <n v="3423.2501999999999"/>
    <n v="3273.0698000000002"/>
    <x v="1"/>
    <x v="1"/>
    <x v="1031"/>
    <n v="602580"/>
    <n v="5586.2002000000002"/>
    <n v="3310.1001000000001"/>
    <n v="3310.6001000000001"/>
    <n v="51"/>
    <n v="222489"/>
    <s v="20-Aug-2025"/>
    <n v="3310.6001000000001"/>
    <n v="1"/>
    <n v="2025"/>
    <n v="-0.59"/>
    <m/>
  </r>
  <r>
    <x v="1032"/>
    <n v="3336.8998999999999"/>
    <n v="3349.3998999999999"/>
    <n v="3326.5"/>
    <n v="3349.3998999999999"/>
    <n v="142"/>
    <n v="3339.4429"/>
    <n v="3351.1967"/>
    <n v="3329.3755000000001"/>
    <x v="1011"/>
    <n v="0.57969999999999999"/>
    <n v="0.97640000000000005"/>
    <n v="59.729100000000003"/>
    <n v="-1.5482"/>
    <n v="3.2012"/>
    <n v="3421.8512999999998"/>
    <n v="3272.7087000000001"/>
    <x v="0"/>
    <x v="1"/>
    <x v="1032"/>
    <n v="601367"/>
    <n v="5586.2002000000002"/>
    <n v="3326.5"/>
    <n v="3349.3998999999999"/>
    <n v="51"/>
    <n v="222489"/>
    <s v="21-Aug-2025"/>
    <n v="3349.3998999999999"/>
    <n v="1"/>
    <n v="2025"/>
    <n v="1.17"/>
    <m/>
  </r>
  <r>
    <x v="1033"/>
    <n v="3374.3998999999999"/>
    <n v="3377.7"/>
    <n v="3349.3998999999999"/>
    <n v="3349.3998999999999"/>
    <n v="1240"/>
    <n v="3338.1"/>
    <n v="3351.8267000000001"/>
    <n v="3330.8578000000002"/>
    <x v="381"/>
    <n v="0.57809999999999995"/>
    <n v="0.97589999999999999"/>
    <n v="46.261299999999999"/>
    <n v="-1.1793"/>
    <n v="2.3250999999999999"/>
    <n v="3422.1104"/>
    <n v="3272.9895999999999"/>
    <x v="1"/>
    <x v="1"/>
    <x v="1033"/>
    <n v="601225"/>
    <n v="5586.2002000000002"/>
    <n v="3349.3998999999999"/>
    <n v="3349.3998999999999"/>
    <n v="50"/>
    <n v="222347"/>
    <s v="22-Aug-2025"/>
    <n v="3349.3998999999999"/>
    <n v="1"/>
    <n v="2025"/>
    <n v="0"/>
    <m/>
  </r>
  <r>
    <x v="1034"/>
    <n v="3373.8"/>
    <n v="3378"/>
    <n v="3366"/>
    <n v="3366"/>
    <n v="1044"/>
    <n v="3340.8427999999999"/>
    <n v="3351.7932999999998"/>
    <n v="3332.2766999999999"/>
    <x v="1012"/>
    <n v="0.58950000000000002"/>
    <n v="0.95909999999999995"/>
    <n v="47.491"/>
    <n v="0.44729999999999998"/>
    <n v="1.9496"/>
    <n v="3423.8312999999998"/>
    <n v="3275.2085999999999"/>
    <x v="1"/>
    <x v="1"/>
    <x v="1034"/>
    <n v="599985"/>
    <n v="5586.2002000000002"/>
    <n v="3366"/>
    <n v="3366"/>
    <n v="50"/>
    <n v="222347"/>
    <s v="25-Aug-2025"/>
    <n v="3366"/>
    <n v="1"/>
    <n v="2025"/>
    <n v="0.5"/>
    <m/>
  </r>
  <r>
    <x v="1035"/>
    <n v="3388.6001000000001"/>
    <n v="3396.5"/>
    <n v="3371.1001000000001"/>
    <n v="3378.8998999999999"/>
    <n v="905"/>
    <n v="3345.4285"/>
    <n v="3353.0567000000001"/>
    <n v="3332.6532999999999"/>
    <x v="1013"/>
    <n v="0.59819999999999995"/>
    <n v="0.95009999999999994"/>
    <n v="49.653599999999997"/>
    <n v="2.7456999999999998"/>
    <n v="2.1088"/>
    <n v="3426.6444000000001"/>
    <n v="3277.9454999999998"/>
    <x v="1"/>
    <x v="1"/>
    <x v="1035"/>
    <n v="598941"/>
    <n v="5586.2002000000002"/>
    <n v="3371.1001000000001"/>
    <n v="3378.8998999999999"/>
    <n v="50"/>
    <n v="222347"/>
    <s v="26-Aug-2025"/>
    <n v="3378.8998999999999"/>
    <n v="1"/>
    <n v="2025"/>
    <n v="0.38"/>
    <m/>
  </r>
  <r>
    <x v="1036"/>
    <n v="3404.6001000000001"/>
    <n v="3404.6001000000001"/>
    <n v="3382"/>
    <n v="3397"/>
    <n v="3222"/>
    <n v="3354.5"/>
    <n v="3354.9167000000002"/>
    <n v="3333.2622000000001"/>
    <x v="1014"/>
    <n v="0.56179999999999997"/>
    <n v="0.95430000000000004"/>
    <n v="52.210500000000003"/>
    <n v="5.9591000000000003"/>
    <n v="2.8788999999999998"/>
    <n v="3431.6669000000002"/>
    <n v="3280.0430999999999"/>
    <x v="1"/>
    <x v="1"/>
    <x v="1036"/>
    <n v="598036"/>
    <n v="5586.2002000000002"/>
    <n v="3382"/>
    <n v="3397"/>
    <n v="50"/>
    <n v="222347"/>
    <s v="27-Aug-2025"/>
    <n v="3397"/>
    <n v="1"/>
    <n v="2025"/>
    <n v="0.54"/>
    <m/>
  </r>
  <r>
    <x v="1037"/>
    <n v="3431.8"/>
    <n v="3434.6001000000001"/>
    <n v="3400"/>
    <n v="3409"/>
    <n v="1035"/>
    <n v="3365.7570999999998"/>
    <n v="3358.09"/>
    <n v="3333.1154999999999"/>
    <x v="1015"/>
    <n v="0.53769999999999996"/>
    <n v="0.94089999999999996"/>
    <n v="43.572000000000003"/>
    <n v="9.3659999999999997"/>
    <n v="4.1763000000000003"/>
    <n v="3431.2042999999999"/>
    <n v="3294.1156999999998"/>
    <x v="1"/>
    <x v="1"/>
    <x v="1037"/>
    <n v="594814"/>
    <n v="5586.2002000000002"/>
    <n v="3400"/>
    <n v="3409"/>
    <n v="50"/>
    <n v="222347"/>
    <s v="28-Aug-2025"/>
    <n v="3409"/>
    <n v="1"/>
    <n v="2025"/>
    <n v="0.35"/>
    <m/>
  </r>
  <r>
    <x v="1038"/>
    <n v="3473.7"/>
    <n v="3475.6001000000001"/>
    <n v="3426.6001000000001"/>
    <n v="3432.5"/>
    <n v="0"/>
    <n v="3383.1714000000002"/>
    <n v="3361.2332999999999"/>
    <n v="3334.3521999999998"/>
    <x v="1016"/>
    <n v="0.35859999999999997"/>
    <n v="0.93989999999999996"/>
    <n v="62.125799999999998"/>
    <n v="13.8032"/>
    <n v="6.1017000000000001"/>
    <n v="3435.3135000000002"/>
    <n v="3304.6365000000001"/>
    <x v="1"/>
    <x v="1"/>
    <x v="1038"/>
    <n v="593779"/>
    <n v="5586.2002000000002"/>
    <n v="3426.6001000000001"/>
    <n v="3432.5"/>
    <n v="50"/>
    <n v="222347"/>
    <s v="29-Aug-2025"/>
    <n v="3432.5"/>
    <n v="1"/>
    <n v="2025"/>
    <n v="0.69"/>
    <m/>
  </r>
  <r>
    <x v="1039"/>
    <n v="3549.3998999999999"/>
    <n v="3559.2"/>
    <n v="3485.7"/>
    <n v="3485.7"/>
    <n v="658"/>
    <n v="3402.6428000000001"/>
    <n v="3365.7467000000001"/>
    <n v="3336.3555000000001"/>
    <x v="1017"/>
    <n v="0.48089999999999999"/>
    <n v="0.9758"/>
    <n v="78.6631"/>
    <n v="21.366099999999999"/>
    <n v="9.1546000000000003"/>
    <n v="3459.1898999999999"/>
    <n v="3292.5700999999999"/>
    <x v="1"/>
    <x v="0"/>
    <x v="1039"/>
    <n v="593779"/>
    <n v="5586.2002000000002"/>
    <n v="3485.7"/>
    <n v="3485.7"/>
    <n v="50"/>
    <n v="222347"/>
    <s v="02-Sep-2025"/>
    <n v="3485.7"/>
    <n v="1"/>
    <n v="2025"/>
    <n v="1.55"/>
    <m/>
  </r>
  <r>
    <x v="1040"/>
    <n v="3593.2"/>
    <n v="3593.7"/>
    <n v="3553.2"/>
    <n v="3554.8"/>
    <n v="72"/>
    <n v="3431.9857000000002"/>
    <n v="3370.54"/>
    <n v="3338.57"/>
    <x v="1018"/>
    <n v="0.64380000000000004"/>
    <n v="0.98629999999999995"/>
    <n v="83.515699999999995"/>
    <n v="32.560299999999998"/>
    <n v="13.835699999999999"/>
    <n v="3500.2431000000001"/>
    <n v="3269.1468"/>
    <x v="1"/>
    <x v="0"/>
    <x v="1040"/>
    <n v="593121"/>
    <n v="5586.2002000000002"/>
    <n v="3549.8998999999999"/>
    <n v="3554.8"/>
    <n v="50"/>
    <n v="222347"/>
    <s v="03-Sep-2025"/>
    <n v="3554.8"/>
    <n v="1"/>
    <n v="2025"/>
    <n v="1.98"/>
    <m/>
  </r>
  <r>
    <x v="1041"/>
    <n v="3565.8"/>
    <n v="3573.6001000000001"/>
    <n v="3549.8998999999999"/>
    <n v="3549.8998999999999"/>
    <n v="237"/>
    <n v="3458.2570999999998"/>
    <n v="3374.5266999999999"/>
    <n v="3341.5189"/>
    <x v="1019"/>
    <n v="0.74009999999999998"/>
    <n v="0.98429999999999995"/>
    <n v="85.594099999999997"/>
    <n v="40.5687"/>
    <n v="19.182300000000001"/>
    <n v="3530.2406999999998"/>
    <n v="3256.0693000000001"/>
    <x v="1"/>
    <x v="0"/>
    <x v="1041"/>
    <n v="593049"/>
    <n v="5586.2002000000002"/>
    <n v="3549.8998999999999"/>
    <n v="3549.8998999999999"/>
    <n v="50"/>
    <n v="222347"/>
    <s v="04-Sep-2025"/>
    <n v="3549.8998999999999"/>
    <n v="1"/>
    <n v="2025"/>
    <n v="-0.14000000000000001"/>
    <m/>
  </r>
  <r>
    <x v="1042"/>
    <n v="3613.2"/>
    <n v="3613.2"/>
    <n v="3567.8"/>
    <n v="3567.8"/>
    <n v="925"/>
    <n v="3485.2429000000002"/>
    <n v="3381.22"/>
    <n v="3344.05"/>
    <x v="1020"/>
    <n v="0.73109999999999997"/>
    <n v="0.91349999999999998"/>
    <n v="86.444599999999994"/>
    <n v="47.808700000000002"/>
    <n v="24.907599999999999"/>
    <n v="3559.9301"/>
    <n v="3244.6698999999999"/>
    <x v="1"/>
    <x v="0"/>
    <x v="1042"/>
    <n v="592812"/>
    <n v="5586.2002000000002"/>
    <n v="3567.8"/>
    <n v="3567.8"/>
    <n v="50"/>
    <n v="222347"/>
    <s v="05-Sep-2025"/>
    <n v="3567.8"/>
    <n v="1"/>
    <n v="2025"/>
    <n v="0.5"/>
    <m/>
  </r>
  <r>
    <x v="1043"/>
    <n v="3638.1001000000001"/>
    <n v="3641"/>
    <n v="3590"/>
    <n v="3594.5"/>
    <n v="97"/>
    <n v="3513.4571000000001"/>
    <n v="3389.57"/>
    <n v="3347.1143999999999"/>
    <x v="1021"/>
    <n v="0.72350000000000003"/>
    <n v="0.90329999999999999"/>
    <n v="91.219200000000001"/>
    <n v="55.066200000000002"/>
    <n v="30.939299999999999"/>
    <n v="3589.2179000000001"/>
    <n v="3230.9520000000002"/>
    <x v="1"/>
    <x v="0"/>
    <x v="1043"/>
    <n v="591887"/>
    <n v="5586.2002000000002"/>
    <n v="3590"/>
    <n v="3594.5"/>
    <n v="50"/>
    <n v="222347"/>
    <s v="08-Sep-2025"/>
    <n v="3594.5"/>
    <n v="1"/>
    <n v="2025"/>
    <n v="0.75"/>
    <m/>
  </r>
  <r>
    <x v="1044"/>
    <n v="3643.3"/>
    <n v="3670.3998999999999"/>
    <n v="3627.8"/>
    <n v="3647.1001000000001"/>
    <n v="535"/>
    <n v="3547.4713999999999"/>
    <n v="3400.2532999999999"/>
    <n v="3351.2721999999999"/>
    <x v="1022"/>
    <n v="0.72760000000000002"/>
    <n v="0.91779999999999995"/>
    <n v="93.304199999999994"/>
    <n v="64.320700000000002"/>
    <n v="37.615600000000001"/>
    <n v="3630.7096999999999"/>
    <n v="3215.7802999999999"/>
    <x v="0"/>
    <x v="0"/>
    <x v="1044"/>
    <n v="591790"/>
    <n v="5586.2002000000002"/>
    <n v="3618.3998999999999"/>
    <n v="3647.1001000000001"/>
    <n v="50"/>
    <n v="222347"/>
    <s v="09-Sep-2025"/>
    <n v="3647.1001000000001"/>
    <n v="1"/>
    <n v="2025"/>
    <n v="1.46"/>
    <m/>
  </r>
  <r>
    <x v="1045"/>
    <n v="3643.6001000000001"/>
    <n v="3655.3998999999999"/>
    <n v="3620.8"/>
    <n v="3625"/>
    <n v="136"/>
    <n v="3574.9713999999999"/>
    <n v="3410.3067000000001"/>
    <n v="3355.5511000000001"/>
    <x v="1023"/>
    <n v="0.94389999999999996"/>
    <n v="0.93020000000000003"/>
    <n v="92.671000000000006"/>
    <n v="69.075400000000002"/>
    <n v="43.907600000000002"/>
    <n v="3660.0774999999999"/>
    <n v="3213.2925"/>
    <x v="1"/>
    <x v="0"/>
    <x v="1045"/>
    <n v="591255"/>
    <n v="5586.2002000000002"/>
    <n v="3618.3998999999999"/>
    <n v="3625"/>
    <n v="49"/>
    <n v="221812"/>
    <s v="10-Sep-2025"/>
    <n v="3625"/>
    <n v="1"/>
    <n v="2025"/>
    <n v="-0.61"/>
    <m/>
  </r>
  <r>
    <x v="1046"/>
    <n v="3636.8998999999999"/>
    <n v="3636.8998999999999"/>
    <n v="3618.3998999999999"/>
    <n v="3632.8998999999999"/>
    <n v="307"/>
    <n v="3596"/>
    <n v="3420.5432999999998"/>
    <n v="3359.8867"/>
    <x v="1024"/>
    <n v="0.89739999999999998"/>
    <n v="0.9294"/>
    <n v="91.999899999999997"/>
    <n v="72.643699999999995"/>
    <n v="49.654800000000002"/>
    <n v="3686.9097999999999"/>
    <n v="3213.8701999999998"/>
    <x v="1"/>
    <x v="0"/>
    <x v="1046"/>
    <n v="591119"/>
    <n v="5586.2002000000002"/>
    <n v="3618.3998999999999"/>
    <n v="3632.8998999999999"/>
    <n v="49"/>
    <n v="221812"/>
    <s v="11-Sep-2025"/>
    <n v="3632.8998999999999"/>
    <n v="1"/>
    <n v="2025"/>
    <n v="0.22"/>
    <m/>
  </r>
  <r>
    <x v="1047"/>
    <n v="3649.3998999999999"/>
    <n v="3656.8"/>
    <n v="3643"/>
    <n v="3655.5"/>
    <n v="1300"/>
    <n v="3610.3856999999998"/>
    <n v="3433.2966999999999"/>
    <n v="3363.1089000000002"/>
    <x v="1025"/>
    <n v="0.66420000000000001"/>
    <n v="0.85940000000000005"/>
    <n v="92.501999999999995"/>
    <n v="76.414299999999997"/>
    <n v="55.006700000000002"/>
    <n v="3713.89"/>
    <n v="3217.76"/>
    <x v="0"/>
    <x v="0"/>
    <x v="1047"/>
    <n v="590812"/>
    <n v="5586.2002000000002"/>
    <n v="3635.1001000000001"/>
    <n v="3655.5"/>
    <n v="49"/>
    <n v="221812"/>
    <s v="12-Sep-2025"/>
    <n v="3655.5"/>
    <n v="1"/>
    <n v="2025"/>
    <n v="0.62"/>
    <m/>
  </r>
  <r>
    <x v="1048"/>
    <n v="3682.2"/>
    <n v="3686.3998999999999"/>
    <n v="3635.1001000000001"/>
    <n v="3640"/>
    <n v="210"/>
    <n v="3623.2570999999998"/>
    <n v="3445.09"/>
    <n v="3365.5677999999998"/>
    <x v="1026"/>
    <n v="0.71009999999999995"/>
    <n v="0.87160000000000004"/>
    <n v="88.161500000000004"/>
    <n v="77.261200000000002"/>
    <n v="59.457599999999999"/>
    <n v="3733.5374999999999"/>
    <n v="3227.4324999999999"/>
    <x v="1"/>
    <x v="0"/>
    <x v="1048"/>
    <n v="589512"/>
    <n v="5586.2002000000002"/>
    <n v="3635.1001000000001"/>
    <n v="3640"/>
    <n v="48"/>
    <n v="220512"/>
    <s v="15-Sep-2025"/>
    <n v="3640"/>
    <n v="1"/>
    <n v="2025"/>
    <n v="-0.42"/>
    <m/>
  </r>
  <r>
    <x v="1049"/>
    <n v="3688.8998999999999"/>
    <n v="3698.6001000000001"/>
    <n v="3681.3998999999999"/>
    <n v="3681.3998999999999"/>
    <n v="373"/>
    <n v="3639.4857000000002"/>
    <n v="3455.55"/>
    <n v="3368.8056000000001"/>
    <x v="1027"/>
    <n v="0.76929999999999998"/>
    <n v="0.78900000000000003"/>
    <n v="89.032200000000003"/>
    <n v="80.346800000000002"/>
    <n v="63.635399999999997"/>
    <n v="3756.1655999999998"/>
    <n v="3239.5944"/>
    <x v="1"/>
    <x v="0"/>
    <x v="1049"/>
    <n v="589302"/>
    <n v="5586.2002000000002"/>
    <n v="3637"/>
    <n v="3681.3998999999999"/>
    <n v="48"/>
    <n v="220512"/>
    <s v="16-Sep-2025"/>
    <n v="3681.3998999999999"/>
    <n v="1"/>
    <n v="2025"/>
    <n v="1.1399999999999999"/>
    <m/>
  </r>
  <r>
    <x v="1050"/>
    <n v="3681.8"/>
    <n v="3685.2"/>
    <n v="3661.6001000000001"/>
    <n v="3669"/>
    <n v="183"/>
    <n v="3650.1286"/>
    <n v="3465.2332999999999"/>
    <n v="3372.9167000000002"/>
    <x v="1028"/>
    <n v="0.80779999999999996"/>
    <n v="0.79749999999999999"/>
    <n v="85.620699999999999"/>
    <n v="80.859499999999997"/>
    <n v="67.080299999999994"/>
    <n v="3771.2348000000002"/>
    <n v="3258.4052000000001"/>
    <x v="1"/>
    <x v="0"/>
    <x v="1050"/>
    <n v="588929"/>
    <n v="5586.2002000000002"/>
    <n v="3637"/>
    <n v="3669"/>
    <n v="48"/>
    <n v="220512"/>
    <s v="17-Sep-2025"/>
    <n v="3669"/>
    <n v="1"/>
    <n v="2025"/>
    <n v="-0.34"/>
    <m/>
  </r>
  <r>
    <x v="1051"/>
    <n v="3643.7"/>
    <n v="3667.3998999999999"/>
    <n v="3637"/>
    <n v="3654.6001000000001"/>
    <n v="80"/>
    <n v="3651.2"/>
    <n v="3474.3633"/>
    <n v="3376.8489"/>
    <x v="1029"/>
    <n v="0.65010000000000001"/>
    <n v="0.80610000000000004"/>
    <n v="81.962500000000006"/>
    <n v="79.191000000000003"/>
    <n v="69.502399999999994"/>
    <n v="3776.6342"/>
    <n v="3287.4058"/>
    <x v="0"/>
    <x v="0"/>
    <x v="1051"/>
    <n v="588746"/>
    <n v="5586.2002000000002"/>
    <n v="3637"/>
    <n v="3654.6001000000001"/>
    <n v="48"/>
    <n v="220512"/>
    <s v="18-Sep-2025"/>
    <n v="3654.6001000000001"/>
    <n v="1"/>
    <n v="2025"/>
    <n v="-0.39"/>
    <m/>
  </r>
  <r>
    <x v="1052"/>
    <n v="3671.5"/>
    <n v="3685.8998999999999"/>
    <n v="3658.2"/>
    <n v="3659"/>
    <n v="211"/>
    <n v="3656.0571"/>
    <n v="3483.5"/>
    <n v="3381.5933"/>
    <x v="1030"/>
    <n v="0.58630000000000004"/>
    <n v="0.80610000000000004"/>
    <n v="81.018900000000002"/>
    <n v="77.332300000000004"/>
    <n v="71.068399999999997"/>
    <n v="3782.4479999999999"/>
    <n v="3312.5520000000001"/>
    <x v="1"/>
    <x v="0"/>
    <x v="1052"/>
    <n v="588666"/>
    <n v="5586.2002000000002"/>
    <n v="3658.2"/>
    <n v="3659"/>
    <n v="47"/>
    <n v="220432"/>
    <s v="19-Sep-2025"/>
    <n v="3659"/>
    <n v="1"/>
    <n v="2025"/>
    <n v="0.12"/>
    <m/>
  </r>
  <r>
    <x v="1053"/>
    <n v="3740.7"/>
    <n v="3748.2"/>
    <n v="3688"/>
    <n v="3688.2"/>
    <n v="410"/>
    <n v="3663.9571000000001"/>
    <n v="3491.8132999999998"/>
    <n v="3386.6511"/>
    <x v="1031"/>
    <n v="0.63859999999999995"/>
    <n v="0.77329999999999999"/>
    <n v="79.683400000000006"/>
    <n v="77.324100000000001"/>
    <n v="72.319500000000005"/>
    <n v="3787.819"/>
    <n v="3341.0610000000001"/>
    <x v="1"/>
    <x v="0"/>
    <x v="1053"/>
    <n v="588455"/>
    <n v="5586.2002000000002"/>
    <n v="3688"/>
    <n v="3688.2"/>
    <n v="47"/>
    <n v="220432"/>
    <s v="22-Sep-2025"/>
    <n v="3688.2"/>
    <n v="1"/>
    <n v="2025"/>
    <n v="0.8"/>
    <m/>
  </r>
  <r>
    <x v="1054"/>
    <n v="3780.6001000000001"/>
    <n v="3786"/>
    <n v="3740"/>
    <n v="3747"/>
    <n v="627"/>
    <n v="3677.0286000000001"/>
    <n v="3503.9167000000002"/>
    <n v="3393.2732999999998"/>
    <x v="1032"/>
    <n v="0.82089999999999996"/>
    <n v="0.73070000000000002"/>
    <n v="79.050799999999995"/>
    <n v="81.127099999999999"/>
    <n v="74.081100000000006"/>
    <n v="3800.5070999999998"/>
    <n v="3366.4729000000002"/>
    <x v="1"/>
    <x v="0"/>
    <x v="1054"/>
    <n v="588045"/>
    <n v="5586.2002000000002"/>
    <n v="3724.7"/>
    <n v="3747"/>
    <n v="47"/>
    <n v="220432"/>
    <s v="23-Sep-2025"/>
    <n v="3747"/>
    <n v="1"/>
    <n v="2025"/>
    <n v="1.59"/>
    <m/>
  </r>
  <r>
    <x v="1055"/>
    <n v="3732.1001000000001"/>
    <n v="3772.5"/>
    <n v="3732.1001000000001"/>
    <n v="3769.8"/>
    <n v="588"/>
    <n v="3695.5713999999998"/>
    <n v="3517.7033000000001"/>
    <n v="3399.2966999999999"/>
    <x v="1033"/>
    <n v="0.74670000000000003"/>
    <n v="0.69830000000000003"/>
    <n v="81.531400000000005"/>
    <n v="85.001000000000005"/>
    <n v="76.265000000000001"/>
    <n v="3812.7577000000001"/>
    <n v="3393.3123000000001"/>
    <x v="0"/>
    <x v="0"/>
    <x v="1055"/>
    <n v="587418"/>
    <n v="5586.2002000000002"/>
    <n v="3724.7"/>
    <n v="3769.8"/>
    <n v="47"/>
    <n v="220432"/>
    <s v="24-Sep-2025"/>
    <n v="3769.8"/>
    <n v="1"/>
    <n v="2025"/>
    <n v="0.61"/>
    <m/>
  </r>
  <r>
    <x v="1056"/>
    <n v="3736.8998999999999"/>
    <n v="3756"/>
    <n v="3724.7"/>
    <n v="3742.8"/>
    <n v="1899"/>
    <n v="3704.3429000000001"/>
    <n v="3530.5032999999999"/>
    <n v="3404.9456"/>
    <x v="1034"/>
    <n v="0.81059999999999999"/>
    <n v="0.72499999999999998"/>
    <n v="74.454999999999998"/>
    <n v="84.913499999999999"/>
    <n v="77.994699999999995"/>
    <n v="3815.0054"/>
    <n v="3425.6446000000001"/>
    <x v="0"/>
    <x v="0"/>
    <x v="1056"/>
    <n v="586830"/>
    <n v="5586.2002000000002"/>
    <n v="3724.7"/>
    <n v="3742.8"/>
    <n v="46"/>
    <n v="219844"/>
    <s v="25-Sep-2025"/>
    <n v="3742.8"/>
    <n v="1"/>
    <n v="2025"/>
    <n v="-0.72"/>
    <m/>
  </r>
  <r>
    <x v="1057"/>
    <n v="3775.3"/>
    <n v="3775.3"/>
    <n v="3775.3"/>
    <n v="3775.3"/>
    <n v="19308"/>
    <n v="3719.5286000000001"/>
    <n v="3544.7867000000001"/>
    <n v="3411.1266999999998"/>
    <x v="1035"/>
    <n v="0.79569999999999996"/>
    <n v="0.71750000000000003"/>
    <n v="74.862499999999997"/>
    <n v="86.469899999999996"/>
    <n v="79.689800000000005"/>
    <n v="3817.9236000000001"/>
    <n v="3459.3564000000001"/>
    <x v="1"/>
    <x v="0"/>
    <x v="1057"/>
    <n v="584931"/>
    <n v="5586.2002000000002"/>
    <n v="3754.8"/>
    <n v="3775.3"/>
    <n v="45"/>
    <n v="217945"/>
    <s v="26-Sep-2025"/>
    <n v="3775.3"/>
    <n v="1"/>
    <n v="2025"/>
    <n v="0.87"/>
    <m/>
  </r>
  <r>
    <x v="1058"/>
    <n v="3820.8998999999999"/>
    <n v="3827.6001000000001"/>
    <n v="3754.8"/>
    <n v="3754.8"/>
    <n v="8860"/>
    <n v="3733.8429000000001"/>
    <n v="3558.3867"/>
    <n v="3416.2532999999999"/>
    <x v="1036"/>
    <n v="0.8226"/>
    <n v="0.73470000000000002"/>
    <n v="66.244299999999996"/>
    <n v="85.068600000000004"/>
    <n v="80.765500000000003"/>
    <n v="3812.6909999999998"/>
    <n v="3496.819"/>
    <x v="1"/>
    <x v="1"/>
    <x v="1058"/>
    <n v="565623"/>
    <n v="5586.2002000000002"/>
    <n v="3754.8"/>
    <n v="3754.8"/>
    <n v="45"/>
    <n v="217945"/>
    <s v="29-Sep-2025"/>
    <n v="3754.8"/>
    <n v="1"/>
    <n v="2025"/>
    <n v="-0.54"/>
    <m/>
  </r>
  <r>
    <x v="1059"/>
    <n v="3840.8"/>
    <n v="3865.5"/>
    <n v="3793.3998999999999"/>
    <n v="3827.5"/>
    <n v="1611"/>
    <n v="3757.9142999999999"/>
    <n v="3574.8533000000002"/>
    <n v="3421.8110999999999"/>
    <x v="1037"/>
    <n v="0.99219999999999997"/>
    <n v="0.77139999999999997"/>
    <n v="76.4983"/>
    <n v="88.800700000000006"/>
    <n v="82.372600000000006"/>
    <n v="3826.6983"/>
    <n v="3516.9917"/>
    <x v="1"/>
    <x v="0"/>
    <x v="1059"/>
    <n v="556763"/>
    <n v="5586.2002000000002"/>
    <n v="3793.3998999999999"/>
    <n v="3827.5"/>
    <n v="45"/>
    <n v="217945"/>
    <s v="30-Sep-2025"/>
    <n v="3827.5"/>
    <n v="1"/>
    <n v="2025"/>
    <n v="1.94"/>
    <m/>
  </r>
  <r>
    <x v="1060"/>
    <n v="3867.5"/>
    <n v="3891.8998999999999"/>
    <n v="3853.3"/>
    <n v="3863.5"/>
    <n v="1778"/>
    <n v="3782.9571999999998"/>
    <n v="3592.63"/>
    <n v="3427.7611000000002"/>
    <x v="1038"/>
    <n v="0.99719999999999998"/>
    <n v="0.76859999999999995"/>
    <n v="78.1083"/>
    <n v="93.584500000000006"/>
    <n v="84.614900000000006"/>
    <n v="3854.0891000000001"/>
    <n v="3520.4708999999998"/>
    <x v="1"/>
    <x v="0"/>
    <x v="1060"/>
    <n v="555152"/>
    <n v="5586.2002000000002"/>
    <n v="3823.7"/>
    <n v="3863.5"/>
    <n v="45"/>
    <n v="217945"/>
    <s v="01-Oct-2025"/>
    <n v="3863.5"/>
    <n v="1"/>
    <n v="2025"/>
    <n v="0.94"/>
    <m/>
  </r>
  <r>
    <x v="1061"/>
    <n v="3839.7"/>
    <n v="3888.6001000000001"/>
    <n v="3823.7"/>
    <n v="3856.2"/>
    <n v="3418"/>
    <n v="3798.5572000000002"/>
    <n v="3610.8166999999999"/>
    <n v="3433.58"/>
    <x v="1039"/>
    <n v="0.94830000000000003"/>
    <n v="0.75239999999999996"/>
    <n v="75.411500000000004"/>
    <n v="95.683599999999998"/>
    <n v="86.828699999999998"/>
    <n v="3872.5113000000001"/>
    <n v="3532.6788000000001"/>
    <x v="0"/>
    <x v="0"/>
    <x v="1061"/>
    <n v="553374"/>
    <n v="5586.2002000000002"/>
    <n v="3823.7"/>
    <n v="3856.2"/>
    <n v="45"/>
    <n v="217945"/>
    <s v="02-Oct-2025"/>
    <n v="3856.2"/>
    <n v="1"/>
    <n v="2025"/>
    <n v="-0.19"/>
    <m/>
  </r>
  <r>
    <x v="1062"/>
    <n v="3880.8"/>
    <n v="3886.8"/>
    <n v="3853.7"/>
    <n v="3855.2"/>
    <n v="392"/>
    <n v="3810.7570999999998"/>
    <n v="3627.6767"/>
    <n v="3439.82"/>
    <x v="1040"/>
    <n v="0.95699999999999996"/>
    <n v="0.74790000000000001"/>
    <n v="78.286000000000001"/>
    <n v="96.158100000000005"/>
    <n v="88.694599999999994"/>
    <n v="3887.4926"/>
    <n v="3546.4373999999998"/>
    <x v="1"/>
    <x v="0"/>
    <x v="1062"/>
    <n v="549956"/>
    <n v="5586.2002000000002"/>
    <n v="3853.7"/>
    <n v="3855.2"/>
    <n v="44"/>
    <n v="214527"/>
    <s v="03-Oct-2025"/>
    <n v="3855.2"/>
    <n v="1"/>
    <n v="2025"/>
    <n v="-0.03"/>
    <m/>
  </r>
  <r>
    <x v="1063"/>
    <n v="3948.5"/>
    <n v="3960"/>
    <n v="3926.8"/>
    <n v="3931.3"/>
    <n v="1267"/>
    <n v="3837.6857"/>
    <n v="3647.0733"/>
    <n v="3447.0156000000002"/>
    <x v="1041"/>
    <n v="1.0082"/>
    <n v="0.79059999999999997"/>
    <n v="80.101200000000006"/>
    <n v="101.5047"/>
    <n v="91.256600000000006"/>
    <n v="3919.2766000000001"/>
    <n v="3548.3335000000002"/>
    <x v="1"/>
    <x v="0"/>
    <x v="1063"/>
    <n v="549564"/>
    <n v="5586.2002000000002"/>
    <n v="3913.7"/>
    <n v="3931.3"/>
    <n v="44"/>
    <n v="214527"/>
    <s v="06-Oct-2025"/>
    <n v="3931.3"/>
    <n v="1"/>
    <n v="2025"/>
    <n v="1.97"/>
    <m/>
  </r>
  <r>
    <x v="1064"/>
    <n v="3976.6001000000001"/>
    <n v="3981.5"/>
    <n v="3940"/>
    <n v="3959.3998999999999"/>
    <n v="2903"/>
    <n v="3863.9857000000002"/>
    <n v="3666.8533000000002"/>
    <n v="3454.1743999999999"/>
    <x v="1042"/>
    <n v="1.0058"/>
    <n v="0.79120000000000001"/>
    <n v="83.704700000000003"/>
    <n v="106.7784"/>
    <n v="94.361000000000004"/>
    <n v="3955.5866999999998"/>
    <n v="3543.2532999999999"/>
    <x v="1"/>
    <x v="0"/>
    <x v="1064"/>
    <n v="548297"/>
    <n v="5586.2002000000002"/>
    <n v="3913.7"/>
    <n v="3959.3998999999999"/>
    <n v="44"/>
    <n v="214527"/>
    <s v="07-Oct-2025"/>
    <n v="3959.3998999999999"/>
    <n v="1"/>
    <n v="2025"/>
    <n v="0.71"/>
    <m/>
  </r>
  <r>
    <x v="1065"/>
    <n v="4043.3"/>
    <n v="4049.2"/>
    <n v="3987.2"/>
    <n v="3987.2"/>
    <n v="2179"/>
    <n v="3897.1857"/>
    <n v="3687.13"/>
    <n v="3461.8444"/>
    <x v="1043"/>
    <n v="0.85019999999999996"/>
    <n v="0.79100000000000004"/>
    <n v="87.438100000000006"/>
    <n v="111.9111"/>
    <n v="97.870999999999995"/>
    <n v="3990.6169"/>
    <n v="3544.4431"/>
    <x v="1"/>
    <x v="0"/>
    <x v="1065"/>
    <n v="545394"/>
    <n v="5586.2002000000002"/>
    <n v="3913.7"/>
    <n v="3987.2"/>
    <n v="44"/>
    <n v="214527"/>
    <s v="08-Oct-2025"/>
    <n v="3987.2"/>
    <n v="1"/>
    <n v="2025"/>
    <n v="0.7"/>
    <m/>
  </r>
  <r>
    <x v="1066"/>
    <n v="3946.3"/>
    <n v="4046.2"/>
    <n v="3940"/>
    <n v="4011.2"/>
    <n v="3130"/>
    <n v="3923.4285"/>
    <n v="3707.6033000000002"/>
    <n v="3468.8011000000001"/>
    <x v="1044"/>
    <n v="0.70750000000000002"/>
    <n v="0.79110000000000003"/>
    <n v="87.968900000000005"/>
    <n v="116.5716"/>
    <n v="101.61109999999999"/>
    <n v="4025.0774999999999"/>
    <n v="3547.8123999999998"/>
    <x v="0"/>
    <x v="0"/>
    <x v="1066"/>
    <n v="543215"/>
    <n v="5586.2002000000002"/>
    <n v="3913.7"/>
    <n v="4011.2"/>
    <n v="44"/>
    <n v="214527"/>
    <s v="09-Oct-2025"/>
    <n v="4011.2"/>
    <n v="1"/>
    <n v="2025"/>
    <n v="0.6"/>
    <m/>
  </r>
  <r>
    <x v="1067"/>
    <n v="3975.8998999999999"/>
    <n v="4012"/>
    <n v="3945.5"/>
    <n v="3957"/>
    <n v="1697"/>
    <n v="3936.7856999999999"/>
    <n v="3725.87"/>
    <n v="3475.49"/>
    <x v="1045"/>
    <n v="1.0234000000000001"/>
    <n v="0.86419999999999997"/>
    <n v="77.495900000000006"/>
    <n v="114.57089999999999"/>
    <n v="104.20310000000001"/>
    <n v="4043.3935999999999"/>
    <n v="3559.6464000000001"/>
    <x v="1"/>
    <x v="0"/>
    <x v="1067"/>
    <n v="540085"/>
    <n v="5586.2002000000002"/>
    <n v="3913.7"/>
    <n v="3957"/>
    <n v="43"/>
    <n v="211397"/>
    <s v="10-Oct-2025"/>
    <n v="3957"/>
    <n v="1"/>
    <n v="2025"/>
    <n v="-1.35"/>
    <m/>
  </r>
  <r>
    <x v="1068"/>
    <n v="4108.6000999999997"/>
    <n v="4111"/>
    <n v="4016"/>
    <n v="4016"/>
    <n v="1697"/>
    <n v="3959.6143000000002"/>
    <n v="3745.32"/>
    <n v="3482.6511"/>
    <x v="1046"/>
    <n v="1.0726"/>
    <n v="0.88239999999999996"/>
    <n v="77.505099999999999"/>
    <n v="116.40430000000001"/>
    <n v="106.6433"/>
    <n v="4067.7202000000002"/>
    <n v="3572.9198000000001"/>
    <x v="1"/>
    <x v="0"/>
    <x v="1068"/>
    <n v="538388"/>
    <n v="5586.2002000000002"/>
    <n v="3913.7"/>
    <n v="4016"/>
    <n v="43"/>
    <n v="211397"/>
    <s v="13-Oct-2025"/>
    <n v="4016"/>
    <n v="1"/>
    <n v="2025"/>
    <n v="1.49"/>
    <m/>
  </r>
  <r>
    <x v="1069"/>
    <n v="4138.7002000000002"/>
    <n v="4160.1000999999997"/>
    <n v="4085.8"/>
    <n v="4131.7002000000002"/>
    <n v="2424"/>
    <n v="3999.1143000000002"/>
    <n v="3766.8533000000002"/>
    <n v="3491.1777999999999"/>
    <x v="1047"/>
    <n v="1.3282"/>
    <n v="0.96509999999999996"/>
    <n v="81.096400000000003"/>
    <n v="125.74379999999999"/>
    <n v="110.46339999999999"/>
    <n v="4117.4650000000001"/>
    <n v="3568.2049999999999"/>
    <x v="1"/>
    <x v="0"/>
    <x v="1069"/>
    <n v="536691"/>
    <n v="5586.2002000000002"/>
    <n v="3913.7"/>
    <n v="4131.7002000000002"/>
    <n v="43"/>
    <n v="211397"/>
    <s v="14-Oct-2025"/>
    <n v="4131.7002000000002"/>
    <n v="1"/>
    <n v="2025"/>
    <n v="2.88"/>
    <m/>
  </r>
  <r>
    <x v="1070"/>
    <n v="4176.8999000000003"/>
    <n v="4210.6000999999997"/>
    <n v="4145"/>
    <n v="4145"/>
    <n v="3287"/>
    <n v="4029.6428999999998"/>
    <n v="3786.5266999999999"/>
    <n v="3500.3933000000002"/>
    <x v="1048"/>
    <n v="1.2723"/>
    <n v="0.9284"/>
    <n v="85.392499999999998"/>
    <n v="132.6891"/>
    <n v="114.90860000000001"/>
    <n v="4159.7163"/>
    <n v="3573.5536999999999"/>
    <x v="1"/>
    <x v="0"/>
    <x v="1070"/>
    <n v="534267"/>
    <n v="5586.2002000000002"/>
    <n v="3913.7"/>
    <n v="4145"/>
    <n v="43"/>
    <n v="211397"/>
    <s v="15-Oct-2025"/>
    <n v="4145"/>
    <n v="1"/>
    <n v="2025"/>
    <n v="0.32"/>
    <m/>
  </r>
  <r>
    <x v="1071"/>
    <n v="4280.2002000000002"/>
    <n v="4307"/>
    <n v="4196.6000999999997"/>
    <n v="4198.7997999999998"/>
    <n v="4705"/>
    <n v="4063.8427999999999"/>
    <n v="3808.1567"/>
    <n v="3510.3578000000002"/>
    <x v="1049"/>
    <n v="1.2874000000000001"/>
    <n v="0.9304"/>
    <n v="85.920299999999997"/>
    <n v="140.9102"/>
    <n v="120.10890000000001"/>
    <n v="4204.5576000000001"/>
    <n v="3583.1324"/>
    <x v="1"/>
    <x v="0"/>
    <x v="1071"/>
    <n v="530980"/>
    <n v="5586.2002000000002"/>
    <n v="3913.7"/>
    <n v="4198.7997999999998"/>
    <n v="43"/>
    <n v="211397"/>
    <s v="16-Oct-2025"/>
    <n v="4198.7997999999998"/>
    <n v="1"/>
    <n v="2025"/>
    <n v="1.3"/>
    <m/>
  </r>
  <r>
    <x v="1072"/>
    <n v="4189.8999000000003"/>
    <n v="4358"/>
    <n v="4182.2002000000002"/>
    <n v="4354.7002000000002"/>
    <n v="4060"/>
    <n v="4116.3428999999996"/>
    <n v="3834.3867"/>
    <n v="3521.7656000000002"/>
    <x v="1050"/>
    <n v="1.6747000000000001"/>
    <n v="1.0932999999999999"/>
    <n v="91.378100000000003"/>
    <n v="158.18180000000001"/>
    <n v="127.7235"/>
    <n v="4281.5460999999996"/>
    <n v="3575.7139000000002"/>
    <x v="0"/>
    <x v="0"/>
    <x v="1072"/>
    <n v="526275"/>
    <n v="5586.2002000000002"/>
    <n v="3913.7"/>
    <n v="4354.7002000000002"/>
    <n v="43"/>
    <n v="211397"/>
    <s v="17-Oct-2025"/>
    <n v="4354.7002000000002"/>
    <n v="1"/>
    <n v="2025"/>
    <n v="3.71"/>
    <m/>
  </r>
  <r>
    <x v="1073"/>
    <n v="4336.3999000000003"/>
    <n v="4356.6000999999997"/>
    <n v="4214.6000999999997"/>
    <n v="4244.1000999999997"/>
    <n v="1750"/>
    <n v="4149.6143000000002"/>
    <n v="3856.04"/>
    <n v="3531.5556000000001"/>
    <x v="1051"/>
    <n v="2.2191000000000001"/>
    <n v="1.2403999999999999"/>
    <n v="77.307299999999998"/>
    <n v="161.0883"/>
    <n v="134.3964"/>
    <n v="4317.0896000000002"/>
    <n v="3595.7604000000001"/>
    <x v="1"/>
    <x v="0"/>
    <x v="1073"/>
    <n v="522215"/>
    <n v="5586.2002000000002"/>
    <n v="3913.7"/>
    <n v="4244.1000999999997"/>
    <n v="42"/>
    <n v="207337"/>
    <s v="20-Oct-2025"/>
    <n v="4244.1000999999997"/>
    <n v="1"/>
    <n v="2025"/>
    <n v="-2.54"/>
    <m/>
  </r>
  <r>
    <x v="1074"/>
    <n v="4087.7"/>
    <n v="4332.7002000000002"/>
    <n v="4087.7"/>
    <n v="4332.7002000000002"/>
    <n v="2943"/>
    <n v="4203.2857999999997"/>
    <n v="3878.8933000000002"/>
    <n v="3541.8377999999998"/>
    <x v="1052"/>
    <n v="2.028"/>
    <n v="1.2611000000000001"/>
    <n v="78.771199999999993"/>
    <n v="168.5976"/>
    <n v="141.23670000000001"/>
    <n v="4369.1698999999999"/>
    <n v="3602.2501999999999"/>
    <x v="0"/>
    <x v="0"/>
    <x v="1074"/>
    <n v="520465"/>
    <n v="5586.2002000000002"/>
    <n v="3913.7"/>
    <n v="4332.7002000000002"/>
    <n v="42"/>
    <n v="207337"/>
    <s v="21-Oct-2025"/>
    <n v="4332.7002000000002"/>
    <n v="1"/>
    <n v="2025"/>
    <n v="2.09"/>
    <m/>
  </r>
  <r>
    <x v="1075"/>
    <n v="4044.3998999999999"/>
    <n v="4148.5"/>
    <n v="4006"/>
    <n v="4109.7002000000002"/>
    <n v="1237"/>
    <n v="4216.6715000000004"/>
    <n v="3895.05"/>
    <n v="3549.2566999999999"/>
    <x v="1053"/>
    <n v="3.1675"/>
    <n v="1.6278999999999999"/>
    <n v="62.292700000000004"/>
    <n v="154.77029999999999"/>
    <n v="143.9434"/>
    <n v="4375.8642"/>
    <n v="3629.5459000000001"/>
    <x v="0"/>
    <x v="1"/>
    <x v="1075"/>
    <n v="517522"/>
    <n v="5586.2002000000002"/>
    <n v="3913.7"/>
    <n v="4109.7002000000002"/>
    <n v="41"/>
    <n v="204394"/>
    <s v="22-Oct-2025"/>
    <n v="4109.7002000000002"/>
    <n v="1"/>
    <n v="2025"/>
    <n v="-5.15"/>
    <m/>
  </r>
  <r>
    <x v="1076"/>
    <n v="4125.5"/>
    <n v="4136.7997999999998"/>
    <n v="4070.7"/>
    <n v="4078.3998999999999"/>
    <n v="354"/>
    <n v="4209.0572000000002"/>
    <n v="3909.9"/>
    <n v="3556.8132999999998"/>
    <x v="1054"/>
    <n v="2.9805999999999999"/>
    <n v="1.6420999999999999"/>
    <n v="60.514400000000002"/>
    <n v="139.6764"/>
    <n v="143.09"/>
    <n v="4373.1053000000002"/>
    <n v="3665.8647999999998"/>
    <x v="1"/>
    <x v="1"/>
    <x v="1076"/>
    <n v="516285"/>
    <n v="5586.2002000000002"/>
    <n v="3913.7"/>
    <n v="4078.3998999999999"/>
    <n v="40"/>
    <n v="203157"/>
    <s v="23-Oct-2025"/>
    <n v="4078.3998999999999"/>
    <n v="1"/>
    <n v="2025"/>
    <n v="-0.76"/>
    <m/>
  </r>
  <r>
    <x v="1077"/>
    <n v="4118.3999000000003"/>
    <n v="4120.6000999999997"/>
    <n v="4074.8998999999999"/>
    <n v="4117.5"/>
    <n v="123"/>
    <n v="4205.1286"/>
    <n v="3925.3"/>
    <n v="3564.9488999999999"/>
    <x v="1055"/>
    <n v="3.0068999999999999"/>
    <n v="1.6449"/>
    <n v="59.088200000000001"/>
    <n v="129.37799999999999"/>
    <n v="140.3476"/>
    <n v="4373.1723000000002"/>
    <n v="3700.0178000000001"/>
    <x v="1"/>
    <x v="1"/>
    <x v="1077"/>
    <n v="515931"/>
    <n v="5586.2002000000002"/>
    <n v="3913.7"/>
    <n v="4117.5"/>
    <n v="40"/>
    <n v="203157"/>
    <s v="24-Oct-2025"/>
    <n v="4117.5"/>
    <n v="1"/>
    <n v="2025"/>
    <n v="0.96"/>
    <m/>
  </r>
  <r>
    <x v="1078"/>
    <n v="4001.8998999999999"/>
    <n v="4078.6001000000001"/>
    <n v="3971.3"/>
    <n v="4060"/>
    <n v="220"/>
    <n v="4185.3001000000004"/>
    <n v="3939.3"/>
    <n v="3572.8377999999998"/>
    <x v="1056"/>
    <n v="2.9769999999999999"/>
    <n v="1.6712"/>
    <n v="54.773200000000003"/>
    <n v="115.2482"/>
    <n v="135.32769999999999"/>
    <n v="4361.2115999999996"/>
    <n v="3742.4983999999999"/>
    <x v="0"/>
    <x v="1"/>
    <x v="1078"/>
    <n v="515808"/>
    <n v="5586.2002000000002"/>
    <n v="3913.7"/>
    <n v="4060"/>
    <n v="40"/>
    <n v="203157"/>
    <s v="27-Oct-2025"/>
    <n v="4060"/>
    <n v="1"/>
    <n v="2025"/>
    <n v="-1.4"/>
    <m/>
  </r>
  <r>
    <x v="1079"/>
    <n v="3966.2"/>
    <n v="3966.2"/>
    <n v="3923.6001000000001"/>
    <n v="3929.7"/>
    <n v="219"/>
    <n v="4124.5857999999998"/>
    <n v="3947.5767000000001"/>
    <n v="3579.1021999999998"/>
    <x v="1057"/>
    <n v="2.4746000000000001"/>
    <n v="1.7875000000000001"/>
    <n v="47.513599999999997"/>
    <n v="92.470100000000002"/>
    <n v="126.75620000000001"/>
    <n v="4353.8423000000003"/>
    <n v="3760.0877"/>
    <x v="1"/>
    <x v="1"/>
    <x v="1079"/>
    <n v="515588"/>
    <n v="5586.2002000000002"/>
    <n v="3913.7"/>
    <n v="3929.7"/>
    <n v="39"/>
    <n v="202937"/>
    <s v="28-Oct-2025"/>
    <n v="3929.7"/>
    <n v="1"/>
    <n v="2025"/>
    <n v="-3.21"/>
    <m/>
  </r>
  <r>
    <x v="1080"/>
    <n v="3983.7"/>
    <n v="3983.7"/>
    <n v="3983.7"/>
    <n v="3983.7"/>
    <n v="1344"/>
    <n v="4087.3856999999998"/>
    <n v="3958.0666999999999"/>
    <n v="3586.0544"/>
    <x v="1058"/>
    <n v="2.6198000000000001"/>
    <n v="1.796"/>
    <n v="48.840899999999998"/>
    <n v="77.877899999999997"/>
    <n v="116.98050000000001"/>
    <n v="4347.9915000000001"/>
    <n v="3777.9585999999999"/>
    <x v="1"/>
    <x v="1"/>
    <x v="1080"/>
    <n v="515369"/>
    <n v="5586.2002000000002"/>
    <n v="3913.7"/>
    <n v="3983.7"/>
    <n v="39"/>
    <n v="202937"/>
    <s v="29-Oct-2025"/>
    <n v="3983.7"/>
    <n v="1"/>
    <n v="2025"/>
    <n v="1.37"/>
    <m/>
  </r>
  <r>
    <x v="1081"/>
    <n v="4001.3"/>
    <n v="4027.2"/>
    <n v="3913.7"/>
    <n v="3960"/>
    <n v="935"/>
    <n v="4034.1428999999998"/>
    <n v="3968.2467000000001"/>
    <n v="3593.1478000000002"/>
    <x v="980"/>
    <n v="2.2905000000000002"/>
    <n v="1.7989999999999999"/>
    <n v="50.129800000000003"/>
    <n v="63.667200000000001"/>
    <n v="106.31789999999999"/>
    <n v="4340.8407999999999"/>
    <n v="3795.4892"/>
    <x v="1"/>
    <x v="1"/>
    <x v="1081"/>
    <n v="514025"/>
    <n v="5586.2002000000002"/>
    <n v="3913.7"/>
    <n v="3960"/>
    <n v="39"/>
    <n v="202937"/>
    <s v="30-Oct-2025"/>
    <n v="3960"/>
    <n v="1"/>
    <n v="2025"/>
    <n v="-0.59"/>
    <m/>
  </r>
  <r>
    <x v="1082"/>
    <n v="3982.2"/>
    <n v="4034.5"/>
    <n v="3976.6001000000001"/>
    <n v="4034.5"/>
    <n v="559"/>
    <n v="4023.4"/>
    <n v="3980.7633000000001"/>
    <n v="3600.9488999999999"/>
    <x v="1059"/>
    <n v="1.7839"/>
    <n v="1.8221000000000001"/>
    <n v="50.789700000000003"/>
    <n v="57.750999999999998"/>
    <n v="96.604500000000002"/>
    <n v="4331.5"/>
    <n v="3822.7601"/>
    <x v="0"/>
    <x v="1"/>
    <x v="1082"/>
    <n v="513090"/>
    <n v="5586.2002000000002"/>
    <n v="3927.3998999999999"/>
    <n v="4034.5"/>
    <n v="39"/>
    <n v="202937"/>
    <s v="31-Oct-2025"/>
    <n v="4034.5"/>
    <n v="1"/>
    <n v="2025"/>
    <n v="1.88"/>
    <m/>
  </r>
  <r>
    <x v="1083"/>
    <n v="4000.3"/>
    <n v="4020"/>
    <n v="3959"/>
    <n v="3976.2"/>
    <n v="0"/>
    <n v="4008.8"/>
    <n v="3990.3633"/>
    <n v="3608.2543999999998"/>
    <x v="1060"/>
    <n v="1.8346"/>
    <n v="1.8486"/>
    <n v="43.02"/>
    <n v="47.806899999999999"/>
    <n v="86.844999999999999"/>
    <n v="4329.0754999999999"/>
    <n v="3829.6745999999998"/>
    <x v="1"/>
    <x v="1"/>
    <x v="1083"/>
    <n v="512531"/>
    <n v="5586.2002000000002"/>
    <n v="3927.3998999999999"/>
    <n v="3976.2"/>
    <n v="38"/>
    <n v="202378"/>
    <s v="03-Nov-2025"/>
    <n v="3976.2"/>
    <n v="1"/>
    <n v="2025"/>
    <n v="-1.45"/>
    <m/>
  </r>
  <r>
    <x v="1084"/>
    <n v="3947.7"/>
    <n v="3995.3998999999999"/>
    <n v="3927.3998999999999"/>
    <n v="3994.2"/>
    <n v="657"/>
    <n v="3991.1857"/>
    <n v="3998.6033000000002"/>
    <n v="3616.3467000000001"/>
    <x v="1061"/>
    <n v="1.7838000000000001"/>
    <n v="1.8320000000000001"/>
    <n v="43.259399999999999"/>
    <n v="40.906999999999996"/>
    <n v="77.657399999999996"/>
    <n v="4327.7617"/>
    <n v="3834.4684000000002"/>
    <x v="0"/>
    <x v="1"/>
    <x v="1084"/>
    <n v="512531"/>
    <n v="5586.2002000000002"/>
    <n v="3927.3998999999999"/>
    <n v="3994.2"/>
    <n v="38"/>
    <n v="202378"/>
    <s v="04-Nov-2025"/>
    <n v="3994.2"/>
    <n v="1"/>
    <n v="2025"/>
    <n v="0.45"/>
    <m/>
  </r>
  <r>
    <x v="1085"/>
    <n v="3980.3"/>
    <n v="3983.5"/>
    <n v="3929.8998999999999"/>
    <n v="3929.8998999999999"/>
    <n v="559"/>
    <n v="3972.6"/>
    <n v="4003.94"/>
    <n v="3623.2332999999999"/>
    <x v="1062"/>
    <n v="1.8049999999999999"/>
    <n v="1.8607"/>
    <n v="38.092300000000002"/>
    <n v="29.9056"/>
    <n v="68.106999999999999"/>
    <n v="4330.7515999999996"/>
    <n v="3825.7483999999999"/>
    <x v="1"/>
    <x v="1"/>
    <x v="1085"/>
    <n v="511874"/>
    <n v="5586.2002000000002"/>
    <n v="3929.8998999999999"/>
    <n v="3929.8998999999999"/>
    <n v="37"/>
    <n v="201721"/>
    <s v="05-Nov-2025"/>
    <n v="3929.8998999999999"/>
    <n v="1"/>
    <n v="2025"/>
    <n v="-1.61"/>
    <m/>
  </r>
  <r>
    <x v="1086"/>
    <n v="3979.8998999999999"/>
    <n v="4007.5"/>
    <n v="3979.8998999999999"/>
    <n v="4004"/>
    <n v="650"/>
    <n v="3983.2143000000001"/>
    <n v="4012.6466999999998"/>
    <n v="3630.7332999999999"/>
    <x v="1063"/>
    <n v="1.5101"/>
    <n v="1.8792"/>
    <n v="33.256900000000002"/>
    <n v="26.8566"/>
    <n v="59.856900000000003"/>
    <n v="4330.8143"/>
    <n v="3824.9657000000002"/>
    <x v="0"/>
    <x v="1"/>
    <x v="1086"/>
    <n v="511315"/>
    <n v="5586.2002000000002"/>
    <n v="3979.8998999999999"/>
    <n v="4004"/>
    <n v="37"/>
    <n v="201721"/>
    <s v="06-Nov-2025"/>
    <n v="4004"/>
    <n v="1"/>
    <n v="2025"/>
    <n v="1.89"/>
    <m/>
  </r>
  <r>
    <x v="1087"/>
    <n v="3999.3998999999999"/>
    <n v="3999.3998999999999"/>
    <n v="3980.8"/>
    <n v="3980.8"/>
    <n v="245"/>
    <n v="3982.8"/>
    <n v="4019.4967000000001"/>
    <n v="3637.6089000000002"/>
    <x v="1064"/>
    <n v="1.4531000000000001"/>
    <n v="1.8812"/>
    <n v="36.284999999999997"/>
    <n v="22.311"/>
    <n v="52.347700000000003"/>
    <n v="4329.8239999999996"/>
    <n v="3828.3361"/>
    <x v="1"/>
    <x v="1"/>
    <x v="1087"/>
    <n v="510665"/>
    <n v="5586.2002000000002"/>
    <n v="3980.8"/>
    <n v="3980.8"/>
    <n v="36"/>
    <n v="201071"/>
    <s v="07-Nov-2025"/>
    <n v="3980.8"/>
    <n v="1"/>
    <n v="2025"/>
    <n v="-0.57999999999999996"/>
    <m/>
  </r>
  <r>
    <x v="1088"/>
    <n v="4111.7997999999998"/>
    <n v="4111.7997999999998"/>
    <n v="4060"/>
    <n v="4060"/>
    <n v="189"/>
    <n v="3997.0857000000001"/>
    <n v="4029.67"/>
    <n v="3645.5866999999998"/>
    <x v="1065"/>
    <n v="1.5982000000000001"/>
    <n v="1.9036999999999999"/>
    <n v="35.654899999999998"/>
    <n v="24.813300000000002"/>
    <n v="46.840899999999998"/>
    <n v="4330.4609"/>
    <n v="3832.0992000000001"/>
    <x v="1"/>
    <x v="1"/>
    <x v="1088"/>
    <n v="510420"/>
    <n v="5586.2002000000002"/>
    <n v="4019.3998999999999"/>
    <n v="4060"/>
    <n v="36"/>
    <n v="201071"/>
    <s v="10-Nov-2025"/>
    <n v="4060"/>
    <n v="1"/>
    <n v="2025"/>
    <n v="1.99"/>
    <m/>
  </r>
  <r>
    <x v="1089"/>
    <n v="4106.7997999999998"/>
    <n v="4140.1000999999997"/>
    <n v="4106.7997999999998"/>
    <n v="4140.1000999999997"/>
    <n v="569"/>
    <n v="4012.1714000000002"/>
    <n v="4040.09"/>
    <n v="3654.86"/>
    <x v="1066"/>
    <n v="1.613"/>
    <n v="1.9048"/>
    <n v="51.882100000000001"/>
    <n v="32.880800000000001"/>
    <n v="44.0488"/>
    <n v="4331.2667000000001"/>
    <n v="3832.1333"/>
    <x v="0"/>
    <x v="1"/>
    <x v="1089"/>
    <n v="510231"/>
    <n v="5586.2002000000002"/>
    <n v="4019.3998999999999"/>
    <n v="4140.1000999999997"/>
    <n v="36"/>
    <n v="201071"/>
    <s v="11-Nov-2025"/>
    <n v="4140.1000999999997"/>
    <n v="1"/>
    <n v="2025"/>
    <n v="1.97"/>
    <m/>
  </r>
  <r>
    <x v="1090"/>
    <n v="4204.3999000000003"/>
    <n v="4204.3999000000003"/>
    <n v="4102.8999000000003"/>
    <n v="4115.6000999999997"/>
    <n v="396"/>
    <n v="4032.0857000000001"/>
    <n v="4048.4933000000001"/>
    <n v="3663.5844000000002"/>
    <x v="1067"/>
    <n v="1.4786999999999999"/>
    <n v="1.907"/>
    <n v="52.322699999999998"/>
    <n v="36.872300000000003"/>
    <n v="42.613500000000002"/>
    <n v="4328.5700999999999"/>
    <n v="3831.8899000000001"/>
    <x v="1"/>
    <x v="1"/>
    <x v="1090"/>
    <n v="509662"/>
    <n v="5586.2002000000002"/>
    <n v="4019.3998999999999"/>
    <n v="4115.6000999999997"/>
    <n v="35"/>
    <n v="200502"/>
    <s v="12-Nov-2025"/>
    <n v="4115.6000999999997"/>
    <n v="1"/>
    <n v="2025"/>
    <n v="-0.59"/>
    <m/>
  </r>
  <r>
    <x v="1091"/>
    <n v="4186.8999000000003"/>
    <n v="4228.7002000000002"/>
    <n v="4163.7002000000002"/>
    <n v="4228.7002000000002"/>
    <n v="167"/>
    <n v="4065.5857999999998"/>
    <n v="4060.91"/>
    <n v="3674.0210999999999"/>
    <x v="1068"/>
    <n v="1.7032"/>
    <n v="1.9595"/>
    <n v="56.355699999999999"/>
    <n v="48.601700000000001"/>
    <n v="43.811199999999999"/>
    <n v="4333.4080999999996"/>
    <n v="3830.0419999999999"/>
    <x v="0"/>
    <x v="1"/>
    <x v="1091"/>
    <n v="509266"/>
    <n v="5586.2002000000002"/>
    <n v="4019.3998999999999"/>
    <n v="4228.7002000000002"/>
    <n v="35"/>
    <n v="200502"/>
    <s v="13-Nov-2025"/>
    <n v="4228.7002000000002"/>
    <n v="1"/>
    <n v="2025"/>
    <n v="2.75"/>
    <m/>
  </r>
  <r>
    <x v="1092"/>
    <n v="4087.6001000000001"/>
    <n v="4197.8999000000003"/>
    <n v="4047"/>
    <n v="4197.7002000000002"/>
    <n v="483"/>
    <n v="4103.8428999999996"/>
    <n v="4072.3267000000001"/>
    <n v="3683.7332999999999"/>
    <x v="1069"/>
    <n v="1.5157"/>
    <n v="1.9681"/>
    <n v="58.116199999999999"/>
    <n v="54.764499999999998"/>
    <n v="46.001800000000003"/>
    <n v="4297.9934999999996"/>
    <n v="3849.7566000000002"/>
    <x v="0"/>
    <x v="1"/>
    <x v="1092"/>
    <n v="509099"/>
    <n v="5586.2002000000002"/>
    <n v="4019.3998999999999"/>
    <n v="4197.7002000000002"/>
    <n v="34"/>
    <n v="200335"/>
    <s v="14-Nov-2025"/>
    <n v="4197.7002000000002"/>
    <n v="1"/>
    <n v="2025"/>
    <n v="-0.73"/>
    <m/>
  </r>
  <r>
    <x v="1093"/>
    <n v="4068.3"/>
    <n v="4099.5"/>
    <n v="4019.3998999999999"/>
    <n v="4070"/>
    <n v="1552"/>
    <n v="4113.2714999999998"/>
    <n v="4076.95"/>
    <n v="3691.95"/>
    <x v="1070"/>
    <n v="2.0590000000000002"/>
    <n v="2.0331999999999999"/>
    <n v="58.294899999999998"/>
    <n v="48.7819"/>
    <n v="46.557899999999997"/>
    <n v="4274.4852000000001"/>
    <n v="3855.8548000000001"/>
    <x v="0"/>
    <x v="1"/>
    <x v="1093"/>
    <n v="508616"/>
    <n v="5586.2002000000002"/>
    <n v="4019.3998999999999"/>
    <n v="4070"/>
    <n v="33"/>
    <n v="199852"/>
    <s v="17-Nov-2025"/>
    <n v="4070"/>
    <n v="1"/>
    <n v="2025"/>
    <n v="-3.04"/>
    <m/>
  </r>
  <r>
    <x v="1094"/>
    <n v="4061.3"/>
    <n v="4063.3998999999999"/>
    <n v="4035.6001000000001"/>
    <n v="4037.3998999999999"/>
    <n v="1375"/>
    <n v="4121.3572000000004"/>
    <n v="4079.55"/>
    <n v="3699.3989000000001"/>
    <x v="1071"/>
    <n v="2.0754999999999999"/>
    <n v="2.0371999999999999"/>
    <n v="53.257300000000001"/>
    <n v="40.938200000000002"/>
    <n v="45.433900000000001"/>
    <n v="4217.7053999999998"/>
    <n v="3883.1046000000001"/>
    <x v="1"/>
    <x v="1"/>
    <x v="1094"/>
    <n v="507064"/>
    <n v="5586.2002000000002"/>
    <n v="4031.8"/>
    <n v="4037.3998999999999"/>
    <n v="32"/>
    <n v="198300"/>
    <s v="18-Nov-2025"/>
    <n v="4037.3998999999999"/>
    <n v="1"/>
    <n v="2025"/>
    <n v="-0.8"/>
    <m/>
  </r>
  <r>
    <x v="1095"/>
    <n v="4077.7"/>
    <n v="4122.7002000000002"/>
    <n v="4072"/>
    <n v="4086.1001000000001"/>
    <n v="486"/>
    <n v="4125.0857999999998"/>
    <n v="4082.8467000000001"/>
    <n v="3707.6777999999999"/>
    <x v="1072"/>
    <n v="1.9833000000000001"/>
    <n v="2.0445000000000002"/>
    <n v="57.4238"/>
    <n v="38.211300000000001"/>
    <n v="43.989400000000003"/>
    <n v="4215.0911999999998"/>
    <n v="3883.3588"/>
    <x v="0"/>
    <x v="1"/>
    <x v="1095"/>
    <n v="505689"/>
    <n v="5586.2002000000002"/>
    <n v="4031.8"/>
    <n v="4086.1001000000001"/>
    <n v="32"/>
    <n v="198300"/>
    <s v="19-Nov-2025"/>
    <n v="4086.1001000000001"/>
    <n v="1"/>
    <n v="2025"/>
    <n v="1.21"/>
    <m/>
  </r>
  <r>
    <x v="1096"/>
    <n v="4056.5"/>
    <n v="4090.3998999999999"/>
    <n v="4040.2"/>
    <n v="4045"/>
    <n v="202"/>
    <n v="4111.5001000000002"/>
    <n v="4083.9733999999999"/>
    <n v="3715.4978000000001"/>
    <x v="1073"/>
    <n v="1.8302"/>
    <n v="2.052"/>
    <n v="50.643500000000003"/>
    <n v="32.360700000000001"/>
    <n v="41.663600000000002"/>
    <n v="4212.8559999999998"/>
    <n v="3882.2539999999999"/>
    <x v="1"/>
    <x v="1"/>
    <x v="1096"/>
    <n v="505203"/>
    <n v="5586.2002000000002"/>
    <n v="4031.8"/>
    <n v="4045"/>
    <n v="31"/>
    <n v="197814"/>
    <s v="20-Nov-2025"/>
    <n v="4045"/>
    <n v="1"/>
    <n v="2025"/>
    <n v="-1.01"/>
    <m/>
  </r>
  <r>
    <x v="1097"/>
    <n v="4076.7"/>
    <n v="4085.2"/>
    <n v="4031.8"/>
    <n v="4031.8"/>
    <n v="171"/>
    <n v="4099.5285999999996"/>
    <n v="4086.4666999999999"/>
    <n v="3723.4756000000002"/>
    <x v="1074"/>
    <n v="1.8263"/>
    <n v="2.0364"/>
    <n v="53.6066"/>
    <n v="26.3551"/>
    <n v="38.601900000000001"/>
    <n v="4205.3483999999999"/>
    <n v="3881.1916000000001"/>
    <x v="1"/>
    <x v="1"/>
    <x v="1097"/>
    <n v="505001"/>
    <n v="5586.2002000000002"/>
    <n v="4031.8"/>
    <n v="4031.8"/>
    <n v="31"/>
    <n v="197814"/>
    <s v="21-Nov-2025"/>
    <n v="4031.8"/>
    <n v="1"/>
    <n v="2025"/>
    <n v="-0.33"/>
    <m/>
  </r>
  <r>
    <x v="1098"/>
    <n v="4091.8998999999999"/>
    <n v="4091.8998999999999"/>
    <n v="4060.5"/>
    <n v="4060.5"/>
    <n v="591"/>
    <n v="4075.5"/>
    <n v="4087.95"/>
    <n v="3731.5011"/>
    <x v="1075"/>
    <n v="1.3686"/>
    <n v="2.0226999999999999"/>
    <n v="54.241799999999998"/>
    <n v="23.638999999999999"/>
    <n v="35.609299999999998"/>
    <n v="4205.3843999999999"/>
    <n v="3881.2055999999998"/>
    <x v="1"/>
    <x v="1"/>
    <x v="1098"/>
    <n v="504830"/>
    <n v="5586.2002000000002"/>
    <n v="4060.5"/>
    <n v="4060.5"/>
    <n v="31"/>
    <n v="197814"/>
    <s v="24-Nov-2025"/>
    <n v="4060.5"/>
    <n v="1"/>
    <n v="2025"/>
    <n v="0.71"/>
    <m/>
  </r>
  <r>
    <x v="1099"/>
    <n v="4139.2002000000002"/>
    <n v="4139.2002000000002"/>
    <n v="4139.2002000000002"/>
    <n v="4139.2002000000002"/>
    <n v="132704"/>
    <n v="4067.1428999999998"/>
    <n v="4088.2"/>
    <n v="3740.2667000000001"/>
    <x v="1076"/>
    <n v="1.6575"/>
    <n v="1.9843"/>
    <n v="63.148600000000002"/>
    <n v="27.519600000000001"/>
    <n v="33.991399999999999"/>
    <n v="4211.9811"/>
    <n v="3895.5589"/>
    <x v="1"/>
    <x v="1"/>
    <x v="1099"/>
    <n v="504239"/>
    <n v="5586.2002000000002"/>
    <n v="4127.5"/>
    <n v="4139.2002000000002"/>
    <n v="31"/>
    <n v="197814"/>
    <s v="25-Nov-2025"/>
    <n v="4139.2002000000002"/>
    <n v="1"/>
    <n v="2025"/>
    <n v="1.94"/>
    <m/>
  </r>
  <r>
    <x v="1100"/>
    <n v="4165.2002000000002"/>
    <n v="4171"/>
    <n v="4127.5"/>
    <n v="4128.6000999999997"/>
    <n v="25088"/>
    <n v="4075.5142999999998"/>
    <n v="4087.6534000000001"/>
    <n v="3748.24"/>
    <x v="1077"/>
    <n v="1.0982000000000001"/>
    <n v="1.9841"/>
    <n v="58.506300000000003"/>
    <n v="29.4009"/>
    <n v="33.073300000000003"/>
    <n v="4218.9863999999998"/>
    <n v="3903.0437000000002"/>
    <x v="1"/>
    <x v="1"/>
    <x v="1100"/>
    <n v="371535"/>
    <n v="5586.2002000000002"/>
    <n v="4127.5"/>
    <n v="4128.6000999999997"/>
    <n v="31"/>
    <n v="197814"/>
    <s v="26-Nov-2025"/>
    <n v="4128.6000999999997"/>
    <n v="1"/>
    <n v="2025"/>
    <n v="-0.26"/>
    <m/>
  </r>
  <r>
    <x v="1101"/>
    <n v="4218.2997999999998"/>
    <n v="4223.8999000000003"/>
    <n v="4140"/>
    <n v="4163.3999000000003"/>
    <n v="3615"/>
    <n v="4093.5142999999998"/>
    <n v="4086.4733999999999"/>
    <n v="3756.3856000000001"/>
    <x v="783"/>
    <n v="1.0189999999999999"/>
    <n v="1.9756"/>
    <n v="62.271500000000003"/>
    <n v="33.3157"/>
    <n v="33.1218"/>
    <n v="4227.9591"/>
    <n v="3914.4108999999999"/>
    <x v="1"/>
    <x v="1"/>
    <x v="1101"/>
    <n v="346447"/>
    <n v="5586.2002000000002"/>
    <n v="4140"/>
    <n v="4163.3999000000003"/>
    <n v="31"/>
    <n v="197814"/>
    <s v="28-Nov-2025"/>
    <n v="4163.3999000000003"/>
    <n v="1"/>
    <n v="2025"/>
    <n v="0.84"/>
    <m/>
  </r>
  <r>
    <x v="1102"/>
    <n v="4239.2997999999998"/>
    <n v="4262.1000999999997"/>
    <n v="4214.8999000000003"/>
    <n v="4218.5"/>
    <n v="913"/>
    <n v="4112.4286000000002"/>
    <n v="4081.9333999999999"/>
    <n v="3765.8467000000001"/>
    <x v="1078"/>
    <n v="1.0344"/>
    <n v="1.8654999999999999"/>
    <n v="61.008499999999998"/>
    <n v="40.398699999999998"/>
    <n v="34.577199999999998"/>
    <n v="4249.2258000000002"/>
    <n v="3911.5443"/>
    <x v="1"/>
    <x v="1"/>
    <x v="1102"/>
    <n v="342832"/>
    <n v="5586.2002000000002"/>
    <n v="4167"/>
    <n v="4218.5"/>
    <n v="31"/>
    <n v="197814"/>
    <s v="01-Dec-2025"/>
    <n v="4218.5"/>
    <n v="1"/>
    <n v="2025"/>
    <n v="1.32"/>
    <m/>
  </r>
  <r>
    <x v="1103"/>
    <n v="4186.6000999999997"/>
    <n v="4230.5"/>
    <n v="4167"/>
    <n v="4230.5"/>
    <n v="366"/>
    <n v="4138.9286000000002"/>
    <n v="4081.48"/>
    <n v="3775.6967"/>
    <x v="1079"/>
    <n v="0.82279999999999998"/>
    <n v="1.8079000000000001"/>
    <n v="56.934600000000003"/>
    <n v="46.445"/>
    <n v="36.950699999999998"/>
    <n v="4267.1270999999997"/>
    <n v="3919.0729999999999"/>
    <x v="0"/>
    <x v="1"/>
    <x v="1103"/>
    <n v="341919"/>
    <n v="5586.2002000000002"/>
    <n v="4167"/>
    <n v="4230.5"/>
    <n v="31"/>
    <n v="197814"/>
    <s v="02-Dec-2025"/>
    <n v="4230.5"/>
    <n v="1"/>
    <n v="2025"/>
    <n v="0.28000000000000003"/>
    <m/>
  </r>
  <r>
    <x v="1104"/>
    <n v="4199.2997999999998"/>
    <n v="4234.1000999999997"/>
    <n v="4195.7002000000002"/>
    <n v="4215.7002000000002"/>
    <n v="1897"/>
    <n v="4165.2001"/>
    <n v="4077.58"/>
    <n v="3785.5756000000001"/>
    <x v="1080"/>
    <n v="0.82740000000000002"/>
    <n v="1.7654000000000001"/>
    <n v="57.794699999999999"/>
    <n v="49.472200000000001"/>
    <n v="39.454999999999998"/>
    <n v="4279.8854000000001"/>
    <n v="3928.4647"/>
    <x v="0"/>
    <x v="1"/>
    <x v="1104"/>
    <n v="341553"/>
    <n v="5586.2002000000002"/>
    <n v="4175"/>
    <n v="4215.7002000000002"/>
    <n v="30"/>
    <n v="197448"/>
    <s v="03-Dec-2025"/>
    <n v="4215.7002000000002"/>
    <n v="1"/>
    <n v="2025"/>
    <n v="-0.35"/>
    <m/>
  </r>
  <r>
    <x v="1105"/>
    <n v="4211.7997999999998"/>
    <n v="4211.7997999999998"/>
    <n v="4175"/>
    <n v="4211"/>
    <n v="616"/>
    <n v="4186.7001"/>
    <n v="4080.9567000000002"/>
    <n v="3795.4378000000002"/>
    <x v="1081"/>
    <n v="0.87309999999999999"/>
    <n v="1.4835"/>
    <n v="48.341700000000003"/>
    <n v="50.905200000000001"/>
    <n v="41.744999999999997"/>
    <n v="4279.6324999999997"/>
    <n v="3956.8276000000001"/>
    <x v="1"/>
    <x v="1"/>
    <x v="1105"/>
    <n v="339656"/>
    <n v="5586.2002000000002"/>
    <n v="4175"/>
    <n v="4211"/>
    <n v="29"/>
    <n v="195551"/>
    <s v="04-Dec-2025"/>
    <n v="4211"/>
    <n v="1"/>
    <n v="2025"/>
    <n v="-0.11"/>
    <m/>
  </r>
  <r>
    <x v="1106"/>
    <n v="4212.8999000000003"/>
    <n v="4255.7002000000002"/>
    <n v="4194.5"/>
    <n v="4204.1000999999997"/>
    <n v="533"/>
    <n v="4195.9714999999997"/>
    <n v="4085.1466999999998"/>
    <n v="3805.1967"/>
    <x v="1082"/>
    <n v="0.63490000000000002"/>
    <n v="1.4756"/>
    <n v="50.627899999999997"/>
    <n v="50.897300000000001"/>
    <n v="43.575499999999998"/>
    <n v="4284.5506999999998"/>
    <n v="3971.9195"/>
    <x v="1"/>
    <x v="1"/>
    <x v="1106"/>
    <n v="339040"/>
    <n v="5586.2002000000002"/>
    <n v="4175.5"/>
    <n v="4204.1000999999997"/>
    <n v="29"/>
    <n v="195551"/>
    <s v="05-Dec-2025"/>
    <n v="4204.1000999999997"/>
    <n v="1"/>
    <n v="2025"/>
    <n v="-0.16"/>
    <m/>
  </r>
  <r>
    <x v="1107"/>
    <n v="4187.2002000000002"/>
    <n v="4215.7997999999998"/>
    <n v="4175.5"/>
    <n v="4205.5"/>
    <n v="318"/>
    <n v="4206.9571999999998"/>
    <n v="4088.08"/>
    <n v="3815.5589"/>
    <x v="1083"/>
    <n v="0.60719999999999996"/>
    <n v="1.4669000000000001"/>
    <n v="67.675399999999996"/>
    <n v="50.422899999999998"/>
    <n v="44.945"/>
    <n v="4282.9402"/>
    <n v="3995.9998999999998"/>
    <x v="0"/>
    <x v="1"/>
    <x v="1107"/>
    <n v="338507"/>
    <n v="5586.2002000000002"/>
    <n v="4175.5"/>
    <n v="4205.5"/>
    <n v="29"/>
    <n v="195551"/>
    <s v="08-Dec-2025"/>
    <n v="4205.5"/>
    <n v="1"/>
    <n v="2025"/>
    <n v="0.03"/>
    <m/>
  </r>
  <r>
    <x v="1108"/>
    <n v="4206.7002000000002"/>
    <n v="4219.7002000000002"/>
    <n v="4177.7002000000002"/>
    <n v="4190.7002000000002"/>
    <n v="660"/>
    <n v="4210.8572000000004"/>
    <n v="4092.4367000000002"/>
    <n v="3825.6089000000002"/>
    <x v="1084"/>
    <n v="0.58540000000000003"/>
    <n v="1.4429000000000001"/>
    <n v="70.971299999999999"/>
    <n v="48.295900000000003"/>
    <n v="45.615200000000002"/>
    <n v="4286.1008000000002"/>
    <n v="4005.9092999999998"/>
    <x v="1"/>
    <x v="0"/>
    <x v="1108"/>
    <n v="338189"/>
    <n v="5586.2002000000002"/>
    <n v="4177.7002000000002"/>
    <n v="4190.7002000000002"/>
    <n v="28"/>
    <n v="195233"/>
    <s v="09-Dec-2025"/>
    <n v="4190.7002000000002"/>
    <n v="1"/>
    <n v="2025"/>
    <n v="-0.35"/>
    <m/>
  </r>
  <r>
    <x v="1109"/>
    <n v="4196.3999000000003"/>
    <n v="4234.5"/>
    <n v="4183.6000999999997"/>
    <n v="4209"/>
    <n v="692"/>
    <n v="4209.5001000000002"/>
    <n v="4101.7466999999997"/>
    <n v="3834.9578000000001"/>
    <x v="1085"/>
    <n v="0.30309999999999998"/>
    <n v="1.2996000000000001"/>
    <n v="68.337800000000001"/>
    <n v="47.538899999999998"/>
    <n v="45.999899999999997"/>
    <n v="4292.2960000000003"/>
    <n v="4006.6041"/>
    <x v="0"/>
    <x v="1"/>
    <x v="1109"/>
    <n v="337529"/>
    <n v="5586.2002000000002"/>
    <n v="4183.6000999999997"/>
    <n v="4209"/>
    <n v="28"/>
    <n v="195233"/>
    <s v="10-Dec-2025"/>
    <n v="4209"/>
    <n v="1"/>
    <n v="2025"/>
    <n v="0.44"/>
    <m/>
  </r>
  <r>
    <x v="1110"/>
    <n v="4285.5"/>
    <n v="4286.8999000000003"/>
    <n v="4214.2997999999998"/>
    <n v="4224"/>
    <n v="528"/>
    <n v="4208.5715"/>
    <n v="4109.7566999999999"/>
    <n v="3844.3521999999998"/>
    <x v="1086"/>
    <n v="0.3165"/>
    <n v="1.282"/>
    <n v="78.964399999999998"/>
    <n v="47.6006"/>
    <n v="46.320099999999996"/>
    <n v="4300.5069000000003"/>
    <n v="4009.2332000000001"/>
    <x v="1"/>
    <x v="0"/>
    <x v="1110"/>
    <n v="336837"/>
    <n v="5586.2002000000002"/>
    <n v="4214.2997999999998"/>
    <n v="4224"/>
    <n v="27"/>
    <n v="194541"/>
    <s v="11-Dec-2025"/>
    <n v="4224"/>
    <n v="1"/>
    <n v="2025"/>
    <n v="0.36"/>
    <m/>
  </r>
  <r>
    <x v="1111"/>
    <n v="4300.1000999999997"/>
    <n v="4355"/>
    <n v="4260"/>
    <n v="4276.3999000000003"/>
    <n v="1531"/>
    <n v="4217.2429000000002"/>
    <n v="4120.3033999999998"/>
    <n v="3854.3045000000002"/>
    <x v="1087"/>
    <n v="0.53620000000000001"/>
    <n v="1.2864"/>
    <n v="85.123500000000007"/>
    <n v="51.2866"/>
    <n v="47.313400000000001"/>
    <n v="4309.3995000000004"/>
    <n v="4005.1106"/>
    <x v="1"/>
    <x v="0"/>
    <x v="1111"/>
    <n v="336309"/>
    <n v="5586.2002000000002"/>
    <n v="4260"/>
    <n v="4276.3999000000003"/>
    <n v="27"/>
    <n v="194541"/>
    <s v="12-Dec-2025"/>
    <n v="4276.3999000000003"/>
    <n v="1"/>
    <n v="2025"/>
    <n v="1.24"/>
    <m/>
  </r>
  <r>
    <x v="1112"/>
    <n v="4306.7002000000002"/>
    <n v="4349.2002000000002"/>
    <n v="4292.8999000000003"/>
    <n v="4308.2997999999998"/>
    <n v="854"/>
    <n v="4231.1428999999998"/>
    <n v="4129.43"/>
    <n v="3864.5645"/>
    <x v="1088"/>
    <n v="0.5494"/>
    <n v="1.2535000000000001"/>
    <n v="85.259"/>
    <n v="56.134700000000002"/>
    <n v="49.077599999999997"/>
    <n v="4328.5495000000001"/>
    <n v="3997.0205999999998"/>
    <x v="0"/>
    <x v="0"/>
    <x v="1112"/>
    <n v="334778"/>
    <n v="5586.2002000000002"/>
    <n v="4270.5"/>
    <n v="4308.2997999999998"/>
    <n v="27"/>
    <n v="194541"/>
    <s v="15-Dec-2025"/>
    <n v="4308.2997999999998"/>
    <n v="1"/>
    <n v="2025"/>
    <n v="0.75"/>
    <m/>
  </r>
  <r>
    <x v="1113"/>
    <n v="4304.5"/>
    <n v="4321.3999000000003"/>
    <n v="4270.5"/>
    <n v="4270.5"/>
    <n v="1796"/>
    <n v="4240.6286"/>
    <n v="4139.24"/>
    <n v="3873.8056000000001"/>
    <x v="1089"/>
    <n v="0.70109999999999995"/>
    <n v="1.2315"/>
    <n v="71.1434"/>
    <n v="56.277999999999999"/>
    <n v="50.517699999999998"/>
    <n v="4339.1977999999999"/>
    <n v="4006.4222"/>
    <x v="1"/>
    <x v="0"/>
    <x v="1113"/>
    <n v="333924"/>
    <n v="5586.2002000000002"/>
    <n v="4270.5"/>
    <n v="4270.5"/>
    <n v="26"/>
    <n v="193687"/>
    <s v="16-Dec-2025"/>
    <n v="4270.5"/>
    <n v="1"/>
    <n v="2025"/>
    <n v="-0.88"/>
    <m/>
  </r>
  <r>
    <x v="1114"/>
    <n v="4347.5"/>
    <n v="4351.3999000000003"/>
    <n v="4308.5"/>
    <n v="4308.5"/>
    <n v="2169"/>
    <n v="4255.3428000000004"/>
    <n v="4149.7166999999999"/>
    <n v="3884.0789"/>
    <x v="1090"/>
    <n v="0.73570000000000002"/>
    <n v="1.2365999999999999"/>
    <n v="76.620400000000004"/>
    <n v="58.780299999999997"/>
    <n v="52.170200000000001"/>
    <n v="4350.4602000000004"/>
    <n v="4022.2698"/>
    <x v="1"/>
    <x v="0"/>
    <x v="1114"/>
    <n v="332128"/>
    <n v="5586.2002000000002"/>
    <n v="4285"/>
    <n v="4308.5"/>
    <n v="26"/>
    <n v="193687"/>
    <s v="17-Dec-2025"/>
    <n v="4308.5"/>
    <n v="1"/>
    <n v="2025"/>
    <n v="0.89"/>
    <m/>
  </r>
  <r>
    <x v="1115"/>
    <n v="4339.5"/>
    <n v="4348.1000999999997"/>
    <n v="4328.2002000000002"/>
    <n v="4331"/>
    <n v="705"/>
    <n v="4275.3856999999998"/>
    <n v="4163.0866999999998"/>
    <n v="3894.91"/>
    <x v="1091"/>
    <n v="0.66810000000000003"/>
    <n v="1.1856"/>
    <n v="75.737200000000001"/>
    <n v="61.8658"/>
    <n v="54.109299999999998"/>
    <n v="4367.6767"/>
    <n v="4029.5434"/>
    <x v="1"/>
    <x v="0"/>
    <x v="1115"/>
    <n v="329959"/>
    <n v="5586.2002000000002"/>
    <n v="4285"/>
    <n v="4331"/>
    <n v="26"/>
    <n v="193687"/>
    <s v="18-Dec-2025"/>
    <n v="4331"/>
    <n v="1"/>
    <n v="2025"/>
    <n v="0.52"/>
    <m/>
  </r>
  <r>
    <x v="1116"/>
    <n v="4361.3999000000003"/>
    <n v="4361.3999000000003"/>
    <n v="4350.1000999999997"/>
    <n v="4350.1000999999997"/>
    <n v="1065"/>
    <n v="4295.5428000000002"/>
    <n v="4174.6234000000004"/>
    <n v="3905.9245000000001"/>
    <x v="1092"/>
    <n v="0.66810000000000003"/>
    <n v="1.1491"/>
    <n v="72.721100000000007"/>
    <n v="65.101799999999997"/>
    <n v="56.3078"/>
    <n v="4379.5982999999997"/>
    <n v="4048.1318000000001"/>
    <x v="1"/>
    <x v="0"/>
    <x v="1116"/>
    <n v="329254"/>
    <n v="5586.2002000000002"/>
    <n v="4285"/>
    <n v="4350.1000999999997"/>
    <n v="26"/>
    <n v="193687"/>
    <s v="19-Dec-2025"/>
    <n v="4350.1000999999997"/>
    <n v="1"/>
    <n v="2025"/>
    <n v="0.44"/>
    <m/>
  </r>
  <r>
    <x v="1117"/>
    <n v="4444.6000999999997"/>
    <n v="4447.6000999999997"/>
    <n v="4371.1000999999997"/>
    <n v="4371.1000999999997"/>
    <n v="449"/>
    <n v="4316.5571"/>
    <n v="4187.6333999999997"/>
    <n v="3917.3056000000001"/>
    <x v="1093"/>
    <n v="0.66610000000000003"/>
    <n v="1.1378999999999999"/>
    <n v="73.543300000000002"/>
    <n v="68.570499999999996"/>
    <n v="58.760300000000001"/>
    <n v="4387.2974000000004"/>
    <n v="4074.3627000000001"/>
    <x v="1"/>
    <x v="0"/>
    <x v="1117"/>
    <n v="328189"/>
    <n v="5586.2002000000002"/>
    <n v="4285"/>
    <n v="4371.1000999999997"/>
    <n v="26"/>
    <n v="193687"/>
    <s v="22-Dec-2025"/>
    <n v="4371.1000999999997"/>
    <n v="1"/>
    <n v="2025"/>
    <n v="0.48"/>
    <m/>
  </r>
  <r>
    <x v="1118"/>
    <n v="4482.7997999999998"/>
    <n v="4503.7997999999998"/>
    <n v="4450.3999000000003"/>
    <n v="4503.2997999999998"/>
    <n v="694"/>
    <n v="4348.9714000000004"/>
    <n v="4202.41"/>
    <n v="3930.1556"/>
    <x v="1094"/>
    <n v="1.159"/>
    <n v="1.2040999999999999"/>
    <n v="84.567300000000003"/>
    <n v="81.052499999999995"/>
    <n v="63.218800000000002"/>
    <n v="4431.6868000000004"/>
    <n v="4074.2532000000001"/>
    <x v="0"/>
    <x v="0"/>
    <x v="1118"/>
    <n v="327740"/>
    <n v="5586.2002000000002"/>
    <n v="4285"/>
    <n v="4503.2997999999998"/>
    <n v="26"/>
    <n v="193687"/>
    <s v="23-Dec-2025"/>
    <n v="4503.2997999999998"/>
    <n v="1"/>
    <n v="2025"/>
    <n v="3.02"/>
    <m/>
  </r>
  <r>
    <x v="1119"/>
    <n v="4480.6000999999997"/>
    <n v="4503.3999000000003"/>
    <n v="4468.3999000000003"/>
    <n v="4500.7002000000002"/>
    <n v="500"/>
    <n v="4376.4571999999998"/>
    <n v="4214.43"/>
    <n v="3943.1244999999999"/>
    <x v="1095"/>
    <n v="1.1981999999999999"/>
    <n v="1.1662999999999999"/>
    <n v="84.996499999999997"/>
    <n v="89.700800000000001"/>
    <n v="68.515199999999993"/>
    <n v="4472.9341000000004"/>
    <n v="4069.1559999999999"/>
    <x v="0"/>
    <x v="0"/>
    <x v="1119"/>
    <n v="327046"/>
    <n v="5586.2002000000002"/>
    <n v="4285"/>
    <n v="4500.7002000000002"/>
    <n v="25"/>
    <n v="192993"/>
    <s v="24-Dec-2025"/>
    <n v="4500.7002000000002"/>
    <n v="1"/>
    <n v="2025"/>
    <n v="-0.06"/>
    <m/>
  </r>
  <r>
    <x v="1120"/>
    <n v="4529.1000999999997"/>
    <n v="4556.2997999999998"/>
    <n v="4502"/>
    <n v="4512"/>
    <n v="263"/>
    <n v="4410.9571999999998"/>
    <n v="4227.6433999999999"/>
    <n v="3956.2556"/>
    <x v="1096"/>
    <n v="1.0246"/>
    <n v="1.1546000000000001"/>
    <n v="86.803899999999999"/>
    <n v="96.355699999999999"/>
    <n v="74.083299999999994"/>
    <n v="4507.3859000000002"/>
    <n v="4073.0441999999998"/>
    <x v="1"/>
    <x v="0"/>
    <x v="1120"/>
    <n v="326546"/>
    <n v="5586.2002000000002"/>
    <n v="4285"/>
    <n v="4512"/>
    <n v="24"/>
    <n v="192493"/>
    <s v="26-Dec-2025"/>
    <n v="4512"/>
    <n v="1"/>
    <n v="2025"/>
    <n v="0.25"/>
    <m/>
  </r>
  <r>
    <x v="1121"/>
    <n v="4325.1000999999997"/>
    <n v="4379"/>
    <n v="4325.1000999999997"/>
    <n v="4371.5"/>
    <n v="2044"/>
    <n v="4419.9571999999998"/>
    <n v="4232.4034000000001"/>
    <n v="3968.0432999999998"/>
    <x v="1097"/>
    <n v="1.792"/>
    <n v="1.2223999999999999"/>
    <n v="64.890600000000006"/>
    <n v="89.263599999999997"/>
    <n v="77.119399999999999"/>
    <n v="4512.0735999999997"/>
    <n v="4089.1664000000001"/>
    <x v="0"/>
    <x v="1"/>
    <x v="1121"/>
    <n v="326283"/>
    <n v="5586.2002000000002"/>
    <n v="4285"/>
    <n v="4371.5"/>
    <n v="24"/>
    <n v="192493"/>
    <s v="29-Dec-2025"/>
    <n v="4371.5"/>
    <n v="1"/>
    <n v="2025"/>
    <n v="-3.11"/>
    <m/>
  </r>
  <r>
    <x v="1122"/>
    <n v="4370.1000999999997"/>
    <n v="4403.6000999999997"/>
    <n v="4338"/>
    <n v="4346.3999000000003"/>
    <n v="1837"/>
    <n v="4422.1571999999996"/>
    <n v="4237.3599999999997"/>
    <n v="3979.1210999999998"/>
    <x v="1098"/>
    <n v="1.8090999999999999"/>
    <n v="1.2189000000000001"/>
    <n v="63.713200000000001"/>
    <n v="80.687600000000003"/>
    <n v="77.832999999999998"/>
    <n v="4515.7299999999996"/>
    <n v="4098.3001000000004"/>
    <x v="1"/>
    <x v="1"/>
    <x v="1122"/>
    <n v="324239"/>
    <n v="5586.2002000000002"/>
    <n v="4285"/>
    <n v="4346.3999000000003"/>
    <n v="23"/>
    <n v="190449"/>
    <s v="30-Dec-2025"/>
    <n v="4346.3999000000003"/>
    <n v="1"/>
    <n v="2025"/>
    <n v="-0.56999999999999995"/>
    <m/>
  </r>
  <r>
    <x v="1123"/>
    <n v="4325.6000999999997"/>
    <n v="4363.7997999999998"/>
    <n v="4285"/>
    <n v="4333.5"/>
    <n v="785"/>
    <n v="4419.7857000000004"/>
    <n v="4246.1433999999999"/>
    <n v="3990.0556000000001"/>
    <x v="1099"/>
    <n v="1.8049999999999999"/>
    <n v="1.0666"/>
    <n v="61.070599999999999"/>
    <n v="72.02"/>
    <n v="76.670400000000001"/>
    <n v="4517.9935999999998"/>
    <n v="4106.3365000000003"/>
    <x v="0"/>
    <x v="1"/>
    <x v="1123"/>
    <n v="322402"/>
    <n v="5586.2002000000002"/>
    <n v="4285"/>
    <n v="4333.5"/>
    <n v="23"/>
    <n v="190449"/>
    <s v="31-Dec-2025"/>
    <n v="4333.5"/>
    <n v="1"/>
    <n v="2025"/>
    <n v="-0.3"/>
    <m/>
  </r>
  <r>
    <x v="1124"/>
    <n v="4314.3999000000003"/>
    <n v="4350.6000999999997"/>
    <n v="4314.3999000000003"/>
    <n v="4350.6000999999997"/>
    <n v="589"/>
    <n v="4416.8571000000002"/>
    <n v="4256.5834000000004"/>
    <n v="4000.9956000000002"/>
    <x v="10"/>
    <n v="1.8010999999999999"/>
    <n v="1.0495000000000001"/>
    <n v="61.215499999999999"/>
    <n v="65.772400000000005"/>
    <n v="74.490799999999993"/>
    <n v="4520.2201999999997"/>
    <n v="4117.5998"/>
    <x v="0"/>
    <x v="1"/>
    <x v="1124"/>
    <n v="321617"/>
    <n v="5586.2002000000002"/>
    <n v="4314.3999000000003"/>
    <n v="4350.6000999999997"/>
    <n v="22"/>
    <n v="189664"/>
    <s v="02-Jan-2026"/>
    <n v="4350.6000999999997"/>
    <n v="1"/>
    <n v="2026"/>
    <n v="0.39"/>
    <m/>
  </r>
  <r>
    <x v="1125"/>
    <n v="4436.8999000000003"/>
    <n v="4443.5"/>
    <n v="4384.7997999999998"/>
    <n v="4386.7002000000002"/>
    <n v="618"/>
    <n v="4400.2001"/>
    <n v="4266.6034"/>
    <n v="4012.1934000000001"/>
    <x v="1100"/>
    <n v="1.2964"/>
    <n v="1.04"/>
    <n v="60.062100000000001"/>
    <n v="63.007899999999999"/>
    <n v="72.194199999999995"/>
    <n v="4524.4609"/>
    <n v="4130.9291000000003"/>
    <x v="1"/>
    <x v="1"/>
    <x v="1125"/>
    <n v="321028"/>
    <n v="5586.2002000000002"/>
    <n v="4384.7997999999998"/>
    <n v="4386.7002000000002"/>
    <n v="21"/>
    <n v="189075"/>
    <s v="05-Jan-2026"/>
    <n v="4386.7002000000002"/>
    <n v="1"/>
    <n v="2026"/>
    <n v="0.83"/>
    <m/>
  </r>
  <r>
    <x v="1126"/>
    <n v="4482.2002000000002"/>
    <n v="4482.2002000000002"/>
    <n v="4449"/>
    <n v="4449.7002000000002"/>
    <n v="459"/>
    <n v="4392.9143000000004"/>
    <n v="4280.0933999999997"/>
    <n v="4023.89"/>
    <x v="1101"/>
    <n v="1.4674"/>
    <n v="1.0345"/>
    <n v="62.206499999999998"/>
    <n v="65.149500000000003"/>
    <n v="70.785300000000007"/>
    <n v="4534.9101000000001"/>
    <n v="4145.0398999999998"/>
    <x v="1"/>
    <x v="1"/>
    <x v="1126"/>
    <n v="320410"/>
    <n v="5586.2002000000002"/>
    <n v="4400"/>
    <n v="4449.7002000000002"/>
    <n v="21"/>
    <n v="189075"/>
    <s v="06-Jan-2026"/>
    <n v="4449.7002000000002"/>
    <n v="1"/>
    <n v="2026"/>
    <n v="1.44"/>
    <m/>
  </r>
  <r>
    <x v="1127"/>
    <n v="4449.2997999999998"/>
    <n v="4450"/>
    <n v="4449.2997999999998"/>
    <n v="4450"/>
    <n v="972"/>
    <n v="4384.0572000000002"/>
    <n v="4294.0334000000003"/>
    <n v="4035.4567000000002"/>
    <x v="1102"/>
    <n v="1.4591000000000001"/>
    <n v="1.0289999999999999"/>
    <n v="66.568200000000004"/>
    <n v="66.108900000000006"/>
    <n v="69.849999999999994"/>
    <n v="4542.2313000000004"/>
    <n v="4162.1687000000002"/>
    <x v="0"/>
    <x v="1"/>
    <x v="1127"/>
    <n v="319951"/>
    <n v="5586.2002000000002"/>
    <n v="4400"/>
    <n v="4450"/>
    <n v="21"/>
    <n v="189075"/>
    <s v="07-Jan-2026"/>
    <n v="4450"/>
    <n v="1"/>
    <n v="2026"/>
    <n v="0.01"/>
    <m/>
  </r>
  <r>
    <x v="1128"/>
    <n v="4449.7002000000002"/>
    <n v="4461.2997999999998"/>
    <n v="4418"/>
    <n v="4460.2002000000002"/>
    <n v="2423"/>
    <n v="4396.7286999999997"/>
    <n v="4307.3567000000003"/>
    <n v="4046.8755999999998"/>
    <x v="1103"/>
    <n v="0.68200000000000005"/>
    <n v="1.0266999999999999"/>
    <n v="64.759699999999995"/>
    <n v="66.920900000000003"/>
    <n v="69.264200000000002"/>
    <n v="4545.4303"/>
    <n v="4185.9197999999997"/>
    <x v="0"/>
    <x v="1"/>
    <x v="1128"/>
    <n v="318979"/>
    <n v="5586.2002000000002"/>
    <n v="4400"/>
    <n v="4460.2002000000002"/>
    <n v="20"/>
    <n v="188103"/>
    <s v="08-Jan-2026"/>
    <n v="4460.2002000000002"/>
    <n v="1"/>
    <n v="2026"/>
    <n v="0.23"/>
    <m/>
  </r>
  <r>
    <x v="1129"/>
    <n v="4490.2997999999998"/>
    <n v="4490.2997999999998"/>
    <n v="4473"/>
    <n v="4473"/>
    <n v="237"/>
    <n v="4414.8144000000002"/>
    <n v="4318.4834000000001"/>
    <n v="4057.8456000000001"/>
    <x v="1104"/>
    <n v="0.56850000000000001"/>
    <n v="0.98009999999999997"/>
    <n v="64.081699999999998"/>
    <n v="67.8155"/>
    <n v="68.974500000000006"/>
    <n v="4548.6851999999999"/>
    <n v="4209.0649000000003"/>
    <x v="1"/>
    <x v="1"/>
    <x v="1129"/>
    <n v="316556"/>
    <n v="5586.2002000000002"/>
    <n v="4400"/>
    <n v="4473"/>
    <n v="19"/>
    <n v="185680"/>
    <s v="09-Jan-2026"/>
    <n v="4473"/>
    <n v="1"/>
    <n v="2026"/>
    <n v="0.28999999999999998"/>
    <m/>
  </r>
  <r>
    <x v="1130"/>
    <n v="4604.2997999999998"/>
    <n v="4620"/>
    <n v="4577.7997999999998"/>
    <n v="4579.1000999999997"/>
    <n v="156"/>
    <n v="4449.9000999999998"/>
    <n v="4333.5"/>
    <n v="4069.2267000000002"/>
    <x v="1105"/>
    <n v="0.84250000000000003"/>
    <n v="1.0471999999999999"/>
    <n v="69.367400000000004"/>
    <n v="76.207400000000007"/>
    <n v="70.421000000000006"/>
    <n v="4572.4094999999998"/>
    <n v="4220.8504999999996"/>
    <x v="1"/>
    <x v="1"/>
    <x v="1130"/>
    <n v="316319"/>
    <n v="5586.2002000000002"/>
    <n v="4400"/>
    <n v="4579.1000999999997"/>
    <n v="19"/>
    <n v="185680"/>
    <s v="12-Jan-2026"/>
    <n v="4579.1000999999997"/>
    <n v="1"/>
    <n v="2026"/>
    <n v="2.37"/>
    <m/>
  </r>
  <r>
    <x v="1131"/>
    <n v="4589.2002000000002"/>
    <n v="4617.1000999999997"/>
    <n v="4578.6000999999997"/>
    <n v="4578.6000999999997"/>
    <n v="239"/>
    <n v="4482.4714999999997"/>
    <n v="4347.34"/>
    <n v="4080.6567"/>
    <x v="1106"/>
    <n v="0.88729999999999998"/>
    <n v="1.0449999999999999"/>
    <n v="68.179500000000004"/>
    <n v="81.873900000000006"/>
    <n v="72.711600000000004"/>
    <n v="4595.7646999999997"/>
    <n v="4227.7154"/>
    <x v="1"/>
    <x v="1"/>
    <x v="1131"/>
    <n v="316163"/>
    <n v="5586.2002000000002"/>
    <n v="4400"/>
    <n v="4578.6000999999997"/>
    <n v="19"/>
    <n v="185680"/>
    <s v="13-Jan-2026"/>
    <n v="4578.6000999999997"/>
    <n v="1"/>
    <n v="2026"/>
    <n v="-0.01"/>
    <m/>
  </r>
  <r>
    <x v="1132"/>
    <n v="4626.2997999999998"/>
    <n v="4635"/>
    <n v="4608.2002000000002"/>
    <n v="4610.2997999999998"/>
    <n v="1313"/>
    <n v="4514.4143000000004"/>
    <n v="4360.3999999999996"/>
    <n v="4092.24"/>
    <x v="1107"/>
    <n v="0.88639999999999997"/>
    <n v="1.0304"/>
    <n v="61.3782"/>
    <n v="87.909199999999998"/>
    <n v="75.751099999999994"/>
    <n v="4624.2043000000003"/>
    <n v="4229.4758000000002"/>
    <x v="1"/>
    <x v="1"/>
    <x v="1132"/>
    <n v="315924"/>
    <n v="5586.2002000000002"/>
    <n v="4400"/>
    <n v="4610.2997999999998"/>
    <n v="19"/>
    <n v="185680"/>
    <s v="14-Jan-2026"/>
    <n v="4610.2997999999998"/>
    <n v="1"/>
    <n v="2026"/>
    <n v="0.69"/>
    <m/>
  </r>
  <r>
    <x v="1133"/>
    <n v="4616.2997999999998"/>
    <n v="4616.2997999999998"/>
    <n v="4612.8999000000003"/>
    <n v="4612.8999000000003"/>
    <n v="4358"/>
    <n v="4537.7286000000004"/>
    <n v="4373.1467000000002"/>
    <n v="4103.5555999999997"/>
    <x v="1108"/>
    <n v="0.85229999999999995"/>
    <n v="1.0313000000000001"/>
    <n v="61.931100000000001"/>
    <n v="91.843299999999999"/>
    <n v="78.9696"/>
    <n v="4643.6120000000001"/>
    <n v="4244.3081000000002"/>
    <x v="1"/>
    <x v="1"/>
    <x v="1133"/>
    <n v="314611"/>
    <n v="5586.2002000000002"/>
    <n v="4400"/>
    <n v="4612.8999000000003"/>
    <n v="19"/>
    <n v="185680"/>
    <s v="15-Jan-2026"/>
    <n v="4612.8999000000003"/>
    <n v="1"/>
    <n v="2026"/>
    <n v="0.06"/>
    <m/>
  </r>
  <r>
    <x v="1134"/>
    <n v="4588.3999000000003"/>
    <n v="4608"/>
    <n v="4588.3999000000003"/>
    <n v="4608"/>
    <n v="352"/>
    <n v="4560.3"/>
    <n v="4386.2233999999999"/>
    <n v="4114.2322000000004"/>
    <x v="1109"/>
    <n v="0.86460000000000004"/>
    <n v="1.0270999999999999"/>
    <n v="60.349299999999999"/>
    <n v="93.488"/>
    <n v="81.873199999999997"/>
    <n v="4660.7237999999998"/>
    <n v="4257.1462000000001"/>
    <x v="0"/>
    <x v="1"/>
    <x v="1134"/>
    <n v="310253"/>
    <n v="5586.2002000000002"/>
    <n v="4400"/>
    <n v="4608"/>
    <n v="19"/>
    <n v="185680"/>
    <s v="16-Jan-2026"/>
    <n v="4608"/>
    <n v="1"/>
    <n v="2026"/>
    <n v="-0.11"/>
    <m/>
  </r>
  <r>
    <x v="1135"/>
    <n v="4759.6000999999997"/>
    <n v="4764"/>
    <n v="4661.7997999999998"/>
    <n v="4662.2002000000002"/>
    <n v="175"/>
    <n v="4589.1571999999996"/>
    <n v="4401.2633999999998"/>
    <n v="4125.7566999999999"/>
    <x v="1110"/>
    <n v="0.88839999999999997"/>
    <n v="1.036"/>
    <n v="88.503299999999996"/>
    <n v="98.034899999999993"/>
    <n v="85.105599999999995"/>
    <n v="4687.1941999999999"/>
    <n v="4263.7959000000001"/>
    <x v="1"/>
    <x v="0"/>
    <x v="1135"/>
    <n v="309901"/>
    <n v="5586.2002000000002"/>
    <n v="4400"/>
    <n v="4662.2002000000002"/>
    <n v="18"/>
    <n v="185328"/>
    <s v="20-Jan-2026"/>
    <n v="4662.2002000000002"/>
    <n v="1"/>
    <n v="2026"/>
    <n v="1.18"/>
    <m/>
  </r>
  <r>
    <x v="1136"/>
    <n v="4831.7997999999998"/>
    <n v="4872.2997999999998"/>
    <n v="4771.5"/>
    <n v="4863.5"/>
    <n v="1706"/>
    <n v="4644.9429"/>
    <n v="4423.2434000000003"/>
    <n v="4139.43"/>
    <x v="1111"/>
    <n v="1.6243000000000001"/>
    <n v="1.2592000000000001"/>
    <n v="96.694999999999993"/>
    <n v="116.5382"/>
    <n v="91.392099999999999"/>
    <n v="4766.5439999999999"/>
    <n v="4235.7860000000001"/>
    <x v="0"/>
    <x v="0"/>
    <x v="1136"/>
    <n v="309726"/>
    <n v="5586.2002000000002"/>
    <n v="4400"/>
    <n v="4863.5"/>
    <n v="18"/>
    <n v="185328"/>
    <s v="21-Jan-2026"/>
    <n v="4863.5"/>
    <n v="1"/>
    <n v="2026"/>
    <n v="4.32"/>
    <m/>
  </r>
  <r>
    <x v="1137"/>
    <n v="4908.7997999999998"/>
    <n v="4908.7997999999998"/>
    <n v="4791.8999000000003"/>
    <n v="4791.8999000000003"/>
    <n v="1175"/>
    <n v="4675.3428000000004"/>
    <n v="4442.79"/>
    <n v="4152.0567000000001"/>
    <x v="1112"/>
    <n v="1.8070999999999999"/>
    <n v="1.3072999999999999"/>
    <n v="87.426500000000004"/>
    <n v="123.9953"/>
    <n v="97.912700000000001"/>
    <n v="4809.9475000000002"/>
    <n v="4234.4624999999996"/>
    <x v="1"/>
    <x v="0"/>
    <x v="1137"/>
    <n v="308020"/>
    <n v="5586.2002000000002"/>
    <n v="4400"/>
    <n v="4791.8999000000003"/>
    <n v="17"/>
    <n v="183622"/>
    <s v="22-Jan-2026"/>
    <n v="4791.8999000000003"/>
    <n v="1"/>
    <n v="2026"/>
    <n v="-1.47"/>
    <m/>
  </r>
  <r>
    <x v="1138"/>
    <n v="4976.2002000000002"/>
    <n v="4976.2002000000002"/>
    <n v="4936"/>
    <n v="4949.6000999999997"/>
    <n v="169"/>
    <n v="4728.3428000000004"/>
    <n v="4468.0866999999998"/>
    <n v="4166.6077999999998"/>
    <x v="1113"/>
    <n v="2.0198"/>
    <n v="1.3969"/>
    <n v="89.774199999999993"/>
    <n v="141.00479999999999"/>
    <n v="106.5312"/>
    <n v="4889.5996999999998"/>
    <n v="4199.4404000000004"/>
    <x v="1"/>
    <x v="0"/>
    <x v="1138"/>
    <n v="306845"/>
    <n v="5586.2002000000002"/>
    <n v="4400"/>
    <n v="4949.6000999999997"/>
    <n v="17"/>
    <n v="183622"/>
    <s v="23-Jan-2026"/>
    <n v="4949.6000999999997"/>
    <n v="1"/>
    <n v="2026"/>
    <n v="3.29"/>
    <m/>
  </r>
  <r>
    <x v="1139"/>
    <n v="5079.7002000000002"/>
    <n v="5095.6000999999997"/>
    <n v="5052.2002000000002"/>
    <n v="5081.5"/>
    <n v="180"/>
    <n v="4795.6571999999996"/>
    <n v="4497.17"/>
    <n v="4182.1644999999999"/>
    <x v="1114"/>
    <n v="2.0840999999999998"/>
    <n v="1.4480999999999999"/>
    <n v="90.928399999999996"/>
    <n v="163.24629999999999"/>
    <n v="117.8742"/>
    <n v="4992.8804"/>
    <n v="4154.2395999999999"/>
    <x v="0"/>
    <x v="0"/>
    <x v="1139"/>
    <n v="306676"/>
    <n v="5586.2002000000002"/>
    <n v="4400"/>
    <n v="5081.5"/>
    <n v="17"/>
    <n v="183622"/>
    <s v="26-Jan-2026"/>
    <n v="5081.5"/>
    <n v="1"/>
    <n v="2026"/>
    <n v="2.66"/>
    <m/>
  </r>
  <r>
    <x v="1140"/>
    <n v="5079.8999000000003"/>
    <n v="5079.8999000000003"/>
    <n v="5079.8999000000003"/>
    <n v="5079.8999000000003"/>
    <n v="34"/>
    <n v="4862.3714"/>
    <n v="4525.7"/>
    <n v="4197.8410999999996"/>
    <x v="1115"/>
    <n v="2.0939000000000001"/>
    <n v="1.4523999999999999"/>
    <n v="90.017799999999994"/>
    <n v="178.6841"/>
    <n v="130.03620000000001"/>
    <n v="5076.9409999999998"/>
    <n v="4126.9690000000001"/>
    <x v="1"/>
    <x v="0"/>
    <x v="1140"/>
    <n v="306496"/>
    <n v="5586.2002000000002"/>
    <n v="4400"/>
    <n v="5079.8999000000003"/>
    <n v="16"/>
    <n v="183442"/>
    <s v="27-Jan-2026"/>
    <n v="5079.8999000000003"/>
    <n v="1"/>
    <n v="2026"/>
    <n v="-0.03"/>
    <m/>
  </r>
  <r>
    <x v="1141"/>
    <n v="5301.6000999999997"/>
    <n v="5301.6000999999997"/>
    <n v="5301.6000999999997"/>
    <n v="5301.6000999999997"/>
    <n v="112054"/>
    <n v="4961.4571999999998"/>
    <n v="4559.8734000000004"/>
    <n v="4216.1410999999998"/>
    <x v="1116"/>
    <n v="2.2330000000000001"/>
    <n v="1.6022000000000001"/>
    <n v="92.208600000000004"/>
    <n v="206.42830000000001"/>
    <n v="145.31460000000001"/>
    <n v="5203.7779"/>
    <n v="4093.1421999999998"/>
    <x v="1"/>
    <x v="0"/>
    <x v="1141"/>
    <n v="306462"/>
    <n v="5586.2002000000002"/>
    <n v="4400"/>
    <n v="5301.6000999999997"/>
    <n v="16"/>
    <n v="183442"/>
    <s v="28-Jan-2026"/>
    <n v="5301.6000999999997"/>
    <n v="1"/>
    <n v="2026"/>
    <n v="4.3600000000000003"/>
    <m/>
  </r>
  <r>
    <x v="1142"/>
    <n v="5318.3999000000003"/>
    <n v="5586.2002000000002"/>
    <n v="5097.5"/>
    <n v="5415.7002000000002"/>
    <n v="23709"/>
    <n v="5069.1000000000004"/>
    <n v="4596.7866999999997"/>
    <n v="4235.66"/>
    <x v="1117"/>
    <n v="2.2000000000000002"/>
    <n v="1.6231"/>
    <n v="92.936099999999996"/>
    <n v="234.91489999999999"/>
    <n v="163.2347"/>
    <n v="5335.2191999999995"/>
    <n v="4068.6309000000001"/>
    <x v="0"/>
    <x v="0"/>
    <x v="1142"/>
    <n v="194408"/>
    <n v="5586.2002000000002"/>
    <n v="4400"/>
    <n v="5415.7002000000002"/>
    <n v="16"/>
    <n v="183442"/>
    <s v="29-Jan-2026"/>
    <n v="5415.7002000000002"/>
    <n v="1"/>
    <n v="2026"/>
    <n v="2.15"/>
    <m/>
  </r>
  <r>
    <x v="1143"/>
    <n v="4713.8999000000003"/>
    <n v="5440.5"/>
    <n v="4700"/>
    <n v="5376.3999000000003"/>
    <n v="8374"/>
    <n v="5142.3714"/>
    <n v="4633.6499999999996"/>
    <n v="4254.4178000000002"/>
    <x v="1118"/>
    <n v="2.2105000000000001"/>
    <n v="1.6180000000000001"/>
    <n v="89.650599999999997"/>
    <n v="251.4212"/>
    <n v="180.87200000000001"/>
    <n v="5429.9459999999999"/>
    <n v="4078.1941000000002"/>
    <x v="0"/>
    <x v="0"/>
    <x v="1143"/>
    <n v="170699"/>
    <n v="5440.5"/>
    <n v="4400"/>
    <n v="5376.3999000000003"/>
    <n v="15"/>
    <n v="159733"/>
    <s v="30-Jan-2026"/>
    <n v="5376.3999000000003"/>
    <n v="1"/>
    <n v="2026"/>
    <n v="-0.73"/>
    <m/>
  </r>
  <r>
    <x v="1144"/>
    <n v="4622.5"/>
    <n v="4855.7997999999998"/>
    <n v="4400"/>
    <n v="4807.7002000000002"/>
    <n v="3588"/>
    <n v="5144.6286"/>
    <n v="4650.29"/>
    <n v="4266.2034000000003"/>
    <x v="1119"/>
    <n v="5.0636000000000001"/>
    <n v="2.63"/>
    <n v="57.1357"/>
    <n v="216.12200000000001"/>
    <n v="187.922"/>
    <n v="5425.7263999999996"/>
    <n v="4128.1237000000001"/>
    <x v="0"/>
    <x v="1"/>
    <x v="1144"/>
    <n v="162325"/>
    <n v="5405"/>
    <n v="4400"/>
    <n v="4807.7002000000002"/>
    <n v="14"/>
    <n v="151359"/>
    <s v="02-Feb-2026"/>
    <n v="4807.7002000000002"/>
    <n v="1"/>
    <n v="2026"/>
    <n v="-10.58"/>
    <m/>
  </r>
  <r>
    <x v="1145"/>
    <n v="4903.7002000000002"/>
    <n v="4984.6000999999997"/>
    <n v="4674.2997999999998"/>
    <n v="4680"/>
    <n v="1213"/>
    <n v="5106.1143000000002"/>
    <n v="4661.9233999999997"/>
    <n v="4276.3167000000003"/>
    <x v="1120"/>
    <n v="4.9488000000000003"/>
    <n v="2.6882999999999999"/>
    <n v="52.932299999999998"/>
    <n v="175.816"/>
    <n v="185.5008"/>
    <n v="5416.0558000000001"/>
    <n v="4167.1243000000004"/>
    <x v="1"/>
    <x v="1"/>
    <x v="1145"/>
    <n v="158737"/>
    <n v="5405"/>
    <n v="4655"/>
    <n v="4680"/>
    <n v="13"/>
    <n v="147771"/>
    <s v="03-Feb-2026"/>
    <n v="4680"/>
    <n v="1"/>
    <n v="2026"/>
    <n v="-2.66"/>
    <m/>
  </r>
  <r>
    <x v="1146"/>
    <n v="4920.3999000000003"/>
    <n v="5082.2002000000002"/>
    <n v="4897.8999000000003"/>
    <n v="4923.2997999999998"/>
    <n v="3886"/>
    <n v="5083.5142999999998"/>
    <n v="4681.03"/>
    <n v="4289.4333999999999"/>
    <x v="1121"/>
    <n v="5.3140999999999998"/>
    <n v="2.8336000000000001"/>
    <n v="58.064500000000002"/>
    <n v="161.6422"/>
    <n v="180.72909999999999"/>
    <n v="5420.7784000000001"/>
    <n v="4209.7615999999998"/>
    <x v="0"/>
    <x v="1"/>
    <x v="1146"/>
    <n v="157524"/>
    <n v="5405"/>
    <n v="4655"/>
    <n v="4923.2997999999998"/>
    <n v="13"/>
    <n v="147771"/>
    <s v="04-Feb-2026"/>
    <n v="4923.2997999999998"/>
    <n v="1"/>
    <n v="2026"/>
    <n v="5.2"/>
    <m/>
  </r>
  <r>
    <x v="1147"/>
    <n v="4861.3999000000003"/>
    <n v="5012.2997999999998"/>
    <n v="4786"/>
    <n v="5008.7002000000002"/>
    <n v="793"/>
    <n v="5073.3428999999996"/>
    <n v="4702.2834000000003"/>
    <n v="4303.1378000000004"/>
    <x v="1122"/>
    <n v="5.3719000000000001"/>
    <n v="2.8433000000000002"/>
    <n v="59.7806"/>
    <n v="155.50790000000001"/>
    <n v="175.6848"/>
    <n v="5428.9889000000003"/>
    <n v="4257.4211999999998"/>
    <x v="0"/>
    <x v="1"/>
    <x v="1147"/>
    <n v="153638"/>
    <n v="5405"/>
    <n v="4655"/>
    <n v="5008.7002000000002"/>
    <n v="12"/>
    <n v="143885"/>
    <s v="05-Feb-2026"/>
    <n v="5008.7002000000002"/>
    <n v="1"/>
    <n v="2026"/>
    <n v="1.73"/>
    <m/>
  </r>
  <r>
    <x v="1148"/>
    <n v="4951.2002000000002"/>
    <n v="4958.5"/>
    <n v="4655"/>
    <n v="4762"/>
    <n v="1386"/>
    <n v="4996.2572"/>
    <n v="4710.9066999999995"/>
    <n v="4314.3289000000004"/>
    <x v="1123"/>
    <n v="5.2389000000000001"/>
    <n v="2.9672000000000001"/>
    <n v="53.399299999999997"/>
    <n v="129.24979999999999"/>
    <n v="166.39779999999999"/>
    <n v="5417.4814999999999"/>
    <n v="4299.1085000000003"/>
    <x v="1"/>
    <x v="1"/>
    <x v="1148"/>
    <n v="152845"/>
    <n v="5405"/>
    <n v="4655"/>
    <n v="4762"/>
    <n v="11"/>
    <n v="143092"/>
    <s v="06-Feb-2026"/>
    <n v="4762"/>
    <n v="1"/>
    <n v="2026"/>
    <n v="-4.93"/>
    <m/>
  </r>
  <r>
    <x v="1149"/>
    <n v="5050.8999000000003"/>
    <n v="5065.7002000000002"/>
    <n v="4979.1000999999997"/>
    <n v="5017.3999000000003"/>
    <n v="170"/>
    <n v="4939.3571000000002"/>
    <n v="4728.13"/>
    <n v="4327.55"/>
    <x v="1124"/>
    <n v="5.7202999999999999"/>
    <n v="3.1107"/>
    <n v="57.200800000000001"/>
    <n v="127.57810000000001"/>
    <n v="158.63390000000001"/>
    <n v="5418.0992999999999"/>
    <n v="4352.9306999999999"/>
    <x v="1"/>
    <x v="1"/>
    <x v="1149"/>
    <n v="151459"/>
    <n v="5405"/>
    <n v="4847.7997999999998"/>
    <n v="5017.3999000000003"/>
    <n v="11"/>
    <n v="143092"/>
    <s v="09-Feb-2026"/>
    <n v="5017.3999000000003"/>
    <n v="1"/>
    <n v="2026"/>
    <n v="5.36"/>
    <m/>
  </r>
  <r>
    <x v="1150"/>
    <n v="5003.7997999999998"/>
    <n v="5029"/>
    <n v="5002.7002000000002"/>
    <n v="5013.5"/>
    <n v="281"/>
    <n v="4887.5142999999998"/>
    <n v="4744.8467000000001"/>
    <n v="4340.3278"/>
    <x v="1125"/>
    <n v="5.7295999999999996"/>
    <n v="3.1118000000000001"/>
    <n v="53.305399999999999"/>
    <n v="124.5034"/>
    <n v="151.80779999999999"/>
    <n v="5422.3483999999999"/>
    <n v="4392.1216000000004"/>
    <x v="0"/>
    <x v="1"/>
    <x v="1150"/>
    <n v="151289"/>
    <n v="5405"/>
    <n v="4847.7997999999998"/>
    <n v="5013.5"/>
    <n v="11"/>
    <n v="143092"/>
    <s v="10-Feb-2026"/>
    <n v="5013.5"/>
    <n v="1"/>
    <n v="2026"/>
    <n v="-0.08"/>
    <m/>
  </r>
  <r>
    <x v="1151"/>
    <n v="5071.6000999999997"/>
    <n v="5111.2997999999998"/>
    <n v="5041.2997999999998"/>
    <n v="5049.8999000000003"/>
    <n v="2681"/>
    <n v="4922.1143000000002"/>
    <n v="4767.46"/>
    <n v="4353.5910999999996"/>
    <x v="1126"/>
    <n v="3.7978000000000001"/>
    <n v="3.0405000000000002"/>
    <n v="55.774900000000002"/>
    <n v="123.5793"/>
    <n v="146.16210000000001"/>
    <n v="5425.3215"/>
    <n v="4436.2785000000003"/>
    <x v="1"/>
    <x v="1"/>
    <x v="1151"/>
    <n v="151008"/>
    <n v="5405"/>
    <n v="4847.7997999999998"/>
    <n v="5049.8999000000003"/>
    <n v="10"/>
    <n v="142811"/>
    <s v="11-Feb-2026"/>
    <n v="5049.8999000000003"/>
    <n v="1"/>
    <n v="2026"/>
    <n v="0.73"/>
    <m/>
  </r>
  <r>
    <x v="1152"/>
    <n v="4923.7002000000002"/>
    <n v="5078.1000999999997"/>
    <n v="4892"/>
    <n v="5060.3999000000003"/>
    <n v="484"/>
    <n v="4976.4570999999996"/>
    <n v="4791.26"/>
    <n v="4366.9822000000004"/>
    <x v="1127"/>
    <n v="3.5110999999999999"/>
    <n v="3.0339999999999998"/>
    <n v="52.655000000000001"/>
    <n v="122.28449999999999"/>
    <n v="141.38659999999999"/>
    <n v="5426.9395999999997"/>
    <n v="4479.6704"/>
    <x v="0"/>
    <x v="1"/>
    <x v="1152"/>
    <n v="148327"/>
    <n v="5405"/>
    <n v="4847.7997999999998"/>
    <n v="5060.3999000000003"/>
    <n v="10"/>
    <n v="142811"/>
    <s v="12-Feb-2026"/>
    <n v="5060.3999000000003"/>
    <n v="1"/>
    <n v="2026"/>
    <n v="0.21"/>
    <m/>
  </r>
  <r>
    <x v="1153"/>
    <n v="5022"/>
    <n v="5043.8999000000003"/>
    <n v="4946.2002000000002"/>
    <n v="4953"/>
    <n v="232"/>
    <n v="4980.7"/>
    <n v="4811.91"/>
    <n v="4378.3344999999999"/>
    <x v="1128"/>
    <n v="3.1884000000000001"/>
    <n v="3.0697999999999999"/>
    <n v="46.8842"/>
    <n v="111.3091"/>
    <n v="135.37110000000001"/>
    <n v="5416.0871999999999"/>
    <n v="4524.5328"/>
    <x v="1"/>
    <x v="1"/>
    <x v="1153"/>
    <n v="147843"/>
    <n v="5405"/>
    <n v="4847.7997999999998"/>
    <n v="4953"/>
    <n v="9"/>
    <n v="142327"/>
    <s v="13-Feb-2026"/>
    <n v="4953"/>
    <n v="1"/>
    <n v="2026"/>
    <n v="-2.12"/>
    <m/>
  </r>
  <r>
    <x v="1154"/>
    <n v="4882.8999000000003"/>
    <n v="5020"/>
    <n v="4847.7997999999998"/>
    <n v="5020"/>
    <n v="540"/>
    <n v="4982.3141999999998"/>
    <n v="4834.2233999999999"/>
    <n v="4390.1189000000004"/>
    <x v="1129"/>
    <n v="3.1595"/>
    <n v="3.0737000000000001"/>
    <n v="48.592199999999998"/>
    <n v="106.7863"/>
    <n v="129.6541"/>
    <n v="5402.9960000000001"/>
    <n v="4578.8239999999996"/>
    <x v="0"/>
    <x v="1"/>
    <x v="1154"/>
    <n v="147611"/>
    <n v="5405"/>
    <n v="4847.7997999999998"/>
    <n v="5020"/>
    <n v="9"/>
    <n v="142327"/>
    <s v="17-Feb-2026"/>
    <n v="5020"/>
    <n v="1"/>
    <n v="2026"/>
    <n v="1.35"/>
    <m/>
  </r>
  <r>
    <x v="1155"/>
    <n v="4986.5"/>
    <n v="4987"/>
    <n v="4869.5"/>
    <n v="4872.2002000000002"/>
    <n v="544"/>
    <n v="4998.0571"/>
    <n v="4850.4066999999995"/>
    <n v="4399.9521999999997"/>
    <x v="1130"/>
    <n v="2.6909000000000001"/>
    <n v="3.1374"/>
    <n v="39.545200000000001"/>
    <n v="90.235600000000005"/>
    <n v="121.7704"/>
    <n v="5388.1527999999998"/>
    <n v="4614.6671999999999"/>
    <x v="1"/>
    <x v="1"/>
    <x v="1155"/>
    <n v="147071"/>
    <n v="5405"/>
    <n v="4869.5"/>
    <n v="4872.2002000000002"/>
    <n v="8"/>
    <n v="141787"/>
    <s v="18-Feb-2026"/>
    <n v="4872.2002000000002"/>
    <n v="1"/>
    <n v="2026"/>
    <n v="-2.94"/>
    <m/>
  </r>
  <r>
    <x v="1156"/>
    <n v="4975.8999000000003"/>
    <n v="5014.7002000000002"/>
    <n v="4975.8999000000003"/>
    <n v="5014.7002000000002"/>
    <n v="37"/>
    <n v="4997.6715000000004"/>
    <n v="4869.24"/>
    <n v="4411.1022999999996"/>
    <x v="1131"/>
    <n v="2.0055000000000001"/>
    <n v="3.1659999999999999"/>
    <n v="40.369799999999998"/>
    <n v="87.607699999999994"/>
    <n v="114.9379"/>
    <n v="5390.2344000000003"/>
    <n v="4627.7057000000004"/>
    <x v="0"/>
    <x v="1"/>
    <x v="1156"/>
    <n v="146527"/>
    <n v="5405"/>
    <n v="4975.8999000000003"/>
    <n v="5014.7002000000002"/>
    <n v="8"/>
    <n v="141787"/>
    <s v="19-Feb-2026"/>
    <n v="5014.7002000000002"/>
    <n v="1"/>
    <n v="2026"/>
    <n v="2.92"/>
    <m/>
  </r>
  <r>
    <x v="1157"/>
    <n v="5059.2997999999998"/>
    <n v="5072.7002000000002"/>
    <n v="5039.5"/>
    <n v="5039.5"/>
    <n v="134"/>
    <n v="5001.3856999999998"/>
    <n v="4888.8900000000003"/>
    <n v="4423.13"/>
    <x v="1132"/>
    <n v="2.0129999999999999"/>
    <n v="3.1648999999999998"/>
    <n v="41.852499999999999"/>
    <n v="86.528800000000004"/>
    <n v="109.2561"/>
    <n v="5388.7646999999997"/>
    <n v="4653.9354000000003"/>
    <x v="1"/>
    <x v="1"/>
    <x v="1157"/>
    <n v="146490"/>
    <n v="5405"/>
    <n v="5021.2002000000002"/>
    <n v="5039.5"/>
    <n v="7"/>
    <n v="141750"/>
    <s v="20-Feb-2026"/>
    <n v="5039.5"/>
    <n v="1"/>
    <n v="2026"/>
    <n v="0.49"/>
    <m/>
  </r>
  <r>
    <x v="1158"/>
    <n v="5204.7002000000002"/>
    <n v="5211.6000999999997"/>
    <n v="5120.2997999999998"/>
    <n v="5120.2997999999998"/>
    <n v="779"/>
    <n v="5011.4429"/>
    <n v="4910.8932999999997"/>
    <n v="4435.3999999999996"/>
    <x v="1133"/>
    <n v="2.0851000000000002"/>
    <n v="3.1713"/>
    <n v="59.8949"/>
    <n v="91.143000000000001"/>
    <n v="105.63339999999999"/>
    <n v="5398.2112999999999"/>
    <n v="4661.5586999999996"/>
    <x v="1"/>
    <x v="1"/>
    <x v="1158"/>
    <n v="146356"/>
    <n v="5405"/>
    <n v="5021.2002000000002"/>
    <n v="5120.2997999999998"/>
    <n v="7"/>
    <n v="141750"/>
    <s v="23-Feb-2026"/>
    <n v="5120.2997999999998"/>
    <n v="1"/>
    <n v="2026"/>
    <n v="1.6"/>
    <m/>
  </r>
  <r>
    <x v="1159"/>
    <n v="5155.7997999999998"/>
    <n v="5159"/>
    <n v="5112.7002000000002"/>
    <n v="5158.7997999999998"/>
    <n v="88"/>
    <n v="5025.5"/>
    <n v="4933.7533000000003"/>
    <n v="4446.8122000000003"/>
    <x v="1134"/>
    <n v="2.0949"/>
    <n v="3.1713"/>
    <n v="66.062799999999996"/>
    <n v="96.790599999999998"/>
    <n v="103.86490000000001"/>
    <n v="5405.9585999999999"/>
    <n v="4661.5414000000001"/>
    <x v="0"/>
    <x v="1"/>
    <x v="1159"/>
    <n v="145577"/>
    <n v="5405"/>
    <n v="5021.2002000000002"/>
    <n v="5158.7997999999998"/>
    <n v="7"/>
    <n v="141750"/>
    <s v="24-Feb-2026"/>
    <n v="5158.7997999999998"/>
    <n v="1"/>
    <n v="2026"/>
    <n v="0.75"/>
    <m/>
  </r>
  <r>
    <x v="1160"/>
    <n v="5206.3999000000003"/>
    <n v="5206.3999000000003"/>
    <n v="5166"/>
    <n v="5166"/>
    <n v="1772"/>
    <n v="5055.9286000000002"/>
    <n v="4953.3167000000003"/>
    <n v="4458.1566999999995"/>
    <x v="1135"/>
    <n v="1.8158000000000001"/>
    <n v="3.1526000000000001"/>
    <n v="59.674700000000001"/>
    <n v="100.68680000000001"/>
    <n v="103.22929999999999"/>
    <n v="5414.4789000000001"/>
    <n v="4661.6310999999996"/>
    <x v="1"/>
    <x v="1"/>
    <x v="1160"/>
    <n v="145489"/>
    <n v="5405"/>
    <n v="5021.2002000000002"/>
    <n v="5166"/>
    <n v="6"/>
    <n v="141662"/>
    <s v="25-Feb-2026"/>
    <n v="5166"/>
    <n v="1"/>
    <n v="2026"/>
    <n v="0.14000000000000001"/>
    <m/>
  </r>
  <r>
    <x v="1161"/>
    <n v="5176.5"/>
    <n v="5199.2002000000002"/>
    <n v="5143.8999000000003"/>
    <n v="5177.2002000000002"/>
    <n v="1520"/>
    <n v="5078.3856999999998"/>
    <n v="4973.2700000000004"/>
    <n v="4469.0277999999998"/>
    <x v="1136"/>
    <n v="1.7897000000000001"/>
    <n v="3.1516999999999999"/>
    <n v="57.139200000000002"/>
    <n v="103.4853"/>
    <n v="103.2805"/>
    <n v="5393.7546000000002"/>
    <n v="4669.9153999999999"/>
    <x v="0"/>
    <x v="1"/>
    <x v="1161"/>
    <n v="143717"/>
    <n v="5405"/>
    <n v="5021.2002000000002"/>
    <n v="5177.2002000000002"/>
    <n v="6"/>
    <n v="141662"/>
    <s v="26-Feb-2026"/>
    <n v="5177.2002000000002"/>
    <n v="1"/>
    <n v="2026"/>
    <n v="0.22"/>
    <m/>
  </r>
  <r>
    <x v="1162"/>
    <n v="5230.5"/>
    <n v="5280"/>
    <n v="5176.7002000000002"/>
    <n v="5186.7002000000002"/>
    <n v="354"/>
    <n v="5123.3143"/>
    <n v="4992.4832999999999"/>
    <n v="4478.2722000000003"/>
    <x v="1137"/>
    <n v="1.0279"/>
    <n v="3.1518000000000002"/>
    <n v="72.521000000000001"/>
    <n v="105.2565"/>
    <n v="103.67570000000001"/>
    <n v="5343.5897999999997"/>
    <n v="4697.1801999999998"/>
    <x v="1"/>
    <x v="0"/>
    <x v="1162"/>
    <n v="142197"/>
    <n v="5405"/>
    <n v="5021.2002000000002"/>
    <n v="5186.7002000000002"/>
    <n v="5"/>
    <n v="140142"/>
    <s v="27-Feb-2026"/>
    <n v="5186.7002000000002"/>
    <n v="1"/>
    <n v="2026"/>
    <n v="0.18"/>
    <m/>
  </r>
  <r>
    <x v="1163"/>
    <n v="5294.3999000000003"/>
    <n v="5405"/>
    <n v="5266.2997999999998"/>
    <n v="5346.6000999999997"/>
    <n v="72"/>
    <n v="5170.7286000000004"/>
    <n v="5016.9399999999996"/>
    <n v="4490.5222000000003"/>
    <x v="1138"/>
    <n v="1.0801000000000001"/>
    <n v="3.1873"/>
    <n v="69.424099999999996"/>
    <n v="118.20010000000001"/>
    <n v="106.5806"/>
    <n v="5335.3945000000003"/>
    <n v="4702.3954999999996"/>
    <x v="0"/>
    <x v="1"/>
    <x v="1163"/>
    <n v="141843"/>
    <n v="5405"/>
    <n v="5021.2002000000002"/>
    <n v="5346.6000999999997"/>
    <n v="5"/>
    <n v="140142"/>
    <s v="02-Mar-2026"/>
    <n v="5346.6000999999997"/>
    <n v="1"/>
    <n v="2026"/>
    <n v="3.08"/>
    <m/>
  </r>
  <r>
    <x v="1164"/>
    <n v="5107.3999000000003"/>
    <n v="5303.7997999999998"/>
    <n v="5023"/>
    <n v="5298.7002000000002"/>
    <n v="1776"/>
    <n v="5207.7572"/>
    <n v="5039.9633999999996"/>
    <n v="4501.2556000000004"/>
    <x v="1139"/>
    <n v="1.2815000000000001"/>
    <n v="3.1960999999999999"/>
    <n v="65.997299999999996"/>
    <n v="123.17310000000001"/>
    <n v="109.8991"/>
    <n v="5367.0595999999996"/>
    <n v="4719.8305"/>
    <x v="0"/>
    <x v="1"/>
    <x v="1164"/>
    <n v="141771"/>
    <n v="5303.7997999999998"/>
    <n v="5021.2002000000002"/>
    <n v="5298.7002000000002"/>
    <n v="4"/>
    <n v="140070"/>
    <s v="03-Mar-2026"/>
    <n v="5298.7002000000002"/>
    <n v="1"/>
    <n v="2026"/>
    <n v="-0.9"/>
    <m/>
  </r>
  <r>
    <x v="1165"/>
    <n v="5120.2002000000002"/>
    <n v="5180.2002000000002"/>
    <n v="5117.2002000000002"/>
    <n v="5130.7002000000002"/>
    <n v="679"/>
    <n v="5209.2430000000004"/>
    <n v="5055.58"/>
    <n v="4512.6000000000004"/>
    <x v="1140"/>
    <n v="1.8713"/>
    <n v="3.2629999999999999"/>
    <n v="53.949199999999998"/>
    <n v="112.26390000000001"/>
    <n v="110.372"/>
    <n v="5342.3531000000003"/>
    <n v="4789.6068999999998"/>
    <x v="0"/>
    <x v="1"/>
    <x v="1165"/>
    <n v="139995"/>
    <n v="5210.3999000000003"/>
    <n v="5021.2002000000002"/>
    <n v="5130.7002000000002"/>
    <n v="3"/>
    <n v="138294"/>
    <s v="04-Mar-2026"/>
    <n v="5130.7002000000002"/>
    <n v="1"/>
    <n v="2026"/>
    <n v="-3.17"/>
    <m/>
  </r>
  <r>
    <x v="1166"/>
    <n v="5065.2997999999998"/>
    <n v="5169.5"/>
    <n v="5054.7002000000002"/>
    <n v="5169.5"/>
    <n v="1701"/>
    <n v="5210.7716"/>
    <n v="5065.78"/>
    <n v="4524.7233999999999"/>
    <x v="1141"/>
    <n v="1.8715999999999999"/>
    <n v="3.1781999999999999"/>
    <n v="55.188800000000001"/>
    <n v="105.5326"/>
    <n v="109.4042"/>
    <n v="5349.7938000000004"/>
    <n v="4806.7862999999998"/>
    <x v="0"/>
    <x v="1"/>
    <x v="1166"/>
    <n v="139316"/>
    <n v="5210.3999000000003"/>
    <n v="5021.2002000000002"/>
    <n v="5169.5"/>
    <n v="2"/>
    <n v="137615"/>
    <s v="05-Mar-2026"/>
    <n v="5169.5"/>
    <n v="1"/>
    <n v="2026"/>
    <n v="0.76"/>
    <m/>
  </r>
  <r>
    <x v="1167"/>
    <n v="5146.1000999999997"/>
    <n v="5146.1000999999997"/>
    <n v="5076.1000999999997"/>
    <n v="5121"/>
    <n v="1701"/>
    <n v="5204.3429999999998"/>
    <n v="5076.75"/>
    <n v="4535.8734000000004"/>
    <x v="1142"/>
    <n v="1.9065000000000001"/>
    <n v="3.1697000000000002"/>
    <n v="58.464300000000001"/>
    <n v="95.187200000000004"/>
    <n v="106.5608"/>
    <n v="5353.9903000000004"/>
    <n v="4813.8198000000002"/>
    <x v="1"/>
    <x v="1"/>
    <x v="1167"/>
    <n v="137615"/>
    <n v="5210.3999000000003"/>
    <n v="5021.2002000000002"/>
    <n v="5121"/>
    <n v="1"/>
    <n v="135914"/>
    <s v="06-Mar-2026"/>
    <n v="5121"/>
    <n v="1"/>
    <n v="2026"/>
    <n v="-0.94"/>
    <m/>
  </r>
  <r>
    <x v="1168"/>
    <n v="5114.6000999999997"/>
    <n v="5210.3999000000003"/>
    <n v="5021.2002000000002"/>
    <n v="5186.7002000000002"/>
    <n v="135914"/>
    <n v="5205.7001"/>
    <n v="5084.6534000000001"/>
    <n v="4548.3923000000004"/>
    <x v="1143"/>
    <n v="1.9781"/>
    <n v="3.1246"/>
    <n v="58.4099"/>
    <n v="91.238100000000003"/>
    <n v="103.4962"/>
    <n v="5331.9807000000001"/>
    <n v="4878.2993999999999"/>
    <x v="0"/>
    <x v="1"/>
    <x v="1168"/>
    <n v="135914"/>
    <n v="5210.3999000000003"/>
    <n v="5021.2002000000002"/>
    <n v="5186.7002000000002"/>
    <n v="1"/>
    <n v="135914"/>
    <s v="09-Mar-2026"/>
    <n v="5186.7002000000002"/>
    <n v="1"/>
    <n v="2026"/>
    <n v="1.28"/>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E2FB485-274C-470E-B891-1403058DCFA5}" name="PivotTable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4">
  <location ref="H5:I9" firstHeaderRow="1" firstDataRow="1" firstDataCol="1"/>
  <pivotFields count="35">
    <pivotField dataField="1" numFmtId="14" showAll="0">
      <items count="117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t="default"/>
      </items>
    </pivotField>
    <pivotField numFmtId="2" showAll="0"/>
    <pivotField showAll="0"/>
    <pivotField showAll="0"/>
    <pivotField showAll="0"/>
    <pivotField numFmtId="1" showAll="0"/>
    <pivotField showAll="0"/>
    <pivotField showAll="0"/>
    <pivotField showAll="0"/>
    <pivotField numFmtId="2" showAll="0">
      <items count="1145">
        <item x="1119"/>
        <item x="1053"/>
        <item x="1123"/>
        <item x="722"/>
        <item x="164"/>
        <item x="1057"/>
        <item x="1140"/>
        <item x="1097"/>
        <item x="1070"/>
        <item x="920"/>
        <item x="931"/>
        <item x="1130"/>
        <item x="943"/>
        <item x="1120"/>
        <item x="821"/>
        <item x="301"/>
        <item x="230"/>
        <item x="17"/>
        <item x="1051"/>
        <item x="947"/>
        <item x="92"/>
        <item x="824"/>
        <item x="392"/>
        <item x="38"/>
        <item x="244"/>
        <item x="834"/>
        <item x="849"/>
        <item x="690"/>
        <item x="753"/>
        <item x="826"/>
        <item x="1128"/>
        <item x="934"/>
        <item x="945"/>
        <item x="391"/>
        <item x="177"/>
        <item x="136"/>
        <item x="887"/>
        <item x="597"/>
        <item x="711"/>
        <item x="749"/>
        <item x="45"/>
        <item x="210"/>
        <item x="440"/>
        <item x="312"/>
        <item x="167"/>
        <item x="992"/>
        <item x="66"/>
        <item x="550"/>
        <item x="426"/>
        <item x="644"/>
        <item x="467"/>
        <item x="120"/>
        <item x="1062"/>
        <item x="1004"/>
        <item x="413"/>
        <item x="977"/>
        <item x="997"/>
        <item x="351"/>
        <item x="817"/>
        <item x="695"/>
        <item x="473"/>
        <item x="295"/>
        <item x="1112"/>
        <item x="201"/>
        <item x="2"/>
        <item x="963"/>
        <item x="1060"/>
        <item x="122"/>
        <item x="192"/>
        <item x="206"/>
        <item x="18"/>
        <item x="616"/>
        <item x="895"/>
        <item x="1056"/>
        <item x="249"/>
        <item x="865"/>
        <item x="937"/>
        <item x="341"/>
        <item x="423"/>
        <item x="462"/>
        <item x="801"/>
        <item x="601"/>
        <item x="845"/>
        <item x="1045"/>
        <item x="209"/>
        <item x="364"/>
        <item x="329"/>
        <item x="359"/>
        <item x="196"/>
        <item x="969"/>
        <item x="293"/>
        <item x="195"/>
        <item x="460"/>
        <item x="670"/>
        <item x="78"/>
        <item x="919"/>
        <item x="619"/>
        <item x="282"/>
        <item x="983"/>
        <item x="624"/>
        <item x="841"/>
        <item x="712"/>
        <item x="273"/>
        <item x="255"/>
        <item x="204"/>
        <item x="484"/>
        <item x="455"/>
        <item x="955"/>
        <item x="326"/>
        <item x="761"/>
        <item x="846"/>
        <item x="547"/>
        <item x="796"/>
        <item x="435"/>
        <item x="107"/>
        <item x="981"/>
        <item x="176"/>
        <item x="974"/>
        <item x="553"/>
        <item x="267"/>
        <item x="508"/>
        <item x="221"/>
        <item x="971"/>
        <item x="284"/>
        <item x="157"/>
        <item x="554"/>
        <item x="938"/>
        <item x="1073"/>
        <item x="582"/>
        <item x="224"/>
        <item x="602"/>
        <item x="234"/>
        <item x="245"/>
        <item x="311"/>
        <item x="50"/>
        <item x="405"/>
        <item x="73"/>
        <item x="704"/>
        <item x="922"/>
        <item x="1142"/>
        <item x="697"/>
        <item x="762"/>
        <item x="717"/>
        <item x="663"/>
        <item x="316"/>
        <item x="372"/>
        <item x="719"/>
        <item x="319"/>
        <item x="168"/>
        <item x="1139"/>
        <item x="960"/>
        <item x="902"/>
        <item x="1089"/>
        <item x="322"/>
        <item x="288"/>
        <item x="264"/>
        <item x="893"/>
        <item x="12"/>
        <item x="318"/>
        <item x="512"/>
        <item x="942"/>
        <item x="873"/>
        <item x="987"/>
        <item x="1005"/>
        <item x="580"/>
        <item x="237"/>
        <item x="476"/>
        <item x="485"/>
        <item x="884"/>
        <item x="1071"/>
        <item x="535"/>
        <item x="741"/>
        <item x="242"/>
        <item x="294"/>
        <item x="159"/>
        <item x="637"/>
        <item x="985"/>
        <item x="339"/>
        <item x="488"/>
        <item x="578"/>
        <item x="1054"/>
        <item x="782"/>
        <item x="277"/>
        <item x="99"/>
        <item x="598"/>
        <item x="445"/>
        <item x="921"/>
        <item x="149"/>
        <item x="5"/>
        <item x="493"/>
        <item x="198"/>
        <item x="480"/>
        <item x="1069"/>
        <item x="396"/>
        <item x="422"/>
        <item x="513"/>
        <item x="1118"/>
        <item x="303"/>
        <item x="666"/>
        <item x="1034"/>
        <item x="181"/>
        <item x="135"/>
        <item x="778"/>
        <item x="733"/>
        <item x="772"/>
        <item x="52"/>
        <item x="750"/>
        <item x="993"/>
        <item x="625"/>
        <item x="327"/>
        <item x="412"/>
        <item x="345"/>
        <item x="431"/>
        <item x="688"/>
        <item x="767"/>
        <item x="225"/>
        <item x="614"/>
        <item x="399"/>
        <item x="685"/>
        <item x="936"/>
        <item x="638"/>
        <item x="310"/>
        <item x="506"/>
        <item x="823"/>
        <item x="146"/>
        <item x="401"/>
        <item x="16"/>
        <item x="1023"/>
        <item x="285"/>
        <item x="549"/>
        <item x="504"/>
        <item x="153"/>
        <item x="44"/>
        <item x="231"/>
        <item x="552"/>
        <item x="671"/>
        <item x="980"/>
        <item x="1067"/>
        <item x="315"/>
        <item x="1010"/>
        <item x="87"/>
        <item x="1064"/>
        <item x="1098"/>
        <item x="523"/>
        <item x="775"/>
        <item x="270"/>
        <item x="693"/>
        <item x="49"/>
        <item x="958"/>
        <item x="630"/>
        <item x="541"/>
        <item x="104"/>
        <item x="679"/>
        <item x="1036"/>
        <item x="212"/>
        <item x="358"/>
        <item x="183"/>
        <item x="536"/>
        <item x="694"/>
        <item x="90"/>
        <item x="276"/>
        <item x="258"/>
        <item x="994"/>
        <item x="91"/>
        <item x="97"/>
        <item x="404"/>
        <item x="40"/>
        <item x="138"/>
        <item x="29"/>
        <item x="175"/>
        <item x="859"/>
        <item x="710"/>
        <item x="812"/>
        <item x="116"/>
        <item x="734"/>
        <item x="516"/>
        <item x="241"/>
        <item x="950"/>
        <item x="932"/>
        <item x="171"/>
        <item x="856"/>
        <item x="379"/>
        <item x="700"/>
        <item x="548"/>
        <item x="271"/>
        <item x="25"/>
        <item x="899"/>
        <item x="96"/>
        <item x="418"/>
        <item x="274"/>
        <item x="205"/>
        <item x="281"/>
        <item x="436"/>
        <item x="166"/>
        <item x="779"/>
        <item x="1026"/>
        <item x="355"/>
        <item x="519"/>
        <item x="909"/>
        <item x="53"/>
        <item x="386"/>
        <item x="976"/>
        <item x="854"/>
        <item x="964"/>
        <item x="27"/>
        <item x="465"/>
        <item x="606"/>
        <item x="246"/>
        <item x="557"/>
        <item x="292"/>
        <item x="110"/>
        <item x="54"/>
        <item x="46"/>
        <item x="1008"/>
        <item x="1029"/>
        <item x="275"/>
        <item x="443"/>
        <item x="970"/>
        <item x="542"/>
        <item x="877"/>
        <item x="595"/>
        <item x="703"/>
        <item x="574"/>
        <item x="838"/>
        <item x="403"/>
        <item x="577"/>
        <item x="356"/>
        <item x="707"/>
        <item x="800"/>
        <item x="728"/>
        <item x="448"/>
        <item x="590"/>
        <item x="103"/>
        <item x="1007"/>
        <item x="650"/>
        <item x="1084"/>
        <item x="1080"/>
        <item x="629"/>
        <item x="350"/>
        <item x="890"/>
        <item x="239"/>
        <item x="450"/>
        <item x="795"/>
        <item x="217"/>
        <item x="731"/>
        <item x="537"/>
        <item x="1028"/>
        <item x="910"/>
        <item x="621"/>
        <item x="763"/>
        <item x="818"/>
        <item x="1074"/>
        <item x="517"/>
        <item x="4"/>
        <item x="240"/>
        <item x="247"/>
        <item x="642"/>
        <item x="428"/>
        <item x="235"/>
        <item x="200"/>
        <item x="653"/>
        <item x="218"/>
        <item x="76"/>
        <item x="820"/>
        <item x="60"/>
        <item x="254"/>
        <item x="112"/>
        <item x="956"/>
        <item x="111"/>
        <item x="343"/>
        <item x="569"/>
        <item x="1099"/>
        <item x="798"/>
        <item x="441"/>
        <item x="917"/>
        <item x="603"/>
        <item x="251"/>
        <item x="361"/>
        <item x="58"/>
        <item x="848"/>
        <item x="469"/>
        <item x="748"/>
        <item x="388"/>
        <item x="478"/>
        <item x="691"/>
        <item x="62"/>
        <item x="852"/>
        <item x="398"/>
        <item x="286"/>
        <item x="751"/>
        <item x="155"/>
        <item x="129"/>
        <item x="30"/>
        <item x="1077"/>
        <item x="913"/>
        <item x="375"/>
        <item x="568"/>
        <item x="847"/>
        <item x="172"/>
        <item x="713"/>
        <item x="461"/>
        <item x="725"/>
        <item x="385"/>
        <item x="640"/>
        <item x="973"/>
        <item x="9"/>
        <item x="481"/>
        <item x="213"/>
        <item x="500"/>
        <item x="530"/>
        <item x="518"/>
        <item x="615"/>
        <item x="683"/>
        <item x="962"/>
        <item x="770"/>
        <item x="891"/>
        <item x="520"/>
        <item x="407"/>
        <item x="190"/>
        <item x="587"/>
        <item x="1039"/>
        <item x="449"/>
        <item x="881"/>
        <item x="400"/>
        <item x="228"/>
        <item x="788"/>
        <item x="309"/>
        <item x="555"/>
        <item x="521"/>
        <item x="68"/>
        <item x="503"/>
        <item x="14"/>
        <item x="1082"/>
        <item x="193"/>
        <item x="896"/>
        <item x="584"/>
        <item x="673"/>
        <item x="715"/>
        <item x="278"/>
        <item x="483"/>
        <item x="197"/>
        <item x="132"/>
        <item x="397"/>
        <item x="93"/>
        <item x="1019"/>
        <item x="499"/>
        <item x="75"/>
        <item x="34"/>
        <item x="813"/>
        <item x="33"/>
        <item x="297"/>
        <item x="489"/>
        <item x="701"/>
        <item x="540"/>
        <item x="906"/>
        <item x="1081"/>
        <item x="759"/>
        <item x="746"/>
        <item x="900"/>
        <item x="1109"/>
        <item x="94"/>
        <item x="726"/>
        <item x="346"/>
        <item x="336"/>
        <item x="524"/>
        <item x="1009"/>
        <item x="202"/>
        <item x="995"/>
        <item x="627"/>
        <item x="475"/>
        <item x="444"/>
        <item x="89"/>
        <item x="929"/>
        <item x="117"/>
        <item x="1"/>
        <item x="760"/>
        <item x="522"/>
        <item x="300"/>
        <item x="1125"/>
        <item x="19"/>
        <item x="575"/>
        <item x="736"/>
        <item x="490"/>
        <item x="486"/>
        <item x="609"/>
        <item x="665"/>
        <item x="1095"/>
        <item x="539"/>
        <item x="101"/>
        <item x="459"/>
        <item x="1115"/>
        <item x="1040"/>
        <item x="61"/>
        <item x="643"/>
        <item x="802"/>
        <item x="35"/>
        <item x="83"/>
        <item x="387"/>
        <item x="57"/>
        <item x="366"/>
        <item x="1106"/>
        <item x="529"/>
        <item x="429"/>
        <item x="871"/>
        <item x="13"/>
        <item x="133"/>
        <item x="576"/>
        <item x="381"/>
        <item x="434"/>
        <item x="509"/>
        <item x="24"/>
        <item x="253"/>
        <item x="986"/>
        <item x="1102"/>
        <item x="839"/>
        <item x="687"/>
        <item x="738"/>
        <item x="141"/>
        <item x="41"/>
        <item x="926"/>
        <item x="340"/>
        <item x="250"/>
        <item x="325"/>
        <item x="572"/>
        <item x="191"/>
        <item x="953"/>
        <item x="664"/>
        <item x="946"/>
        <item x="170"/>
        <item x="130"/>
        <item x="1083"/>
        <item x="139"/>
        <item x="95"/>
        <item x="514"/>
        <item x="363"/>
        <item x="352"/>
        <item x="127"/>
        <item x="607"/>
        <item x="570"/>
        <item x="479"/>
        <item x="334"/>
        <item x="872"/>
        <item x="732"/>
        <item x="944"/>
        <item x="526"/>
        <item x="593"/>
        <item x="668"/>
        <item x="1108"/>
        <item x="290"/>
        <item x="425"/>
        <item x="330"/>
        <item x="259"/>
        <item x="699"/>
        <item x="1001"/>
        <item x="579"/>
        <item x="8"/>
        <item x="454"/>
        <item x="662"/>
        <item x="768"/>
        <item x="911"/>
        <item x="227"/>
        <item x="833"/>
        <item x="996"/>
        <item x="317"/>
        <item x="496"/>
        <item x="1006"/>
        <item x="180"/>
        <item x="861"/>
        <item x="15"/>
        <item x="296"/>
        <item x="939"/>
        <item x="207"/>
        <item x="652"/>
        <item x="458"/>
        <item x="42"/>
        <item x="128"/>
        <item x="525"/>
        <item x="323"/>
        <item x="248"/>
        <item x="730"/>
        <item x="447"/>
        <item x="220"/>
        <item x="836"/>
        <item x="115"/>
        <item x="394"/>
        <item x="780"/>
        <item x="51"/>
        <item x="855"/>
        <item x="1030"/>
        <item x="875"/>
        <item x="600"/>
        <item x="776"/>
        <item x="1002"/>
        <item x="531"/>
        <item x="807"/>
        <item x="585"/>
        <item x="65"/>
        <item x="785"/>
        <item x="954"/>
        <item x="754"/>
        <item x="742"/>
        <item x="7"/>
        <item x="1135"/>
        <item x="618"/>
        <item x="634"/>
        <item x="367"/>
        <item x="714"/>
        <item x="106"/>
        <item x="184"/>
        <item x="562"/>
        <item x="882"/>
        <item x="756"/>
        <item x="466"/>
        <item x="406"/>
        <item x="342"/>
        <item x="868"/>
        <item x="409"/>
        <item x="645"/>
        <item x="77"/>
        <item x="299"/>
        <item x="395"/>
        <item x="894"/>
        <item x="124"/>
        <item x="632"/>
        <item x="59"/>
        <item x="505"/>
        <item x="463"/>
        <item x="1137"/>
        <item x="892"/>
        <item x="641"/>
        <item x="86"/>
        <item x="870"/>
        <item x="456"/>
        <item x="564"/>
        <item x="949"/>
        <item x="1127"/>
        <item x="551"/>
        <item x="611"/>
        <item x="774"/>
        <item x="487"/>
        <item x="494"/>
        <item x="825"/>
        <item x="594"/>
        <item x="1136"/>
        <item x="1024"/>
        <item x="389"/>
        <item x="376"/>
        <item x="114"/>
        <item x="74"/>
        <item x="816"/>
        <item x="912"/>
        <item x="793"/>
        <item x="382"/>
        <item x="1103"/>
        <item x="26"/>
        <item x="283"/>
        <item x="137"/>
        <item x="635"/>
        <item x="393"/>
        <item x="654"/>
        <item x="819"/>
        <item x="805"/>
        <item x="544"/>
        <item x="649"/>
        <item x="333"/>
        <item x="556"/>
        <item x="1096"/>
        <item x="471"/>
        <item x="468"/>
        <item x="123"/>
        <item x="37"/>
        <item x="414"/>
        <item x="119"/>
        <item x="383"/>
        <item x="134"/>
        <item x="561"/>
        <item x="232"/>
        <item x="457"/>
        <item x="305"/>
        <item x="766"/>
        <item x="1079"/>
        <item x="70"/>
        <item x="1104"/>
        <item x="534"/>
        <item x="794"/>
        <item x="511"/>
        <item x="492"/>
        <item x="622"/>
        <item x="737"/>
        <item x="860"/>
        <item x="771"/>
        <item x="545"/>
        <item x="835"/>
        <item x="809"/>
        <item x="187"/>
        <item x="182"/>
        <item x="716"/>
        <item x="869"/>
        <item x="419"/>
        <item x="515"/>
        <item x="901"/>
        <item x="885"/>
        <item x="1048"/>
        <item x="1000"/>
        <item x="975"/>
        <item x="338"/>
        <item x="236"/>
        <item x="306"/>
        <item x="878"/>
        <item x="538"/>
        <item x="216"/>
        <item x="160"/>
        <item x="639"/>
        <item x="142"/>
        <item x="98"/>
        <item x="165"/>
        <item x="298"/>
        <item x="1015"/>
        <item x="889"/>
        <item x="612"/>
        <item x="1086"/>
        <item x="6"/>
        <item x="144"/>
        <item x="810"/>
        <item x="633"/>
        <item x="989"/>
        <item x="755"/>
        <item x="617"/>
        <item x="194"/>
        <item x="143"/>
        <item x="287"/>
        <item x="85"/>
        <item x="313"/>
        <item x="682"/>
        <item x="497"/>
        <item x="1013"/>
        <item x="814"/>
        <item x="605"/>
        <item x="189"/>
        <item x="215"/>
        <item x="791"/>
        <item x="10"/>
        <item x="811"/>
        <item x="252"/>
        <item x="410"/>
        <item x="651"/>
        <item x="279"/>
        <item x="71"/>
        <item x="581"/>
        <item x="998"/>
        <item x="723"/>
        <item x="827"/>
        <item x="502"/>
        <item x="69"/>
        <item x="589"/>
        <item x="36"/>
        <item x="219"/>
        <item x="226"/>
        <item x="314"/>
        <item x="655"/>
        <item x="145"/>
        <item x="533"/>
        <item x="1085"/>
        <item x="442"/>
        <item x="1092"/>
        <item x="140"/>
        <item x="628"/>
        <item x="208"/>
        <item x="787"/>
        <item x="1061"/>
        <item x="842"/>
        <item x="152"/>
        <item x="689"/>
        <item x="599"/>
        <item x="667"/>
        <item x="263"/>
        <item x="897"/>
        <item x="806"/>
        <item x="972"/>
        <item x="291"/>
        <item x="631"/>
        <item x="837"/>
        <item x="1093"/>
        <item x="185"/>
        <item x="88"/>
        <item x="79"/>
        <item x="384"/>
        <item x="491"/>
        <item x="21"/>
        <item x="961"/>
        <item x="347"/>
        <item x="1132"/>
        <item x="1012"/>
        <item x="337"/>
        <item x="799"/>
        <item x="840"/>
        <item x="82"/>
        <item x="658"/>
        <item x="125"/>
        <item x="1020"/>
        <item x="365"/>
        <item x="63"/>
        <item x="370"/>
        <item x="907"/>
        <item x="626"/>
        <item x="438"/>
        <item x="371"/>
        <item x="1091"/>
        <item x="162"/>
        <item x="743"/>
        <item x="681"/>
        <item x="647"/>
        <item x="3"/>
        <item x="495"/>
        <item x="880"/>
        <item x="862"/>
        <item x="1014"/>
        <item x="784"/>
        <item x="528"/>
        <item x="302"/>
        <item x="238"/>
        <item x="243"/>
        <item x="851"/>
        <item x="262"/>
        <item x="991"/>
        <item x="709"/>
        <item x="979"/>
        <item x="646"/>
        <item x="727"/>
        <item x="380"/>
        <item x="374"/>
        <item x="148"/>
        <item x="56"/>
        <item x="102"/>
        <item x="608"/>
        <item x="853"/>
        <item x="47"/>
        <item x="105"/>
        <item x="169"/>
        <item x="546"/>
        <item x="1044"/>
        <item x="588"/>
        <item x="23"/>
        <item x="1033"/>
        <item x="863"/>
        <item x="777"/>
        <item x="368"/>
        <item x="1025"/>
        <item x="648"/>
        <item x="661"/>
        <item x="804"/>
        <item x="830"/>
        <item x="866"/>
        <item x="724"/>
        <item x="674"/>
        <item x="324"/>
        <item x="781"/>
        <item x="560"/>
        <item x="507"/>
        <item x="474"/>
        <item x="43"/>
        <item x="1016"/>
        <item x="613"/>
        <item x="1107"/>
        <item x="437"/>
        <item x="927"/>
        <item x="915"/>
        <item x="320"/>
        <item x="121"/>
        <item x="1043"/>
        <item x="510"/>
        <item x="472"/>
        <item x="272"/>
        <item x="1075"/>
        <item x="1042"/>
        <item x="636"/>
        <item x="353"/>
        <item x="100"/>
        <item x="265"/>
        <item x="354"/>
        <item x="1126"/>
        <item x="446"/>
        <item x="676"/>
        <item x="797"/>
        <item x="988"/>
        <item x="451"/>
        <item x="792"/>
        <item x="729"/>
        <item x="1088"/>
        <item x="1021"/>
        <item x="1134"/>
        <item x="982"/>
        <item x="1141"/>
        <item x="501"/>
        <item x="672"/>
        <item x="260"/>
        <item x="108"/>
        <item x="360"/>
        <item x="427"/>
        <item x="573"/>
        <item x="566"/>
        <item x="430"/>
        <item x="222"/>
        <item x="559"/>
        <item x="179"/>
        <item x="965"/>
        <item x="831"/>
        <item x="527"/>
        <item x="879"/>
        <item x="470"/>
        <item x="1031"/>
        <item x="257"/>
        <item x="269"/>
        <item x="154"/>
        <item x="72"/>
        <item x="32"/>
        <item x="48"/>
        <item x="620"/>
        <item x="173"/>
        <item x="1100"/>
        <item x="402"/>
        <item x="126"/>
        <item x="432"/>
        <item x="783"/>
        <item x="904"/>
        <item x="571"/>
        <item x="1035"/>
        <item x="188"/>
        <item x="411"/>
        <item x="586"/>
        <item x="678"/>
        <item x="744"/>
        <item x="1090"/>
        <item x="886"/>
        <item x="31"/>
        <item x="850"/>
        <item x="67"/>
        <item x="186"/>
        <item x="686"/>
        <item x="864"/>
        <item x="918"/>
        <item x="1038"/>
        <item x="773"/>
        <item x="857"/>
        <item x="532"/>
        <item x="660"/>
        <item x="150"/>
        <item x="344"/>
        <item x="789"/>
        <item x="280"/>
        <item x="39"/>
        <item x="957"/>
        <item x="903"/>
        <item x="908"/>
        <item x="1055"/>
        <item x="858"/>
        <item x="822"/>
        <item x="610"/>
        <item x="698"/>
        <item x="591"/>
        <item x="199"/>
        <item x="659"/>
        <item x="828"/>
        <item x="623"/>
        <item x="482"/>
        <item x="968"/>
        <item x="0"/>
        <item x="268"/>
        <item x="952"/>
        <item x="739"/>
        <item x="80"/>
        <item x="984"/>
        <item x="464"/>
        <item x="925"/>
        <item x="408"/>
        <item x="966"/>
        <item x="752"/>
        <item x="369"/>
        <item x="721"/>
        <item x="22"/>
        <item x="898"/>
        <item x="832"/>
        <item x="718"/>
        <item x="543"/>
        <item x="565"/>
        <item x="705"/>
        <item x="757"/>
        <item x="378"/>
        <item x="113"/>
        <item x="156"/>
        <item x="452"/>
        <item x="477"/>
        <item x="417"/>
        <item x="874"/>
        <item x="1027"/>
        <item x="740"/>
        <item x="843"/>
        <item x="377"/>
        <item x="765"/>
        <item x="829"/>
        <item x="1011"/>
        <item x="1110"/>
        <item x="348"/>
        <item x="815"/>
        <item x="706"/>
        <item x="11"/>
        <item x="223"/>
        <item x="1072"/>
        <item x="328"/>
        <item x="720"/>
        <item x="151"/>
        <item x="81"/>
        <item x="266"/>
        <item x="1087"/>
        <item x="735"/>
        <item x="916"/>
        <item x="261"/>
        <item x="745"/>
        <item x="439"/>
        <item x="131"/>
        <item x="1143"/>
        <item x="109"/>
        <item x="558"/>
        <item x="20"/>
        <item x="1049"/>
        <item x="118"/>
        <item x="390"/>
        <item x="178"/>
        <item x="967"/>
        <item x="677"/>
        <item x="1078"/>
        <item x="583"/>
        <item x="308"/>
        <item x="1129"/>
        <item x="978"/>
        <item x="808"/>
        <item x="28"/>
        <item x="1058"/>
        <item x="803"/>
        <item x="289"/>
        <item x="453"/>
        <item x="790"/>
        <item x="174"/>
        <item x="692"/>
        <item x="1101"/>
        <item x="592"/>
        <item x="914"/>
        <item x="1022"/>
        <item x="708"/>
        <item x="844"/>
        <item x="696"/>
        <item x="498"/>
        <item x="1046"/>
        <item x="657"/>
        <item x="933"/>
        <item x="867"/>
        <item x="684"/>
        <item x="84"/>
        <item x="1017"/>
        <item x="373"/>
        <item x="214"/>
        <item x="256"/>
        <item x="332"/>
        <item x="786"/>
        <item x="941"/>
        <item x="567"/>
        <item x="680"/>
        <item x="1003"/>
        <item x="764"/>
        <item x="1032"/>
        <item x="1133"/>
        <item x="203"/>
        <item x="758"/>
        <item x="55"/>
        <item x="229"/>
        <item x="935"/>
        <item x="357"/>
        <item x="362"/>
        <item x="1122"/>
        <item x="321"/>
        <item x="563"/>
        <item x="64"/>
        <item x="990"/>
        <item x="596"/>
        <item x="747"/>
        <item x="1059"/>
        <item x="349"/>
        <item x="1063"/>
        <item x="433"/>
        <item x="420"/>
        <item x="233"/>
        <item x="675"/>
        <item x="211"/>
        <item x="1037"/>
        <item x="1076"/>
        <item x="905"/>
        <item x="158"/>
        <item x="1066"/>
        <item x="1041"/>
        <item x="415"/>
        <item x="656"/>
        <item x="1018"/>
        <item x="1065"/>
        <item x="876"/>
        <item x="307"/>
        <item x="888"/>
        <item x="416"/>
        <item x="1052"/>
        <item x="883"/>
        <item x="1117"/>
        <item x="421"/>
        <item x="147"/>
        <item x="769"/>
        <item x="424"/>
        <item x="304"/>
        <item x="669"/>
        <item x="951"/>
        <item x="604"/>
        <item x="1105"/>
        <item x="930"/>
        <item x="948"/>
        <item x="702"/>
        <item x="999"/>
        <item x="1114"/>
        <item x="959"/>
        <item x="161"/>
        <item x="163"/>
        <item x="1068"/>
        <item x="331"/>
        <item x="1047"/>
        <item x="1131"/>
        <item x="1094"/>
        <item x="1138"/>
        <item x="335"/>
        <item x="1113"/>
        <item x="928"/>
        <item x="924"/>
        <item x="923"/>
        <item x="1050"/>
        <item x="940"/>
        <item x="1111"/>
        <item x="1116"/>
        <item x="1121"/>
        <item x="1124"/>
        <item t="default"/>
      </items>
    </pivotField>
    <pivotField showAll="0"/>
    <pivotField showAll="0"/>
    <pivotField numFmtId="2" showAll="0"/>
    <pivotField numFmtId="2" showAll="0"/>
    <pivotField showAll="0"/>
    <pivotField showAll="0"/>
    <pivotField showAll="0"/>
    <pivotField showAll="0">
      <items count="3">
        <item x="1"/>
        <item x="0"/>
        <item t="default"/>
      </items>
    </pivotField>
    <pivotField axis="axisRow" showAll="0">
      <items count="4">
        <item x="2"/>
        <item x="1"/>
        <item x="0"/>
        <item t="default"/>
      </items>
    </pivotField>
    <pivotField numFmtId="2" showAll="0">
      <items count="1170">
        <item x="1164"/>
        <item x="1165"/>
        <item x="1143"/>
        <item x="1144"/>
        <item x="1142"/>
        <item x="1163"/>
        <item x="1162"/>
        <item x="1161"/>
        <item x="1160"/>
        <item x="1"/>
        <item x="2"/>
        <item x="0"/>
        <item x="12"/>
        <item x="4"/>
        <item x="5"/>
        <item x="3"/>
        <item x="13"/>
        <item x="8"/>
        <item x="14"/>
        <item x="9"/>
        <item x="7"/>
        <item x="11"/>
        <item x="15"/>
        <item x="6"/>
        <item x="16"/>
        <item x="10"/>
        <item x="17"/>
        <item x="33"/>
        <item x="38"/>
        <item x="34"/>
        <item x="37"/>
        <item x="165"/>
        <item x="35"/>
        <item x="29"/>
        <item x="36"/>
        <item x="32"/>
        <item x="24"/>
        <item x="25"/>
        <item x="30"/>
        <item x="27"/>
        <item x="23"/>
        <item x="26"/>
        <item x="31"/>
        <item x="40"/>
        <item x="28"/>
        <item x="44"/>
        <item x="18"/>
        <item x="22"/>
        <item x="41"/>
        <item x="42"/>
        <item x="43"/>
        <item x="45"/>
        <item x="39"/>
        <item x="21"/>
        <item x="87"/>
        <item x="86"/>
        <item x="89"/>
        <item x="85"/>
        <item x="90"/>
        <item x="164"/>
        <item x="88"/>
        <item x="19"/>
        <item x="163"/>
        <item x="20"/>
        <item x="49"/>
        <item x="91"/>
        <item x="167"/>
        <item x="73"/>
        <item x="83"/>
        <item x="50"/>
        <item x="66"/>
        <item x="92"/>
        <item x="46"/>
        <item x="48"/>
        <item x="65"/>
        <item x="84"/>
        <item x="166"/>
        <item x="82"/>
        <item x="168"/>
        <item x="47"/>
        <item x="72"/>
        <item x="57"/>
        <item x="75"/>
        <item x="58"/>
        <item x="71"/>
        <item x="74"/>
        <item x="52"/>
        <item x="51"/>
        <item x="76"/>
        <item x="70"/>
        <item x="68"/>
        <item x="60"/>
        <item x="56"/>
        <item x="59"/>
        <item x="160"/>
        <item x="69"/>
        <item x="78"/>
        <item x="81"/>
        <item x="77"/>
        <item x="61"/>
        <item x="64"/>
        <item x="62"/>
        <item x="53"/>
        <item x="67"/>
        <item x="176"/>
        <item x="162"/>
        <item x="63"/>
        <item x="158"/>
        <item x="54"/>
        <item x="161"/>
        <item x="80"/>
        <item x="169"/>
        <item x="177"/>
        <item x="93"/>
        <item x="55"/>
        <item x="79"/>
        <item x="154"/>
        <item x="156"/>
        <item x="191"/>
        <item x="94"/>
        <item x="171"/>
        <item x="95"/>
        <item x="172"/>
        <item x="96"/>
        <item x="153"/>
        <item x="190"/>
        <item x="192"/>
        <item x="157"/>
        <item x="193"/>
        <item x="159"/>
        <item x="175"/>
        <item x="120"/>
        <item x="155"/>
        <item x="170"/>
        <item x="97"/>
        <item x="119"/>
        <item x="173"/>
        <item x="178"/>
        <item x="110"/>
        <item x="103"/>
        <item x="189"/>
        <item x="99"/>
        <item x="116"/>
        <item x="115"/>
        <item x="174"/>
        <item x="181"/>
        <item x="182"/>
        <item x="132"/>
        <item x="188"/>
        <item x="114"/>
        <item x="98"/>
        <item x="101"/>
        <item x="150"/>
        <item x="152"/>
        <item x="135"/>
        <item x="111"/>
        <item x="104"/>
        <item x="133"/>
        <item x="102"/>
        <item x="107"/>
        <item x="134"/>
        <item x="106"/>
        <item x="122"/>
        <item x="117"/>
        <item x="149"/>
        <item x="112"/>
        <item x="184"/>
        <item x="127"/>
        <item x="180"/>
        <item x="118"/>
        <item x="100"/>
        <item x="128"/>
        <item x="129"/>
        <item x="194"/>
        <item x="196"/>
        <item x="183"/>
        <item x="105"/>
        <item x="187"/>
        <item x="109"/>
        <item x="151"/>
        <item x="136"/>
        <item x="195"/>
        <item x="113"/>
        <item x="121"/>
        <item x="130"/>
        <item x="131"/>
        <item x="186"/>
        <item x="185"/>
        <item x="126"/>
        <item x="108"/>
        <item x="125"/>
        <item x="124"/>
        <item x="179"/>
        <item x="123"/>
        <item x="147"/>
        <item x="197"/>
        <item x="146"/>
        <item x="145"/>
        <item x="148"/>
        <item x="144"/>
        <item x="142"/>
        <item x="138"/>
        <item x="143"/>
        <item x="137"/>
        <item x="140"/>
        <item x="141"/>
        <item x="139"/>
        <item x="198"/>
        <item x="201"/>
        <item x="199"/>
        <item x="202"/>
        <item x="205"/>
        <item x="200"/>
        <item x="203"/>
        <item x="206"/>
        <item x="204"/>
        <item x="207"/>
        <item x="210"/>
        <item x="208"/>
        <item x="209"/>
        <item x="225"/>
        <item x="218"/>
        <item x="217"/>
        <item x="231"/>
        <item x="219"/>
        <item x="216"/>
        <item x="221"/>
        <item x="222"/>
        <item x="211"/>
        <item x="220"/>
        <item x="213"/>
        <item x="224"/>
        <item x="226"/>
        <item x="228"/>
        <item x="214"/>
        <item x="229"/>
        <item x="223"/>
        <item x="235"/>
        <item x="227"/>
        <item x="230"/>
        <item x="215"/>
        <item x="212"/>
        <item x="236"/>
        <item x="232"/>
        <item x="238"/>
        <item x="237"/>
        <item x="234"/>
        <item x="240"/>
        <item x="233"/>
        <item x="239"/>
        <item x="241"/>
        <item x="1140"/>
        <item x="242"/>
        <item x="243"/>
        <item x="245"/>
        <item x="244"/>
        <item x="246"/>
        <item x="271"/>
        <item x="268"/>
        <item x="247"/>
        <item x="1141"/>
        <item x="274"/>
        <item x="270"/>
        <item x="272"/>
        <item x="248"/>
        <item x="265"/>
        <item x="273"/>
        <item x="249"/>
        <item x="250"/>
        <item x="264"/>
        <item x="267"/>
        <item x="269"/>
        <item x="263"/>
        <item x="275"/>
        <item x="266"/>
        <item x="276"/>
        <item x="251"/>
        <item x="259"/>
        <item x="262"/>
        <item x="252"/>
        <item x="277"/>
        <item x="254"/>
        <item x="255"/>
        <item x="253"/>
        <item x="260"/>
        <item x="258"/>
        <item x="261"/>
        <item x="256"/>
        <item x="278"/>
        <item x="282"/>
        <item x="283"/>
        <item x="281"/>
        <item x="279"/>
        <item x="280"/>
        <item x="257"/>
        <item x="285"/>
        <item x="284"/>
        <item x="286"/>
        <item x="293"/>
        <item x="386"/>
        <item x="291"/>
        <item x="292"/>
        <item x="287"/>
        <item x="392"/>
        <item x="289"/>
        <item x="380"/>
        <item x="294"/>
        <item x="385"/>
        <item x="387"/>
        <item x="382"/>
        <item x="384"/>
        <item x="288"/>
        <item x="383"/>
        <item x="381"/>
        <item x="388"/>
        <item x="389"/>
        <item x="290"/>
        <item x="379"/>
        <item x="391"/>
        <item x="390"/>
        <item x="295"/>
        <item x="310"/>
        <item x="376"/>
        <item x="441"/>
        <item x="311"/>
        <item x="435"/>
        <item x="378"/>
        <item x="377"/>
        <item x="296"/>
        <item x="393"/>
        <item x="436"/>
        <item x="375"/>
        <item x="423"/>
        <item x="426"/>
        <item x="340"/>
        <item x="427"/>
        <item x="351"/>
        <item x="373"/>
        <item x="312"/>
        <item x="339"/>
        <item x="309"/>
        <item x="337"/>
        <item x="372"/>
        <item x="352"/>
        <item x="338"/>
        <item x="424"/>
        <item x="359"/>
        <item x="440"/>
        <item x="371"/>
        <item x="341"/>
        <item x="364"/>
        <item x="365"/>
        <item x="342"/>
        <item x="437"/>
        <item x="439"/>
        <item x="356"/>
        <item x="374"/>
        <item x="297"/>
        <item x="298"/>
        <item x="301"/>
        <item x="300"/>
        <item x="455"/>
        <item x="313"/>
        <item x="360"/>
        <item x="456"/>
        <item x="432"/>
        <item x="429"/>
        <item x="302"/>
        <item x="299"/>
        <item x="434"/>
        <item x="442"/>
        <item x="438"/>
        <item x="357"/>
        <item x="355"/>
        <item x="444"/>
        <item x="370"/>
        <item x="350"/>
        <item x="422"/>
        <item x="430"/>
        <item x="431"/>
        <item x="428"/>
        <item x="362"/>
        <item x="443"/>
        <item x="367"/>
        <item x="308"/>
        <item x="346"/>
        <item x="353"/>
        <item x="358"/>
        <item x="433"/>
        <item x="369"/>
        <item x="397"/>
        <item x="368"/>
        <item x="425"/>
        <item x="395"/>
        <item x="354"/>
        <item x="396"/>
        <item x="307"/>
        <item x="445"/>
        <item x="394"/>
        <item x="306"/>
        <item x="366"/>
        <item x="344"/>
        <item x="343"/>
        <item x="363"/>
        <item x="459"/>
        <item x="446"/>
        <item x="460"/>
        <item x="316"/>
        <item x="454"/>
        <item x="361"/>
        <item x="458"/>
        <item x="349"/>
        <item x="457"/>
        <item x="347"/>
        <item x="345"/>
        <item x="448"/>
        <item x="315"/>
        <item x="449"/>
        <item x="314"/>
        <item x="348"/>
        <item x="398"/>
        <item x="335"/>
        <item x="317"/>
        <item x="419"/>
        <item x="336"/>
        <item x="334"/>
        <item x="399"/>
        <item x="450"/>
        <item x="447"/>
        <item x="304"/>
        <item x="453"/>
        <item x="421"/>
        <item x="400"/>
        <item x="1159"/>
        <item x="461"/>
        <item x="451"/>
        <item x="420"/>
        <item x="303"/>
        <item x="462"/>
        <item x="323"/>
        <item x="318"/>
        <item x="319"/>
        <item x="305"/>
        <item x="418"/>
        <item x="452"/>
        <item x="401"/>
        <item x="333"/>
        <item x="326"/>
        <item x="327"/>
        <item x="402"/>
        <item x="404"/>
        <item x="324"/>
        <item x="325"/>
        <item x="320"/>
        <item x="405"/>
        <item x="463"/>
        <item x="322"/>
        <item x="403"/>
        <item x="413"/>
        <item x="330"/>
        <item x="464"/>
        <item x="328"/>
        <item x="321"/>
        <item x="406"/>
        <item x="417"/>
        <item x="412"/>
        <item x="414"/>
        <item x="467"/>
        <item x="411"/>
        <item x="410"/>
        <item x="329"/>
        <item x="331"/>
        <item x="332"/>
        <item x="469"/>
        <item x="468"/>
        <item x="408"/>
        <item x="407"/>
        <item x="466"/>
        <item x="465"/>
        <item x="409"/>
        <item x="475"/>
        <item x="416"/>
        <item x="415"/>
        <item x="474"/>
        <item x="473"/>
        <item x="471"/>
        <item x="470"/>
        <item x="477"/>
        <item x="472"/>
        <item x="480"/>
        <item x="478"/>
        <item x="476"/>
        <item x="481"/>
        <item x="482"/>
        <item x="485"/>
        <item x="479"/>
        <item x="486"/>
        <item x="483"/>
        <item x="484"/>
        <item x="487"/>
        <item x="506"/>
        <item x="488"/>
        <item x="502"/>
        <item x="505"/>
        <item x="491"/>
        <item x="507"/>
        <item x="490"/>
        <item x="489"/>
        <item x="503"/>
        <item x="504"/>
        <item x="509"/>
        <item x="508"/>
        <item x="492"/>
        <item x="496"/>
        <item x="511"/>
        <item x="495"/>
        <item x="493"/>
        <item x="501"/>
        <item x="499"/>
        <item x="494"/>
        <item x="500"/>
        <item x="510"/>
        <item x="515"/>
        <item x="498"/>
        <item x="497"/>
        <item x="514"/>
        <item x="512"/>
        <item x="513"/>
        <item x="516"/>
        <item x="519"/>
        <item x="517"/>
        <item x="518"/>
        <item x="520"/>
        <item x="521"/>
        <item x="522"/>
        <item x="523"/>
        <item x="524"/>
        <item x="538"/>
        <item x="537"/>
        <item x="525"/>
        <item x="536"/>
        <item x="526"/>
        <item x="532"/>
        <item x="533"/>
        <item x="531"/>
        <item x="539"/>
        <item x="527"/>
        <item x="534"/>
        <item x="535"/>
        <item x="528"/>
        <item x="529"/>
        <item x="530"/>
        <item x="540"/>
        <item x="542"/>
        <item x="541"/>
        <item x="550"/>
        <item x="543"/>
        <item x="544"/>
        <item x="549"/>
        <item x="548"/>
        <item x="547"/>
        <item x="545"/>
        <item x="551"/>
        <item x="552"/>
        <item x="546"/>
        <item x="578"/>
        <item x="572"/>
        <item x="553"/>
        <item x="1153"/>
        <item x="576"/>
        <item x="602"/>
        <item x="579"/>
        <item x="573"/>
        <item x="577"/>
        <item x="580"/>
        <item x="574"/>
        <item x="554"/>
        <item x="575"/>
        <item x="581"/>
        <item x="582"/>
        <item x="571"/>
        <item x="598"/>
        <item x="600"/>
        <item x="1152"/>
        <item x="599"/>
        <item x="1167"/>
        <item x="583"/>
        <item x="691"/>
        <item x="693"/>
        <item x="570"/>
        <item x="601"/>
        <item x="694"/>
        <item x="603"/>
        <item x="556"/>
        <item x="597"/>
        <item x="555"/>
        <item x="584"/>
        <item x="696"/>
        <item x="569"/>
        <item x="585"/>
        <item x="697"/>
        <item x="568"/>
        <item x="692"/>
        <item x="595"/>
        <item x="619"/>
        <item x="689"/>
        <item x="695"/>
        <item x="605"/>
        <item x="594"/>
        <item x="606"/>
        <item x="592"/>
        <item x="688"/>
        <item x="557"/>
        <item x="604"/>
        <item x="596"/>
        <item x="690"/>
        <item x="618"/>
        <item x="587"/>
        <item x="589"/>
        <item x="593"/>
        <item x="687"/>
        <item x="617"/>
        <item x="616"/>
        <item x="586"/>
        <item x="620"/>
        <item x="590"/>
        <item x="591"/>
        <item x="611"/>
        <item x="610"/>
        <item x="621"/>
        <item x="566"/>
        <item x="614"/>
        <item x="567"/>
        <item x="565"/>
        <item x="685"/>
        <item x="558"/>
        <item x="615"/>
        <item x="612"/>
        <item x="588"/>
        <item x="613"/>
        <item x="607"/>
        <item x="718"/>
        <item x="564"/>
        <item x="684"/>
        <item x="717"/>
        <item x="686"/>
        <item x="701"/>
        <item x="563"/>
        <item x="559"/>
        <item x="719"/>
        <item x="623"/>
        <item x="624"/>
        <item x="698"/>
        <item x="622"/>
        <item x="561"/>
        <item x="608"/>
        <item x="560"/>
        <item x="715"/>
        <item x="702"/>
        <item x="699"/>
        <item x="609"/>
        <item x="562"/>
        <item x="630"/>
        <item x="711"/>
        <item x="626"/>
        <item x="683"/>
        <item x="700"/>
        <item x="716"/>
        <item x="627"/>
        <item x="703"/>
        <item x="712"/>
        <item x="625"/>
        <item x="668"/>
        <item x="682"/>
        <item x="629"/>
        <item x="669"/>
        <item x="628"/>
        <item x="714"/>
        <item x="676"/>
        <item x="705"/>
        <item x="667"/>
        <item x="631"/>
        <item x="707"/>
        <item x="708"/>
        <item x="720"/>
        <item x="633"/>
        <item x="635"/>
        <item x="666"/>
        <item x="713"/>
        <item x="670"/>
        <item x="671"/>
        <item x="634"/>
        <item x="643"/>
        <item x="632"/>
        <item x="709"/>
        <item x="706"/>
        <item x="672"/>
        <item x="636"/>
        <item x="677"/>
        <item x="704"/>
        <item x="681"/>
        <item x="710"/>
        <item x="642"/>
        <item x="640"/>
        <item x="679"/>
        <item x="641"/>
        <item x="665"/>
        <item x="638"/>
        <item x="639"/>
        <item x="674"/>
        <item x="680"/>
        <item x="644"/>
        <item x="664"/>
        <item x="637"/>
        <item x="675"/>
        <item x="721"/>
        <item x="678"/>
        <item x="673"/>
        <item x="730"/>
        <item x="1150"/>
        <item x="646"/>
        <item x="722"/>
        <item x="723"/>
        <item x="645"/>
        <item x="725"/>
        <item x="648"/>
        <item x="647"/>
        <item x="724"/>
        <item x="727"/>
        <item x="729"/>
        <item x="663"/>
        <item x="756"/>
        <item x="649"/>
        <item x="650"/>
        <item x="757"/>
        <item x="1148"/>
        <item x="726"/>
        <item x="728"/>
        <item x="656"/>
        <item x="655"/>
        <item x="658"/>
        <item x="659"/>
        <item x="654"/>
        <item x="657"/>
        <item x="754"/>
        <item x="662"/>
        <item x="653"/>
        <item x="661"/>
        <item x="660"/>
        <item x="755"/>
        <item x="651"/>
        <item x="652"/>
        <item x="807"/>
        <item x="806"/>
        <item x="733"/>
        <item x="805"/>
        <item x="749"/>
        <item x="753"/>
        <item x="831"/>
        <item x="736"/>
        <item x="738"/>
        <item x="758"/>
        <item x="734"/>
        <item x="732"/>
        <item x="739"/>
        <item x="808"/>
        <item x="830"/>
        <item x="829"/>
        <item x="731"/>
        <item x="804"/>
        <item x="735"/>
        <item x="779"/>
        <item x="825"/>
        <item x="803"/>
        <item x="737"/>
        <item x="761"/>
        <item x="752"/>
        <item x="740"/>
        <item x="767"/>
        <item x="824"/>
        <item x="781"/>
        <item x="741"/>
        <item x="748"/>
        <item x="780"/>
        <item x="750"/>
        <item x="823"/>
        <item x="751"/>
        <item x="759"/>
        <item x="768"/>
        <item x="822"/>
        <item x="810"/>
        <item x="769"/>
        <item x="782"/>
        <item x="812"/>
        <item x="744"/>
        <item x="826"/>
        <item x="798"/>
        <item x="785"/>
        <item x="760"/>
        <item x="784"/>
        <item x="746"/>
        <item x="828"/>
        <item x="745"/>
        <item x="776"/>
        <item x="799"/>
        <item x="811"/>
        <item x="747"/>
        <item x="742"/>
        <item x="775"/>
        <item x="809"/>
        <item x="797"/>
        <item x="827"/>
        <item x="813"/>
        <item x="802"/>
        <item x="788"/>
        <item x="832"/>
        <item x="766"/>
        <item x="783"/>
        <item x="786"/>
        <item x="800"/>
        <item x="743"/>
        <item x="820"/>
        <item x="787"/>
        <item x="821"/>
        <item x="777"/>
        <item x="814"/>
        <item x="778"/>
        <item x="834"/>
        <item x="770"/>
        <item x="819"/>
        <item x="833"/>
        <item x="774"/>
        <item x="818"/>
        <item x="801"/>
        <item x="789"/>
        <item x="773"/>
        <item x="948"/>
        <item x="1151"/>
        <item x="764"/>
        <item x="765"/>
        <item x="762"/>
        <item x="795"/>
        <item x="792"/>
        <item x="763"/>
        <item x="817"/>
        <item x="796"/>
        <item x="835"/>
        <item x="794"/>
        <item x="790"/>
        <item x="1139"/>
        <item x="791"/>
        <item x="771"/>
        <item x="793"/>
        <item x="1073"/>
        <item x="815"/>
        <item x="772"/>
        <item x="816"/>
        <item x="837"/>
        <item x="946"/>
        <item x="836"/>
        <item x="838"/>
        <item x="947"/>
        <item x="959"/>
        <item x="951"/>
        <item x="1075"/>
        <item x="847"/>
        <item x="848"/>
        <item x="949"/>
        <item x="960"/>
        <item x="953"/>
        <item x="846"/>
        <item x="958"/>
        <item x="950"/>
        <item x="839"/>
        <item x="840"/>
        <item x="845"/>
        <item x="860"/>
        <item x="844"/>
        <item x="954"/>
        <item x="859"/>
        <item x="852"/>
        <item x="850"/>
        <item x="843"/>
        <item x="849"/>
        <item x="851"/>
        <item x="952"/>
        <item x="945"/>
        <item x="861"/>
        <item x="855"/>
        <item x="853"/>
        <item x="943"/>
        <item x="900"/>
        <item x="854"/>
        <item x="858"/>
        <item x="842"/>
        <item x="944"/>
        <item x="903"/>
        <item x="841"/>
        <item x="906"/>
        <item x="905"/>
        <item x="936"/>
        <item x="857"/>
        <item x="955"/>
        <item x="942"/>
        <item x="934"/>
        <item x="902"/>
        <item x="862"/>
        <item x="901"/>
        <item x="856"/>
        <item x="907"/>
        <item x="863"/>
        <item x="897"/>
        <item x="961"/>
        <item x="935"/>
        <item x="908"/>
        <item x="909"/>
        <item x="896"/>
        <item x="962"/>
        <item x="893"/>
        <item x="898"/>
        <item x="864"/>
        <item x="926"/>
        <item x="899"/>
        <item x="925"/>
        <item x="933"/>
        <item x="895"/>
        <item x="1074"/>
        <item x="894"/>
        <item x="937"/>
        <item x="956"/>
        <item x="904"/>
        <item x="927"/>
        <item x="932"/>
        <item x="957"/>
        <item x="910"/>
        <item x="886"/>
        <item x="922"/>
        <item x="911"/>
        <item x="887"/>
        <item x="885"/>
        <item x="977"/>
        <item x="924"/>
        <item x="883"/>
        <item x="880"/>
        <item x="884"/>
        <item x="970"/>
        <item x="888"/>
        <item x="923"/>
        <item x="889"/>
        <item x="928"/>
        <item x="867"/>
        <item x="971"/>
        <item x="891"/>
        <item x="869"/>
        <item x="972"/>
        <item x="929"/>
        <item x="874"/>
        <item x="930"/>
        <item x="986"/>
        <item x="892"/>
        <item x="866"/>
        <item x="879"/>
        <item x="868"/>
        <item x="915"/>
        <item x="878"/>
        <item x="870"/>
        <item x="931"/>
        <item x="969"/>
        <item x="876"/>
        <item x="979"/>
        <item x="882"/>
        <item x="871"/>
        <item x="873"/>
        <item x="875"/>
        <item x="865"/>
        <item x="877"/>
        <item x="1072"/>
        <item x="890"/>
        <item x="978"/>
        <item x="881"/>
        <item x="912"/>
        <item x="916"/>
        <item x="985"/>
        <item x="921"/>
        <item x="914"/>
        <item x="980"/>
        <item x="963"/>
        <item x="872"/>
        <item x="941"/>
        <item x="918"/>
        <item x="917"/>
        <item x="913"/>
        <item x="964"/>
        <item x="975"/>
        <item x="920"/>
        <item x="973"/>
        <item x="987"/>
        <item x="966"/>
        <item x="967"/>
        <item x="1137"/>
        <item x="919"/>
        <item x="1155"/>
        <item x="974"/>
        <item x="984"/>
        <item x="938"/>
        <item x="976"/>
        <item x="988"/>
        <item x="968"/>
        <item x="981"/>
        <item x="1071"/>
        <item x="983"/>
        <item x="1070"/>
        <item x="939"/>
        <item x="982"/>
        <item x="990"/>
        <item x="989"/>
        <item x="965"/>
        <item x="940"/>
        <item x="991"/>
        <item x="1147"/>
        <item x="993"/>
        <item x="992"/>
        <item x="998"/>
        <item x="994"/>
        <item x="1076"/>
        <item x="997"/>
        <item x="1158"/>
        <item x="999"/>
        <item x="996"/>
        <item x="1067"/>
        <item x="1078"/>
        <item x="1066"/>
        <item x="1001"/>
        <item x="1069"/>
        <item x="1005"/>
        <item x="1012"/>
        <item x="995"/>
        <item x="1011"/>
        <item x="1000"/>
        <item x="1065"/>
        <item x="1077"/>
        <item x="1003"/>
        <item x="1004"/>
        <item x="1006"/>
        <item x="1064"/>
        <item x="1007"/>
        <item x="1002"/>
        <item x="1092"/>
        <item x="1010"/>
        <item x="1068"/>
        <item x="1157"/>
        <item x="1009"/>
        <item x="1013"/>
        <item x="1008"/>
        <item x="1079"/>
        <item x="1061"/>
        <item x="1062"/>
        <item x="1014"/>
        <item x="1024"/>
        <item x="1060"/>
        <item x="1063"/>
        <item x="1093"/>
        <item x="1138"/>
        <item x="1045"/>
        <item x="1056"/>
        <item x="1015"/>
        <item x="1055"/>
        <item x="1021"/>
        <item x="1020"/>
        <item x="1016"/>
        <item x="1058"/>
        <item x="1022"/>
        <item x="1050"/>
        <item x="1090"/>
        <item x="1017"/>
        <item x="1048"/>
        <item x="1023"/>
        <item x="1046"/>
        <item x="1047"/>
        <item x="1057"/>
        <item x="1044"/>
        <item x="1025"/>
        <item x="1051"/>
        <item x="1041"/>
        <item x="1083"/>
        <item x="1049"/>
        <item x="1059"/>
        <item x="1119"/>
        <item x="1043"/>
        <item x="1054"/>
        <item x="1042"/>
        <item x="1052"/>
        <item x="1091"/>
        <item x="1019"/>
        <item x="1053"/>
        <item x="1018"/>
        <item x="1026"/>
        <item x="1154"/>
        <item x="1081"/>
        <item x="1027"/>
        <item x="1120"/>
        <item x="1121"/>
        <item x="1040"/>
        <item x="1028"/>
        <item x="1089"/>
        <item x="1029"/>
        <item x="1082"/>
        <item x="1080"/>
        <item x="1085"/>
        <item x="1084"/>
        <item x="1030"/>
        <item x="1039"/>
        <item x="1087"/>
        <item x="1031"/>
        <item x="1038"/>
        <item x="1037"/>
        <item x="1103"/>
        <item x="1033"/>
        <item x="1104"/>
        <item x="1036"/>
        <item x="1035"/>
        <item x="1034"/>
        <item x="1145"/>
        <item x="1032"/>
        <item x="1094"/>
        <item x="1088"/>
        <item x="1096"/>
        <item x="1105"/>
        <item x="1100"/>
        <item x="1102"/>
        <item x="1086"/>
        <item x="1106"/>
        <item x="1101"/>
        <item x="1113"/>
        <item x="1095"/>
        <item x="1166"/>
        <item x="1107"/>
        <item x="1112"/>
        <item x="1118"/>
        <item x="1131"/>
        <item x="1097"/>
        <item x="1136"/>
        <item x="1117"/>
        <item x="1133"/>
        <item x="1108"/>
        <item x="1116"/>
        <item x="1099"/>
        <item x="1115"/>
        <item x="1098"/>
        <item x="1132"/>
        <item x="1134"/>
        <item x="1110"/>
        <item x="1111"/>
        <item x="1109"/>
        <item x="1114"/>
        <item x="1135"/>
        <item x="1122"/>
        <item x="1127"/>
        <item x="1128"/>
        <item x="1129"/>
        <item x="1123"/>
        <item x="1130"/>
        <item x="1126"/>
        <item x="1124"/>
        <item x="1125"/>
        <item x="1149"/>
        <item x="1146"/>
        <item x="1156"/>
        <item x="1168"/>
        <item t="default"/>
      </items>
    </pivotField>
    <pivotField numFmtId="1" showAll="0"/>
    <pivotField showAll="0"/>
    <pivotField showAll="0"/>
    <pivotField showAll="0"/>
    <pivotField showAll="0"/>
    <pivotField showAll="0"/>
    <pivotField showAll="0"/>
    <pivotField showAll="0"/>
    <pivotField showAll="0"/>
    <pivotField showAll="0"/>
    <pivotField numFmtId="2" showAll="0"/>
    <pivotField showAll="0"/>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8">
        <item sd="0" x="0"/>
        <item sd="0" x="1"/>
        <item sd="0" x="2"/>
        <item sd="0" x="3"/>
        <item sd="0" x="4"/>
        <item sd="0" x="5"/>
        <item sd="0" x="6"/>
        <item sd="0" x="7"/>
      </items>
    </pivotField>
  </pivotFields>
  <rowFields count="1">
    <field x="18"/>
  </rowFields>
  <rowItems count="4">
    <i>
      <x/>
    </i>
    <i>
      <x v="1"/>
    </i>
    <i>
      <x v="2"/>
    </i>
    <i t="grand">
      <x/>
    </i>
  </rowItems>
  <colItems count="1">
    <i/>
  </colItems>
  <dataFields count="1">
    <dataField name="Count of Date" fld="0" subtotal="count" baseField="0" baseItem="0"/>
  </dataFields>
  <formats count="12">
    <format dxfId="53">
      <pivotArea type="all" dataOnly="0" outline="0" fieldPosition="0"/>
    </format>
    <format dxfId="52">
      <pivotArea outline="0" collapsedLevelsAreSubtotals="1" fieldPosition="0"/>
    </format>
    <format dxfId="51">
      <pivotArea field="18" type="button" dataOnly="0" labelOnly="1" outline="0" axis="axisRow" fieldPosition="0"/>
    </format>
    <format dxfId="50">
      <pivotArea dataOnly="0" labelOnly="1" fieldPosition="0">
        <references count="1">
          <reference field="18" count="0"/>
        </references>
      </pivotArea>
    </format>
    <format dxfId="49">
      <pivotArea dataOnly="0" labelOnly="1" grandRow="1" outline="0" fieldPosition="0"/>
    </format>
    <format dxfId="48">
      <pivotArea dataOnly="0" labelOnly="1" outline="0" axis="axisValues" fieldPosition="0"/>
    </format>
    <format dxfId="47">
      <pivotArea type="all" dataOnly="0" outline="0" fieldPosition="0"/>
    </format>
    <format dxfId="46">
      <pivotArea outline="0" collapsedLevelsAreSubtotals="1" fieldPosition="0"/>
    </format>
    <format dxfId="45">
      <pivotArea field="18" type="button" dataOnly="0" labelOnly="1" outline="0" axis="axisRow" fieldPosition="0"/>
    </format>
    <format dxfId="44">
      <pivotArea dataOnly="0" labelOnly="1" fieldPosition="0">
        <references count="1">
          <reference field="18" count="0"/>
        </references>
      </pivotArea>
    </format>
    <format dxfId="43">
      <pivotArea dataOnly="0" labelOnly="1" grandRow="1" outline="0" fieldPosition="0"/>
    </format>
    <format dxfId="42">
      <pivotArea dataOnly="0" labelOnly="1" outline="0" axis="axisValues" fieldPosition="0"/>
    </format>
  </formats>
  <chartFormats count="11">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18" count="1" selected="0">
            <x v="0"/>
          </reference>
        </references>
      </pivotArea>
    </chartFormat>
    <chartFormat chart="4" format="7">
      <pivotArea type="data" outline="0" fieldPosition="0">
        <references count="2">
          <reference field="4294967294" count="1" selected="0">
            <x v="0"/>
          </reference>
          <reference field="18" count="1" selected="0">
            <x v="1"/>
          </reference>
        </references>
      </pivotArea>
    </chartFormat>
    <chartFormat chart="4" format="8">
      <pivotArea type="data" outline="0" fieldPosition="0">
        <references count="2">
          <reference field="4294967294" count="1" selected="0">
            <x v="0"/>
          </reference>
          <reference field="18" count="1" selected="0">
            <x v="2"/>
          </reference>
        </references>
      </pivotArea>
    </chartFormat>
    <chartFormat chart="11" format="2" series="1">
      <pivotArea type="data" outline="0" fieldPosition="0">
        <references count="1">
          <reference field="4294967294" count="1" selected="0">
            <x v="0"/>
          </reference>
        </references>
      </pivotArea>
    </chartFormat>
    <chartFormat chart="16" format="13" series="1">
      <pivotArea type="data" outline="0" fieldPosition="0">
        <references count="1">
          <reference field="4294967294" count="1" selected="0">
            <x v="0"/>
          </reference>
        </references>
      </pivotArea>
    </chartFormat>
    <chartFormat chart="16" format="14">
      <pivotArea type="data" outline="0" fieldPosition="0">
        <references count="2">
          <reference field="4294967294" count="1" selected="0">
            <x v="0"/>
          </reference>
          <reference field="18" count="1" selected="0">
            <x v="0"/>
          </reference>
        </references>
      </pivotArea>
    </chartFormat>
    <chartFormat chart="16" format="15">
      <pivotArea type="data" outline="0" fieldPosition="0">
        <references count="2">
          <reference field="4294967294" count="1" selected="0">
            <x v="0"/>
          </reference>
          <reference field="18" count="1" selected="0">
            <x v="1"/>
          </reference>
        </references>
      </pivotArea>
    </chartFormat>
    <chartFormat chart="16" format="16">
      <pivotArea type="data" outline="0" fieldPosition="0">
        <references count="2">
          <reference field="4294967294" count="1" selected="0">
            <x v="0"/>
          </reference>
          <reference field="18" count="1" selected="0">
            <x v="2"/>
          </reference>
        </references>
      </pivotArea>
    </chartFormat>
    <chartFormat chart="19" format="3" series="1">
      <pivotArea type="data" outline="0" fieldPosition="0">
        <references count="1">
          <reference field="4294967294" count="1" selected="0">
            <x v="0"/>
          </reference>
        </references>
      </pivotArea>
    </chartFormat>
    <chartFormat chart="24" format="4"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DA23F9D-FB2E-4039-8607-3CF6D2F1A59B}"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3">
  <location ref="D5:F8" firstHeaderRow="0" firstDataRow="1" firstDataCol="1"/>
  <pivotFields count="35">
    <pivotField numFmtId="14" showAll="0">
      <items count="117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t="default"/>
      </items>
    </pivotField>
    <pivotField numFmtId="2" showAll="0"/>
    <pivotField showAll="0"/>
    <pivotField showAll="0"/>
    <pivotField showAll="0"/>
    <pivotField numFmtId="1" showAll="0"/>
    <pivotField showAll="0"/>
    <pivotField showAll="0"/>
    <pivotField showAll="0"/>
    <pivotField dataField="1" numFmtId="2" showAll="0">
      <items count="1145">
        <item x="1119"/>
        <item x="1053"/>
        <item x="1123"/>
        <item x="722"/>
        <item x="164"/>
        <item x="1057"/>
        <item x="1140"/>
        <item x="1097"/>
        <item x="1070"/>
        <item x="920"/>
        <item x="931"/>
        <item x="1130"/>
        <item x="943"/>
        <item x="1120"/>
        <item x="821"/>
        <item x="301"/>
        <item x="230"/>
        <item x="17"/>
        <item x="1051"/>
        <item x="947"/>
        <item x="92"/>
        <item x="824"/>
        <item x="392"/>
        <item x="38"/>
        <item x="244"/>
        <item x="834"/>
        <item x="849"/>
        <item x="690"/>
        <item x="753"/>
        <item x="826"/>
        <item x="1128"/>
        <item x="934"/>
        <item x="945"/>
        <item x="391"/>
        <item x="177"/>
        <item x="136"/>
        <item x="887"/>
        <item x="597"/>
        <item x="711"/>
        <item x="749"/>
        <item x="45"/>
        <item x="210"/>
        <item x="440"/>
        <item x="312"/>
        <item x="167"/>
        <item x="992"/>
        <item x="66"/>
        <item x="550"/>
        <item x="426"/>
        <item x="644"/>
        <item x="467"/>
        <item x="120"/>
        <item x="1062"/>
        <item x="1004"/>
        <item x="413"/>
        <item x="977"/>
        <item x="997"/>
        <item x="351"/>
        <item x="817"/>
        <item x="695"/>
        <item x="473"/>
        <item x="295"/>
        <item x="1112"/>
        <item x="201"/>
        <item x="2"/>
        <item x="963"/>
        <item x="1060"/>
        <item x="122"/>
        <item x="192"/>
        <item x="206"/>
        <item x="18"/>
        <item x="616"/>
        <item x="895"/>
        <item x="1056"/>
        <item x="249"/>
        <item x="865"/>
        <item x="937"/>
        <item x="341"/>
        <item x="423"/>
        <item x="462"/>
        <item x="801"/>
        <item x="601"/>
        <item x="845"/>
        <item x="1045"/>
        <item x="209"/>
        <item x="364"/>
        <item x="329"/>
        <item x="359"/>
        <item x="196"/>
        <item x="969"/>
        <item x="293"/>
        <item x="195"/>
        <item x="460"/>
        <item x="670"/>
        <item x="78"/>
        <item x="919"/>
        <item x="619"/>
        <item x="282"/>
        <item x="983"/>
        <item x="624"/>
        <item x="841"/>
        <item x="712"/>
        <item x="273"/>
        <item x="255"/>
        <item x="204"/>
        <item x="484"/>
        <item x="455"/>
        <item x="955"/>
        <item x="326"/>
        <item x="761"/>
        <item x="846"/>
        <item x="547"/>
        <item x="796"/>
        <item x="435"/>
        <item x="107"/>
        <item x="981"/>
        <item x="176"/>
        <item x="974"/>
        <item x="553"/>
        <item x="267"/>
        <item x="508"/>
        <item x="221"/>
        <item x="971"/>
        <item x="284"/>
        <item x="157"/>
        <item x="554"/>
        <item x="938"/>
        <item x="1073"/>
        <item x="582"/>
        <item x="224"/>
        <item x="602"/>
        <item x="234"/>
        <item x="245"/>
        <item x="311"/>
        <item x="50"/>
        <item x="405"/>
        <item x="73"/>
        <item x="704"/>
        <item x="922"/>
        <item x="1142"/>
        <item x="697"/>
        <item x="762"/>
        <item x="717"/>
        <item x="663"/>
        <item x="316"/>
        <item x="372"/>
        <item x="719"/>
        <item x="319"/>
        <item x="168"/>
        <item x="1139"/>
        <item x="960"/>
        <item x="902"/>
        <item x="1089"/>
        <item x="322"/>
        <item x="288"/>
        <item x="264"/>
        <item x="893"/>
        <item x="12"/>
        <item x="318"/>
        <item x="512"/>
        <item x="942"/>
        <item x="873"/>
        <item x="987"/>
        <item x="1005"/>
        <item x="580"/>
        <item x="237"/>
        <item x="476"/>
        <item x="485"/>
        <item x="884"/>
        <item x="1071"/>
        <item x="535"/>
        <item x="741"/>
        <item x="242"/>
        <item x="294"/>
        <item x="159"/>
        <item x="637"/>
        <item x="985"/>
        <item x="339"/>
        <item x="488"/>
        <item x="578"/>
        <item x="1054"/>
        <item x="782"/>
        <item x="277"/>
        <item x="99"/>
        <item x="598"/>
        <item x="445"/>
        <item x="921"/>
        <item x="149"/>
        <item x="5"/>
        <item x="493"/>
        <item x="198"/>
        <item x="480"/>
        <item x="1069"/>
        <item x="396"/>
        <item x="422"/>
        <item x="513"/>
        <item x="1118"/>
        <item x="303"/>
        <item x="666"/>
        <item x="1034"/>
        <item x="181"/>
        <item x="135"/>
        <item x="778"/>
        <item x="733"/>
        <item x="772"/>
        <item x="52"/>
        <item x="750"/>
        <item x="993"/>
        <item x="625"/>
        <item x="327"/>
        <item x="412"/>
        <item x="345"/>
        <item x="431"/>
        <item x="688"/>
        <item x="767"/>
        <item x="225"/>
        <item x="614"/>
        <item x="399"/>
        <item x="685"/>
        <item x="936"/>
        <item x="638"/>
        <item x="310"/>
        <item x="506"/>
        <item x="823"/>
        <item x="146"/>
        <item x="401"/>
        <item x="16"/>
        <item x="1023"/>
        <item x="285"/>
        <item x="549"/>
        <item x="504"/>
        <item x="153"/>
        <item x="44"/>
        <item x="231"/>
        <item x="552"/>
        <item x="671"/>
        <item x="980"/>
        <item x="1067"/>
        <item x="315"/>
        <item x="1010"/>
        <item x="87"/>
        <item x="1064"/>
        <item x="1098"/>
        <item x="523"/>
        <item x="775"/>
        <item x="270"/>
        <item x="693"/>
        <item x="49"/>
        <item x="958"/>
        <item x="630"/>
        <item x="541"/>
        <item x="104"/>
        <item x="679"/>
        <item x="1036"/>
        <item x="212"/>
        <item x="358"/>
        <item x="183"/>
        <item x="536"/>
        <item x="694"/>
        <item x="90"/>
        <item x="276"/>
        <item x="258"/>
        <item x="994"/>
        <item x="91"/>
        <item x="97"/>
        <item x="404"/>
        <item x="40"/>
        <item x="138"/>
        <item x="29"/>
        <item x="175"/>
        <item x="859"/>
        <item x="710"/>
        <item x="812"/>
        <item x="116"/>
        <item x="734"/>
        <item x="516"/>
        <item x="241"/>
        <item x="950"/>
        <item x="932"/>
        <item x="171"/>
        <item x="856"/>
        <item x="379"/>
        <item x="700"/>
        <item x="548"/>
        <item x="271"/>
        <item x="25"/>
        <item x="899"/>
        <item x="96"/>
        <item x="418"/>
        <item x="274"/>
        <item x="205"/>
        <item x="281"/>
        <item x="436"/>
        <item x="166"/>
        <item x="779"/>
        <item x="1026"/>
        <item x="355"/>
        <item x="519"/>
        <item x="909"/>
        <item x="53"/>
        <item x="386"/>
        <item x="976"/>
        <item x="854"/>
        <item x="964"/>
        <item x="27"/>
        <item x="465"/>
        <item x="606"/>
        <item x="246"/>
        <item x="557"/>
        <item x="292"/>
        <item x="110"/>
        <item x="54"/>
        <item x="46"/>
        <item x="1008"/>
        <item x="1029"/>
        <item x="275"/>
        <item x="443"/>
        <item x="970"/>
        <item x="542"/>
        <item x="877"/>
        <item x="595"/>
        <item x="703"/>
        <item x="574"/>
        <item x="838"/>
        <item x="403"/>
        <item x="577"/>
        <item x="356"/>
        <item x="707"/>
        <item x="800"/>
        <item x="728"/>
        <item x="448"/>
        <item x="590"/>
        <item x="103"/>
        <item x="1007"/>
        <item x="650"/>
        <item x="1084"/>
        <item x="1080"/>
        <item x="629"/>
        <item x="350"/>
        <item x="890"/>
        <item x="239"/>
        <item x="450"/>
        <item x="795"/>
        <item x="217"/>
        <item x="731"/>
        <item x="537"/>
        <item x="1028"/>
        <item x="910"/>
        <item x="621"/>
        <item x="763"/>
        <item x="818"/>
        <item x="1074"/>
        <item x="517"/>
        <item x="4"/>
        <item x="240"/>
        <item x="247"/>
        <item x="642"/>
        <item x="428"/>
        <item x="235"/>
        <item x="200"/>
        <item x="653"/>
        <item x="218"/>
        <item x="76"/>
        <item x="820"/>
        <item x="60"/>
        <item x="254"/>
        <item x="112"/>
        <item x="956"/>
        <item x="111"/>
        <item x="343"/>
        <item x="569"/>
        <item x="1099"/>
        <item x="798"/>
        <item x="441"/>
        <item x="917"/>
        <item x="603"/>
        <item x="251"/>
        <item x="361"/>
        <item x="58"/>
        <item x="848"/>
        <item x="469"/>
        <item x="748"/>
        <item x="388"/>
        <item x="478"/>
        <item x="691"/>
        <item x="62"/>
        <item x="852"/>
        <item x="398"/>
        <item x="286"/>
        <item x="751"/>
        <item x="155"/>
        <item x="129"/>
        <item x="30"/>
        <item x="1077"/>
        <item x="913"/>
        <item x="375"/>
        <item x="568"/>
        <item x="847"/>
        <item x="172"/>
        <item x="713"/>
        <item x="461"/>
        <item x="725"/>
        <item x="385"/>
        <item x="640"/>
        <item x="973"/>
        <item x="9"/>
        <item x="481"/>
        <item x="213"/>
        <item x="500"/>
        <item x="530"/>
        <item x="518"/>
        <item x="615"/>
        <item x="683"/>
        <item x="962"/>
        <item x="770"/>
        <item x="891"/>
        <item x="520"/>
        <item x="407"/>
        <item x="190"/>
        <item x="587"/>
        <item x="1039"/>
        <item x="449"/>
        <item x="881"/>
        <item x="400"/>
        <item x="228"/>
        <item x="788"/>
        <item x="309"/>
        <item x="555"/>
        <item x="521"/>
        <item x="68"/>
        <item x="503"/>
        <item x="14"/>
        <item x="1082"/>
        <item x="193"/>
        <item x="896"/>
        <item x="584"/>
        <item x="673"/>
        <item x="715"/>
        <item x="278"/>
        <item x="483"/>
        <item x="197"/>
        <item x="132"/>
        <item x="397"/>
        <item x="93"/>
        <item x="1019"/>
        <item x="499"/>
        <item x="75"/>
        <item x="34"/>
        <item x="813"/>
        <item x="33"/>
        <item x="297"/>
        <item x="489"/>
        <item x="701"/>
        <item x="540"/>
        <item x="906"/>
        <item x="1081"/>
        <item x="759"/>
        <item x="746"/>
        <item x="900"/>
        <item x="1109"/>
        <item x="94"/>
        <item x="726"/>
        <item x="346"/>
        <item x="336"/>
        <item x="524"/>
        <item x="1009"/>
        <item x="202"/>
        <item x="995"/>
        <item x="627"/>
        <item x="475"/>
        <item x="444"/>
        <item x="89"/>
        <item x="929"/>
        <item x="117"/>
        <item x="1"/>
        <item x="760"/>
        <item x="522"/>
        <item x="300"/>
        <item x="1125"/>
        <item x="19"/>
        <item x="575"/>
        <item x="736"/>
        <item x="490"/>
        <item x="486"/>
        <item x="609"/>
        <item x="665"/>
        <item x="1095"/>
        <item x="539"/>
        <item x="101"/>
        <item x="459"/>
        <item x="1115"/>
        <item x="1040"/>
        <item x="61"/>
        <item x="643"/>
        <item x="802"/>
        <item x="35"/>
        <item x="83"/>
        <item x="387"/>
        <item x="57"/>
        <item x="366"/>
        <item x="1106"/>
        <item x="529"/>
        <item x="429"/>
        <item x="871"/>
        <item x="13"/>
        <item x="133"/>
        <item x="576"/>
        <item x="381"/>
        <item x="434"/>
        <item x="509"/>
        <item x="24"/>
        <item x="253"/>
        <item x="986"/>
        <item x="1102"/>
        <item x="839"/>
        <item x="687"/>
        <item x="738"/>
        <item x="141"/>
        <item x="41"/>
        <item x="926"/>
        <item x="340"/>
        <item x="250"/>
        <item x="325"/>
        <item x="572"/>
        <item x="191"/>
        <item x="953"/>
        <item x="664"/>
        <item x="946"/>
        <item x="170"/>
        <item x="130"/>
        <item x="1083"/>
        <item x="139"/>
        <item x="95"/>
        <item x="514"/>
        <item x="363"/>
        <item x="352"/>
        <item x="127"/>
        <item x="607"/>
        <item x="570"/>
        <item x="479"/>
        <item x="334"/>
        <item x="872"/>
        <item x="732"/>
        <item x="944"/>
        <item x="526"/>
        <item x="593"/>
        <item x="668"/>
        <item x="1108"/>
        <item x="290"/>
        <item x="425"/>
        <item x="330"/>
        <item x="259"/>
        <item x="699"/>
        <item x="1001"/>
        <item x="579"/>
        <item x="8"/>
        <item x="454"/>
        <item x="662"/>
        <item x="768"/>
        <item x="911"/>
        <item x="227"/>
        <item x="833"/>
        <item x="996"/>
        <item x="317"/>
        <item x="496"/>
        <item x="1006"/>
        <item x="180"/>
        <item x="861"/>
        <item x="15"/>
        <item x="296"/>
        <item x="939"/>
        <item x="207"/>
        <item x="652"/>
        <item x="458"/>
        <item x="42"/>
        <item x="128"/>
        <item x="525"/>
        <item x="323"/>
        <item x="248"/>
        <item x="730"/>
        <item x="447"/>
        <item x="220"/>
        <item x="836"/>
        <item x="115"/>
        <item x="394"/>
        <item x="780"/>
        <item x="51"/>
        <item x="855"/>
        <item x="1030"/>
        <item x="875"/>
        <item x="600"/>
        <item x="776"/>
        <item x="1002"/>
        <item x="531"/>
        <item x="807"/>
        <item x="585"/>
        <item x="65"/>
        <item x="785"/>
        <item x="954"/>
        <item x="754"/>
        <item x="742"/>
        <item x="7"/>
        <item x="1135"/>
        <item x="618"/>
        <item x="634"/>
        <item x="367"/>
        <item x="714"/>
        <item x="106"/>
        <item x="184"/>
        <item x="562"/>
        <item x="882"/>
        <item x="756"/>
        <item x="466"/>
        <item x="406"/>
        <item x="342"/>
        <item x="868"/>
        <item x="409"/>
        <item x="645"/>
        <item x="77"/>
        <item x="299"/>
        <item x="395"/>
        <item x="894"/>
        <item x="124"/>
        <item x="632"/>
        <item x="59"/>
        <item x="505"/>
        <item x="463"/>
        <item x="1137"/>
        <item x="892"/>
        <item x="641"/>
        <item x="86"/>
        <item x="870"/>
        <item x="456"/>
        <item x="564"/>
        <item x="949"/>
        <item x="1127"/>
        <item x="551"/>
        <item x="611"/>
        <item x="774"/>
        <item x="487"/>
        <item x="494"/>
        <item x="825"/>
        <item x="594"/>
        <item x="1136"/>
        <item x="1024"/>
        <item x="389"/>
        <item x="376"/>
        <item x="114"/>
        <item x="74"/>
        <item x="816"/>
        <item x="912"/>
        <item x="793"/>
        <item x="382"/>
        <item x="1103"/>
        <item x="26"/>
        <item x="283"/>
        <item x="137"/>
        <item x="635"/>
        <item x="393"/>
        <item x="654"/>
        <item x="819"/>
        <item x="805"/>
        <item x="544"/>
        <item x="649"/>
        <item x="333"/>
        <item x="556"/>
        <item x="1096"/>
        <item x="471"/>
        <item x="468"/>
        <item x="123"/>
        <item x="37"/>
        <item x="414"/>
        <item x="119"/>
        <item x="383"/>
        <item x="134"/>
        <item x="561"/>
        <item x="232"/>
        <item x="457"/>
        <item x="305"/>
        <item x="766"/>
        <item x="1079"/>
        <item x="70"/>
        <item x="1104"/>
        <item x="534"/>
        <item x="794"/>
        <item x="511"/>
        <item x="492"/>
        <item x="622"/>
        <item x="737"/>
        <item x="860"/>
        <item x="771"/>
        <item x="545"/>
        <item x="835"/>
        <item x="809"/>
        <item x="187"/>
        <item x="182"/>
        <item x="716"/>
        <item x="869"/>
        <item x="419"/>
        <item x="515"/>
        <item x="901"/>
        <item x="885"/>
        <item x="1048"/>
        <item x="1000"/>
        <item x="975"/>
        <item x="338"/>
        <item x="236"/>
        <item x="306"/>
        <item x="878"/>
        <item x="538"/>
        <item x="216"/>
        <item x="160"/>
        <item x="639"/>
        <item x="142"/>
        <item x="98"/>
        <item x="165"/>
        <item x="298"/>
        <item x="1015"/>
        <item x="889"/>
        <item x="612"/>
        <item x="1086"/>
        <item x="6"/>
        <item x="144"/>
        <item x="810"/>
        <item x="633"/>
        <item x="989"/>
        <item x="755"/>
        <item x="617"/>
        <item x="194"/>
        <item x="143"/>
        <item x="287"/>
        <item x="85"/>
        <item x="313"/>
        <item x="682"/>
        <item x="497"/>
        <item x="1013"/>
        <item x="814"/>
        <item x="605"/>
        <item x="189"/>
        <item x="215"/>
        <item x="791"/>
        <item x="10"/>
        <item x="811"/>
        <item x="252"/>
        <item x="410"/>
        <item x="651"/>
        <item x="279"/>
        <item x="71"/>
        <item x="581"/>
        <item x="998"/>
        <item x="723"/>
        <item x="827"/>
        <item x="502"/>
        <item x="69"/>
        <item x="589"/>
        <item x="36"/>
        <item x="219"/>
        <item x="226"/>
        <item x="314"/>
        <item x="655"/>
        <item x="145"/>
        <item x="533"/>
        <item x="1085"/>
        <item x="442"/>
        <item x="1092"/>
        <item x="140"/>
        <item x="628"/>
        <item x="208"/>
        <item x="787"/>
        <item x="1061"/>
        <item x="842"/>
        <item x="152"/>
        <item x="689"/>
        <item x="599"/>
        <item x="667"/>
        <item x="263"/>
        <item x="897"/>
        <item x="806"/>
        <item x="972"/>
        <item x="291"/>
        <item x="631"/>
        <item x="837"/>
        <item x="1093"/>
        <item x="185"/>
        <item x="88"/>
        <item x="79"/>
        <item x="384"/>
        <item x="491"/>
        <item x="21"/>
        <item x="961"/>
        <item x="347"/>
        <item x="1132"/>
        <item x="1012"/>
        <item x="337"/>
        <item x="799"/>
        <item x="840"/>
        <item x="82"/>
        <item x="658"/>
        <item x="125"/>
        <item x="1020"/>
        <item x="365"/>
        <item x="63"/>
        <item x="370"/>
        <item x="907"/>
        <item x="626"/>
        <item x="438"/>
        <item x="371"/>
        <item x="1091"/>
        <item x="162"/>
        <item x="743"/>
        <item x="681"/>
        <item x="647"/>
        <item x="3"/>
        <item x="495"/>
        <item x="880"/>
        <item x="862"/>
        <item x="1014"/>
        <item x="784"/>
        <item x="528"/>
        <item x="302"/>
        <item x="238"/>
        <item x="243"/>
        <item x="851"/>
        <item x="262"/>
        <item x="991"/>
        <item x="709"/>
        <item x="979"/>
        <item x="646"/>
        <item x="727"/>
        <item x="380"/>
        <item x="374"/>
        <item x="148"/>
        <item x="56"/>
        <item x="102"/>
        <item x="608"/>
        <item x="853"/>
        <item x="47"/>
        <item x="105"/>
        <item x="169"/>
        <item x="546"/>
        <item x="1044"/>
        <item x="588"/>
        <item x="23"/>
        <item x="1033"/>
        <item x="863"/>
        <item x="777"/>
        <item x="368"/>
        <item x="1025"/>
        <item x="648"/>
        <item x="661"/>
        <item x="804"/>
        <item x="830"/>
        <item x="866"/>
        <item x="724"/>
        <item x="674"/>
        <item x="324"/>
        <item x="781"/>
        <item x="560"/>
        <item x="507"/>
        <item x="474"/>
        <item x="43"/>
        <item x="1016"/>
        <item x="613"/>
        <item x="1107"/>
        <item x="437"/>
        <item x="927"/>
        <item x="915"/>
        <item x="320"/>
        <item x="121"/>
        <item x="1043"/>
        <item x="510"/>
        <item x="472"/>
        <item x="272"/>
        <item x="1075"/>
        <item x="1042"/>
        <item x="636"/>
        <item x="353"/>
        <item x="100"/>
        <item x="265"/>
        <item x="354"/>
        <item x="1126"/>
        <item x="446"/>
        <item x="676"/>
        <item x="797"/>
        <item x="988"/>
        <item x="451"/>
        <item x="792"/>
        <item x="729"/>
        <item x="1088"/>
        <item x="1021"/>
        <item x="1134"/>
        <item x="982"/>
        <item x="1141"/>
        <item x="501"/>
        <item x="672"/>
        <item x="260"/>
        <item x="108"/>
        <item x="360"/>
        <item x="427"/>
        <item x="573"/>
        <item x="566"/>
        <item x="430"/>
        <item x="222"/>
        <item x="559"/>
        <item x="179"/>
        <item x="965"/>
        <item x="831"/>
        <item x="527"/>
        <item x="879"/>
        <item x="470"/>
        <item x="1031"/>
        <item x="257"/>
        <item x="269"/>
        <item x="154"/>
        <item x="72"/>
        <item x="32"/>
        <item x="48"/>
        <item x="620"/>
        <item x="173"/>
        <item x="1100"/>
        <item x="402"/>
        <item x="126"/>
        <item x="432"/>
        <item x="783"/>
        <item x="904"/>
        <item x="571"/>
        <item x="1035"/>
        <item x="188"/>
        <item x="411"/>
        <item x="586"/>
        <item x="678"/>
        <item x="744"/>
        <item x="1090"/>
        <item x="886"/>
        <item x="31"/>
        <item x="850"/>
        <item x="67"/>
        <item x="186"/>
        <item x="686"/>
        <item x="864"/>
        <item x="918"/>
        <item x="1038"/>
        <item x="773"/>
        <item x="857"/>
        <item x="532"/>
        <item x="660"/>
        <item x="150"/>
        <item x="344"/>
        <item x="789"/>
        <item x="280"/>
        <item x="39"/>
        <item x="957"/>
        <item x="903"/>
        <item x="908"/>
        <item x="1055"/>
        <item x="858"/>
        <item x="822"/>
        <item x="610"/>
        <item x="698"/>
        <item x="591"/>
        <item x="199"/>
        <item x="659"/>
        <item x="828"/>
        <item x="623"/>
        <item x="482"/>
        <item x="968"/>
        <item x="0"/>
        <item x="268"/>
        <item x="952"/>
        <item x="739"/>
        <item x="80"/>
        <item x="984"/>
        <item x="464"/>
        <item x="925"/>
        <item x="408"/>
        <item x="966"/>
        <item x="752"/>
        <item x="369"/>
        <item x="721"/>
        <item x="22"/>
        <item x="898"/>
        <item x="832"/>
        <item x="718"/>
        <item x="543"/>
        <item x="565"/>
        <item x="705"/>
        <item x="757"/>
        <item x="378"/>
        <item x="113"/>
        <item x="156"/>
        <item x="452"/>
        <item x="477"/>
        <item x="417"/>
        <item x="874"/>
        <item x="1027"/>
        <item x="740"/>
        <item x="843"/>
        <item x="377"/>
        <item x="765"/>
        <item x="829"/>
        <item x="1011"/>
        <item x="1110"/>
        <item x="348"/>
        <item x="815"/>
        <item x="706"/>
        <item x="11"/>
        <item x="223"/>
        <item x="1072"/>
        <item x="328"/>
        <item x="720"/>
        <item x="151"/>
        <item x="81"/>
        <item x="266"/>
        <item x="1087"/>
        <item x="735"/>
        <item x="916"/>
        <item x="261"/>
        <item x="745"/>
        <item x="439"/>
        <item x="131"/>
        <item x="1143"/>
        <item x="109"/>
        <item x="558"/>
        <item x="20"/>
        <item x="1049"/>
        <item x="118"/>
        <item x="390"/>
        <item x="178"/>
        <item x="967"/>
        <item x="677"/>
        <item x="1078"/>
        <item x="583"/>
        <item x="308"/>
        <item x="1129"/>
        <item x="978"/>
        <item x="808"/>
        <item x="28"/>
        <item x="1058"/>
        <item x="803"/>
        <item x="289"/>
        <item x="453"/>
        <item x="790"/>
        <item x="174"/>
        <item x="692"/>
        <item x="1101"/>
        <item x="592"/>
        <item x="914"/>
        <item x="1022"/>
        <item x="708"/>
        <item x="844"/>
        <item x="696"/>
        <item x="498"/>
        <item x="1046"/>
        <item x="657"/>
        <item x="933"/>
        <item x="867"/>
        <item x="684"/>
        <item x="84"/>
        <item x="1017"/>
        <item x="373"/>
        <item x="214"/>
        <item x="256"/>
        <item x="332"/>
        <item x="786"/>
        <item x="941"/>
        <item x="567"/>
        <item x="680"/>
        <item x="1003"/>
        <item x="764"/>
        <item x="1032"/>
        <item x="1133"/>
        <item x="203"/>
        <item x="758"/>
        <item x="55"/>
        <item x="229"/>
        <item x="935"/>
        <item x="357"/>
        <item x="362"/>
        <item x="1122"/>
        <item x="321"/>
        <item x="563"/>
        <item x="64"/>
        <item x="990"/>
        <item x="596"/>
        <item x="747"/>
        <item x="1059"/>
        <item x="349"/>
        <item x="1063"/>
        <item x="433"/>
        <item x="420"/>
        <item x="233"/>
        <item x="675"/>
        <item x="211"/>
        <item x="1037"/>
        <item x="1076"/>
        <item x="905"/>
        <item x="158"/>
        <item x="1066"/>
        <item x="1041"/>
        <item x="415"/>
        <item x="656"/>
        <item x="1018"/>
        <item x="1065"/>
        <item x="876"/>
        <item x="307"/>
        <item x="888"/>
        <item x="416"/>
        <item x="1052"/>
        <item x="883"/>
        <item x="1117"/>
        <item x="421"/>
        <item x="147"/>
        <item x="769"/>
        <item x="424"/>
        <item x="304"/>
        <item x="669"/>
        <item x="951"/>
        <item x="604"/>
        <item x="1105"/>
        <item x="930"/>
        <item x="948"/>
        <item x="702"/>
        <item x="999"/>
        <item x="1114"/>
        <item x="959"/>
        <item x="161"/>
        <item x="163"/>
        <item x="1068"/>
        <item x="331"/>
        <item x="1047"/>
        <item x="1131"/>
        <item x="1094"/>
        <item x="1138"/>
        <item x="335"/>
        <item x="1113"/>
        <item x="928"/>
        <item x="924"/>
        <item x="923"/>
        <item x="1050"/>
        <item x="940"/>
        <item x="1111"/>
        <item x="1116"/>
        <item x="1121"/>
        <item x="1124"/>
        <item t="default"/>
      </items>
    </pivotField>
    <pivotField showAll="0"/>
    <pivotField showAll="0"/>
    <pivotField numFmtId="2" showAll="0"/>
    <pivotField numFmtId="2" showAll="0"/>
    <pivotField showAll="0"/>
    <pivotField showAll="0"/>
    <pivotField showAll="0"/>
    <pivotField axis="axisRow" showAll="0">
      <items count="3">
        <item x="1"/>
        <item x="0"/>
        <item t="default"/>
      </items>
    </pivotField>
    <pivotField showAll="0">
      <items count="4">
        <item x="2"/>
        <item x="1"/>
        <item x="0"/>
        <item t="default"/>
      </items>
    </pivotField>
    <pivotField dataField="1" numFmtId="2" showAll="0">
      <items count="1170">
        <item x="1164"/>
        <item x="1165"/>
        <item x="1143"/>
        <item x="1144"/>
        <item x="1142"/>
        <item x="1163"/>
        <item x="1162"/>
        <item x="1161"/>
        <item x="1160"/>
        <item x="1"/>
        <item x="2"/>
        <item x="0"/>
        <item x="12"/>
        <item x="4"/>
        <item x="5"/>
        <item x="3"/>
        <item x="13"/>
        <item x="8"/>
        <item x="14"/>
        <item x="9"/>
        <item x="7"/>
        <item x="11"/>
        <item x="15"/>
        <item x="6"/>
        <item x="16"/>
        <item x="10"/>
        <item x="17"/>
        <item x="33"/>
        <item x="38"/>
        <item x="34"/>
        <item x="37"/>
        <item x="165"/>
        <item x="35"/>
        <item x="29"/>
        <item x="36"/>
        <item x="32"/>
        <item x="24"/>
        <item x="25"/>
        <item x="30"/>
        <item x="27"/>
        <item x="23"/>
        <item x="26"/>
        <item x="31"/>
        <item x="40"/>
        <item x="28"/>
        <item x="44"/>
        <item x="18"/>
        <item x="22"/>
        <item x="41"/>
        <item x="42"/>
        <item x="43"/>
        <item x="45"/>
        <item x="39"/>
        <item x="21"/>
        <item x="87"/>
        <item x="86"/>
        <item x="89"/>
        <item x="85"/>
        <item x="90"/>
        <item x="164"/>
        <item x="88"/>
        <item x="19"/>
        <item x="163"/>
        <item x="20"/>
        <item x="49"/>
        <item x="91"/>
        <item x="167"/>
        <item x="73"/>
        <item x="83"/>
        <item x="50"/>
        <item x="66"/>
        <item x="92"/>
        <item x="46"/>
        <item x="48"/>
        <item x="65"/>
        <item x="84"/>
        <item x="166"/>
        <item x="82"/>
        <item x="168"/>
        <item x="47"/>
        <item x="72"/>
        <item x="57"/>
        <item x="75"/>
        <item x="58"/>
        <item x="71"/>
        <item x="74"/>
        <item x="52"/>
        <item x="51"/>
        <item x="76"/>
        <item x="70"/>
        <item x="68"/>
        <item x="60"/>
        <item x="56"/>
        <item x="59"/>
        <item x="160"/>
        <item x="69"/>
        <item x="78"/>
        <item x="81"/>
        <item x="77"/>
        <item x="61"/>
        <item x="64"/>
        <item x="62"/>
        <item x="53"/>
        <item x="67"/>
        <item x="176"/>
        <item x="162"/>
        <item x="63"/>
        <item x="158"/>
        <item x="54"/>
        <item x="161"/>
        <item x="80"/>
        <item x="169"/>
        <item x="177"/>
        <item x="93"/>
        <item x="55"/>
        <item x="79"/>
        <item x="154"/>
        <item x="156"/>
        <item x="191"/>
        <item x="94"/>
        <item x="171"/>
        <item x="95"/>
        <item x="172"/>
        <item x="96"/>
        <item x="153"/>
        <item x="190"/>
        <item x="192"/>
        <item x="157"/>
        <item x="193"/>
        <item x="159"/>
        <item x="175"/>
        <item x="120"/>
        <item x="155"/>
        <item x="170"/>
        <item x="97"/>
        <item x="119"/>
        <item x="173"/>
        <item x="178"/>
        <item x="110"/>
        <item x="103"/>
        <item x="189"/>
        <item x="99"/>
        <item x="116"/>
        <item x="115"/>
        <item x="174"/>
        <item x="181"/>
        <item x="182"/>
        <item x="132"/>
        <item x="188"/>
        <item x="114"/>
        <item x="98"/>
        <item x="101"/>
        <item x="150"/>
        <item x="152"/>
        <item x="135"/>
        <item x="111"/>
        <item x="104"/>
        <item x="133"/>
        <item x="102"/>
        <item x="107"/>
        <item x="134"/>
        <item x="106"/>
        <item x="122"/>
        <item x="117"/>
        <item x="149"/>
        <item x="112"/>
        <item x="184"/>
        <item x="127"/>
        <item x="180"/>
        <item x="118"/>
        <item x="100"/>
        <item x="128"/>
        <item x="129"/>
        <item x="194"/>
        <item x="196"/>
        <item x="183"/>
        <item x="105"/>
        <item x="187"/>
        <item x="109"/>
        <item x="151"/>
        <item x="136"/>
        <item x="195"/>
        <item x="113"/>
        <item x="121"/>
        <item x="130"/>
        <item x="131"/>
        <item x="186"/>
        <item x="185"/>
        <item x="126"/>
        <item x="108"/>
        <item x="125"/>
        <item x="124"/>
        <item x="179"/>
        <item x="123"/>
        <item x="147"/>
        <item x="197"/>
        <item x="146"/>
        <item x="145"/>
        <item x="148"/>
        <item x="144"/>
        <item x="142"/>
        <item x="138"/>
        <item x="143"/>
        <item x="137"/>
        <item x="140"/>
        <item x="141"/>
        <item x="139"/>
        <item x="198"/>
        <item x="201"/>
        <item x="199"/>
        <item x="202"/>
        <item x="205"/>
        <item x="200"/>
        <item x="203"/>
        <item x="206"/>
        <item x="204"/>
        <item x="207"/>
        <item x="210"/>
        <item x="208"/>
        <item x="209"/>
        <item x="225"/>
        <item x="218"/>
        <item x="217"/>
        <item x="231"/>
        <item x="219"/>
        <item x="216"/>
        <item x="221"/>
        <item x="222"/>
        <item x="211"/>
        <item x="220"/>
        <item x="213"/>
        <item x="224"/>
        <item x="226"/>
        <item x="228"/>
        <item x="214"/>
        <item x="229"/>
        <item x="223"/>
        <item x="235"/>
        <item x="227"/>
        <item x="230"/>
        <item x="215"/>
        <item x="212"/>
        <item x="236"/>
        <item x="232"/>
        <item x="238"/>
        <item x="237"/>
        <item x="234"/>
        <item x="240"/>
        <item x="233"/>
        <item x="239"/>
        <item x="241"/>
        <item x="1140"/>
        <item x="242"/>
        <item x="243"/>
        <item x="245"/>
        <item x="244"/>
        <item x="246"/>
        <item x="271"/>
        <item x="268"/>
        <item x="247"/>
        <item x="1141"/>
        <item x="274"/>
        <item x="270"/>
        <item x="272"/>
        <item x="248"/>
        <item x="265"/>
        <item x="273"/>
        <item x="249"/>
        <item x="250"/>
        <item x="264"/>
        <item x="267"/>
        <item x="269"/>
        <item x="263"/>
        <item x="275"/>
        <item x="266"/>
        <item x="276"/>
        <item x="251"/>
        <item x="259"/>
        <item x="262"/>
        <item x="252"/>
        <item x="277"/>
        <item x="254"/>
        <item x="255"/>
        <item x="253"/>
        <item x="260"/>
        <item x="258"/>
        <item x="261"/>
        <item x="256"/>
        <item x="278"/>
        <item x="282"/>
        <item x="283"/>
        <item x="281"/>
        <item x="279"/>
        <item x="280"/>
        <item x="257"/>
        <item x="285"/>
        <item x="284"/>
        <item x="286"/>
        <item x="293"/>
        <item x="386"/>
        <item x="291"/>
        <item x="292"/>
        <item x="287"/>
        <item x="392"/>
        <item x="289"/>
        <item x="380"/>
        <item x="294"/>
        <item x="385"/>
        <item x="387"/>
        <item x="382"/>
        <item x="384"/>
        <item x="288"/>
        <item x="383"/>
        <item x="381"/>
        <item x="388"/>
        <item x="389"/>
        <item x="290"/>
        <item x="379"/>
        <item x="391"/>
        <item x="390"/>
        <item x="295"/>
        <item x="310"/>
        <item x="376"/>
        <item x="441"/>
        <item x="311"/>
        <item x="435"/>
        <item x="378"/>
        <item x="377"/>
        <item x="296"/>
        <item x="393"/>
        <item x="436"/>
        <item x="375"/>
        <item x="423"/>
        <item x="426"/>
        <item x="340"/>
        <item x="427"/>
        <item x="351"/>
        <item x="373"/>
        <item x="312"/>
        <item x="339"/>
        <item x="309"/>
        <item x="337"/>
        <item x="372"/>
        <item x="352"/>
        <item x="338"/>
        <item x="424"/>
        <item x="359"/>
        <item x="440"/>
        <item x="371"/>
        <item x="341"/>
        <item x="364"/>
        <item x="365"/>
        <item x="342"/>
        <item x="437"/>
        <item x="439"/>
        <item x="356"/>
        <item x="374"/>
        <item x="297"/>
        <item x="298"/>
        <item x="301"/>
        <item x="300"/>
        <item x="455"/>
        <item x="313"/>
        <item x="360"/>
        <item x="456"/>
        <item x="432"/>
        <item x="429"/>
        <item x="302"/>
        <item x="299"/>
        <item x="434"/>
        <item x="442"/>
        <item x="438"/>
        <item x="357"/>
        <item x="355"/>
        <item x="444"/>
        <item x="370"/>
        <item x="350"/>
        <item x="422"/>
        <item x="430"/>
        <item x="431"/>
        <item x="428"/>
        <item x="362"/>
        <item x="443"/>
        <item x="367"/>
        <item x="308"/>
        <item x="346"/>
        <item x="353"/>
        <item x="358"/>
        <item x="433"/>
        <item x="369"/>
        <item x="397"/>
        <item x="368"/>
        <item x="425"/>
        <item x="395"/>
        <item x="354"/>
        <item x="396"/>
        <item x="307"/>
        <item x="445"/>
        <item x="394"/>
        <item x="306"/>
        <item x="366"/>
        <item x="344"/>
        <item x="343"/>
        <item x="363"/>
        <item x="459"/>
        <item x="446"/>
        <item x="460"/>
        <item x="316"/>
        <item x="454"/>
        <item x="361"/>
        <item x="458"/>
        <item x="349"/>
        <item x="457"/>
        <item x="347"/>
        <item x="345"/>
        <item x="448"/>
        <item x="315"/>
        <item x="449"/>
        <item x="314"/>
        <item x="348"/>
        <item x="398"/>
        <item x="335"/>
        <item x="317"/>
        <item x="419"/>
        <item x="336"/>
        <item x="334"/>
        <item x="399"/>
        <item x="450"/>
        <item x="447"/>
        <item x="304"/>
        <item x="453"/>
        <item x="421"/>
        <item x="400"/>
        <item x="1159"/>
        <item x="461"/>
        <item x="451"/>
        <item x="420"/>
        <item x="303"/>
        <item x="462"/>
        <item x="323"/>
        <item x="318"/>
        <item x="319"/>
        <item x="305"/>
        <item x="418"/>
        <item x="452"/>
        <item x="401"/>
        <item x="333"/>
        <item x="326"/>
        <item x="327"/>
        <item x="402"/>
        <item x="404"/>
        <item x="324"/>
        <item x="325"/>
        <item x="320"/>
        <item x="405"/>
        <item x="463"/>
        <item x="322"/>
        <item x="403"/>
        <item x="413"/>
        <item x="330"/>
        <item x="464"/>
        <item x="328"/>
        <item x="321"/>
        <item x="406"/>
        <item x="417"/>
        <item x="412"/>
        <item x="414"/>
        <item x="467"/>
        <item x="411"/>
        <item x="410"/>
        <item x="329"/>
        <item x="331"/>
        <item x="332"/>
        <item x="469"/>
        <item x="468"/>
        <item x="408"/>
        <item x="407"/>
        <item x="466"/>
        <item x="465"/>
        <item x="409"/>
        <item x="475"/>
        <item x="416"/>
        <item x="415"/>
        <item x="474"/>
        <item x="473"/>
        <item x="471"/>
        <item x="470"/>
        <item x="477"/>
        <item x="472"/>
        <item x="480"/>
        <item x="478"/>
        <item x="476"/>
        <item x="481"/>
        <item x="482"/>
        <item x="485"/>
        <item x="479"/>
        <item x="486"/>
        <item x="483"/>
        <item x="484"/>
        <item x="487"/>
        <item x="506"/>
        <item x="488"/>
        <item x="502"/>
        <item x="505"/>
        <item x="491"/>
        <item x="507"/>
        <item x="490"/>
        <item x="489"/>
        <item x="503"/>
        <item x="504"/>
        <item x="509"/>
        <item x="508"/>
        <item x="492"/>
        <item x="496"/>
        <item x="511"/>
        <item x="495"/>
        <item x="493"/>
        <item x="501"/>
        <item x="499"/>
        <item x="494"/>
        <item x="500"/>
        <item x="510"/>
        <item x="515"/>
        <item x="498"/>
        <item x="497"/>
        <item x="514"/>
        <item x="512"/>
        <item x="513"/>
        <item x="516"/>
        <item x="519"/>
        <item x="517"/>
        <item x="518"/>
        <item x="520"/>
        <item x="521"/>
        <item x="522"/>
        <item x="523"/>
        <item x="524"/>
        <item x="538"/>
        <item x="537"/>
        <item x="525"/>
        <item x="536"/>
        <item x="526"/>
        <item x="532"/>
        <item x="533"/>
        <item x="531"/>
        <item x="539"/>
        <item x="527"/>
        <item x="534"/>
        <item x="535"/>
        <item x="528"/>
        <item x="529"/>
        <item x="530"/>
        <item x="540"/>
        <item x="542"/>
        <item x="541"/>
        <item x="550"/>
        <item x="543"/>
        <item x="544"/>
        <item x="549"/>
        <item x="548"/>
        <item x="547"/>
        <item x="545"/>
        <item x="551"/>
        <item x="552"/>
        <item x="546"/>
        <item x="578"/>
        <item x="572"/>
        <item x="553"/>
        <item x="1153"/>
        <item x="576"/>
        <item x="602"/>
        <item x="579"/>
        <item x="573"/>
        <item x="577"/>
        <item x="580"/>
        <item x="574"/>
        <item x="554"/>
        <item x="575"/>
        <item x="581"/>
        <item x="582"/>
        <item x="571"/>
        <item x="598"/>
        <item x="600"/>
        <item x="1152"/>
        <item x="599"/>
        <item x="1167"/>
        <item x="583"/>
        <item x="691"/>
        <item x="693"/>
        <item x="570"/>
        <item x="601"/>
        <item x="694"/>
        <item x="603"/>
        <item x="556"/>
        <item x="597"/>
        <item x="555"/>
        <item x="584"/>
        <item x="696"/>
        <item x="569"/>
        <item x="585"/>
        <item x="697"/>
        <item x="568"/>
        <item x="692"/>
        <item x="595"/>
        <item x="619"/>
        <item x="689"/>
        <item x="695"/>
        <item x="605"/>
        <item x="594"/>
        <item x="606"/>
        <item x="592"/>
        <item x="688"/>
        <item x="557"/>
        <item x="604"/>
        <item x="596"/>
        <item x="690"/>
        <item x="618"/>
        <item x="587"/>
        <item x="589"/>
        <item x="593"/>
        <item x="687"/>
        <item x="617"/>
        <item x="616"/>
        <item x="586"/>
        <item x="620"/>
        <item x="590"/>
        <item x="591"/>
        <item x="611"/>
        <item x="610"/>
        <item x="621"/>
        <item x="566"/>
        <item x="614"/>
        <item x="567"/>
        <item x="565"/>
        <item x="685"/>
        <item x="558"/>
        <item x="615"/>
        <item x="612"/>
        <item x="588"/>
        <item x="613"/>
        <item x="607"/>
        <item x="718"/>
        <item x="564"/>
        <item x="684"/>
        <item x="717"/>
        <item x="686"/>
        <item x="701"/>
        <item x="563"/>
        <item x="559"/>
        <item x="719"/>
        <item x="623"/>
        <item x="624"/>
        <item x="698"/>
        <item x="622"/>
        <item x="561"/>
        <item x="608"/>
        <item x="560"/>
        <item x="715"/>
        <item x="702"/>
        <item x="699"/>
        <item x="609"/>
        <item x="562"/>
        <item x="630"/>
        <item x="711"/>
        <item x="626"/>
        <item x="683"/>
        <item x="700"/>
        <item x="716"/>
        <item x="627"/>
        <item x="703"/>
        <item x="712"/>
        <item x="625"/>
        <item x="668"/>
        <item x="682"/>
        <item x="629"/>
        <item x="669"/>
        <item x="628"/>
        <item x="714"/>
        <item x="676"/>
        <item x="705"/>
        <item x="667"/>
        <item x="631"/>
        <item x="707"/>
        <item x="708"/>
        <item x="720"/>
        <item x="633"/>
        <item x="635"/>
        <item x="666"/>
        <item x="713"/>
        <item x="670"/>
        <item x="671"/>
        <item x="634"/>
        <item x="643"/>
        <item x="632"/>
        <item x="709"/>
        <item x="706"/>
        <item x="672"/>
        <item x="636"/>
        <item x="677"/>
        <item x="704"/>
        <item x="681"/>
        <item x="710"/>
        <item x="642"/>
        <item x="640"/>
        <item x="679"/>
        <item x="641"/>
        <item x="665"/>
        <item x="638"/>
        <item x="639"/>
        <item x="674"/>
        <item x="680"/>
        <item x="644"/>
        <item x="664"/>
        <item x="637"/>
        <item x="675"/>
        <item x="721"/>
        <item x="678"/>
        <item x="673"/>
        <item x="730"/>
        <item x="1150"/>
        <item x="646"/>
        <item x="722"/>
        <item x="723"/>
        <item x="645"/>
        <item x="725"/>
        <item x="648"/>
        <item x="647"/>
        <item x="724"/>
        <item x="727"/>
        <item x="729"/>
        <item x="663"/>
        <item x="756"/>
        <item x="649"/>
        <item x="650"/>
        <item x="757"/>
        <item x="1148"/>
        <item x="726"/>
        <item x="728"/>
        <item x="656"/>
        <item x="655"/>
        <item x="658"/>
        <item x="659"/>
        <item x="654"/>
        <item x="657"/>
        <item x="754"/>
        <item x="662"/>
        <item x="653"/>
        <item x="661"/>
        <item x="660"/>
        <item x="755"/>
        <item x="651"/>
        <item x="652"/>
        <item x="807"/>
        <item x="806"/>
        <item x="733"/>
        <item x="805"/>
        <item x="749"/>
        <item x="753"/>
        <item x="831"/>
        <item x="736"/>
        <item x="738"/>
        <item x="758"/>
        <item x="734"/>
        <item x="732"/>
        <item x="739"/>
        <item x="808"/>
        <item x="830"/>
        <item x="829"/>
        <item x="731"/>
        <item x="804"/>
        <item x="735"/>
        <item x="779"/>
        <item x="825"/>
        <item x="803"/>
        <item x="737"/>
        <item x="761"/>
        <item x="752"/>
        <item x="740"/>
        <item x="767"/>
        <item x="824"/>
        <item x="781"/>
        <item x="741"/>
        <item x="748"/>
        <item x="780"/>
        <item x="750"/>
        <item x="823"/>
        <item x="751"/>
        <item x="759"/>
        <item x="768"/>
        <item x="822"/>
        <item x="810"/>
        <item x="769"/>
        <item x="782"/>
        <item x="812"/>
        <item x="744"/>
        <item x="826"/>
        <item x="798"/>
        <item x="785"/>
        <item x="760"/>
        <item x="784"/>
        <item x="746"/>
        <item x="828"/>
        <item x="745"/>
        <item x="776"/>
        <item x="799"/>
        <item x="811"/>
        <item x="747"/>
        <item x="742"/>
        <item x="775"/>
        <item x="809"/>
        <item x="797"/>
        <item x="827"/>
        <item x="813"/>
        <item x="802"/>
        <item x="788"/>
        <item x="832"/>
        <item x="766"/>
        <item x="783"/>
        <item x="786"/>
        <item x="800"/>
        <item x="743"/>
        <item x="820"/>
        <item x="787"/>
        <item x="821"/>
        <item x="777"/>
        <item x="814"/>
        <item x="778"/>
        <item x="834"/>
        <item x="770"/>
        <item x="819"/>
        <item x="833"/>
        <item x="774"/>
        <item x="818"/>
        <item x="801"/>
        <item x="789"/>
        <item x="773"/>
        <item x="948"/>
        <item x="1151"/>
        <item x="764"/>
        <item x="765"/>
        <item x="762"/>
        <item x="795"/>
        <item x="792"/>
        <item x="763"/>
        <item x="817"/>
        <item x="796"/>
        <item x="835"/>
        <item x="794"/>
        <item x="790"/>
        <item x="1139"/>
        <item x="791"/>
        <item x="771"/>
        <item x="793"/>
        <item x="1073"/>
        <item x="815"/>
        <item x="772"/>
        <item x="816"/>
        <item x="837"/>
        <item x="946"/>
        <item x="836"/>
        <item x="838"/>
        <item x="947"/>
        <item x="959"/>
        <item x="951"/>
        <item x="1075"/>
        <item x="847"/>
        <item x="848"/>
        <item x="949"/>
        <item x="960"/>
        <item x="953"/>
        <item x="846"/>
        <item x="958"/>
        <item x="950"/>
        <item x="839"/>
        <item x="840"/>
        <item x="845"/>
        <item x="860"/>
        <item x="844"/>
        <item x="954"/>
        <item x="859"/>
        <item x="852"/>
        <item x="850"/>
        <item x="843"/>
        <item x="849"/>
        <item x="851"/>
        <item x="952"/>
        <item x="945"/>
        <item x="861"/>
        <item x="855"/>
        <item x="853"/>
        <item x="943"/>
        <item x="900"/>
        <item x="854"/>
        <item x="858"/>
        <item x="842"/>
        <item x="944"/>
        <item x="903"/>
        <item x="841"/>
        <item x="906"/>
        <item x="905"/>
        <item x="936"/>
        <item x="857"/>
        <item x="955"/>
        <item x="942"/>
        <item x="934"/>
        <item x="902"/>
        <item x="862"/>
        <item x="901"/>
        <item x="856"/>
        <item x="907"/>
        <item x="863"/>
        <item x="897"/>
        <item x="961"/>
        <item x="935"/>
        <item x="908"/>
        <item x="909"/>
        <item x="896"/>
        <item x="962"/>
        <item x="893"/>
        <item x="898"/>
        <item x="864"/>
        <item x="926"/>
        <item x="899"/>
        <item x="925"/>
        <item x="933"/>
        <item x="895"/>
        <item x="1074"/>
        <item x="894"/>
        <item x="937"/>
        <item x="956"/>
        <item x="904"/>
        <item x="927"/>
        <item x="932"/>
        <item x="957"/>
        <item x="910"/>
        <item x="886"/>
        <item x="922"/>
        <item x="911"/>
        <item x="887"/>
        <item x="885"/>
        <item x="977"/>
        <item x="924"/>
        <item x="883"/>
        <item x="880"/>
        <item x="884"/>
        <item x="970"/>
        <item x="888"/>
        <item x="923"/>
        <item x="889"/>
        <item x="928"/>
        <item x="867"/>
        <item x="971"/>
        <item x="891"/>
        <item x="869"/>
        <item x="972"/>
        <item x="929"/>
        <item x="874"/>
        <item x="930"/>
        <item x="986"/>
        <item x="892"/>
        <item x="866"/>
        <item x="879"/>
        <item x="868"/>
        <item x="915"/>
        <item x="878"/>
        <item x="870"/>
        <item x="931"/>
        <item x="969"/>
        <item x="876"/>
        <item x="979"/>
        <item x="882"/>
        <item x="871"/>
        <item x="873"/>
        <item x="875"/>
        <item x="865"/>
        <item x="877"/>
        <item x="1072"/>
        <item x="890"/>
        <item x="978"/>
        <item x="881"/>
        <item x="912"/>
        <item x="916"/>
        <item x="985"/>
        <item x="921"/>
        <item x="914"/>
        <item x="980"/>
        <item x="963"/>
        <item x="872"/>
        <item x="941"/>
        <item x="918"/>
        <item x="917"/>
        <item x="913"/>
        <item x="964"/>
        <item x="975"/>
        <item x="920"/>
        <item x="973"/>
        <item x="987"/>
        <item x="966"/>
        <item x="967"/>
        <item x="1137"/>
        <item x="919"/>
        <item x="1155"/>
        <item x="974"/>
        <item x="984"/>
        <item x="938"/>
        <item x="976"/>
        <item x="988"/>
        <item x="968"/>
        <item x="981"/>
        <item x="1071"/>
        <item x="983"/>
        <item x="1070"/>
        <item x="939"/>
        <item x="982"/>
        <item x="990"/>
        <item x="989"/>
        <item x="965"/>
        <item x="940"/>
        <item x="991"/>
        <item x="1147"/>
        <item x="993"/>
        <item x="992"/>
        <item x="998"/>
        <item x="994"/>
        <item x="1076"/>
        <item x="997"/>
        <item x="1158"/>
        <item x="999"/>
        <item x="996"/>
        <item x="1067"/>
        <item x="1078"/>
        <item x="1066"/>
        <item x="1001"/>
        <item x="1069"/>
        <item x="1005"/>
        <item x="1012"/>
        <item x="995"/>
        <item x="1011"/>
        <item x="1000"/>
        <item x="1065"/>
        <item x="1077"/>
        <item x="1003"/>
        <item x="1004"/>
        <item x="1006"/>
        <item x="1064"/>
        <item x="1007"/>
        <item x="1002"/>
        <item x="1092"/>
        <item x="1010"/>
        <item x="1068"/>
        <item x="1157"/>
        <item x="1009"/>
        <item x="1013"/>
        <item x="1008"/>
        <item x="1079"/>
        <item x="1061"/>
        <item x="1062"/>
        <item x="1014"/>
        <item x="1024"/>
        <item x="1060"/>
        <item x="1063"/>
        <item x="1093"/>
        <item x="1138"/>
        <item x="1045"/>
        <item x="1056"/>
        <item x="1015"/>
        <item x="1055"/>
        <item x="1021"/>
        <item x="1020"/>
        <item x="1016"/>
        <item x="1058"/>
        <item x="1022"/>
        <item x="1050"/>
        <item x="1090"/>
        <item x="1017"/>
        <item x="1048"/>
        <item x="1023"/>
        <item x="1046"/>
        <item x="1047"/>
        <item x="1057"/>
        <item x="1044"/>
        <item x="1025"/>
        <item x="1051"/>
        <item x="1041"/>
        <item x="1083"/>
        <item x="1049"/>
        <item x="1059"/>
        <item x="1119"/>
        <item x="1043"/>
        <item x="1054"/>
        <item x="1042"/>
        <item x="1052"/>
        <item x="1091"/>
        <item x="1019"/>
        <item x="1053"/>
        <item x="1018"/>
        <item x="1026"/>
        <item x="1154"/>
        <item x="1081"/>
        <item x="1027"/>
        <item x="1120"/>
        <item x="1121"/>
        <item x="1040"/>
        <item x="1028"/>
        <item x="1089"/>
        <item x="1029"/>
        <item x="1082"/>
        <item x="1080"/>
        <item x="1085"/>
        <item x="1084"/>
        <item x="1030"/>
        <item x="1039"/>
        <item x="1087"/>
        <item x="1031"/>
        <item x="1038"/>
        <item x="1037"/>
        <item x="1103"/>
        <item x="1033"/>
        <item x="1104"/>
        <item x="1036"/>
        <item x="1035"/>
        <item x="1034"/>
        <item x="1145"/>
        <item x="1032"/>
        <item x="1094"/>
        <item x="1088"/>
        <item x="1096"/>
        <item x="1105"/>
        <item x="1100"/>
        <item x="1102"/>
        <item x="1086"/>
        <item x="1106"/>
        <item x="1101"/>
        <item x="1113"/>
        <item x="1095"/>
        <item x="1166"/>
        <item x="1107"/>
        <item x="1112"/>
        <item x="1118"/>
        <item x="1131"/>
        <item x="1097"/>
        <item x="1136"/>
        <item x="1117"/>
        <item x="1133"/>
        <item x="1108"/>
        <item x="1116"/>
        <item x="1099"/>
        <item x="1115"/>
        <item x="1098"/>
        <item x="1132"/>
        <item x="1134"/>
        <item x="1110"/>
        <item x="1111"/>
        <item x="1109"/>
        <item x="1114"/>
        <item x="1135"/>
        <item x="1122"/>
        <item x="1127"/>
        <item x="1128"/>
        <item x="1129"/>
        <item x="1123"/>
        <item x="1130"/>
        <item x="1126"/>
        <item x="1124"/>
        <item x="1125"/>
        <item x="1149"/>
        <item x="1146"/>
        <item x="1156"/>
        <item x="1168"/>
        <item t="default"/>
      </items>
    </pivotField>
    <pivotField numFmtId="1" showAll="0"/>
    <pivotField showAll="0"/>
    <pivotField showAll="0"/>
    <pivotField showAll="0"/>
    <pivotField showAll="0"/>
    <pivotField showAll="0"/>
    <pivotField showAll="0"/>
    <pivotField showAll="0"/>
    <pivotField showAll="0"/>
    <pivotField showAll="0"/>
    <pivotField numFmtId="2" showAll="0"/>
    <pivotField showAll="0"/>
    <pivotField showAll="0" defaultSubtotal="0"/>
    <pivotField showAll="0" defaultSubtotal="0"/>
    <pivotField showAll="0" defaultSubtotal="0">
      <items count="8">
        <item x="0"/>
        <item x="1"/>
        <item x="2"/>
        <item x="3"/>
        <item x="4"/>
        <item x="5"/>
        <item x="6"/>
        <item x="7"/>
      </items>
    </pivotField>
  </pivotFields>
  <rowFields count="1">
    <field x="17"/>
  </rowFields>
  <rowItems count="3">
    <i>
      <x/>
    </i>
    <i>
      <x v="1"/>
    </i>
    <i t="grand">
      <x/>
    </i>
  </rowItems>
  <colFields count="1">
    <field x="-2"/>
  </colFields>
  <colItems count="2">
    <i>
      <x/>
    </i>
    <i i="1">
      <x v="1"/>
    </i>
  </colItems>
  <dataFields count="2">
    <dataField name="Sum of Daily_return" fld="9" baseField="0" baseItem="0" numFmtId="2"/>
    <dataField name="Sum of Average Return" fld="19" baseField="0" baseItem="0" numFmtId="2"/>
  </dataFields>
  <formats count="12">
    <format dxfId="65">
      <pivotArea type="all" dataOnly="0" outline="0" fieldPosition="0"/>
    </format>
    <format dxfId="64">
      <pivotArea outline="0" collapsedLevelsAreSubtotals="1" fieldPosition="0"/>
    </format>
    <format dxfId="63">
      <pivotArea field="17" type="button" dataOnly="0" labelOnly="1" outline="0" axis="axisRow" fieldPosition="0"/>
    </format>
    <format dxfId="62">
      <pivotArea dataOnly="0" labelOnly="1" fieldPosition="0">
        <references count="1">
          <reference field="17" count="0"/>
        </references>
      </pivotArea>
    </format>
    <format dxfId="61">
      <pivotArea dataOnly="0" labelOnly="1" grandRow="1" outline="0" fieldPosition="0"/>
    </format>
    <format dxfId="60">
      <pivotArea dataOnly="0" labelOnly="1" outline="0" fieldPosition="0">
        <references count="1">
          <reference field="4294967294" count="2">
            <x v="0"/>
            <x v="1"/>
          </reference>
        </references>
      </pivotArea>
    </format>
    <format dxfId="59">
      <pivotArea type="all" dataOnly="0" outline="0" fieldPosition="0"/>
    </format>
    <format dxfId="58">
      <pivotArea outline="0" collapsedLevelsAreSubtotals="1" fieldPosition="0"/>
    </format>
    <format dxfId="57">
      <pivotArea field="17" type="button" dataOnly="0" labelOnly="1" outline="0" axis="axisRow" fieldPosition="0"/>
    </format>
    <format dxfId="56">
      <pivotArea dataOnly="0" labelOnly="1" fieldPosition="0">
        <references count="1">
          <reference field="17" count="0"/>
        </references>
      </pivotArea>
    </format>
    <format dxfId="55">
      <pivotArea dataOnly="0" labelOnly="1" grandRow="1" outline="0" fieldPosition="0"/>
    </format>
    <format dxfId="54">
      <pivotArea dataOnly="0" labelOnly="1" outline="0" fieldPosition="0">
        <references count="1">
          <reference field="4294967294" count="2">
            <x v="0"/>
            <x v="1"/>
          </reference>
        </references>
      </pivotArea>
    </format>
  </formats>
  <chartFormats count="4">
    <chartFormat chart="24" format="4" series="1">
      <pivotArea type="data" outline="0" fieldPosition="0">
        <references count="1">
          <reference field="4294967294" count="1" selected="0">
            <x v="0"/>
          </reference>
        </references>
      </pivotArea>
    </chartFormat>
    <chartFormat chart="24" format="5" series="1">
      <pivotArea type="data" outline="0" fieldPosition="0">
        <references count="1">
          <reference field="4294967294" count="1" selected="0">
            <x v="1"/>
          </reference>
        </references>
      </pivotArea>
    </chartFormat>
    <chartFormat chart="27" format="8" series="1">
      <pivotArea type="data" outline="0" fieldPosition="0">
        <references count="1">
          <reference field="4294967294" count="1" selected="0">
            <x v="0"/>
          </reference>
        </references>
      </pivotArea>
    </chartFormat>
    <chartFormat chart="27" format="9" series="1">
      <pivotArea type="data" outline="0" fieldPosition="0">
        <references count="1">
          <reference field="4294967294" count="1" selected="0">
            <x v="1"/>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A4E8695-03CD-4576-9B16-2AF316776EED}"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7">
  <location ref="A5:B8" firstHeaderRow="1" firstDataRow="1" firstDataCol="1"/>
  <pivotFields count="35">
    <pivotField dataField="1" numFmtId="14" showAll="0">
      <items count="117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t="default"/>
      </items>
    </pivotField>
    <pivotField numFmtId="2" showAll="0"/>
    <pivotField showAll="0"/>
    <pivotField showAll="0"/>
    <pivotField showAll="0"/>
    <pivotField numFmtId="1" showAll="0"/>
    <pivotField showAll="0"/>
    <pivotField showAll="0"/>
    <pivotField showAll="0"/>
    <pivotField numFmtId="2" showAll="0">
      <items count="1145">
        <item x="1119"/>
        <item x="1053"/>
        <item x="1123"/>
        <item x="722"/>
        <item x="164"/>
        <item x="1057"/>
        <item x="1140"/>
        <item x="1097"/>
        <item x="1070"/>
        <item x="920"/>
        <item x="931"/>
        <item x="1130"/>
        <item x="943"/>
        <item x="1120"/>
        <item x="821"/>
        <item x="301"/>
        <item x="230"/>
        <item x="17"/>
        <item x="1051"/>
        <item x="947"/>
        <item x="92"/>
        <item x="824"/>
        <item x="392"/>
        <item x="38"/>
        <item x="244"/>
        <item x="834"/>
        <item x="849"/>
        <item x="690"/>
        <item x="753"/>
        <item x="826"/>
        <item x="1128"/>
        <item x="934"/>
        <item x="945"/>
        <item x="391"/>
        <item x="177"/>
        <item x="136"/>
        <item x="887"/>
        <item x="597"/>
        <item x="711"/>
        <item x="749"/>
        <item x="45"/>
        <item x="210"/>
        <item x="440"/>
        <item x="312"/>
        <item x="167"/>
        <item x="992"/>
        <item x="66"/>
        <item x="550"/>
        <item x="426"/>
        <item x="644"/>
        <item x="467"/>
        <item x="120"/>
        <item x="1062"/>
        <item x="1004"/>
        <item x="413"/>
        <item x="977"/>
        <item x="997"/>
        <item x="351"/>
        <item x="817"/>
        <item x="695"/>
        <item x="473"/>
        <item x="295"/>
        <item x="1112"/>
        <item x="201"/>
        <item x="2"/>
        <item x="963"/>
        <item x="1060"/>
        <item x="122"/>
        <item x="192"/>
        <item x="206"/>
        <item x="18"/>
        <item x="616"/>
        <item x="895"/>
        <item x="1056"/>
        <item x="249"/>
        <item x="865"/>
        <item x="937"/>
        <item x="341"/>
        <item x="423"/>
        <item x="462"/>
        <item x="801"/>
        <item x="601"/>
        <item x="845"/>
        <item x="1045"/>
        <item x="209"/>
        <item x="364"/>
        <item x="329"/>
        <item x="359"/>
        <item x="196"/>
        <item x="969"/>
        <item x="293"/>
        <item x="195"/>
        <item x="460"/>
        <item x="670"/>
        <item x="78"/>
        <item x="919"/>
        <item x="619"/>
        <item x="282"/>
        <item x="983"/>
        <item x="624"/>
        <item x="841"/>
        <item x="712"/>
        <item x="273"/>
        <item x="255"/>
        <item x="204"/>
        <item x="484"/>
        <item x="455"/>
        <item x="955"/>
        <item x="326"/>
        <item x="761"/>
        <item x="846"/>
        <item x="547"/>
        <item x="796"/>
        <item x="435"/>
        <item x="107"/>
        <item x="981"/>
        <item x="176"/>
        <item x="974"/>
        <item x="553"/>
        <item x="267"/>
        <item x="508"/>
        <item x="221"/>
        <item x="971"/>
        <item x="284"/>
        <item x="157"/>
        <item x="554"/>
        <item x="938"/>
        <item x="1073"/>
        <item x="582"/>
        <item x="224"/>
        <item x="602"/>
        <item x="234"/>
        <item x="245"/>
        <item x="311"/>
        <item x="50"/>
        <item x="405"/>
        <item x="73"/>
        <item x="704"/>
        <item x="922"/>
        <item x="1142"/>
        <item x="697"/>
        <item x="762"/>
        <item x="717"/>
        <item x="663"/>
        <item x="316"/>
        <item x="372"/>
        <item x="719"/>
        <item x="319"/>
        <item x="168"/>
        <item x="1139"/>
        <item x="960"/>
        <item x="902"/>
        <item x="1089"/>
        <item x="322"/>
        <item x="288"/>
        <item x="264"/>
        <item x="893"/>
        <item x="12"/>
        <item x="318"/>
        <item x="512"/>
        <item x="942"/>
        <item x="873"/>
        <item x="987"/>
        <item x="1005"/>
        <item x="580"/>
        <item x="237"/>
        <item x="476"/>
        <item x="485"/>
        <item x="884"/>
        <item x="1071"/>
        <item x="535"/>
        <item x="741"/>
        <item x="242"/>
        <item x="294"/>
        <item x="159"/>
        <item x="637"/>
        <item x="985"/>
        <item x="339"/>
        <item x="488"/>
        <item x="578"/>
        <item x="1054"/>
        <item x="782"/>
        <item x="277"/>
        <item x="99"/>
        <item x="598"/>
        <item x="445"/>
        <item x="921"/>
        <item x="149"/>
        <item x="5"/>
        <item x="493"/>
        <item x="198"/>
        <item x="480"/>
        <item x="1069"/>
        <item x="396"/>
        <item x="422"/>
        <item x="513"/>
        <item x="1118"/>
        <item x="303"/>
        <item x="666"/>
        <item x="1034"/>
        <item x="181"/>
        <item x="135"/>
        <item x="778"/>
        <item x="733"/>
        <item x="772"/>
        <item x="52"/>
        <item x="750"/>
        <item x="993"/>
        <item x="625"/>
        <item x="327"/>
        <item x="412"/>
        <item x="345"/>
        <item x="431"/>
        <item x="688"/>
        <item x="767"/>
        <item x="225"/>
        <item x="614"/>
        <item x="399"/>
        <item x="685"/>
        <item x="936"/>
        <item x="638"/>
        <item x="310"/>
        <item x="506"/>
        <item x="823"/>
        <item x="146"/>
        <item x="401"/>
        <item x="16"/>
        <item x="1023"/>
        <item x="285"/>
        <item x="549"/>
        <item x="504"/>
        <item x="153"/>
        <item x="44"/>
        <item x="231"/>
        <item x="552"/>
        <item x="671"/>
        <item x="980"/>
        <item x="1067"/>
        <item x="315"/>
        <item x="1010"/>
        <item x="87"/>
        <item x="1064"/>
        <item x="1098"/>
        <item x="523"/>
        <item x="775"/>
        <item x="270"/>
        <item x="693"/>
        <item x="49"/>
        <item x="958"/>
        <item x="630"/>
        <item x="541"/>
        <item x="104"/>
        <item x="679"/>
        <item x="1036"/>
        <item x="212"/>
        <item x="358"/>
        <item x="183"/>
        <item x="536"/>
        <item x="694"/>
        <item x="90"/>
        <item x="276"/>
        <item x="258"/>
        <item x="994"/>
        <item x="91"/>
        <item x="97"/>
        <item x="404"/>
        <item x="40"/>
        <item x="138"/>
        <item x="29"/>
        <item x="175"/>
        <item x="859"/>
        <item x="710"/>
        <item x="812"/>
        <item x="116"/>
        <item x="734"/>
        <item x="516"/>
        <item x="241"/>
        <item x="950"/>
        <item x="932"/>
        <item x="171"/>
        <item x="856"/>
        <item x="379"/>
        <item x="700"/>
        <item x="548"/>
        <item x="271"/>
        <item x="25"/>
        <item x="899"/>
        <item x="96"/>
        <item x="418"/>
        <item x="274"/>
        <item x="205"/>
        <item x="281"/>
        <item x="436"/>
        <item x="166"/>
        <item x="779"/>
        <item x="1026"/>
        <item x="355"/>
        <item x="519"/>
        <item x="909"/>
        <item x="53"/>
        <item x="386"/>
        <item x="976"/>
        <item x="854"/>
        <item x="964"/>
        <item x="27"/>
        <item x="465"/>
        <item x="606"/>
        <item x="246"/>
        <item x="557"/>
        <item x="292"/>
        <item x="110"/>
        <item x="54"/>
        <item x="46"/>
        <item x="1008"/>
        <item x="1029"/>
        <item x="275"/>
        <item x="443"/>
        <item x="970"/>
        <item x="542"/>
        <item x="877"/>
        <item x="595"/>
        <item x="703"/>
        <item x="574"/>
        <item x="838"/>
        <item x="403"/>
        <item x="577"/>
        <item x="356"/>
        <item x="707"/>
        <item x="800"/>
        <item x="728"/>
        <item x="448"/>
        <item x="590"/>
        <item x="103"/>
        <item x="1007"/>
        <item x="650"/>
        <item x="1084"/>
        <item x="1080"/>
        <item x="629"/>
        <item x="350"/>
        <item x="890"/>
        <item x="239"/>
        <item x="450"/>
        <item x="795"/>
        <item x="217"/>
        <item x="731"/>
        <item x="537"/>
        <item x="1028"/>
        <item x="910"/>
        <item x="621"/>
        <item x="763"/>
        <item x="818"/>
        <item x="1074"/>
        <item x="517"/>
        <item x="4"/>
        <item x="240"/>
        <item x="247"/>
        <item x="642"/>
        <item x="428"/>
        <item x="235"/>
        <item x="200"/>
        <item x="653"/>
        <item x="218"/>
        <item x="76"/>
        <item x="820"/>
        <item x="60"/>
        <item x="254"/>
        <item x="112"/>
        <item x="956"/>
        <item x="111"/>
        <item x="343"/>
        <item x="569"/>
        <item x="1099"/>
        <item x="798"/>
        <item x="441"/>
        <item x="917"/>
        <item x="603"/>
        <item x="251"/>
        <item x="361"/>
        <item x="58"/>
        <item x="848"/>
        <item x="469"/>
        <item x="748"/>
        <item x="388"/>
        <item x="478"/>
        <item x="691"/>
        <item x="62"/>
        <item x="852"/>
        <item x="398"/>
        <item x="286"/>
        <item x="751"/>
        <item x="155"/>
        <item x="129"/>
        <item x="30"/>
        <item x="1077"/>
        <item x="913"/>
        <item x="375"/>
        <item x="568"/>
        <item x="847"/>
        <item x="172"/>
        <item x="713"/>
        <item x="461"/>
        <item x="725"/>
        <item x="385"/>
        <item x="640"/>
        <item x="973"/>
        <item x="9"/>
        <item x="481"/>
        <item x="213"/>
        <item x="500"/>
        <item x="530"/>
        <item x="518"/>
        <item x="615"/>
        <item x="683"/>
        <item x="962"/>
        <item x="770"/>
        <item x="891"/>
        <item x="520"/>
        <item x="407"/>
        <item x="190"/>
        <item x="587"/>
        <item x="1039"/>
        <item x="449"/>
        <item x="881"/>
        <item x="400"/>
        <item x="228"/>
        <item x="788"/>
        <item x="309"/>
        <item x="555"/>
        <item x="521"/>
        <item x="68"/>
        <item x="503"/>
        <item x="14"/>
        <item x="1082"/>
        <item x="193"/>
        <item x="896"/>
        <item x="584"/>
        <item x="673"/>
        <item x="715"/>
        <item x="278"/>
        <item x="483"/>
        <item x="197"/>
        <item x="132"/>
        <item x="397"/>
        <item x="93"/>
        <item x="1019"/>
        <item x="499"/>
        <item x="75"/>
        <item x="34"/>
        <item x="813"/>
        <item x="33"/>
        <item x="297"/>
        <item x="489"/>
        <item x="701"/>
        <item x="540"/>
        <item x="906"/>
        <item x="1081"/>
        <item x="759"/>
        <item x="746"/>
        <item x="900"/>
        <item x="1109"/>
        <item x="94"/>
        <item x="726"/>
        <item x="346"/>
        <item x="336"/>
        <item x="524"/>
        <item x="1009"/>
        <item x="202"/>
        <item x="995"/>
        <item x="627"/>
        <item x="475"/>
        <item x="444"/>
        <item x="89"/>
        <item x="929"/>
        <item x="117"/>
        <item x="1"/>
        <item x="760"/>
        <item x="522"/>
        <item x="300"/>
        <item x="1125"/>
        <item x="19"/>
        <item x="575"/>
        <item x="736"/>
        <item x="490"/>
        <item x="486"/>
        <item x="609"/>
        <item x="665"/>
        <item x="1095"/>
        <item x="539"/>
        <item x="101"/>
        <item x="459"/>
        <item x="1115"/>
        <item x="1040"/>
        <item x="61"/>
        <item x="643"/>
        <item x="802"/>
        <item x="35"/>
        <item x="83"/>
        <item x="387"/>
        <item x="57"/>
        <item x="366"/>
        <item x="1106"/>
        <item x="529"/>
        <item x="429"/>
        <item x="871"/>
        <item x="13"/>
        <item x="133"/>
        <item x="576"/>
        <item x="381"/>
        <item x="434"/>
        <item x="509"/>
        <item x="24"/>
        <item x="253"/>
        <item x="986"/>
        <item x="1102"/>
        <item x="839"/>
        <item x="687"/>
        <item x="738"/>
        <item x="141"/>
        <item x="41"/>
        <item x="926"/>
        <item x="340"/>
        <item x="250"/>
        <item x="325"/>
        <item x="572"/>
        <item x="191"/>
        <item x="953"/>
        <item x="664"/>
        <item x="946"/>
        <item x="170"/>
        <item x="130"/>
        <item x="1083"/>
        <item x="139"/>
        <item x="95"/>
        <item x="514"/>
        <item x="363"/>
        <item x="352"/>
        <item x="127"/>
        <item x="607"/>
        <item x="570"/>
        <item x="479"/>
        <item x="334"/>
        <item x="872"/>
        <item x="732"/>
        <item x="944"/>
        <item x="526"/>
        <item x="593"/>
        <item x="668"/>
        <item x="1108"/>
        <item x="290"/>
        <item x="425"/>
        <item x="330"/>
        <item x="259"/>
        <item x="699"/>
        <item x="1001"/>
        <item x="579"/>
        <item x="8"/>
        <item x="454"/>
        <item x="662"/>
        <item x="768"/>
        <item x="911"/>
        <item x="227"/>
        <item x="833"/>
        <item x="996"/>
        <item x="317"/>
        <item x="496"/>
        <item x="1006"/>
        <item x="180"/>
        <item x="861"/>
        <item x="15"/>
        <item x="296"/>
        <item x="939"/>
        <item x="207"/>
        <item x="652"/>
        <item x="458"/>
        <item x="42"/>
        <item x="128"/>
        <item x="525"/>
        <item x="323"/>
        <item x="248"/>
        <item x="730"/>
        <item x="447"/>
        <item x="220"/>
        <item x="836"/>
        <item x="115"/>
        <item x="394"/>
        <item x="780"/>
        <item x="51"/>
        <item x="855"/>
        <item x="1030"/>
        <item x="875"/>
        <item x="600"/>
        <item x="776"/>
        <item x="1002"/>
        <item x="531"/>
        <item x="807"/>
        <item x="585"/>
        <item x="65"/>
        <item x="785"/>
        <item x="954"/>
        <item x="754"/>
        <item x="742"/>
        <item x="7"/>
        <item x="1135"/>
        <item x="618"/>
        <item x="634"/>
        <item x="367"/>
        <item x="714"/>
        <item x="106"/>
        <item x="184"/>
        <item x="562"/>
        <item x="882"/>
        <item x="756"/>
        <item x="466"/>
        <item x="406"/>
        <item x="342"/>
        <item x="868"/>
        <item x="409"/>
        <item x="645"/>
        <item x="77"/>
        <item x="299"/>
        <item x="395"/>
        <item x="894"/>
        <item x="124"/>
        <item x="632"/>
        <item x="59"/>
        <item x="505"/>
        <item x="463"/>
        <item x="1137"/>
        <item x="892"/>
        <item x="641"/>
        <item x="86"/>
        <item x="870"/>
        <item x="456"/>
        <item x="564"/>
        <item x="949"/>
        <item x="1127"/>
        <item x="551"/>
        <item x="611"/>
        <item x="774"/>
        <item x="487"/>
        <item x="494"/>
        <item x="825"/>
        <item x="594"/>
        <item x="1136"/>
        <item x="1024"/>
        <item x="389"/>
        <item x="376"/>
        <item x="114"/>
        <item x="74"/>
        <item x="816"/>
        <item x="912"/>
        <item x="793"/>
        <item x="382"/>
        <item x="1103"/>
        <item x="26"/>
        <item x="283"/>
        <item x="137"/>
        <item x="635"/>
        <item x="393"/>
        <item x="654"/>
        <item x="819"/>
        <item x="805"/>
        <item x="544"/>
        <item x="649"/>
        <item x="333"/>
        <item x="556"/>
        <item x="1096"/>
        <item x="471"/>
        <item x="468"/>
        <item x="123"/>
        <item x="37"/>
        <item x="414"/>
        <item x="119"/>
        <item x="383"/>
        <item x="134"/>
        <item x="561"/>
        <item x="232"/>
        <item x="457"/>
        <item x="305"/>
        <item x="766"/>
        <item x="1079"/>
        <item x="70"/>
        <item x="1104"/>
        <item x="534"/>
        <item x="794"/>
        <item x="511"/>
        <item x="492"/>
        <item x="622"/>
        <item x="737"/>
        <item x="860"/>
        <item x="771"/>
        <item x="545"/>
        <item x="835"/>
        <item x="809"/>
        <item x="187"/>
        <item x="182"/>
        <item x="716"/>
        <item x="869"/>
        <item x="419"/>
        <item x="515"/>
        <item x="901"/>
        <item x="885"/>
        <item x="1048"/>
        <item x="1000"/>
        <item x="975"/>
        <item x="338"/>
        <item x="236"/>
        <item x="306"/>
        <item x="878"/>
        <item x="538"/>
        <item x="216"/>
        <item x="160"/>
        <item x="639"/>
        <item x="142"/>
        <item x="98"/>
        <item x="165"/>
        <item x="298"/>
        <item x="1015"/>
        <item x="889"/>
        <item x="612"/>
        <item x="1086"/>
        <item x="6"/>
        <item x="144"/>
        <item x="810"/>
        <item x="633"/>
        <item x="989"/>
        <item x="755"/>
        <item x="617"/>
        <item x="194"/>
        <item x="143"/>
        <item x="287"/>
        <item x="85"/>
        <item x="313"/>
        <item x="682"/>
        <item x="497"/>
        <item x="1013"/>
        <item x="814"/>
        <item x="605"/>
        <item x="189"/>
        <item x="215"/>
        <item x="791"/>
        <item x="10"/>
        <item x="811"/>
        <item x="252"/>
        <item x="410"/>
        <item x="651"/>
        <item x="279"/>
        <item x="71"/>
        <item x="581"/>
        <item x="998"/>
        <item x="723"/>
        <item x="827"/>
        <item x="502"/>
        <item x="69"/>
        <item x="589"/>
        <item x="36"/>
        <item x="219"/>
        <item x="226"/>
        <item x="314"/>
        <item x="655"/>
        <item x="145"/>
        <item x="533"/>
        <item x="1085"/>
        <item x="442"/>
        <item x="1092"/>
        <item x="140"/>
        <item x="628"/>
        <item x="208"/>
        <item x="787"/>
        <item x="1061"/>
        <item x="842"/>
        <item x="152"/>
        <item x="689"/>
        <item x="599"/>
        <item x="667"/>
        <item x="263"/>
        <item x="897"/>
        <item x="806"/>
        <item x="972"/>
        <item x="291"/>
        <item x="631"/>
        <item x="837"/>
        <item x="1093"/>
        <item x="185"/>
        <item x="88"/>
        <item x="79"/>
        <item x="384"/>
        <item x="491"/>
        <item x="21"/>
        <item x="961"/>
        <item x="347"/>
        <item x="1132"/>
        <item x="1012"/>
        <item x="337"/>
        <item x="799"/>
        <item x="840"/>
        <item x="82"/>
        <item x="658"/>
        <item x="125"/>
        <item x="1020"/>
        <item x="365"/>
        <item x="63"/>
        <item x="370"/>
        <item x="907"/>
        <item x="626"/>
        <item x="438"/>
        <item x="371"/>
        <item x="1091"/>
        <item x="162"/>
        <item x="743"/>
        <item x="681"/>
        <item x="647"/>
        <item x="3"/>
        <item x="495"/>
        <item x="880"/>
        <item x="862"/>
        <item x="1014"/>
        <item x="784"/>
        <item x="528"/>
        <item x="302"/>
        <item x="238"/>
        <item x="243"/>
        <item x="851"/>
        <item x="262"/>
        <item x="991"/>
        <item x="709"/>
        <item x="979"/>
        <item x="646"/>
        <item x="727"/>
        <item x="380"/>
        <item x="374"/>
        <item x="148"/>
        <item x="56"/>
        <item x="102"/>
        <item x="608"/>
        <item x="853"/>
        <item x="47"/>
        <item x="105"/>
        <item x="169"/>
        <item x="546"/>
        <item x="1044"/>
        <item x="588"/>
        <item x="23"/>
        <item x="1033"/>
        <item x="863"/>
        <item x="777"/>
        <item x="368"/>
        <item x="1025"/>
        <item x="648"/>
        <item x="661"/>
        <item x="804"/>
        <item x="830"/>
        <item x="866"/>
        <item x="724"/>
        <item x="674"/>
        <item x="324"/>
        <item x="781"/>
        <item x="560"/>
        <item x="507"/>
        <item x="474"/>
        <item x="43"/>
        <item x="1016"/>
        <item x="613"/>
        <item x="1107"/>
        <item x="437"/>
        <item x="927"/>
        <item x="915"/>
        <item x="320"/>
        <item x="121"/>
        <item x="1043"/>
        <item x="510"/>
        <item x="472"/>
        <item x="272"/>
        <item x="1075"/>
        <item x="1042"/>
        <item x="636"/>
        <item x="353"/>
        <item x="100"/>
        <item x="265"/>
        <item x="354"/>
        <item x="1126"/>
        <item x="446"/>
        <item x="676"/>
        <item x="797"/>
        <item x="988"/>
        <item x="451"/>
        <item x="792"/>
        <item x="729"/>
        <item x="1088"/>
        <item x="1021"/>
        <item x="1134"/>
        <item x="982"/>
        <item x="1141"/>
        <item x="501"/>
        <item x="672"/>
        <item x="260"/>
        <item x="108"/>
        <item x="360"/>
        <item x="427"/>
        <item x="573"/>
        <item x="566"/>
        <item x="430"/>
        <item x="222"/>
        <item x="559"/>
        <item x="179"/>
        <item x="965"/>
        <item x="831"/>
        <item x="527"/>
        <item x="879"/>
        <item x="470"/>
        <item x="1031"/>
        <item x="257"/>
        <item x="269"/>
        <item x="154"/>
        <item x="72"/>
        <item x="32"/>
        <item x="48"/>
        <item x="620"/>
        <item x="173"/>
        <item x="1100"/>
        <item x="402"/>
        <item x="126"/>
        <item x="432"/>
        <item x="783"/>
        <item x="904"/>
        <item x="571"/>
        <item x="1035"/>
        <item x="188"/>
        <item x="411"/>
        <item x="586"/>
        <item x="678"/>
        <item x="744"/>
        <item x="1090"/>
        <item x="886"/>
        <item x="31"/>
        <item x="850"/>
        <item x="67"/>
        <item x="186"/>
        <item x="686"/>
        <item x="864"/>
        <item x="918"/>
        <item x="1038"/>
        <item x="773"/>
        <item x="857"/>
        <item x="532"/>
        <item x="660"/>
        <item x="150"/>
        <item x="344"/>
        <item x="789"/>
        <item x="280"/>
        <item x="39"/>
        <item x="957"/>
        <item x="903"/>
        <item x="908"/>
        <item x="1055"/>
        <item x="858"/>
        <item x="822"/>
        <item x="610"/>
        <item x="698"/>
        <item x="591"/>
        <item x="199"/>
        <item x="659"/>
        <item x="828"/>
        <item x="623"/>
        <item x="482"/>
        <item x="968"/>
        <item x="0"/>
        <item x="268"/>
        <item x="952"/>
        <item x="739"/>
        <item x="80"/>
        <item x="984"/>
        <item x="464"/>
        <item x="925"/>
        <item x="408"/>
        <item x="966"/>
        <item x="752"/>
        <item x="369"/>
        <item x="721"/>
        <item x="22"/>
        <item x="898"/>
        <item x="832"/>
        <item x="718"/>
        <item x="543"/>
        <item x="565"/>
        <item x="705"/>
        <item x="757"/>
        <item x="378"/>
        <item x="113"/>
        <item x="156"/>
        <item x="452"/>
        <item x="477"/>
        <item x="417"/>
        <item x="874"/>
        <item x="1027"/>
        <item x="740"/>
        <item x="843"/>
        <item x="377"/>
        <item x="765"/>
        <item x="829"/>
        <item x="1011"/>
        <item x="1110"/>
        <item x="348"/>
        <item x="815"/>
        <item x="706"/>
        <item x="11"/>
        <item x="223"/>
        <item x="1072"/>
        <item x="328"/>
        <item x="720"/>
        <item x="151"/>
        <item x="81"/>
        <item x="266"/>
        <item x="1087"/>
        <item x="735"/>
        <item x="916"/>
        <item x="261"/>
        <item x="745"/>
        <item x="439"/>
        <item x="131"/>
        <item x="1143"/>
        <item x="109"/>
        <item x="558"/>
        <item x="20"/>
        <item x="1049"/>
        <item x="118"/>
        <item x="390"/>
        <item x="178"/>
        <item x="967"/>
        <item x="677"/>
        <item x="1078"/>
        <item x="583"/>
        <item x="308"/>
        <item x="1129"/>
        <item x="978"/>
        <item x="808"/>
        <item x="28"/>
        <item x="1058"/>
        <item x="803"/>
        <item x="289"/>
        <item x="453"/>
        <item x="790"/>
        <item x="174"/>
        <item x="692"/>
        <item x="1101"/>
        <item x="592"/>
        <item x="914"/>
        <item x="1022"/>
        <item x="708"/>
        <item x="844"/>
        <item x="696"/>
        <item x="498"/>
        <item x="1046"/>
        <item x="657"/>
        <item x="933"/>
        <item x="867"/>
        <item x="684"/>
        <item x="84"/>
        <item x="1017"/>
        <item x="373"/>
        <item x="214"/>
        <item x="256"/>
        <item x="332"/>
        <item x="786"/>
        <item x="941"/>
        <item x="567"/>
        <item x="680"/>
        <item x="1003"/>
        <item x="764"/>
        <item x="1032"/>
        <item x="1133"/>
        <item x="203"/>
        <item x="758"/>
        <item x="55"/>
        <item x="229"/>
        <item x="935"/>
        <item x="357"/>
        <item x="362"/>
        <item x="1122"/>
        <item x="321"/>
        <item x="563"/>
        <item x="64"/>
        <item x="990"/>
        <item x="596"/>
        <item x="747"/>
        <item x="1059"/>
        <item x="349"/>
        <item x="1063"/>
        <item x="433"/>
        <item x="420"/>
        <item x="233"/>
        <item x="675"/>
        <item x="211"/>
        <item x="1037"/>
        <item x="1076"/>
        <item x="905"/>
        <item x="158"/>
        <item x="1066"/>
        <item x="1041"/>
        <item x="415"/>
        <item x="656"/>
        <item x="1018"/>
        <item x="1065"/>
        <item x="876"/>
        <item x="307"/>
        <item x="888"/>
        <item x="416"/>
        <item x="1052"/>
        <item x="883"/>
        <item x="1117"/>
        <item x="421"/>
        <item x="147"/>
        <item x="769"/>
        <item x="424"/>
        <item x="304"/>
        <item x="669"/>
        <item x="951"/>
        <item x="604"/>
        <item x="1105"/>
        <item x="930"/>
        <item x="948"/>
        <item x="702"/>
        <item x="999"/>
        <item x="1114"/>
        <item x="959"/>
        <item x="161"/>
        <item x="163"/>
        <item x="1068"/>
        <item x="331"/>
        <item x="1047"/>
        <item x="1131"/>
        <item x="1094"/>
        <item x="1138"/>
        <item x="335"/>
        <item x="1113"/>
        <item x="928"/>
        <item x="924"/>
        <item x="923"/>
        <item x="1050"/>
        <item x="940"/>
        <item x="1111"/>
        <item x="1116"/>
        <item x="1121"/>
        <item x="1124"/>
        <item t="default"/>
      </items>
    </pivotField>
    <pivotField showAll="0"/>
    <pivotField showAll="0"/>
    <pivotField numFmtId="2" showAll="0"/>
    <pivotField numFmtId="2" showAll="0"/>
    <pivotField showAll="0"/>
    <pivotField showAll="0"/>
    <pivotField showAll="0"/>
    <pivotField axis="axisRow" showAll="0">
      <items count="3">
        <item x="1"/>
        <item x="0"/>
        <item t="default"/>
      </items>
    </pivotField>
    <pivotField showAll="0">
      <items count="4">
        <item x="2"/>
        <item x="1"/>
        <item x="0"/>
        <item t="default"/>
      </items>
    </pivotField>
    <pivotField numFmtId="2" showAll="0"/>
    <pivotField numFmtId="1" showAll="0"/>
    <pivotField showAll="0"/>
    <pivotField showAll="0"/>
    <pivotField showAll="0"/>
    <pivotField showAll="0"/>
    <pivotField showAll="0"/>
    <pivotField showAll="0"/>
    <pivotField showAll="0"/>
    <pivotField showAll="0"/>
    <pivotField showAll="0"/>
    <pivotField numFmtId="2"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9">
        <item sd="0" x="0"/>
        <item sd="0" x="1"/>
        <item sd="0" x="2"/>
        <item sd="0" x="3"/>
        <item sd="0" x="4"/>
        <item sd="0" x="5"/>
        <item sd="0" x="6"/>
        <item sd="0" x="7"/>
        <item t="default"/>
      </items>
    </pivotField>
  </pivotFields>
  <rowFields count="1">
    <field x="17"/>
  </rowFields>
  <rowItems count="3">
    <i>
      <x/>
    </i>
    <i>
      <x v="1"/>
    </i>
    <i t="grand">
      <x/>
    </i>
  </rowItems>
  <colItems count="1">
    <i/>
  </colItems>
  <dataFields count="1">
    <dataField name="Count of Date" fld="0" subtotal="count" baseField="0" baseItem="0"/>
  </dataFields>
  <formats count="12">
    <format dxfId="77">
      <pivotArea type="all" dataOnly="0" outline="0" fieldPosition="0"/>
    </format>
    <format dxfId="76">
      <pivotArea outline="0" collapsedLevelsAreSubtotals="1" fieldPosition="0"/>
    </format>
    <format dxfId="75">
      <pivotArea field="17" type="button" dataOnly="0" labelOnly="1" outline="0" axis="axisRow" fieldPosition="0"/>
    </format>
    <format dxfId="74">
      <pivotArea dataOnly="0" labelOnly="1" fieldPosition="0">
        <references count="1">
          <reference field="17" count="0"/>
        </references>
      </pivotArea>
    </format>
    <format dxfId="73">
      <pivotArea dataOnly="0" labelOnly="1" grandRow="1" outline="0" fieldPosition="0"/>
    </format>
    <format dxfId="72">
      <pivotArea dataOnly="0" labelOnly="1" outline="0" axis="axisValues" fieldPosition="0"/>
    </format>
    <format dxfId="71">
      <pivotArea type="all" dataOnly="0" outline="0" fieldPosition="0"/>
    </format>
    <format dxfId="70">
      <pivotArea outline="0" collapsedLevelsAreSubtotals="1" fieldPosition="0"/>
    </format>
    <format dxfId="69">
      <pivotArea field="17" type="button" dataOnly="0" labelOnly="1" outline="0" axis="axisRow" fieldPosition="0"/>
    </format>
    <format dxfId="68">
      <pivotArea dataOnly="0" labelOnly="1" fieldPosition="0">
        <references count="1">
          <reference field="17" count="0"/>
        </references>
      </pivotArea>
    </format>
    <format dxfId="67">
      <pivotArea dataOnly="0" labelOnly="1" grandRow="1" outline="0" fieldPosition="0"/>
    </format>
    <format dxfId="66">
      <pivotArea dataOnly="0" labelOnly="1" outline="0" axis="axisValues" fieldPosition="0"/>
    </format>
  </formats>
  <chartFormats count="6">
    <chartFormat chart="5" format="4" series="1">
      <pivotArea type="data" outline="0" fieldPosition="0">
        <references count="1">
          <reference field="4294967294" count="1" selected="0">
            <x v="0"/>
          </reference>
        </references>
      </pivotArea>
    </chartFormat>
    <chartFormat chart="5" format="5">
      <pivotArea type="data" outline="0" fieldPosition="0">
        <references count="2">
          <reference field="4294967294" count="1" selected="0">
            <x v="0"/>
          </reference>
          <reference field="17" count="1" selected="0">
            <x v="0"/>
          </reference>
        </references>
      </pivotArea>
    </chartFormat>
    <chartFormat chart="5" format="6">
      <pivotArea type="data" outline="0" fieldPosition="0">
        <references count="2">
          <reference field="4294967294" count="1" selected="0">
            <x v="0"/>
          </reference>
          <reference field="17" count="1" selected="0">
            <x v="1"/>
          </reference>
        </references>
      </pivotArea>
    </chartFormat>
    <chartFormat chart="9" format="10" series="1">
      <pivotArea type="data" outline="0" fieldPosition="0">
        <references count="1">
          <reference field="4294967294" count="1" selected="0">
            <x v="0"/>
          </reference>
        </references>
      </pivotArea>
    </chartFormat>
    <chartFormat chart="9" format="11">
      <pivotArea type="data" outline="0" fieldPosition="0">
        <references count="2">
          <reference field="4294967294" count="1" selected="0">
            <x v="0"/>
          </reference>
          <reference field="17" count="1" selected="0">
            <x v="0"/>
          </reference>
        </references>
      </pivotArea>
    </chartFormat>
    <chartFormat chart="9" format="12">
      <pivotArea type="data" outline="0" fieldPosition="0">
        <references count="2">
          <reference field="4294967294" count="1" selected="0">
            <x v="0"/>
          </reference>
          <reference field="17" count="1" selected="0">
            <x v="1"/>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ily_Trend" xr10:uid="{76AE7267-AE0D-4DF1-8757-E8F870083C2D}" sourceName="Daily Trend">
  <pivotTables>
    <pivotTable tabId="4" name="PivotTable1"/>
    <pivotTable tabId="4" name="PivotTable3"/>
    <pivotTable tabId="4" name="PivotTable4"/>
  </pivotTables>
  <data>
    <tabular pivotCacheId="267501107">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rading_Signal" xr10:uid="{F076FB38-4AE6-4491-8727-0AC3C89102AE}" sourceName="Trading Signal">
  <pivotTables>
    <pivotTable tabId="4" name="PivotTable1"/>
    <pivotTable tabId="4" name="PivotTable3"/>
    <pivotTable tabId="4" name="PivotTable4"/>
  </pivotTables>
  <data>
    <tabular pivotCacheId="267501107">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ily Trend 3" xr10:uid="{1B34CC11-0251-4990-99D1-B99A214EDAB2}" cache="Slicer_Daily_Trend" caption="Daily Trend" style="SlicerStyleDark1" rowHeight="247650"/>
  <slicer name="Trading Signal 2" xr10:uid="{775735DB-A09A-4BD4-9293-5F1702BFAE80}" cache="Slicer_Trading_Signal" caption="Trading Signal" style="SlicerStyleDark1"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ily Trend 1" xr10:uid="{2E57A640-C253-4337-8489-262065BDA7D1}" cache="Slicer_Daily_Trend" caption="Daily Trend" rowHeight="247650"/>
  <slicer name="Trading Signal 1" xr10:uid="{5B5F4FE7-DD71-4FD6-A8C6-53C5EB1BA059}" cache="Slicer_Trading_Signal" caption="Trading Signal"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527A456-16EA-406B-A9EC-EBDE42A9A394}" name="Table4" displayName="Table4" ref="C13:F18" totalsRowShown="0">
  <autoFilter ref="C13:F18" xr:uid="{D527A456-16EA-406B-A9EC-EBDE42A9A394}"/>
  <tableColumns count="4">
    <tableColumn id="1" xr3:uid="{8E1AF0D9-E93D-4AD9-9604-2411DD316ED4}" name="Column1"/>
    <tableColumn id="2" xr3:uid="{FE0569E9-C72D-4FC2-810D-98E79DB6A67B}" name="Column2"/>
    <tableColumn id="3" xr3:uid="{6F23FD6B-E05B-41B2-9E4D-9BA1881C1773}" name="Column3"/>
    <tableColumn id="4" xr3:uid="{AB3BBB9B-F858-4FDB-A2C3-7614991B9092}" name="Column4"/>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CFA9B1F-D293-497B-8BEA-A9DDC6FB8556}" name="Table2" displayName="Table2" ref="A1:AE1170" totalsRowShown="0" headerRowDxfId="41" dataDxfId="39" headerRowBorderDxfId="40" tableBorderDxfId="38" totalsRowBorderDxfId="37">
  <autoFilter ref="A1:AE1170" xr:uid="{5CFA9B1F-D293-497B-8BEA-A9DDC6FB8556}"/>
  <tableColumns count="31">
    <tableColumn id="1" xr3:uid="{08105F53-165C-415E-9378-A8FC9BF84712}" name="Date" dataDxfId="36"/>
    <tableColumn id="2" xr3:uid="{36A2FEED-7DBC-477A-AA91-9820C94F7F8B}" name="Open" dataDxfId="35"/>
    <tableColumn id="3" xr3:uid="{14729B78-E60E-42B3-B384-7535874CC5E0}" name="High" dataDxfId="34"/>
    <tableColumn id="4" xr3:uid="{67641E2D-90FD-4CDC-A290-FD1C4BAFF8E7}" name="Low" dataDxfId="33"/>
    <tableColumn id="5" xr3:uid="{22CD5ABB-5E3B-4AF2-A879-74665BE01610}" name="Close" dataDxfId="32"/>
    <tableColumn id="6" xr3:uid="{582A14F5-B958-458E-B09C-D593E2A73073}" name=" Volume" dataDxfId="31"/>
    <tableColumn id="7" xr3:uid="{768B8718-A5AF-4D06-929B-49316DBA43F4}" name="Ma_7" dataDxfId="30"/>
    <tableColumn id="8" xr3:uid="{7CCE7BA1-214B-4715-B404-20BDDF3B95E0}" name="Ma_30" dataDxfId="29"/>
    <tableColumn id="9" xr3:uid="{C86A1D17-1F6F-446E-A68B-E891B65FA6FA}" name="Ma_90" dataDxfId="28"/>
    <tableColumn id="10" xr3:uid="{D2AA1685-87F3-4525-AB31-60048C0BB2C4}" name="Daily_return" dataDxfId="27"/>
    <tableColumn id="11" xr3:uid="{DBEF5537-181F-48A1-9439-9F18FC3F8860}" name="Volatility_7" dataDxfId="26"/>
    <tableColumn id="12" xr3:uid="{0D8B948D-9B50-45AA-BE19-8D5F9AB1E97F}" name="Volatility_30" dataDxfId="25"/>
    <tableColumn id="13" xr3:uid="{AA0720A0-891B-49C2-88FD-B08DCAE611A7}" name="RSI" dataDxfId="24"/>
    <tableColumn id="14" xr3:uid="{CD1C9C80-8364-4D09-B6F8-C23A26D71512}" name="Macd" dataDxfId="23"/>
    <tableColumn id="15" xr3:uid="{8F931016-190A-486D-B45C-AD1CA24EF08C}" name="Macd_signal" dataDxfId="22"/>
    <tableColumn id="16" xr3:uid="{38C15142-BE1D-4854-97EE-669A4866193B}" name="BB_upper" dataDxfId="21"/>
    <tableColumn id="17" xr3:uid="{A187F359-952A-45BF-9FC5-C77A05E4D880}" name="BB_lower" dataDxfId="20"/>
    <tableColumn id="18" xr3:uid="{0DC79795-5337-4EF7-96DC-D96ED6B9A8F9}" name="Daily Trend" dataDxfId="19">
      <calculatedColumnFormula>IF(E2&gt;B2,"Up","Down")</calculatedColumnFormula>
    </tableColumn>
    <tableColumn id="19" xr3:uid="{E9218993-BCCE-4CEF-9F34-FC56EFD4CC6C}" name="Trading Signal" dataDxfId="18">
      <calculatedColumnFormula>IF(M2&gt;70,"Sell",IF(M2&lt;30,"Buy","Hold"))</calculatedColumnFormula>
    </tableColumn>
    <tableColumn id="20" xr3:uid="{8A687322-47C7-4D1B-83DE-7B45294E2B63}" name="Average Return" dataDxfId="17">
      <calculatedColumnFormula>AVERAGE(J2:J1170)</calculatedColumnFormula>
    </tableColumn>
    <tableColumn id="21" xr3:uid="{D3019A7C-99DA-4E75-98EE-E5A2B214E4FF}" name="Total Volume" dataDxfId="16">
      <calculatedColumnFormula>SUM(F2:F1170)</calculatedColumnFormula>
    </tableColumn>
    <tableColumn id="22" xr3:uid="{A2743701-B3EE-4F08-B8C4-E5E157690743}" name="Maximum Price" dataDxfId="15">
      <calculatedColumnFormula>MAX(C2:C1170)</calculatedColumnFormula>
    </tableColumn>
    <tableColumn id="23" xr3:uid="{BE2E5F4E-3846-4C01-9E29-36E37D0CE1C4}" name="Minimum Price" dataDxfId="14">
      <calculatedColumnFormula>MIN(D2:D1170)</calculatedColumnFormula>
    </tableColumn>
    <tableColumn id="24" xr3:uid="{87229747-40AB-45D1-8237-2D7F7AFB20BA}" name="Matched Close Price" dataDxfId="13">
      <calculatedColumnFormula>INDEX(E2:E1170,MATCH(A2,A2:A1170,0))</calculatedColumnFormula>
    </tableColumn>
    <tableColumn id="25" xr3:uid="{D58C4C37-C587-418F-9ADB-4C00B0B9E9F3}" name="Number of Up Days" dataDxfId="12">
      <calculatedColumnFormula>COUNTIF(R2:R1170,"Up")</calculatedColumnFormula>
    </tableColumn>
    <tableColumn id="26" xr3:uid="{72713BC5-260E-4CCE-B4C2-CE4236F38B23}" name="Total Volume on Up Days" dataDxfId="11">
      <calculatedColumnFormula>SUMIF(R2:R1170,"Up",F2:F1170)</calculatedColumnFormula>
    </tableColumn>
    <tableColumn id="27" xr3:uid="{B7745F73-9BF6-4CB8-8608-A3BD8B8C8BB3}" name="Formatted Date" dataDxfId="10">
      <calculatedColumnFormula>TEXT(A2,"DD-MMM-YYYY")</calculatedColumnFormula>
    </tableColumn>
    <tableColumn id="28" xr3:uid="{CFCFF36C-C4AE-44D0-BA93-67EE1C243368}" name="Close Price Lookup" dataDxfId="9">
      <calculatedColumnFormula>_xlfn.XLOOKUP(A2,A2:A1170,E2:E1170)</calculatedColumnFormula>
    </tableColumn>
    <tableColumn id="29" xr3:uid="{FC597758-1A70-4011-947F-8DD07241FE39}" name="Date Position" dataDxfId="8">
      <calculatedColumnFormula>_xlfn.XMATCH(A2,A2:A1170)</calculatedColumnFormula>
    </tableColumn>
    <tableColumn id="30" xr3:uid="{8A567F76-F323-4096-89A4-7F3080A96CBD}" name="Extract Year" dataDxfId="7">
      <calculatedColumnFormula>YEAR(A2)</calculatedColumnFormula>
    </tableColumn>
    <tableColumn id="31" xr3:uid="{ED5827DF-86A4-4988-A0EE-A458400057F3}" name="Rounded Return" dataDxfId="6">
      <calculatedColumnFormula>ROUND(J2,2)</calculatedColumnFormula>
    </tableColumn>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3CECB51C-1C8A-441E-9C07-32DC79B11316}" sourceName="Date">
  <pivotTables>
    <pivotTable tabId="4" name="PivotTable1"/>
    <pivotTable tabId="4" name="PivotTable3"/>
    <pivotTable tabId="4" name="PivotTable4"/>
  </pivotTables>
  <state minimalRefreshVersion="6" lastRefreshVersion="6" pivotCacheId="267501107" filterType="unknown">
    <bounds startDate="2021-01-01T00:00:00" endDate="202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2" xr10:uid="{A1AE44D2-01F2-44B4-B8B4-262FD02BE678}" cache="NativeTimeline_Date" caption="Date" level="2" selectionLevel="2" scrollPosition="2023-12-09T00:00:00" style="Timeline Style 1"/>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A0240ACD-F084-4061-8E4E-8170E7480FCC}" cache="NativeTimeline_Date" caption="Date" level="2" selectionLevel="2" scrollPosition="2023-11-24T00:00:00"/>
</timeline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table" Target="../tables/table1.xml"/></Relationships>
</file>

<file path=xl/worksheets/_rels/sheet4.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405140-27FD-436A-93ED-E67882E65EC5}">
  <dimension ref="A1:Q1170"/>
  <sheetViews>
    <sheetView workbookViewId="0">
      <selection activeCell="I20" sqref="I20"/>
    </sheetView>
  </sheetViews>
  <sheetFormatPr defaultRowHeight="14.4" x14ac:dyDescent="0.3"/>
  <cols>
    <col min="1" max="1" width="13.88671875" customWidth="1"/>
  </cols>
  <sheetData>
    <row r="1" spans="1:17"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x14ac:dyDescent="0.3">
      <c r="A2" s="1">
        <v>44392</v>
      </c>
      <c r="B2">
        <v>1828.4</v>
      </c>
      <c r="C2">
        <v>1833</v>
      </c>
      <c r="D2">
        <v>1823.4</v>
      </c>
      <c r="E2">
        <v>1831.6</v>
      </c>
      <c r="F2">
        <v>99</v>
      </c>
      <c r="G2">
        <v>1807.8143</v>
      </c>
      <c r="H2">
        <v>1821.03</v>
      </c>
      <c r="I2">
        <v>1794.8378</v>
      </c>
      <c r="J2">
        <v>1.0204</v>
      </c>
      <c r="K2">
        <v>0.3921</v>
      </c>
      <c r="L2">
        <v>0.9204</v>
      </c>
      <c r="M2">
        <v>77.025599999999997</v>
      </c>
      <c r="N2">
        <v>-5.6307</v>
      </c>
      <c r="O2">
        <v>-12.2447</v>
      </c>
      <c r="P2">
        <v>1825.2034000000001</v>
      </c>
      <c r="Q2">
        <v>1753.8266000000001</v>
      </c>
    </row>
    <row r="3" spans="1:17" x14ac:dyDescent="0.3">
      <c r="A3" s="1">
        <v>44393</v>
      </c>
      <c r="B3">
        <v>1814.5</v>
      </c>
      <c r="C3">
        <v>1831.4</v>
      </c>
      <c r="D3">
        <v>1814.5</v>
      </c>
      <c r="E3">
        <v>1830.1</v>
      </c>
      <c r="F3">
        <v>78</v>
      </c>
      <c r="G3">
        <v>1812.3</v>
      </c>
      <c r="H3">
        <v>1818.4067</v>
      </c>
      <c r="I3">
        <v>1796.4367</v>
      </c>
      <c r="J3">
        <v>-8.1900000000000001E-2</v>
      </c>
      <c r="K3">
        <v>0.39429999999999998</v>
      </c>
      <c r="L3">
        <v>0.91290000000000004</v>
      </c>
      <c r="M3">
        <v>76.789400000000001</v>
      </c>
      <c r="N3">
        <v>-3.1756000000000002</v>
      </c>
      <c r="O3">
        <v>-10.430899999999999</v>
      </c>
      <c r="P3">
        <v>1829.3189</v>
      </c>
      <c r="Q3">
        <v>1751.5409999999999</v>
      </c>
    </row>
    <row r="4" spans="1:17" x14ac:dyDescent="0.3">
      <c r="A4" s="1">
        <v>44396</v>
      </c>
      <c r="B4">
        <v>1808.7</v>
      </c>
      <c r="C4">
        <v>1813.4</v>
      </c>
      <c r="D4">
        <v>1803.3</v>
      </c>
      <c r="E4">
        <v>1803.3</v>
      </c>
      <c r="F4">
        <v>33</v>
      </c>
      <c r="G4">
        <v>1813.2</v>
      </c>
      <c r="H4">
        <v>1816.2067</v>
      </c>
      <c r="I4">
        <v>1797.4332999999999</v>
      </c>
      <c r="J4">
        <v>-1.4643999999999999</v>
      </c>
      <c r="K4">
        <v>0.76160000000000005</v>
      </c>
      <c r="L4">
        <v>0.87460000000000004</v>
      </c>
      <c r="M4">
        <v>59.657699999999998</v>
      </c>
      <c r="N4">
        <v>-3.3538000000000001</v>
      </c>
      <c r="O4">
        <v>-9.0153999999999996</v>
      </c>
      <c r="P4">
        <v>1830.4561000000001</v>
      </c>
      <c r="Q4">
        <v>1753.1639</v>
      </c>
    </row>
    <row r="5" spans="1:17" x14ac:dyDescent="0.3">
      <c r="A5" s="1">
        <v>44397</v>
      </c>
      <c r="B5">
        <v>1810.9</v>
      </c>
      <c r="C5">
        <v>1824</v>
      </c>
      <c r="D5">
        <v>1810.9</v>
      </c>
      <c r="E5">
        <v>1812.9</v>
      </c>
      <c r="F5">
        <v>128</v>
      </c>
      <c r="G5">
        <v>1814.5286000000001</v>
      </c>
      <c r="H5">
        <v>1813.62</v>
      </c>
      <c r="I5">
        <v>1798.4032999999999</v>
      </c>
      <c r="J5">
        <v>0.53239999999999998</v>
      </c>
      <c r="K5">
        <v>0.77539999999999998</v>
      </c>
      <c r="L5">
        <v>0.85160000000000002</v>
      </c>
      <c r="M5">
        <v>63.938200000000002</v>
      </c>
      <c r="N5">
        <v>-2.6894</v>
      </c>
      <c r="O5">
        <v>-7.7502000000000004</v>
      </c>
      <c r="P5">
        <v>1832.1623999999999</v>
      </c>
      <c r="Q5">
        <v>1755.8675000000001</v>
      </c>
    </row>
    <row r="6" spans="1:17" x14ac:dyDescent="0.3">
      <c r="A6" s="1">
        <v>44398</v>
      </c>
      <c r="B6">
        <v>1802.9</v>
      </c>
      <c r="C6">
        <v>1807</v>
      </c>
      <c r="D6">
        <v>1800</v>
      </c>
      <c r="E6">
        <v>1807</v>
      </c>
      <c r="F6">
        <v>135</v>
      </c>
      <c r="G6">
        <v>1815.1570999999999</v>
      </c>
      <c r="H6">
        <v>1810.6367</v>
      </c>
      <c r="I6">
        <v>1799.4156</v>
      </c>
      <c r="J6">
        <v>-0.32540000000000002</v>
      </c>
      <c r="K6">
        <v>0.78969999999999996</v>
      </c>
      <c r="L6">
        <v>0.84789999999999999</v>
      </c>
      <c r="M6">
        <v>69.173000000000002</v>
      </c>
      <c r="N6">
        <v>-2.6088</v>
      </c>
      <c r="O6">
        <v>-6.7220000000000004</v>
      </c>
      <c r="P6">
        <v>1833.4197999999999</v>
      </c>
      <c r="Q6">
        <v>1756.9701</v>
      </c>
    </row>
    <row r="7" spans="1:17" x14ac:dyDescent="0.3">
      <c r="A7" s="1">
        <v>44399</v>
      </c>
      <c r="B7">
        <v>1805</v>
      </c>
      <c r="C7">
        <v>1805</v>
      </c>
      <c r="D7">
        <v>1793.6</v>
      </c>
      <c r="E7">
        <v>1793.6</v>
      </c>
      <c r="F7">
        <v>2</v>
      </c>
      <c r="G7">
        <v>1813.0857000000001</v>
      </c>
      <c r="H7">
        <v>1807.26</v>
      </c>
      <c r="I7">
        <v>1800.1278</v>
      </c>
      <c r="J7">
        <v>-0.74160000000000004</v>
      </c>
      <c r="K7">
        <v>0.82869999999999999</v>
      </c>
      <c r="L7">
        <v>0.85440000000000005</v>
      </c>
      <c r="M7">
        <v>57.552799999999998</v>
      </c>
      <c r="N7">
        <v>-3.585</v>
      </c>
      <c r="O7">
        <v>-6.0945999999999998</v>
      </c>
      <c r="P7">
        <v>1833.4656</v>
      </c>
      <c r="Q7">
        <v>1758.2143000000001</v>
      </c>
    </row>
    <row r="8" spans="1:17" x14ac:dyDescent="0.3">
      <c r="A8" s="1">
        <v>44400</v>
      </c>
      <c r="B8">
        <v>1801.4</v>
      </c>
      <c r="C8">
        <v>1801.4</v>
      </c>
      <c r="D8">
        <v>1800</v>
      </c>
      <c r="E8">
        <v>1800</v>
      </c>
      <c r="F8">
        <v>1</v>
      </c>
      <c r="G8">
        <v>1811.2143000000001</v>
      </c>
      <c r="H8">
        <v>1804.3367000000001</v>
      </c>
      <c r="I8">
        <v>1800.88</v>
      </c>
      <c r="J8">
        <v>0.35680000000000001</v>
      </c>
      <c r="K8">
        <v>0.83550000000000002</v>
      </c>
      <c r="L8">
        <v>0.85899999999999999</v>
      </c>
      <c r="M8">
        <v>58.736699999999999</v>
      </c>
      <c r="N8">
        <v>-3.7982999999999998</v>
      </c>
      <c r="O8">
        <v>-5.6353</v>
      </c>
      <c r="P8">
        <v>1833.6949</v>
      </c>
      <c r="Q8">
        <v>1760.0951</v>
      </c>
    </row>
    <row r="9" spans="1:17" x14ac:dyDescent="0.3">
      <c r="A9" s="1">
        <v>44403</v>
      </c>
      <c r="B9">
        <v>1798.7</v>
      </c>
      <c r="C9">
        <v>1802.5</v>
      </c>
      <c r="D9">
        <v>1797.2</v>
      </c>
      <c r="E9">
        <v>1802.5</v>
      </c>
      <c r="F9">
        <v>17</v>
      </c>
      <c r="G9">
        <v>1807.0571</v>
      </c>
      <c r="H9">
        <v>1801.0567000000001</v>
      </c>
      <c r="I9">
        <v>1801.6267</v>
      </c>
      <c r="J9">
        <v>0.1389</v>
      </c>
      <c r="K9">
        <v>0.69259999999999999</v>
      </c>
      <c r="L9">
        <v>0.8458</v>
      </c>
      <c r="M9">
        <v>56.786999999999999</v>
      </c>
      <c r="N9">
        <v>-3.7227999999999999</v>
      </c>
      <c r="O9">
        <v>-5.2527999999999997</v>
      </c>
      <c r="P9">
        <v>1833.8674000000001</v>
      </c>
      <c r="Q9">
        <v>1762.4025999999999</v>
      </c>
    </row>
    <row r="10" spans="1:17" x14ac:dyDescent="0.3">
      <c r="A10" s="1">
        <v>44404</v>
      </c>
      <c r="B10">
        <v>1799.5</v>
      </c>
      <c r="C10">
        <v>1803.7</v>
      </c>
      <c r="D10">
        <v>1799.5</v>
      </c>
      <c r="E10">
        <v>1803.7</v>
      </c>
      <c r="F10">
        <v>1</v>
      </c>
      <c r="G10">
        <v>1803.2856999999999</v>
      </c>
      <c r="H10">
        <v>1798.9733000000001</v>
      </c>
      <c r="I10">
        <v>1802.27</v>
      </c>
      <c r="J10">
        <v>6.6600000000000006E-2</v>
      </c>
      <c r="K10">
        <v>0.7</v>
      </c>
      <c r="L10">
        <v>0.78680000000000005</v>
      </c>
      <c r="M10">
        <v>52.367400000000004</v>
      </c>
      <c r="N10">
        <v>-3.5253999999999999</v>
      </c>
      <c r="O10">
        <v>-4.9073000000000002</v>
      </c>
      <c r="P10">
        <v>1834.0515</v>
      </c>
      <c r="Q10">
        <v>1764.6285</v>
      </c>
    </row>
    <row r="11" spans="1:17" x14ac:dyDescent="0.3">
      <c r="A11" s="1">
        <v>44405</v>
      </c>
      <c r="B11">
        <v>1799.5</v>
      </c>
      <c r="C11">
        <v>1799.5</v>
      </c>
      <c r="D11">
        <v>1799.5</v>
      </c>
      <c r="E11">
        <v>1799.5</v>
      </c>
      <c r="F11">
        <v>209783</v>
      </c>
      <c r="G11">
        <v>1802.7429</v>
      </c>
      <c r="H11">
        <v>1796.7433000000001</v>
      </c>
      <c r="I11">
        <v>1802.9067</v>
      </c>
      <c r="J11">
        <v>-0.2329</v>
      </c>
      <c r="K11">
        <v>0.43559999999999999</v>
      </c>
      <c r="L11">
        <v>0.78680000000000005</v>
      </c>
      <c r="M11">
        <v>51.156300000000002</v>
      </c>
      <c r="N11">
        <v>-3.6657000000000002</v>
      </c>
      <c r="O11">
        <v>-4.6589999999999998</v>
      </c>
      <c r="P11">
        <v>1833.5281</v>
      </c>
      <c r="Q11">
        <v>1767.4218000000001</v>
      </c>
    </row>
    <row r="12" spans="1:17" x14ac:dyDescent="0.3">
      <c r="A12" s="1">
        <v>44406</v>
      </c>
      <c r="B12">
        <v>1831.2</v>
      </c>
      <c r="C12">
        <v>1832.6</v>
      </c>
      <c r="D12">
        <v>1806.1</v>
      </c>
      <c r="E12">
        <v>1806.6</v>
      </c>
      <c r="F12">
        <v>30496</v>
      </c>
      <c r="G12">
        <v>1801.8427999999999</v>
      </c>
      <c r="H12">
        <v>1794.9833000000001</v>
      </c>
      <c r="I12">
        <v>1803.6711</v>
      </c>
      <c r="J12">
        <v>0.39460000000000001</v>
      </c>
      <c r="K12">
        <v>0.40820000000000001</v>
      </c>
      <c r="L12">
        <v>0.79069999999999996</v>
      </c>
      <c r="M12">
        <v>51.3812</v>
      </c>
      <c r="N12">
        <v>-3.1674000000000002</v>
      </c>
      <c r="O12">
        <v>-4.3606999999999996</v>
      </c>
      <c r="P12">
        <v>1830.1766</v>
      </c>
      <c r="Q12">
        <v>1775.3234</v>
      </c>
    </row>
    <row r="13" spans="1:17" x14ac:dyDescent="0.3">
      <c r="A13" s="1">
        <v>44407</v>
      </c>
      <c r="B13">
        <v>1812.6</v>
      </c>
      <c r="C13">
        <v>1830.5</v>
      </c>
      <c r="D13">
        <v>1808.9</v>
      </c>
      <c r="E13">
        <v>1828</v>
      </c>
      <c r="F13">
        <v>3100</v>
      </c>
      <c r="G13">
        <v>1804.8427999999999</v>
      </c>
      <c r="H13">
        <v>1795.5233000000001</v>
      </c>
      <c r="I13">
        <v>1804.8189</v>
      </c>
      <c r="J13">
        <v>1.1845000000000001</v>
      </c>
      <c r="K13">
        <v>0.59430000000000005</v>
      </c>
      <c r="L13">
        <v>0.67490000000000006</v>
      </c>
      <c r="M13">
        <v>59.844999999999999</v>
      </c>
      <c r="N13">
        <v>-1.0338000000000001</v>
      </c>
      <c r="O13">
        <v>-3.6953</v>
      </c>
      <c r="P13">
        <v>1831.8905999999999</v>
      </c>
      <c r="Q13">
        <v>1778.8394000000001</v>
      </c>
    </row>
    <row r="14" spans="1:17" x14ac:dyDescent="0.3">
      <c r="A14" s="1">
        <v>44410</v>
      </c>
      <c r="B14">
        <v>1818.1</v>
      </c>
      <c r="C14">
        <v>1818.7</v>
      </c>
      <c r="D14">
        <v>1804.8</v>
      </c>
      <c r="E14">
        <v>1812.4</v>
      </c>
      <c r="F14">
        <v>1334</v>
      </c>
      <c r="G14">
        <v>1807.5286000000001</v>
      </c>
      <c r="H14">
        <v>1796.7466999999999</v>
      </c>
      <c r="I14">
        <v>1805.7621999999999</v>
      </c>
      <c r="J14">
        <v>-0.85340000000000005</v>
      </c>
      <c r="K14">
        <v>0.62360000000000004</v>
      </c>
      <c r="L14">
        <v>0.58279999999999998</v>
      </c>
      <c r="M14">
        <v>51.545699999999997</v>
      </c>
      <c r="N14">
        <v>-0.59489999999999998</v>
      </c>
      <c r="O14">
        <v>-3.0752000000000002</v>
      </c>
      <c r="P14">
        <v>1830.5527999999999</v>
      </c>
      <c r="Q14">
        <v>1783.5472</v>
      </c>
    </row>
    <row r="15" spans="1:17" x14ac:dyDescent="0.3">
      <c r="A15" s="1">
        <v>44411</v>
      </c>
      <c r="B15">
        <v>1810.1</v>
      </c>
      <c r="C15">
        <v>1813.5</v>
      </c>
      <c r="D15">
        <v>1806</v>
      </c>
      <c r="E15">
        <v>1812.3</v>
      </c>
      <c r="F15">
        <v>3341</v>
      </c>
      <c r="G15">
        <v>1809.2856999999999</v>
      </c>
      <c r="H15">
        <v>1798.1967</v>
      </c>
      <c r="I15">
        <v>1806.6467</v>
      </c>
      <c r="J15">
        <v>-5.4999999999999997E-3</v>
      </c>
      <c r="K15">
        <v>0.61870000000000003</v>
      </c>
      <c r="L15">
        <v>0.5766</v>
      </c>
      <c r="M15">
        <v>49.701999999999998</v>
      </c>
      <c r="N15">
        <v>-0.25209999999999999</v>
      </c>
      <c r="O15">
        <v>-2.5106000000000002</v>
      </c>
      <c r="P15">
        <v>1829.873</v>
      </c>
      <c r="Q15">
        <v>1786.787</v>
      </c>
    </row>
    <row r="16" spans="1:17" x14ac:dyDescent="0.3">
      <c r="A16" s="1">
        <v>44412</v>
      </c>
      <c r="B16">
        <v>1810.5</v>
      </c>
      <c r="C16">
        <v>1831.3</v>
      </c>
      <c r="D16">
        <v>1806.3</v>
      </c>
      <c r="E16">
        <v>1809.3</v>
      </c>
      <c r="F16">
        <v>2860</v>
      </c>
      <c r="G16">
        <v>1810.2571</v>
      </c>
      <c r="H16">
        <v>1799.06</v>
      </c>
      <c r="I16">
        <v>1807.6243999999999</v>
      </c>
      <c r="J16">
        <v>-0.16550000000000001</v>
      </c>
      <c r="K16">
        <v>0.62609999999999999</v>
      </c>
      <c r="L16">
        <v>0.56069999999999998</v>
      </c>
      <c r="M16">
        <v>40.6066</v>
      </c>
      <c r="N16">
        <v>-0.22009999999999999</v>
      </c>
      <c r="O16">
        <v>-2.0525000000000002</v>
      </c>
      <c r="P16">
        <v>1829.9217000000001</v>
      </c>
      <c r="Q16">
        <v>1787.7982999999999</v>
      </c>
    </row>
    <row r="17" spans="1:17" x14ac:dyDescent="0.3">
      <c r="A17" s="1">
        <v>44413</v>
      </c>
      <c r="B17">
        <v>1805.1</v>
      </c>
      <c r="C17">
        <v>1813.7</v>
      </c>
      <c r="D17">
        <v>1796</v>
      </c>
      <c r="E17">
        <v>1810.8</v>
      </c>
      <c r="F17">
        <v>588</v>
      </c>
      <c r="G17">
        <v>1811.2714000000001</v>
      </c>
      <c r="H17">
        <v>1800.0633</v>
      </c>
      <c r="I17">
        <v>1808.7211</v>
      </c>
      <c r="J17">
        <v>8.2900000000000001E-2</v>
      </c>
      <c r="K17">
        <v>0.62609999999999999</v>
      </c>
      <c r="L17">
        <v>0.5595</v>
      </c>
      <c r="M17">
        <v>41.8703</v>
      </c>
      <c r="N17">
        <v>-7.2800000000000004E-2</v>
      </c>
      <c r="O17">
        <v>-1.6566000000000001</v>
      </c>
      <c r="P17">
        <v>1829.8667</v>
      </c>
      <c r="Q17">
        <v>1789.2333000000001</v>
      </c>
    </row>
    <row r="18" spans="1:17" x14ac:dyDescent="0.3">
      <c r="A18" s="1">
        <v>44414</v>
      </c>
      <c r="B18">
        <v>1760</v>
      </c>
      <c r="C18">
        <v>1800.1</v>
      </c>
      <c r="D18">
        <v>1758.4</v>
      </c>
      <c r="E18">
        <v>1799.8</v>
      </c>
      <c r="F18">
        <v>859</v>
      </c>
      <c r="G18">
        <v>1811.3143</v>
      </c>
      <c r="H18">
        <v>1800.76</v>
      </c>
      <c r="I18">
        <v>1809.7077999999999</v>
      </c>
      <c r="J18">
        <v>-0.60750000000000004</v>
      </c>
      <c r="K18">
        <v>0.66959999999999997</v>
      </c>
      <c r="L18">
        <v>0.57189999999999996</v>
      </c>
      <c r="M18">
        <v>48.299300000000002</v>
      </c>
      <c r="N18">
        <v>-0.83399999999999996</v>
      </c>
      <c r="O18">
        <v>-1.4921</v>
      </c>
      <c r="P18">
        <v>1829.9798000000001</v>
      </c>
      <c r="Q18">
        <v>1788.7402</v>
      </c>
    </row>
    <row r="19" spans="1:17" x14ac:dyDescent="0.3">
      <c r="A19" s="1">
        <v>44417</v>
      </c>
      <c r="B19">
        <v>1723.4</v>
      </c>
      <c r="C19">
        <v>1753.8</v>
      </c>
      <c r="D19">
        <v>1692.6</v>
      </c>
      <c r="E19">
        <v>1753.5</v>
      </c>
      <c r="F19">
        <v>1621</v>
      </c>
      <c r="G19">
        <v>1803.7285999999999</v>
      </c>
      <c r="H19">
        <v>1799.9532999999999</v>
      </c>
      <c r="I19">
        <v>1810.4833000000001</v>
      </c>
      <c r="J19">
        <v>-2.5724999999999998</v>
      </c>
      <c r="K19">
        <v>1.1489</v>
      </c>
      <c r="L19">
        <v>0.74490000000000001</v>
      </c>
      <c r="M19">
        <v>28.724900000000002</v>
      </c>
      <c r="N19">
        <v>-5.1143999999999998</v>
      </c>
      <c r="O19">
        <v>-2.2164999999999999</v>
      </c>
      <c r="P19">
        <v>1839.2637999999999</v>
      </c>
      <c r="Q19">
        <v>1774.5462</v>
      </c>
    </row>
    <row r="20" spans="1:17" x14ac:dyDescent="0.3">
      <c r="A20" s="1">
        <v>44418</v>
      </c>
      <c r="B20">
        <v>1728.8</v>
      </c>
      <c r="C20">
        <v>1735.2</v>
      </c>
      <c r="D20">
        <v>1720.1</v>
      </c>
      <c r="E20">
        <v>1728.6</v>
      </c>
      <c r="F20">
        <v>1363</v>
      </c>
      <c r="G20">
        <v>1789.5286000000001</v>
      </c>
      <c r="H20">
        <v>1798.2533000000001</v>
      </c>
      <c r="I20">
        <v>1810.7256</v>
      </c>
      <c r="J20">
        <v>-1.42</v>
      </c>
      <c r="K20">
        <v>0.94679999999999997</v>
      </c>
      <c r="L20">
        <v>0.78539999999999999</v>
      </c>
      <c r="M20">
        <v>25.2837</v>
      </c>
      <c r="N20">
        <v>-10.396000000000001</v>
      </c>
      <c r="O20">
        <v>-3.8523999999999998</v>
      </c>
      <c r="P20">
        <v>1850.5864999999999</v>
      </c>
      <c r="Q20">
        <v>1755.2735</v>
      </c>
    </row>
    <row r="21" spans="1:17" x14ac:dyDescent="0.3">
      <c r="A21" s="1">
        <v>44419</v>
      </c>
      <c r="B21">
        <v>1750.4</v>
      </c>
      <c r="C21">
        <v>1752.2</v>
      </c>
      <c r="D21">
        <v>1727.3</v>
      </c>
      <c r="E21">
        <v>1727.3</v>
      </c>
      <c r="F21">
        <v>542</v>
      </c>
      <c r="G21">
        <v>1777.3715</v>
      </c>
      <c r="H21">
        <v>1796.6033</v>
      </c>
      <c r="I21">
        <v>1810.7189000000001</v>
      </c>
      <c r="J21">
        <v>-7.5200000000000003E-2</v>
      </c>
      <c r="K21">
        <v>0.98340000000000005</v>
      </c>
      <c r="L21">
        <v>0.7853</v>
      </c>
      <c r="M21">
        <v>27.372</v>
      </c>
      <c r="N21">
        <v>-14.519299999999999</v>
      </c>
      <c r="O21">
        <v>-5.9858000000000002</v>
      </c>
      <c r="P21">
        <v>1856.7438999999999</v>
      </c>
      <c r="Q21">
        <v>1740.5361</v>
      </c>
    </row>
    <row r="22" spans="1:17" x14ac:dyDescent="0.3">
      <c r="A22" s="1">
        <v>44420</v>
      </c>
      <c r="B22">
        <v>1749</v>
      </c>
      <c r="C22">
        <v>1752.4</v>
      </c>
      <c r="D22">
        <v>1745.5</v>
      </c>
      <c r="E22">
        <v>1749.7</v>
      </c>
      <c r="F22">
        <v>739</v>
      </c>
      <c r="G22">
        <v>1768.4286</v>
      </c>
      <c r="H22">
        <v>1796.2233000000001</v>
      </c>
      <c r="I22">
        <v>1810.9721999999999</v>
      </c>
      <c r="J22">
        <v>1.2968</v>
      </c>
      <c r="K22">
        <v>1.2257</v>
      </c>
      <c r="L22">
        <v>0.80989999999999995</v>
      </c>
      <c r="M22">
        <v>34.523000000000003</v>
      </c>
      <c r="N22">
        <v>-15.7974</v>
      </c>
      <c r="O22">
        <v>-7.9481000000000002</v>
      </c>
      <c r="P22">
        <v>1854.3864000000001</v>
      </c>
      <c r="Q22">
        <v>1734.7036000000001</v>
      </c>
    </row>
    <row r="23" spans="1:17" x14ac:dyDescent="0.3">
      <c r="A23" s="1">
        <v>44421</v>
      </c>
      <c r="B23">
        <v>1775.2</v>
      </c>
      <c r="C23">
        <v>1777.3</v>
      </c>
      <c r="D23">
        <v>1757.4</v>
      </c>
      <c r="E23">
        <v>1758.3</v>
      </c>
      <c r="F23">
        <v>436</v>
      </c>
      <c r="G23">
        <v>1761.1429000000001</v>
      </c>
      <c r="H23">
        <v>1795.6433</v>
      </c>
      <c r="I23">
        <v>1811.1456000000001</v>
      </c>
      <c r="J23">
        <v>0.49149999999999999</v>
      </c>
      <c r="K23">
        <v>1.2790999999999999</v>
      </c>
      <c r="L23">
        <v>0.80010000000000003</v>
      </c>
      <c r="M23">
        <v>36.892099999999999</v>
      </c>
      <c r="N23">
        <v>-15.932700000000001</v>
      </c>
      <c r="O23">
        <v>-9.5449999999999999</v>
      </c>
      <c r="P23">
        <v>1850.4290000000001</v>
      </c>
      <c r="Q23">
        <v>1731.481</v>
      </c>
    </row>
    <row r="24" spans="1:17" x14ac:dyDescent="0.3">
      <c r="A24" s="1">
        <v>44424</v>
      </c>
      <c r="B24">
        <v>1786.9</v>
      </c>
      <c r="C24">
        <v>1787.8</v>
      </c>
      <c r="D24">
        <v>1771.9</v>
      </c>
      <c r="E24">
        <v>1776.9</v>
      </c>
      <c r="F24">
        <v>219</v>
      </c>
      <c r="G24">
        <v>1756.3</v>
      </c>
      <c r="H24">
        <v>1795.5833</v>
      </c>
      <c r="I24">
        <v>1811.6</v>
      </c>
      <c r="J24">
        <v>1.0578000000000001</v>
      </c>
      <c r="K24">
        <v>1.3888</v>
      </c>
      <c r="L24">
        <v>0.82379999999999998</v>
      </c>
      <c r="M24">
        <v>42.795699999999997</v>
      </c>
      <c r="N24">
        <v>-14.3734</v>
      </c>
      <c r="O24">
        <v>-10.5107</v>
      </c>
      <c r="P24">
        <v>1849.1271999999999</v>
      </c>
      <c r="Q24">
        <v>1730.1428000000001</v>
      </c>
    </row>
    <row r="25" spans="1:17" x14ac:dyDescent="0.3">
      <c r="A25" s="1">
        <v>44425</v>
      </c>
      <c r="B25">
        <v>1785</v>
      </c>
      <c r="C25">
        <v>1794.2</v>
      </c>
      <c r="D25">
        <v>1780</v>
      </c>
      <c r="E25">
        <v>1787.7</v>
      </c>
      <c r="F25">
        <v>200</v>
      </c>
      <c r="G25">
        <v>1754.5714</v>
      </c>
      <c r="H25">
        <v>1795.6167</v>
      </c>
      <c r="I25">
        <v>1812.01</v>
      </c>
      <c r="J25">
        <v>0.60780000000000001</v>
      </c>
      <c r="K25">
        <v>1.4140999999999999</v>
      </c>
      <c r="L25">
        <v>0.82720000000000005</v>
      </c>
      <c r="M25">
        <v>46.936599999999999</v>
      </c>
      <c r="N25">
        <v>-12.126300000000001</v>
      </c>
      <c r="O25">
        <v>-10.8338</v>
      </c>
      <c r="P25">
        <v>1846.8513</v>
      </c>
      <c r="Q25">
        <v>1729.8987</v>
      </c>
    </row>
    <row r="26" spans="1:17" x14ac:dyDescent="0.3">
      <c r="A26" s="1">
        <v>44426</v>
      </c>
      <c r="B26">
        <v>1781.6</v>
      </c>
      <c r="C26">
        <v>1791.5</v>
      </c>
      <c r="D26">
        <v>1779</v>
      </c>
      <c r="E26">
        <v>1787.8</v>
      </c>
      <c r="F26">
        <v>263</v>
      </c>
      <c r="G26">
        <v>1759.4713999999999</v>
      </c>
      <c r="H26">
        <v>1795.2533000000001</v>
      </c>
      <c r="I26">
        <v>1812.5322000000001</v>
      </c>
      <c r="J26">
        <v>5.5999999999999999E-3</v>
      </c>
      <c r="K26">
        <v>0.90210000000000001</v>
      </c>
      <c r="L26">
        <v>0.81759999999999999</v>
      </c>
      <c r="M26">
        <v>44.935400000000001</v>
      </c>
      <c r="N26">
        <v>-10.2197</v>
      </c>
      <c r="O26">
        <v>-10.711</v>
      </c>
      <c r="P26">
        <v>1845.2304999999999</v>
      </c>
      <c r="Q26">
        <v>1729.5995</v>
      </c>
    </row>
    <row r="27" spans="1:17" x14ac:dyDescent="0.3">
      <c r="A27" s="1">
        <v>44427</v>
      </c>
      <c r="B27">
        <v>1780.2</v>
      </c>
      <c r="C27">
        <v>1789.3</v>
      </c>
      <c r="D27">
        <v>1775.5</v>
      </c>
      <c r="E27">
        <v>1780</v>
      </c>
      <c r="F27">
        <v>245</v>
      </c>
      <c r="G27">
        <v>1766.8143</v>
      </c>
      <c r="H27">
        <v>1794.6867</v>
      </c>
      <c r="I27">
        <v>1813.0455999999999</v>
      </c>
      <c r="J27">
        <v>-0.43630000000000002</v>
      </c>
      <c r="K27">
        <v>0.628</v>
      </c>
      <c r="L27">
        <v>0.82110000000000005</v>
      </c>
      <c r="M27">
        <v>36.046500000000002</v>
      </c>
      <c r="N27">
        <v>-9.2316000000000003</v>
      </c>
      <c r="O27">
        <v>-10.415100000000001</v>
      </c>
      <c r="P27">
        <v>1844.5641000000001</v>
      </c>
      <c r="Q27">
        <v>1728.9059</v>
      </c>
    </row>
    <row r="28" spans="1:17" x14ac:dyDescent="0.3">
      <c r="A28" s="1">
        <v>44428</v>
      </c>
      <c r="B28">
        <v>1781</v>
      </c>
      <c r="C28">
        <v>1787.5</v>
      </c>
      <c r="D28">
        <v>1778.2</v>
      </c>
      <c r="E28">
        <v>1784.1</v>
      </c>
      <c r="F28">
        <v>235</v>
      </c>
      <c r="G28">
        <v>1774.9286</v>
      </c>
      <c r="H28">
        <v>1794.0367000000001</v>
      </c>
      <c r="I28">
        <v>1813.5210999999999</v>
      </c>
      <c r="J28">
        <v>0.2303</v>
      </c>
      <c r="K28">
        <v>0.59760000000000002</v>
      </c>
      <c r="L28">
        <v>0.81920000000000004</v>
      </c>
      <c r="M28">
        <v>41.183799999999998</v>
      </c>
      <c r="N28">
        <v>-8.0251999999999999</v>
      </c>
      <c r="O28">
        <v>-9.9370999999999992</v>
      </c>
      <c r="P28">
        <v>1843.4375</v>
      </c>
      <c r="Q28">
        <v>1728.4425000000001</v>
      </c>
    </row>
    <row r="29" spans="1:17" x14ac:dyDescent="0.3">
      <c r="A29" s="1">
        <v>44431</v>
      </c>
      <c r="B29">
        <v>1803.2</v>
      </c>
      <c r="C29">
        <v>1804.8</v>
      </c>
      <c r="D29">
        <v>1776.8</v>
      </c>
      <c r="E29">
        <v>1776.8</v>
      </c>
      <c r="F29">
        <v>32</v>
      </c>
      <c r="G29">
        <v>1778.8</v>
      </c>
      <c r="H29">
        <v>1793.1767</v>
      </c>
      <c r="I29">
        <v>1813.9289000000001</v>
      </c>
      <c r="J29">
        <v>-0.40920000000000001</v>
      </c>
      <c r="K29">
        <v>0.54749999999999999</v>
      </c>
      <c r="L29">
        <v>0.82210000000000005</v>
      </c>
      <c r="M29">
        <v>39.415599999999998</v>
      </c>
      <c r="N29">
        <v>-7.5709</v>
      </c>
      <c r="O29">
        <v>-9.4639000000000006</v>
      </c>
      <c r="P29">
        <v>1841.7415000000001</v>
      </c>
      <c r="Q29">
        <v>1727.5685000000001</v>
      </c>
    </row>
    <row r="30" spans="1:17" x14ac:dyDescent="0.3">
      <c r="A30" s="1">
        <v>44432</v>
      </c>
      <c r="B30">
        <v>1805.6</v>
      </c>
      <c r="C30">
        <v>1805.6</v>
      </c>
      <c r="D30">
        <v>1801</v>
      </c>
      <c r="E30">
        <v>1801</v>
      </c>
      <c r="F30">
        <v>22</v>
      </c>
      <c r="G30">
        <v>1784.9</v>
      </c>
      <c r="H30">
        <v>1792.94</v>
      </c>
      <c r="I30">
        <v>1814.2689</v>
      </c>
      <c r="J30">
        <v>1.3620000000000001</v>
      </c>
      <c r="K30">
        <v>0.69750000000000001</v>
      </c>
      <c r="L30">
        <v>0.85940000000000005</v>
      </c>
      <c r="M30">
        <v>47.803100000000001</v>
      </c>
      <c r="N30">
        <v>-5.1981999999999999</v>
      </c>
      <c r="O30">
        <v>-8.6106999999999996</v>
      </c>
      <c r="P30">
        <v>1841.4294</v>
      </c>
      <c r="Q30">
        <v>1727.6107</v>
      </c>
    </row>
    <row r="31" spans="1:17" x14ac:dyDescent="0.3">
      <c r="A31" s="1">
        <v>44433</v>
      </c>
      <c r="B31">
        <v>1788.2</v>
      </c>
      <c r="C31">
        <v>1792.9</v>
      </c>
      <c r="D31">
        <v>1784</v>
      </c>
      <c r="E31">
        <v>1792</v>
      </c>
      <c r="F31">
        <v>812</v>
      </c>
      <c r="G31">
        <v>1787.0571</v>
      </c>
      <c r="H31">
        <v>1792.2366999999999</v>
      </c>
      <c r="I31">
        <v>1814.3788999999999</v>
      </c>
      <c r="J31">
        <v>-0.49969999999999998</v>
      </c>
      <c r="K31">
        <v>0.68059999999999998</v>
      </c>
      <c r="L31">
        <v>0.86219999999999997</v>
      </c>
      <c r="M31">
        <v>45.213799999999999</v>
      </c>
      <c r="N31">
        <v>-3.9980000000000002</v>
      </c>
      <c r="O31">
        <v>-7.6882000000000001</v>
      </c>
      <c r="P31">
        <v>1840.7366999999999</v>
      </c>
      <c r="Q31">
        <v>1727.5533</v>
      </c>
    </row>
    <row r="32" spans="1:17" x14ac:dyDescent="0.3">
      <c r="A32" s="1">
        <v>44434</v>
      </c>
      <c r="B32">
        <v>1792.2</v>
      </c>
      <c r="C32">
        <v>1792.2</v>
      </c>
      <c r="D32">
        <v>1781</v>
      </c>
      <c r="E32">
        <v>1787.4</v>
      </c>
      <c r="F32">
        <v>61</v>
      </c>
      <c r="G32">
        <v>1787.0143</v>
      </c>
      <c r="H32">
        <v>1790.7633000000001</v>
      </c>
      <c r="I32">
        <v>1814.58</v>
      </c>
      <c r="J32">
        <v>-0.25669999999999998</v>
      </c>
      <c r="K32">
        <v>0.65590000000000004</v>
      </c>
      <c r="L32">
        <v>0.83950000000000002</v>
      </c>
      <c r="M32">
        <v>46.736800000000002</v>
      </c>
      <c r="N32">
        <v>-3.379</v>
      </c>
      <c r="O32">
        <v>-6.8262999999999998</v>
      </c>
      <c r="P32">
        <v>1838.8161</v>
      </c>
      <c r="Q32">
        <v>1727.5539000000001</v>
      </c>
    </row>
    <row r="33" spans="1:17" x14ac:dyDescent="0.3">
      <c r="A33" s="1">
        <v>44435</v>
      </c>
      <c r="B33">
        <v>1816.6</v>
      </c>
      <c r="C33">
        <v>1816.6</v>
      </c>
      <c r="D33">
        <v>1803.1</v>
      </c>
      <c r="E33">
        <v>1803.4</v>
      </c>
      <c r="F33">
        <v>1219</v>
      </c>
      <c r="G33">
        <v>1789.2429</v>
      </c>
      <c r="H33">
        <v>1789.8733</v>
      </c>
      <c r="I33">
        <v>1814.8067000000001</v>
      </c>
      <c r="J33">
        <v>0.8952</v>
      </c>
      <c r="K33">
        <v>0.73829999999999996</v>
      </c>
      <c r="L33">
        <v>0.85809999999999997</v>
      </c>
      <c r="M33">
        <v>65.623099999999994</v>
      </c>
      <c r="N33">
        <v>-1.5791999999999999</v>
      </c>
      <c r="O33">
        <v>-5.7769000000000004</v>
      </c>
      <c r="P33">
        <v>1834.4113</v>
      </c>
      <c r="Q33">
        <v>1729.4988000000001</v>
      </c>
    </row>
    <row r="34" spans="1:17" x14ac:dyDescent="0.3">
      <c r="A34" s="1">
        <v>44438</v>
      </c>
      <c r="B34">
        <v>1809</v>
      </c>
      <c r="C34">
        <v>1820.3</v>
      </c>
      <c r="D34">
        <v>1807.8</v>
      </c>
      <c r="E34">
        <v>1818.2</v>
      </c>
      <c r="F34">
        <v>684</v>
      </c>
      <c r="G34">
        <v>1794.7</v>
      </c>
      <c r="H34">
        <v>1790.37</v>
      </c>
      <c r="I34">
        <v>1815.0733</v>
      </c>
      <c r="J34">
        <v>0.82069999999999999</v>
      </c>
      <c r="K34">
        <v>0.73150000000000004</v>
      </c>
      <c r="L34">
        <v>0.82869999999999999</v>
      </c>
      <c r="M34">
        <v>79.946600000000004</v>
      </c>
      <c r="N34">
        <v>1.0295000000000001</v>
      </c>
      <c r="O34">
        <v>-4.4156000000000004</v>
      </c>
      <c r="P34">
        <v>1835.4684999999999</v>
      </c>
      <c r="Q34">
        <v>1729.0216</v>
      </c>
    </row>
    <row r="35" spans="1:17" x14ac:dyDescent="0.3">
      <c r="A35" s="1">
        <v>44439</v>
      </c>
      <c r="B35">
        <v>1815</v>
      </c>
      <c r="C35">
        <v>1815.9</v>
      </c>
      <c r="D35">
        <v>1801.1</v>
      </c>
      <c r="E35">
        <v>1815.9</v>
      </c>
      <c r="F35">
        <v>82</v>
      </c>
      <c r="G35">
        <v>1799.2429</v>
      </c>
      <c r="H35">
        <v>1790.47</v>
      </c>
      <c r="I35">
        <v>1815.4043999999999</v>
      </c>
      <c r="J35">
        <v>-0.1265</v>
      </c>
      <c r="K35">
        <v>0.74980000000000002</v>
      </c>
      <c r="L35">
        <v>0.8236</v>
      </c>
      <c r="M35">
        <v>79.415700000000001</v>
      </c>
      <c r="N35">
        <v>2.8782000000000001</v>
      </c>
      <c r="O35">
        <v>-2.9569000000000001</v>
      </c>
      <c r="P35">
        <v>1836.0989</v>
      </c>
      <c r="Q35">
        <v>1728.7511</v>
      </c>
    </row>
    <row r="36" spans="1:17" x14ac:dyDescent="0.3">
      <c r="A36" s="1">
        <v>44440</v>
      </c>
      <c r="B36">
        <v>1813.1</v>
      </c>
      <c r="C36">
        <v>1815.9</v>
      </c>
      <c r="D36">
        <v>1809.5</v>
      </c>
      <c r="E36">
        <v>1813.5</v>
      </c>
      <c r="F36">
        <v>114</v>
      </c>
      <c r="G36">
        <v>1804.4857</v>
      </c>
      <c r="H36">
        <v>1790.6867</v>
      </c>
      <c r="I36">
        <v>1815.7989</v>
      </c>
      <c r="J36">
        <v>-0.13220000000000001</v>
      </c>
      <c r="K36">
        <v>0.71540000000000004</v>
      </c>
      <c r="L36">
        <v>0.82169999999999999</v>
      </c>
      <c r="M36">
        <v>74.425799999999995</v>
      </c>
      <c r="N36">
        <v>4.1022999999999996</v>
      </c>
      <c r="O36">
        <v>-1.5449999999999999</v>
      </c>
      <c r="P36">
        <v>1836.7824000000001</v>
      </c>
      <c r="Q36">
        <v>1728.4875999999999</v>
      </c>
    </row>
    <row r="37" spans="1:17" x14ac:dyDescent="0.3">
      <c r="A37" s="1">
        <v>44441</v>
      </c>
      <c r="B37">
        <v>1808.7</v>
      </c>
      <c r="C37">
        <v>1813.9</v>
      </c>
      <c r="D37">
        <v>1806.8</v>
      </c>
      <c r="E37">
        <v>1813.2</v>
      </c>
      <c r="F37">
        <v>26</v>
      </c>
      <c r="G37">
        <v>1806.2285999999999</v>
      </c>
      <c r="H37">
        <v>1791.34</v>
      </c>
      <c r="I37">
        <v>1816.1677999999999</v>
      </c>
      <c r="J37">
        <v>-1.6500000000000001E-2</v>
      </c>
      <c r="K37">
        <v>0.54120000000000001</v>
      </c>
      <c r="L37">
        <v>0.80920000000000003</v>
      </c>
      <c r="M37">
        <v>72.444800000000001</v>
      </c>
      <c r="N37">
        <v>4.9907000000000004</v>
      </c>
      <c r="O37">
        <v>-0.2379</v>
      </c>
      <c r="P37">
        <v>1837.1750999999999</v>
      </c>
      <c r="Q37">
        <v>1728.3349000000001</v>
      </c>
    </row>
    <row r="38" spans="1:17" x14ac:dyDescent="0.3">
      <c r="A38" s="1">
        <v>44442</v>
      </c>
      <c r="B38">
        <v>1830.9</v>
      </c>
      <c r="C38">
        <v>1833.9</v>
      </c>
      <c r="D38">
        <v>1818.9</v>
      </c>
      <c r="E38">
        <v>1820.9</v>
      </c>
      <c r="F38">
        <v>53</v>
      </c>
      <c r="G38">
        <v>1810.3570999999999</v>
      </c>
      <c r="H38">
        <v>1792.0367000000001</v>
      </c>
      <c r="I38">
        <v>1816.7533000000001</v>
      </c>
      <c r="J38">
        <v>0.42470000000000002</v>
      </c>
      <c r="K38">
        <v>0.48049999999999998</v>
      </c>
      <c r="L38">
        <v>0.81020000000000003</v>
      </c>
      <c r="M38">
        <v>69.748699999999999</v>
      </c>
      <c r="N38">
        <v>6.2441000000000004</v>
      </c>
      <c r="O38">
        <v>1.0585</v>
      </c>
      <c r="P38">
        <v>1840.3964000000001</v>
      </c>
      <c r="Q38">
        <v>1727.2236</v>
      </c>
    </row>
    <row r="39" spans="1:17" x14ac:dyDescent="0.3">
      <c r="A39" s="1">
        <v>44446</v>
      </c>
      <c r="B39">
        <v>1795.9</v>
      </c>
      <c r="C39">
        <v>1825.7</v>
      </c>
      <c r="D39">
        <v>1792.7</v>
      </c>
      <c r="E39">
        <v>1825.7</v>
      </c>
      <c r="F39">
        <v>48</v>
      </c>
      <c r="G39">
        <v>1815.8286000000001</v>
      </c>
      <c r="H39">
        <v>1792.81</v>
      </c>
      <c r="I39">
        <v>1817.25</v>
      </c>
      <c r="J39">
        <v>0.2636</v>
      </c>
      <c r="K39">
        <v>0.43030000000000002</v>
      </c>
      <c r="L39">
        <v>0.81110000000000004</v>
      </c>
      <c r="M39">
        <v>68.026600000000002</v>
      </c>
      <c r="N39">
        <v>7.5378999999999996</v>
      </c>
      <c r="O39">
        <v>2.3544</v>
      </c>
      <c r="P39">
        <v>1845.0669</v>
      </c>
      <c r="Q39">
        <v>1729.7731000000001</v>
      </c>
    </row>
    <row r="40" spans="1:17" x14ac:dyDescent="0.3">
      <c r="A40" s="1">
        <v>44447</v>
      </c>
      <c r="B40">
        <v>1790.7</v>
      </c>
      <c r="C40">
        <v>1790.7</v>
      </c>
      <c r="D40">
        <v>1781.7</v>
      </c>
      <c r="E40">
        <v>1781.7</v>
      </c>
      <c r="F40">
        <v>69</v>
      </c>
      <c r="G40">
        <v>1812.7285999999999</v>
      </c>
      <c r="H40">
        <v>1792.0767000000001</v>
      </c>
      <c r="I40">
        <v>1817.36</v>
      </c>
      <c r="J40">
        <v>-2.41</v>
      </c>
      <c r="K40">
        <v>1.0462</v>
      </c>
      <c r="L40">
        <v>0.92669999999999997</v>
      </c>
      <c r="M40">
        <v>47.957099999999997</v>
      </c>
      <c r="N40">
        <v>4.9557000000000002</v>
      </c>
      <c r="O40">
        <v>2.8746999999999998</v>
      </c>
      <c r="P40">
        <v>1840.7899</v>
      </c>
      <c r="Q40">
        <v>1739.3601000000001</v>
      </c>
    </row>
    <row r="41" spans="1:17" x14ac:dyDescent="0.3">
      <c r="A41" s="1">
        <v>44448</v>
      </c>
      <c r="B41">
        <v>1797.4</v>
      </c>
      <c r="C41">
        <v>1798.7</v>
      </c>
      <c r="D41">
        <v>1787.9</v>
      </c>
      <c r="E41">
        <v>1798.7</v>
      </c>
      <c r="F41">
        <v>49</v>
      </c>
      <c r="G41">
        <v>1809.9428</v>
      </c>
      <c r="H41">
        <v>1792.05</v>
      </c>
      <c r="I41">
        <v>1817.4733000000001</v>
      </c>
      <c r="J41">
        <v>0.95409999999999995</v>
      </c>
      <c r="K41">
        <v>1.0682</v>
      </c>
      <c r="L41">
        <v>0.94320000000000004</v>
      </c>
      <c r="M41">
        <v>55.899000000000001</v>
      </c>
      <c r="N41">
        <v>4.2321999999999997</v>
      </c>
      <c r="O41">
        <v>3.1461999999999999</v>
      </c>
      <c r="P41">
        <v>1834.9291000000001</v>
      </c>
      <c r="Q41">
        <v>1752.3608999999999</v>
      </c>
    </row>
    <row r="42" spans="1:17" x14ac:dyDescent="0.3">
      <c r="A42" s="1">
        <v>44449</v>
      </c>
      <c r="B42">
        <v>1789.6</v>
      </c>
      <c r="C42">
        <v>1789.6</v>
      </c>
      <c r="D42">
        <v>1789.6</v>
      </c>
      <c r="E42">
        <v>1789.6</v>
      </c>
      <c r="F42">
        <v>0</v>
      </c>
      <c r="G42">
        <v>1806.1857</v>
      </c>
      <c r="H42">
        <v>1791.4833000000001</v>
      </c>
      <c r="I42">
        <v>1817.4889000000001</v>
      </c>
      <c r="J42">
        <v>-0.50590000000000002</v>
      </c>
      <c r="K42">
        <v>1.0765</v>
      </c>
      <c r="L42">
        <v>0.94469999999999998</v>
      </c>
      <c r="M42">
        <v>51.682000000000002</v>
      </c>
      <c r="N42">
        <v>2.8912</v>
      </c>
      <c r="O42">
        <v>3.0952000000000002</v>
      </c>
      <c r="P42">
        <v>1831.4799</v>
      </c>
      <c r="Q42">
        <v>1759.8000999999999</v>
      </c>
    </row>
    <row r="43" spans="1:17" x14ac:dyDescent="0.3">
      <c r="A43" s="1">
        <v>44452</v>
      </c>
      <c r="B43">
        <v>1792</v>
      </c>
      <c r="C43">
        <v>1796</v>
      </c>
      <c r="D43">
        <v>1784</v>
      </c>
      <c r="E43">
        <v>1789.8</v>
      </c>
      <c r="F43">
        <v>533</v>
      </c>
      <c r="G43">
        <v>1802.8</v>
      </c>
      <c r="H43">
        <v>1790.21</v>
      </c>
      <c r="I43">
        <v>1817.5811000000001</v>
      </c>
      <c r="J43">
        <v>1.12E-2</v>
      </c>
      <c r="K43">
        <v>1.0793999999999999</v>
      </c>
      <c r="L43">
        <v>0.91659999999999997</v>
      </c>
      <c r="M43">
        <v>54.155999999999999</v>
      </c>
      <c r="N43">
        <v>1.8236000000000001</v>
      </c>
      <c r="O43">
        <v>2.8409</v>
      </c>
      <c r="P43">
        <v>1828.6428000000001</v>
      </c>
      <c r="Q43">
        <v>1765.7872</v>
      </c>
    </row>
    <row r="44" spans="1:17" x14ac:dyDescent="0.3">
      <c r="A44" s="1">
        <v>44453</v>
      </c>
      <c r="B44">
        <v>1804.7</v>
      </c>
      <c r="C44">
        <v>1806.2</v>
      </c>
      <c r="D44">
        <v>1783</v>
      </c>
      <c r="E44">
        <v>1791.4</v>
      </c>
      <c r="F44">
        <v>764</v>
      </c>
      <c r="G44">
        <v>1799.6857</v>
      </c>
      <c r="H44">
        <v>1789.51</v>
      </c>
      <c r="I44">
        <v>1817.6088999999999</v>
      </c>
      <c r="J44">
        <v>8.9399999999999993E-2</v>
      </c>
      <c r="K44">
        <v>1.0829</v>
      </c>
      <c r="L44">
        <v>0.90480000000000005</v>
      </c>
      <c r="M44">
        <v>46.412599999999998</v>
      </c>
      <c r="N44">
        <v>1.0940000000000001</v>
      </c>
      <c r="O44">
        <v>2.4914999999999998</v>
      </c>
      <c r="P44">
        <v>1828.0353</v>
      </c>
      <c r="Q44">
        <v>1767.8447000000001</v>
      </c>
    </row>
    <row r="45" spans="1:17" x14ac:dyDescent="0.3">
      <c r="A45" s="1">
        <v>44454</v>
      </c>
      <c r="B45">
        <v>1792.4</v>
      </c>
      <c r="C45">
        <v>1803.7</v>
      </c>
      <c r="D45">
        <v>1792.4</v>
      </c>
      <c r="E45">
        <v>1803.7</v>
      </c>
      <c r="F45">
        <v>59</v>
      </c>
      <c r="G45">
        <v>1797.2285999999999</v>
      </c>
      <c r="H45">
        <v>1789.2233000000001</v>
      </c>
      <c r="I45">
        <v>1817.1732999999999</v>
      </c>
      <c r="J45">
        <v>0.68659999999999999</v>
      </c>
      <c r="K45">
        <v>1.1109</v>
      </c>
      <c r="L45">
        <v>0.9143</v>
      </c>
      <c r="M45">
        <v>54.2669</v>
      </c>
      <c r="N45">
        <v>1.4911000000000001</v>
      </c>
      <c r="O45">
        <v>2.2913999999999999</v>
      </c>
      <c r="P45">
        <v>1828.5382999999999</v>
      </c>
      <c r="Q45">
        <v>1768.9417000000001</v>
      </c>
    </row>
    <row r="46" spans="1:17" x14ac:dyDescent="0.3">
      <c r="A46" s="1">
        <v>44455</v>
      </c>
      <c r="B46">
        <v>1754.6</v>
      </c>
      <c r="C46">
        <v>1792.9</v>
      </c>
      <c r="D46">
        <v>1743.9</v>
      </c>
      <c r="E46">
        <v>1792.9</v>
      </c>
      <c r="F46">
        <v>1645</v>
      </c>
      <c r="G46">
        <v>1792.5427999999999</v>
      </c>
      <c r="H46">
        <v>1788.6767</v>
      </c>
      <c r="I46">
        <v>1816.6989000000001</v>
      </c>
      <c r="J46">
        <v>-0.5988</v>
      </c>
      <c r="K46">
        <v>1.1077999999999999</v>
      </c>
      <c r="L46">
        <v>0.92030000000000001</v>
      </c>
      <c r="M46">
        <v>51.9191</v>
      </c>
      <c r="N46">
        <v>0.92369999999999997</v>
      </c>
      <c r="O46">
        <v>2.0179</v>
      </c>
      <c r="P46">
        <v>1828.4848</v>
      </c>
      <c r="Q46">
        <v>1769.5051000000001</v>
      </c>
    </row>
    <row r="47" spans="1:17" x14ac:dyDescent="0.3">
      <c r="A47" s="1">
        <v>44456</v>
      </c>
      <c r="B47">
        <v>1749.4</v>
      </c>
      <c r="C47">
        <v>1763</v>
      </c>
      <c r="D47">
        <v>1749.4</v>
      </c>
      <c r="E47">
        <v>1758.8</v>
      </c>
      <c r="F47">
        <v>581</v>
      </c>
      <c r="G47">
        <v>1789.2714000000001</v>
      </c>
      <c r="H47">
        <v>1786.9432999999999</v>
      </c>
      <c r="I47">
        <v>1815.8278</v>
      </c>
      <c r="J47">
        <v>-1.9018999999999999</v>
      </c>
      <c r="K47">
        <v>0.94810000000000005</v>
      </c>
      <c r="L47">
        <v>0.98150000000000004</v>
      </c>
      <c r="M47">
        <v>36.183399999999999</v>
      </c>
      <c r="N47">
        <v>-2.2515999999999998</v>
      </c>
      <c r="O47">
        <v>1.1639999999999999</v>
      </c>
      <c r="P47">
        <v>1831.537</v>
      </c>
      <c r="Q47">
        <v>1764.3330000000001</v>
      </c>
    </row>
    <row r="48" spans="1:17" x14ac:dyDescent="0.3">
      <c r="A48" s="1">
        <v>44459</v>
      </c>
      <c r="B48">
        <v>1761.8</v>
      </c>
      <c r="C48">
        <v>1761.8</v>
      </c>
      <c r="D48">
        <v>1750.9</v>
      </c>
      <c r="E48">
        <v>1751.8</v>
      </c>
      <c r="F48">
        <v>185</v>
      </c>
      <c r="G48">
        <v>1782.5714</v>
      </c>
      <c r="H48">
        <v>1785.3433</v>
      </c>
      <c r="I48">
        <v>1815.0121999999999</v>
      </c>
      <c r="J48">
        <v>-0.39800000000000002</v>
      </c>
      <c r="K48">
        <v>0.80530000000000002</v>
      </c>
      <c r="L48">
        <v>0.97840000000000005</v>
      </c>
      <c r="M48">
        <v>28.385400000000001</v>
      </c>
      <c r="N48">
        <v>-5.2721</v>
      </c>
      <c r="O48">
        <v>-0.12330000000000001</v>
      </c>
      <c r="P48">
        <v>1835.3829000000001</v>
      </c>
      <c r="Q48">
        <v>1757.2571</v>
      </c>
    </row>
    <row r="49" spans="1:17" x14ac:dyDescent="0.3">
      <c r="A49" s="1">
        <v>44460</v>
      </c>
      <c r="B49">
        <v>1776</v>
      </c>
      <c r="C49">
        <v>1776</v>
      </c>
      <c r="D49">
        <v>1759</v>
      </c>
      <c r="E49">
        <v>1762.2</v>
      </c>
      <c r="F49">
        <v>106</v>
      </c>
      <c r="G49">
        <v>1778.6572000000001</v>
      </c>
      <c r="H49">
        <v>1785.6333</v>
      </c>
      <c r="I49">
        <v>1814.4289000000001</v>
      </c>
      <c r="J49">
        <v>0.59370000000000001</v>
      </c>
      <c r="K49">
        <v>0.87909999999999999</v>
      </c>
      <c r="L49">
        <v>0.86509999999999998</v>
      </c>
      <c r="M49">
        <v>33.395099999999999</v>
      </c>
      <c r="N49">
        <v>-6.7488999999999999</v>
      </c>
      <c r="O49">
        <v>-1.4483999999999999</v>
      </c>
      <c r="P49">
        <v>1836.6818000000001</v>
      </c>
      <c r="Q49">
        <v>1754.4982</v>
      </c>
    </row>
    <row r="50" spans="1:17" x14ac:dyDescent="0.3">
      <c r="A50" s="1">
        <v>44461</v>
      </c>
      <c r="B50">
        <v>1776.7</v>
      </c>
      <c r="C50">
        <v>1784.3</v>
      </c>
      <c r="D50">
        <v>1767</v>
      </c>
      <c r="E50">
        <v>1776.7</v>
      </c>
      <c r="F50">
        <v>17</v>
      </c>
      <c r="G50">
        <v>1776.7856999999999</v>
      </c>
      <c r="H50">
        <v>1787.2366999999999</v>
      </c>
      <c r="I50">
        <v>1813.8978</v>
      </c>
      <c r="J50">
        <v>0.82279999999999998</v>
      </c>
      <c r="K50">
        <v>0.9637</v>
      </c>
      <c r="L50">
        <v>0.83260000000000001</v>
      </c>
      <c r="M50">
        <v>39.4131</v>
      </c>
      <c r="N50">
        <v>-6.6723999999999997</v>
      </c>
      <c r="O50">
        <v>-2.4931999999999999</v>
      </c>
      <c r="P50">
        <v>1836.2233000000001</v>
      </c>
      <c r="Q50">
        <v>1752.5266999999999</v>
      </c>
    </row>
    <row r="51" spans="1:17" x14ac:dyDescent="0.3">
      <c r="A51" s="1">
        <v>44462</v>
      </c>
      <c r="B51">
        <v>1747.7</v>
      </c>
      <c r="C51">
        <v>1766.8</v>
      </c>
      <c r="D51">
        <v>1738.2</v>
      </c>
      <c r="E51">
        <v>1766.8</v>
      </c>
      <c r="F51">
        <v>31</v>
      </c>
      <c r="G51">
        <v>1773.2714000000001</v>
      </c>
      <c r="H51">
        <v>1788.5533</v>
      </c>
      <c r="I51">
        <v>1812.9744000000001</v>
      </c>
      <c r="J51">
        <v>-0.55720000000000003</v>
      </c>
      <c r="K51">
        <v>0.97330000000000005</v>
      </c>
      <c r="L51">
        <v>0.84060000000000001</v>
      </c>
      <c r="M51">
        <v>37.350099999999998</v>
      </c>
      <c r="N51">
        <v>-7.3261000000000003</v>
      </c>
      <c r="O51">
        <v>-3.4598</v>
      </c>
      <c r="P51">
        <v>1836.7439999999999</v>
      </c>
      <c r="Q51">
        <v>1749.4860000000001</v>
      </c>
    </row>
    <row r="52" spans="1:17" x14ac:dyDescent="0.3">
      <c r="A52" s="1">
        <v>44463</v>
      </c>
      <c r="B52">
        <v>1749.7</v>
      </c>
      <c r="C52">
        <v>1749.7</v>
      </c>
      <c r="D52">
        <v>1745</v>
      </c>
      <c r="E52">
        <v>1749.7</v>
      </c>
      <c r="F52">
        <v>76</v>
      </c>
      <c r="G52">
        <v>1765.5571</v>
      </c>
      <c r="H52">
        <v>1788.5533</v>
      </c>
      <c r="I52">
        <v>1811.6322</v>
      </c>
      <c r="J52">
        <v>-0.96789999999999998</v>
      </c>
      <c r="K52">
        <v>0.92369999999999997</v>
      </c>
      <c r="L52">
        <v>0.82909999999999995</v>
      </c>
      <c r="M52">
        <v>31.5352</v>
      </c>
      <c r="N52">
        <v>-9.1189</v>
      </c>
      <c r="O52">
        <v>-4.5915999999999997</v>
      </c>
      <c r="P52">
        <v>1838.9632999999999</v>
      </c>
      <c r="Q52">
        <v>1743.4966999999999</v>
      </c>
    </row>
    <row r="53" spans="1:17" x14ac:dyDescent="0.3">
      <c r="A53" s="1">
        <v>44466</v>
      </c>
      <c r="B53">
        <v>1750</v>
      </c>
      <c r="C53">
        <v>1754.4</v>
      </c>
      <c r="D53">
        <v>1747.5</v>
      </c>
      <c r="E53">
        <v>1751.7</v>
      </c>
      <c r="F53">
        <v>808</v>
      </c>
      <c r="G53">
        <v>1759.6713999999999</v>
      </c>
      <c r="H53">
        <v>1788.3333</v>
      </c>
      <c r="I53">
        <v>1810.3578</v>
      </c>
      <c r="J53">
        <v>0.1143</v>
      </c>
      <c r="K53">
        <v>0.94110000000000005</v>
      </c>
      <c r="L53">
        <v>0.82430000000000003</v>
      </c>
      <c r="M53">
        <v>30.526299999999999</v>
      </c>
      <c r="N53">
        <v>-10.26</v>
      </c>
      <c r="O53">
        <v>-5.7252999999999998</v>
      </c>
      <c r="P53">
        <v>1839.1239</v>
      </c>
      <c r="Q53">
        <v>1738.1660999999999</v>
      </c>
    </row>
    <row r="54" spans="1:17" x14ac:dyDescent="0.3">
      <c r="A54" s="1">
        <v>44467</v>
      </c>
      <c r="B54">
        <v>1735.8</v>
      </c>
      <c r="C54">
        <v>1741.7</v>
      </c>
      <c r="D54">
        <v>1726.8</v>
      </c>
      <c r="E54">
        <v>1739.6</v>
      </c>
      <c r="F54">
        <v>15748</v>
      </c>
      <c r="G54">
        <v>1756.9286</v>
      </c>
      <c r="H54">
        <v>1787.09</v>
      </c>
      <c r="I54">
        <v>1808.9589000000001</v>
      </c>
      <c r="J54">
        <v>-0.69079999999999997</v>
      </c>
      <c r="K54">
        <v>0.67800000000000005</v>
      </c>
      <c r="L54">
        <v>0.80789999999999995</v>
      </c>
      <c r="M54">
        <v>36.685600000000001</v>
      </c>
      <c r="N54">
        <v>-12.0024</v>
      </c>
      <c r="O54">
        <v>-6.9806999999999997</v>
      </c>
      <c r="P54">
        <v>1837.6829</v>
      </c>
      <c r="Q54">
        <v>1731.7471</v>
      </c>
    </row>
    <row r="55" spans="1:17" x14ac:dyDescent="0.3">
      <c r="A55" s="1">
        <v>44468</v>
      </c>
      <c r="B55">
        <v>1721.5</v>
      </c>
      <c r="C55">
        <v>1744.1</v>
      </c>
      <c r="D55">
        <v>1721.4</v>
      </c>
      <c r="E55">
        <v>1732.4</v>
      </c>
      <c r="F55">
        <v>6634</v>
      </c>
      <c r="G55">
        <v>1754.1570999999999</v>
      </c>
      <c r="H55">
        <v>1785.2466999999999</v>
      </c>
      <c r="I55">
        <v>1807.4067</v>
      </c>
      <c r="J55">
        <v>-0.41389999999999999</v>
      </c>
      <c r="K55">
        <v>0.67889999999999995</v>
      </c>
      <c r="L55">
        <v>0.79990000000000006</v>
      </c>
      <c r="M55">
        <v>27.646599999999999</v>
      </c>
      <c r="N55">
        <v>-13.805099999999999</v>
      </c>
      <c r="O55">
        <v>-8.3455999999999992</v>
      </c>
      <c r="P55">
        <v>1836.2503999999999</v>
      </c>
      <c r="Q55">
        <v>1724.8296</v>
      </c>
    </row>
    <row r="56" spans="1:17" x14ac:dyDescent="0.3">
      <c r="A56" s="1">
        <v>44469</v>
      </c>
      <c r="B56">
        <v>1755.3</v>
      </c>
      <c r="C56">
        <v>1760.3</v>
      </c>
      <c r="D56">
        <v>1724.5</v>
      </c>
      <c r="E56">
        <v>1725.5</v>
      </c>
      <c r="F56">
        <v>997</v>
      </c>
      <c r="G56">
        <v>1748.9142999999999</v>
      </c>
      <c r="H56">
        <v>1783.17</v>
      </c>
      <c r="I56">
        <v>1805.6667</v>
      </c>
      <c r="J56">
        <v>-0.39829999999999999</v>
      </c>
      <c r="K56">
        <v>0.59440000000000004</v>
      </c>
      <c r="L56">
        <v>0.80149999999999999</v>
      </c>
      <c r="M56">
        <v>28.062899999999999</v>
      </c>
      <c r="N56">
        <v>-15.6105</v>
      </c>
      <c r="O56">
        <v>-9.7985000000000007</v>
      </c>
      <c r="P56">
        <v>1834.7164</v>
      </c>
      <c r="Q56">
        <v>1717.5636</v>
      </c>
    </row>
    <row r="57" spans="1:17" x14ac:dyDescent="0.3">
      <c r="A57" s="1">
        <v>44470</v>
      </c>
      <c r="B57">
        <v>1757</v>
      </c>
      <c r="C57">
        <v>1762.6</v>
      </c>
      <c r="D57">
        <v>1748.5</v>
      </c>
      <c r="E57">
        <v>1754.3</v>
      </c>
      <c r="F57">
        <v>2220</v>
      </c>
      <c r="G57">
        <v>1745.7143000000001</v>
      </c>
      <c r="H57">
        <v>1782.3133</v>
      </c>
      <c r="I57">
        <v>1804.2421999999999</v>
      </c>
      <c r="J57">
        <v>1.6691</v>
      </c>
      <c r="K57">
        <v>0.87860000000000005</v>
      </c>
      <c r="L57">
        <v>0.86219999999999997</v>
      </c>
      <c r="M57">
        <v>39.839700000000001</v>
      </c>
      <c r="N57">
        <v>-14.5497</v>
      </c>
      <c r="O57">
        <v>-10.748799999999999</v>
      </c>
      <c r="P57">
        <v>1829.8161</v>
      </c>
      <c r="Q57">
        <v>1716.5739000000001</v>
      </c>
    </row>
    <row r="58" spans="1:17" x14ac:dyDescent="0.3">
      <c r="A58" s="1">
        <v>44473</v>
      </c>
      <c r="B58">
        <v>1766.2</v>
      </c>
      <c r="C58">
        <v>1768.9</v>
      </c>
      <c r="D58">
        <v>1749.5</v>
      </c>
      <c r="E58">
        <v>1764.5</v>
      </c>
      <c r="F58">
        <v>417</v>
      </c>
      <c r="G58">
        <v>1745.3857</v>
      </c>
      <c r="H58">
        <v>1781.66</v>
      </c>
      <c r="I58">
        <v>1802.7221999999999</v>
      </c>
      <c r="J58">
        <v>0.58140000000000003</v>
      </c>
      <c r="K58">
        <v>0.90180000000000005</v>
      </c>
      <c r="L58">
        <v>0.86850000000000005</v>
      </c>
      <c r="M58">
        <v>42.662300000000002</v>
      </c>
      <c r="N58">
        <v>-12.739100000000001</v>
      </c>
      <c r="O58">
        <v>-11.1469</v>
      </c>
      <c r="P58">
        <v>1822.4257</v>
      </c>
      <c r="Q58">
        <v>1718.3243</v>
      </c>
    </row>
    <row r="59" spans="1:17" x14ac:dyDescent="0.3">
      <c r="A59" s="1">
        <v>44474</v>
      </c>
      <c r="B59">
        <v>1759.6</v>
      </c>
      <c r="C59">
        <v>1764.3</v>
      </c>
      <c r="D59">
        <v>1749</v>
      </c>
      <c r="E59">
        <v>1764.3</v>
      </c>
      <c r="F59">
        <v>98</v>
      </c>
      <c r="G59">
        <v>1747.4713999999999</v>
      </c>
      <c r="H59">
        <v>1781.2433000000001</v>
      </c>
      <c r="I59">
        <v>1801.25</v>
      </c>
      <c r="J59">
        <v>-1.1299999999999999E-2</v>
      </c>
      <c r="K59">
        <v>0.80010000000000003</v>
      </c>
      <c r="L59">
        <v>0.86560000000000004</v>
      </c>
      <c r="M59">
        <v>38.493000000000002</v>
      </c>
      <c r="N59">
        <v>-11.1913</v>
      </c>
      <c r="O59">
        <v>-11.155799999999999</v>
      </c>
      <c r="P59">
        <v>1812.3934999999999</v>
      </c>
      <c r="Q59">
        <v>1722.2165</v>
      </c>
    </row>
    <row r="60" spans="1:17" x14ac:dyDescent="0.3">
      <c r="A60" s="1">
        <v>44475</v>
      </c>
      <c r="B60">
        <v>1760.5</v>
      </c>
      <c r="C60">
        <v>1762.9</v>
      </c>
      <c r="D60">
        <v>1744.7</v>
      </c>
      <c r="E60">
        <v>1759.3</v>
      </c>
      <c r="F60">
        <v>56</v>
      </c>
      <c r="G60">
        <v>1748.5572</v>
      </c>
      <c r="H60">
        <v>1779.8533</v>
      </c>
      <c r="I60">
        <v>1799.7144000000001</v>
      </c>
      <c r="J60">
        <v>-0.28339999999999999</v>
      </c>
      <c r="K60">
        <v>0.81469999999999998</v>
      </c>
      <c r="L60">
        <v>0.82620000000000005</v>
      </c>
      <c r="M60">
        <v>39.842799999999997</v>
      </c>
      <c r="N60">
        <v>-10.25</v>
      </c>
      <c r="O60">
        <v>-10.974600000000001</v>
      </c>
      <c r="P60">
        <v>1810.8789999999999</v>
      </c>
      <c r="Q60">
        <v>1721.491</v>
      </c>
    </row>
    <row r="61" spans="1:17" x14ac:dyDescent="0.3">
      <c r="A61" s="1">
        <v>44476</v>
      </c>
      <c r="B61">
        <v>1757.9</v>
      </c>
      <c r="C61">
        <v>1762.4</v>
      </c>
      <c r="D61">
        <v>1752.8</v>
      </c>
      <c r="E61">
        <v>1762.4</v>
      </c>
      <c r="F61">
        <v>336</v>
      </c>
      <c r="G61">
        <v>1751.8143</v>
      </c>
      <c r="H61">
        <v>1778.8667</v>
      </c>
      <c r="I61">
        <v>1798.1288999999999</v>
      </c>
      <c r="J61">
        <v>0.1762</v>
      </c>
      <c r="K61">
        <v>0.74350000000000005</v>
      </c>
      <c r="L61">
        <v>0.82340000000000002</v>
      </c>
      <c r="M61">
        <v>51.339300000000001</v>
      </c>
      <c r="N61">
        <v>-9.1484000000000005</v>
      </c>
      <c r="O61">
        <v>-10.609400000000001</v>
      </c>
      <c r="P61">
        <v>1806.3715</v>
      </c>
      <c r="Q61">
        <v>1722.3685</v>
      </c>
    </row>
    <row r="62" spans="1:17" x14ac:dyDescent="0.3">
      <c r="A62" s="1">
        <v>44477</v>
      </c>
      <c r="B62">
        <v>1756.3</v>
      </c>
      <c r="C62">
        <v>1780</v>
      </c>
      <c r="D62">
        <v>1754.2</v>
      </c>
      <c r="E62">
        <v>1757</v>
      </c>
      <c r="F62">
        <v>254</v>
      </c>
      <c r="G62">
        <v>1755.3286000000001</v>
      </c>
      <c r="H62">
        <v>1777.8533</v>
      </c>
      <c r="I62">
        <v>1796.5489</v>
      </c>
      <c r="J62">
        <v>-0.30640000000000001</v>
      </c>
      <c r="K62">
        <v>0.72989999999999999</v>
      </c>
      <c r="L62">
        <v>0.82389999999999997</v>
      </c>
      <c r="M62">
        <v>51.957799999999999</v>
      </c>
      <c r="N62">
        <v>-8.6119000000000003</v>
      </c>
      <c r="O62">
        <v>-10.209899999999999</v>
      </c>
      <c r="P62">
        <v>1803.1178</v>
      </c>
      <c r="Q62">
        <v>1722.3622</v>
      </c>
    </row>
    <row r="63" spans="1:17" x14ac:dyDescent="0.3">
      <c r="A63" s="1">
        <v>44480</v>
      </c>
      <c r="B63">
        <v>1754.6</v>
      </c>
      <c r="C63">
        <v>1757.8</v>
      </c>
      <c r="D63">
        <v>1752.2</v>
      </c>
      <c r="E63">
        <v>1756.6</v>
      </c>
      <c r="F63">
        <v>128</v>
      </c>
      <c r="G63">
        <v>1759.7714000000001</v>
      </c>
      <c r="H63">
        <v>1776.2933</v>
      </c>
      <c r="I63">
        <v>1794.8578</v>
      </c>
      <c r="J63">
        <v>-2.2800000000000001E-2</v>
      </c>
      <c r="K63">
        <v>0.69110000000000005</v>
      </c>
      <c r="L63">
        <v>0.80430000000000001</v>
      </c>
      <c r="M63">
        <v>47.719900000000003</v>
      </c>
      <c r="N63">
        <v>-8.1251999999999995</v>
      </c>
      <c r="O63">
        <v>-9.7928999999999995</v>
      </c>
      <c r="P63">
        <v>1799.4537</v>
      </c>
      <c r="Q63">
        <v>1722.7063000000001</v>
      </c>
    </row>
    <row r="64" spans="1:17" x14ac:dyDescent="0.3">
      <c r="A64" s="1">
        <v>44481</v>
      </c>
      <c r="B64">
        <v>1758.3</v>
      </c>
      <c r="C64">
        <v>1768</v>
      </c>
      <c r="D64">
        <v>1749.8</v>
      </c>
      <c r="E64">
        <v>1751.9</v>
      </c>
      <c r="F64">
        <v>139</v>
      </c>
      <c r="G64">
        <v>1759.4286</v>
      </c>
      <c r="H64">
        <v>1774.0833</v>
      </c>
      <c r="I64">
        <v>1793.5533</v>
      </c>
      <c r="J64">
        <v>-0.2676</v>
      </c>
      <c r="K64">
        <v>0.3196</v>
      </c>
      <c r="L64">
        <v>0.78639999999999999</v>
      </c>
      <c r="M64">
        <v>39.026600000000002</v>
      </c>
      <c r="N64">
        <v>-8.0263000000000009</v>
      </c>
      <c r="O64">
        <v>-9.4396000000000004</v>
      </c>
      <c r="P64">
        <v>1794.8866</v>
      </c>
      <c r="Q64">
        <v>1723.3234</v>
      </c>
    </row>
    <row r="65" spans="1:17" x14ac:dyDescent="0.3">
      <c r="A65" s="1">
        <v>44482</v>
      </c>
      <c r="B65">
        <v>1793.7</v>
      </c>
      <c r="C65">
        <v>1794.5</v>
      </c>
      <c r="D65">
        <v>1760.8</v>
      </c>
      <c r="E65">
        <v>1760.8</v>
      </c>
      <c r="F65">
        <v>150</v>
      </c>
      <c r="G65">
        <v>1758.9</v>
      </c>
      <c r="H65">
        <v>1772.2466999999999</v>
      </c>
      <c r="I65">
        <v>1792.1122</v>
      </c>
      <c r="J65">
        <v>0.50800000000000001</v>
      </c>
      <c r="K65">
        <v>0.29699999999999999</v>
      </c>
      <c r="L65">
        <v>0.79469999999999996</v>
      </c>
      <c r="M65">
        <v>47.321399999999997</v>
      </c>
      <c r="N65">
        <v>-7.1474000000000002</v>
      </c>
      <c r="O65">
        <v>-8.9811999999999994</v>
      </c>
      <c r="P65">
        <v>1785.9924000000001</v>
      </c>
      <c r="Q65">
        <v>1727.9277</v>
      </c>
    </row>
    <row r="66" spans="1:17" x14ac:dyDescent="0.3">
      <c r="A66" s="1">
        <v>44483</v>
      </c>
      <c r="B66">
        <v>1796.7</v>
      </c>
      <c r="C66">
        <v>1799.9</v>
      </c>
      <c r="D66">
        <v>1792</v>
      </c>
      <c r="E66">
        <v>1792.2</v>
      </c>
      <c r="F66">
        <v>337</v>
      </c>
      <c r="G66">
        <v>1762.8857</v>
      </c>
      <c r="H66">
        <v>1771.5367000000001</v>
      </c>
      <c r="I66">
        <v>1790.9532999999999</v>
      </c>
      <c r="J66">
        <v>1.7833000000000001</v>
      </c>
      <c r="K66">
        <v>0.74780000000000002</v>
      </c>
      <c r="L66">
        <v>0.86580000000000001</v>
      </c>
      <c r="M66">
        <v>66.825000000000003</v>
      </c>
      <c r="N66">
        <v>-3.8725000000000001</v>
      </c>
      <c r="O66">
        <v>-7.9593999999999996</v>
      </c>
      <c r="P66">
        <v>1785.7760000000001</v>
      </c>
      <c r="Q66">
        <v>1728.0740000000001</v>
      </c>
    </row>
    <row r="67" spans="1:17" x14ac:dyDescent="0.3">
      <c r="A67" s="1">
        <v>44484</v>
      </c>
      <c r="B67">
        <v>1767.2</v>
      </c>
      <c r="C67">
        <v>1795.4</v>
      </c>
      <c r="D67">
        <v>1766.6</v>
      </c>
      <c r="E67">
        <v>1794.5</v>
      </c>
      <c r="F67">
        <v>874</v>
      </c>
      <c r="G67">
        <v>1767.9142999999999</v>
      </c>
      <c r="H67">
        <v>1770.9132999999999</v>
      </c>
      <c r="I67">
        <v>1789.8378</v>
      </c>
      <c r="J67">
        <v>0.1283</v>
      </c>
      <c r="K67">
        <v>0.71660000000000001</v>
      </c>
      <c r="L67">
        <v>0.86629999999999996</v>
      </c>
      <c r="M67">
        <v>66.903700000000001</v>
      </c>
      <c r="N67">
        <v>-1.079</v>
      </c>
      <c r="O67">
        <v>-6.5833000000000004</v>
      </c>
      <c r="P67">
        <v>1792.1086</v>
      </c>
      <c r="Q67">
        <v>1725.3114</v>
      </c>
    </row>
    <row r="68" spans="1:17" x14ac:dyDescent="0.3">
      <c r="A68" s="1">
        <v>44487</v>
      </c>
      <c r="B68">
        <v>1764.8</v>
      </c>
      <c r="C68">
        <v>1770.1</v>
      </c>
      <c r="D68">
        <v>1759.5</v>
      </c>
      <c r="E68">
        <v>1761.6</v>
      </c>
      <c r="F68">
        <v>266</v>
      </c>
      <c r="G68">
        <v>1767.8</v>
      </c>
      <c r="H68">
        <v>1768.9367</v>
      </c>
      <c r="I68">
        <v>1788.4367</v>
      </c>
      <c r="J68">
        <v>-1.8333999999999999</v>
      </c>
      <c r="K68">
        <v>1.0787</v>
      </c>
      <c r="L68">
        <v>0.92169999999999996</v>
      </c>
      <c r="M68">
        <v>57.462699999999998</v>
      </c>
      <c r="N68">
        <v>-1.5025999999999999</v>
      </c>
      <c r="O68">
        <v>-5.5671999999999997</v>
      </c>
      <c r="P68">
        <v>1792.4590000000001</v>
      </c>
      <c r="Q68">
        <v>1725.941</v>
      </c>
    </row>
    <row r="69" spans="1:17" x14ac:dyDescent="0.3">
      <c r="A69" s="1">
        <v>44488</v>
      </c>
      <c r="B69">
        <v>1769.7</v>
      </c>
      <c r="C69">
        <v>1785</v>
      </c>
      <c r="D69">
        <v>1767.5</v>
      </c>
      <c r="E69">
        <v>1777.6</v>
      </c>
      <c r="F69">
        <v>51</v>
      </c>
      <c r="G69">
        <v>1770.7429</v>
      </c>
      <c r="H69">
        <v>1767.3333</v>
      </c>
      <c r="I69">
        <v>1787.0667000000001</v>
      </c>
      <c r="J69">
        <v>0.9083</v>
      </c>
      <c r="K69">
        <v>1.1185</v>
      </c>
      <c r="L69">
        <v>0.93789999999999996</v>
      </c>
      <c r="M69">
        <v>64.468599999999995</v>
      </c>
      <c r="N69">
        <v>-0.54110000000000003</v>
      </c>
      <c r="O69">
        <v>-4.5620000000000003</v>
      </c>
      <c r="P69">
        <v>1794.2197000000001</v>
      </c>
      <c r="Q69">
        <v>1725.7203</v>
      </c>
    </row>
    <row r="70" spans="1:17" x14ac:dyDescent="0.3">
      <c r="A70" s="1">
        <v>44489</v>
      </c>
      <c r="B70">
        <v>1784.1</v>
      </c>
      <c r="C70">
        <v>1785.6</v>
      </c>
      <c r="D70">
        <v>1774</v>
      </c>
      <c r="E70">
        <v>1774.6</v>
      </c>
      <c r="F70">
        <v>127</v>
      </c>
      <c r="G70">
        <v>1773.3143</v>
      </c>
      <c r="H70">
        <v>1767.0967000000001</v>
      </c>
      <c r="I70">
        <v>1786.0489</v>
      </c>
      <c r="J70">
        <v>-0.16880000000000001</v>
      </c>
      <c r="K70">
        <v>1.1241000000000001</v>
      </c>
      <c r="L70">
        <v>0.82930000000000004</v>
      </c>
      <c r="M70">
        <v>66.119500000000002</v>
      </c>
      <c r="N70">
        <v>-2.0799999999999999E-2</v>
      </c>
      <c r="O70">
        <v>-3.6537999999999999</v>
      </c>
      <c r="P70">
        <v>1793.9110000000001</v>
      </c>
      <c r="Q70">
        <v>1725.819</v>
      </c>
    </row>
    <row r="71" spans="1:17" x14ac:dyDescent="0.3">
      <c r="A71" s="1">
        <v>44490</v>
      </c>
      <c r="B71">
        <v>1781.2</v>
      </c>
      <c r="C71">
        <v>1785.7</v>
      </c>
      <c r="D71">
        <v>1781</v>
      </c>
      <c r="E71">
        <v>1782</v>
      </c>
      <c r="F71">
        <v>146</v>
      </c>
      <c r="G71">
        <v>1777.6143</v>
      </c>
      <c r="H71">
        <v>1766.54</v>
      </c>
      <c r="I71">
        <v>1785.1111000000001</v>
      </c>
      <c r="J71">
        <v>0.41699999999999998</v>
      </c>
      <c r="K71">
        <v>1.1113</v>
      </c>
      <c r="L71">
        <v>0.81340000000000001</v>
      </c>
      <c r="M71">
        <v>60.580599999999997</v>
      </c>
      <c r="N71">
        <v>0.97729999999999995</v>
      </c>
      <c r="O71">
        <v>-2.7275</v>
      </c>
      <c r="P71">
        <v>1795.9765</v>
      </c>
      <c r="Q71">
        <v>1725.2735</v>
      </c>
    </row>
    <row r="72" spans="1:17" x14ac:dyDescent="0.3">
      <c r="A72" s="1">
        <v>44491</v>
      </c>
      <c r="B72">
        <v>1795.5</v>
      </c>
      <c r="C72">
        <v>1806.9</v>
      </c>
      <c r="D72">
        <v>1784</v>
      </c>
      <c r="E72">
        <v>1787.1</v>
      </c>
      <c r="F72">
        <v>532</v>
      </c>
      <c r="G72">
        <v>1781.3714</v>
      </c>
      <c r="H72">
        <v>1766.4567</v>
      </c>
      <c r="I72">
        <v>1784.3078</v>
      </c>
      <c r="J72">
        <v>0.28620000000000001</v>
      </c>
      <c r="K72">
        <v>1.1057999999999999</v>
      </c>
      <c r="L72">
        <v>0.81020000000000003</v>
      </c>
      <c r="M72">
        <v>58.982500000000002</v>
      </c>
      <c r="N72">
        <v>2.1549999999999998</v>
      </c>
      <c r="O72">
        <v>-1.7509999999999999</v>
      </c>
      <c r="P72">
        <v>1799.3384000000001</v>
      </c>
      <c r="Q72">
        <v>1725.6515999999999</v>
      </c>
    </row>
    <row r="73" spans="1:17" x14ac:dyDescent="0.3">
      <c r="A73" s="1">
        <v>44494</v>
      </c>
      <c r="B73">
        <v>1806</v>
      </c>
      <c r="C73">
        <v>1809</v>
      </c>
      <c r="D73">
        <v>1794</v>
      </c>
      <c r="E73">
        <v>1794.3</v>
      </c>
      <c r="F73">
        <v>140</v>
      </c>
      <c r="G73">
        <v>1781.6713999999999</v>
      </c>
      <c r="H73">
        <v>1766.6067</v>
      </c>
      <c r="I73">
        <v>1784.1133</v>
      </c>
      <c r="J73">
        <v>0.40289999999999998</v>
      </c>
      <c r="K73">
        <v>0.88</v>
      </c>
      <c r="L73">
        <v>0.81359999999999999</v>
      </c>
      <c r="M73">
        <v>61.295200000000001</v>
      </c>
      <c r="N73">
        <v>3.6274999999999999</v>
      </c>
      <c r="O73">
        <v>-0.67530000000000001</v>
      </c>
      <c r="P73">
        <v>1803.6987999999999</v>
      </c>
      <c r="Q73">
        <v>1725.5512000000001</v>
      </c>
    </row>
    <row r="74" spans="1:17" x14ac:dyDescent="0.3">
      <c r="A74" s="1">
        <v>44495</v>
      </c>
      <c r="B74">
        <v>1792.7</v>
      </c>
      <c r="C74">
        <v>1808.8</v>
      </c>
      <c r="D74">
        <v>1788.6</v>
      </c>
      <c r="E74">
        <v>1808.8</v>
      </c>
      <c r="F74">
        <v>359</v>
      </c>
      <c r="G74">
        <v>1783.7143000000001</v>
      </c>
      <c r="H74">
        <v>1767.1867</v>
      </c>
      <c r="I74">
        <v>1784.4811</v>
      </c>
      <c r="J74">
        <v>0.80810000000000004</v>
      </c>
      <c r="K74">
        <v>0.93</v>
      </c>
      <c r="L74">
        <v>0.82640000000000002</v>
      </c>
      <c r="M74">
        <v>67.392799999999994</v>
      </c>
      <c r="N74">
        <v>5.8966000000000003</v>
      </c>
      <c r="O74">
        <v>0.6391</v>
      </c>
      <c r="P74">
        <v>1809.9818</v>
      </c>
      <c r="Q74">
        <v>1726.1882000000001</v>
      </c>
    </row>
    <row r="75" spans="1:17" x14ac:dyDescent="0.3">
      <c r="A75" s="1">
        <v>44496</v>
      </c>
      <c r="B75">
        <v>1797.9</v>
      </c>
      <c r="C75">
        <v>1798.1</v>
      </c>
      <c r="D75">
        <v>1791.5</v>
      </c>
      <c r="E75">
        <v>1791.5</v>
      </c>
      <c r="F75">
        <v>543</v>
      </c>
      <c r="G75">
        <v>1787.9857</v>
      </c>
      <c r="H75">
        <v>1766.78</v>
      </c>
      <c r="I75">
        <v>1784.7333000000001</v>
      </c>
      <c r="J75">
        <v>-0.95640000000000003</v>
      </c>
      <c r="K75">
        <v>0.6361</v>
      </c>
      <c r="L75">
        <v>0.83620000000000005</v>
      </c>
      <c r="M75">
        <v>59.2971</v>
      </c>
      <c r="N75">
        <v>6.2270000000000003</v>
      </c>
      <c r="O75">
        <v>1.7566999999999999</v>
      </c>
      <c r="P75">
        <v>1810.6116</v>
      </c>
      <c r="Q75">
        <v>1731.4684</v>
      </c>
    </row>
    <row r="76" spans="1:17" x14ac:dyDescent="0.3">
      <c r="A76" s="1">
        <v>44497</v>
      </c>
      <c r="B76">
        <v>1801.6</v>
      </c>
      <c r="C76">
        <v>1807.3</v>
      </c>
      <c r="D76">
        <v>1795.5</v>
      </c>
      <c r="E76">
        <v>1795.5</v>
      </c>
      <c r="F76">
        <v>452</v>
      </c>
      <c r="G76">
        <v>1790.5428999999999</v>
      </c>
      <c r="H76">
        <v>1766.8667</v>
      </c>
      <c r="I76">
        <v>1784.8678</v>
      </c>
      <c r="J76">
        <v>0.2233</v>
      </c>
      <c r="K76">
        <v>0.56540000000000001</v>
      </c>
      <c r="L76">
        <v>0.83</v>
      </c>
      <c r="M76">
        <v>62.411299999999997</v>
      </c>
      <c r="N76">
        <v>6.7340999999999998</v>
      </c>
      <c r="O76">
        <v>2.7521</v>
      </c>
      <c r="P76">
        <v>1809.2340999999999</v>
      </c>
      <c r="Q76">
        <v>1739.846</v>
      </c>
    </row>
    <row r="77" spans="1:17" x14ac:dyDescent="0.3">
      <c r="A77" s="1">
        <v>44498</v>
      </c>
      <c r="B77">
        <v>1783</v>
      </c>
      <c r="C77">
        <v>1797</v>
      </c>
      <c r="D77">
        <v>1774.6</v>
      </c>
      <c r="E77">
        <v>1793.1</v>
      </c>
      <c r="F77">
        <v>583</v>
      </c>
      <c r="G77">
        <v>1793.1857</v>
      </c>
      <c r="H77">
        <v>1768.01</v>
      </c>
      <c r="I77">
        <v>1785.0056</v>
      </c>
      <c r="J77">
        <v>-0.13370000000000001</v>
      </c>
      <c r="K77">
        <v>0.56230000000000002</v>
      </c>
      <c r="L77">
        <v>0.74839999999999995</v>
      </c>
      <c r="M77">
        <v>61.616799999999998</v>
      </c>
      <c r="N77">
        <v>6.8631000000000002</v>
      </c>
      <c r="O77">
        <v>3.5743</v>
      </c>
      <c r="P77">
        <v>1810.7453</v>
      </c>
      <c r="Q77">
        <v>1742.2148</v>
      </c>
    </row>
    <row r="78" spans="1:17" x14ac:dyDescent="0.3">
      <c r="A78" s="1">
        <v>44501</v>
      </c>
      <c r="B78">
        <v>1795.1</v>
      </c>
      <c r="C78">
        <v>1795.1</v>
      </c>
      <c r="D78">
        <v>1786.7</v>
      </c>
      <c r="E78">
        <v>1787.5</v>
      </c>
      <c r="F78">
        <v>142</v>
      </c>
      <c r="G78">
        <v>1793.9713999999999</v>
      </c>
      <c r="H78">
        <v>1769.2</v>
      </c>
      <c r="I78">
        <v>1785.1011000000001</v>
      </c>
      <c r="J78">
        <v>-0.31230000000000002</v>
      </c>
      <c r="K78">
        <v>0.57199999999999995</v>
      </c>
      <c r="L78">
        <v>0.74680000000000002</v>
      </c>
      <c r="M78">
        <v>61.265799999999999</v>
      </c>
      <c r="N78">
        <v>6.4393000000000002</v>
      </c>
      <c r="O78">
        <v>4.1473000000000004</v>
      </c>
      <c r="P78">
        <v>1811.7457999999999</v>
      </c>
      <c r="Q78">
        <v>1743.5142000000001</v>
      </c>
    </row>
    <row r="79" spans="1:17" x14ac:dyDescent="0.3">
      <c r="A79" s="1">
        <v>44502</v>
      </c>
      <c r="B79">
        <v>1788.7</v>
      </c>
      <c r="C79">
        <v>1795.5</v>
      </c>
      <c r="D79">
        <v>1787.7</v>
      </c>
      <c r="E79">
        <v>1790.5</v>
      </c>
      <c r="F79">
        <v>213</v>
      </c>
      <c r="G79">
        <v>1794.4572000000001</v>
      </c>
      <c r="H79">
        <v>1770.1433</v>
      </c>
      <c r="I79">
        <v>1785.2433000000001</v>
      </c>
      <c r="J79">
        <v>0.1678</v>
      </c>
      <c r="K79">
        <v>0.56540000000000001</v>
      </c>
      <c r="L79">
        <v>0.74050000000000005</v>
      </c>
      <c r="M79">
        <v>59.763300000000001</v>
      </c>
      <c r="N79">
        <v>6.2732000000000001</v>
      </c>
      <c r="O79">
        <v>4.5724999999999998</v>
      </c>
      <c r="P79">
        <v>1812.9124999999999</v>
      </c>
      <c r="Q79">
        <v>1744.9675</v>
      </c>
    </row>
    <row r="80" spans="1:17" x14ac:dyDescent="0.3">
      <c r="A80" s="1">
        <v>44503</v>
      </c>
      <c r="B80">
        <v>1763.6</v>
      </c>
      <c r="C80">
        <v>1768</v>
      </c>
      <c r="D80">
        <v>1761.8</v>
      </c>
      <c r="E80">
        <v>1768</v>
      </c>
      <c r="F80">
        <v>108</v>
      </c>
      <c r="G80">
        <v>1790.7</v>
      </c>
      <c r="H80">
        <v>1769.8533</v>
      </c>
      <c r="I80">
        <v>1785.1143999999999</v>
      </c>
      <c r="J80">
        <v>-1.2565999999999999</v>
      </c>
      <c r="K80">
        <v>0.71130000000000004</v>
      </c>
      <c r="L80">
        <v>0.76319999999999999</v>
      </c>
      <c r="M80">
        <v>41.5503</v>
      </c>
      <c r="N80">
        <v>4.2766999999999999</v>
      </c>
      <c r="O80">
        <v>4.5133000000000001</v>
      </c>
      <c r="P80">
        <v>1812.5008</v>
      </c>
      <c r="Q80">
        <v>1746.2492</v>
      </c>
    </row>
    <row r="81" spans="1:17" x14ac:dyDescent="0.3">
      <c r="A81" s="1">
        <v>44504</v>
      </c>
      <c r="B81">
        <v>1793</v>
      </c>
      <c r="C81">
        <v>1798.2</v>
      </c>
      <c r="D81">
        <v>1776.2</v>
      </c>
      <c r="E81">
        <v>1776.6</v>
      </c>
      <c r="F81">
        <v>103</v>
      </c>
      <c r="G81">
        <v>1786.1</v>
      </c>
      <c r="H81">
        <v>1770.18</v>
      </c>
      <c r="I81">
        <v>1785.1122</v>
      </c>
      <c r="J81">
        <v>0.4864</v>
      </c>
      <c r="K81">
        <v>0.64170000000000005</v>
      </c>
      <c r="L81">
        <v>0.76129999999999998</v>
      </c>
      <c r="M81">
        <v>44.013399999999997</v>
      </c>
      <c r="N81">
        <v>3.3498000000000001</v>
      </c>
      <c r="O81">
        <v>4.2805999999999997</v>
      </c>
      <c r="P81">
        <v>1812.2744</v>
      </c>
      <c r="Q81">
        <v>1747.8956000000001</v>
      </c>
    </row>
    <row r="82" spans="1:17" x14ac:dyDescent="0.3">
      <c r="A82" s="1">
        <v>44505</v>
      </c>
      <c r="B82">
        <v>1816.4</v>
      </c>
      <c r="C82">
        <v>1817.1</v>
      </c>
      <c r="D82">
        <v>1794.9</v>
      </c>
      <c r="E82">
        <v>1794.9</v>
      </c>
      <c r="F82">
        <v>239</v>
      </c>
      <c r="G82">
        <v>1786.5857000000001</v>
      </c>
      <c r="H82">
        <v>1771.6867</v>
      </c>
      <c r="I82">
        <v>1785.4878000000001</v>
      </c>
      <c r="J82">
        <v>1.0301</v>
      </c>
      <c r="K82">
        <v>0.71460000000000001</v>
      </c>
      <c r="L82">
        <v>0.75919999999999999</v>
      </c>
      <c r="M82">
        <v>62.342500000000001</v>
      </c>
      <c r="N82">
        <v>4.0452000000000004</v>
      </c>
      <c r="O82">
        <v>4.2336</v>
      </c>
      <c r="P82">
        <v>1812.8839</v>
      </c>
      <c r="Q82">
        <v>1751.0761</v>
      </c>
    </row>
    <row r="83" spans="1:17" x14ac:dyDescent="0.3">
      <c r="A83" s="1">
        <v>44508</v>
      </c>
      <c r="B83">
        <v>1827.4</v>
      </c>
      <c r="C83">
        <v>1827.4</v>
      </c>
      <c r="D83">
        <v>1816.9</v>
      </c>
      <c r="E83">
        <v>1817</v>
      </c>
      <c r="F83">
        <v>261</v>
      </c>
      <c r="G83">
        <v>1789.6570999999999</v>
      </c>
      <c r="H83">
        <v>1773.8633</v>
      </c>
      <c r="I83">
        <v>1785.9467</v>
      </c>
      <c r="J83">
        <v>1.2313000000000001</v>
      </c>
      <c r="K83">
        <v>0.84909999999999997</v>
      </c>
      <c r="L83">
        <v>0.78739999999999999</v>
      </c>
      <c r="M83">
        <v>63.971600000000002</v>
      </c>
      <c r="N83">
        <v>6.3068999999999997</v>
      </c>
      <c r="O83">
        <v>4.6482000000000001</v>
      </c>
      <c r="P83">
        <v>1817.2371000000001</v>
      </c>
      <c r="Q83">
        <v>1752.7628999999999</v>
      </c>
    </row>
    <row r="84" spans="1:17" x14ac:dyDescent="0.3">
      <c r="A84" s="1">
        <v>44509</v>
      </c>
      <c r="B84">
        <v>1830.2</v>
      </c>
      <c r="C84">
        <v>1832.7</v>
      </c>
      <c r="D84">
        <v>1820.7</v>
      </c>
      <c r="E84">
        <v>1826.1</v>
      </c>
      <c r="F84">
        <v>170</v>
      </c>
      <c r="G84">
        <v>1794.3714</v>
      </c>
      <c r="H84">
        <v>1776.7466999999999</v>
      </c>
      <c r="I84">
        <v>1786.4733000000001</v>
      </c>
      <c r="J84">
        <v>0.50080000000000002</v>
      </c>
      <c r="K84">
        <v>0.8448</v>
      </c>
      <c r="L84">
        <v>0.77480000000000004</v>
      </c>
      <c r="M84">
        <v>67.505099999999999</v>
      </c>
      <c r="N84">
        <v>8.7330000000000005</v>
      </c>
      <c r="O84">
        <v>5.4652000000000003</v>
      </c>
      <c r="P84">
        <v>1821.9702</v>
      </c>
      <c r="Q84">
        <v>1755.4498000000001</v>
      </c>
    </row>
    <row r="85" spans="1:17" x14ac:dyDescent="0.3">
      <c r="A85" s="1">
        <v>44510</v>
      </c>
      <c r="B85">
        <v>1847.6</v>
      </c>
      <c r="C85">
        <v>1865</v>
      </c>
      <c r="D85">
        <v>1824.9</v>
      </c>
      <c r="E85">
        <v>1825.8</v>
      </c>
      <c r="F85">
        <v>795</v>
      </c>
      <c r="G85">
        <v>1799.8429000000001</v>
      </c>
      <c r="H85">
        <v>1779.86</v>
      </c>
      <c r="I85">
        <v>1786.9078</v>
      </c>
      <c r="J85">
        <v>-1.6400000000000001E-2</v>
      </c>
      <c r="K85">
        <v>0.81810000000000005</v>
      </c>
      <c r="L85">
        <v>0.76790000000000003</v>
      </c>
      <c r="M85">
        <v>65.642899999999997</v>
      </c>
      <c r="N85">
        <v>10.510300000000001</v>
      </c>
      <c r="O85">
        <v>6.4741999999999997</v>
      </c>
      <c r="P85">
        <v>1826.4186</v>
      </c>
      <c r="Q85">
        <v>1757.5014000000001</v>
      </c>
    </row>
    <row r="86" spans="1:17" x14ac:dyDescent="0.3">
      <c r="A86" s="1">
        <v>44511</v>
      </c>
      <c r="B86">
        <v>1863.2</v>
      </c>
      <c r="C86">
        <v>1866.5</v>
      </c>
      <c r="D86">
        <v>1853.9</v>
      </c>
      <c r="E86">
        <v>1853.9</v>
      </c>
      <c r="F86">
        <v>292</v>
      </c>
      <c r="G86">
        <v>1808.9</v>
      </c>
      <c r="H86">
        <v>1784.14</v>
      </c>
      <c r="I86">
        <v>1787.5210999999999</v>
      </c>
      <c r="J86">
        <v>1.5389999999999999</v>
      </c>
      <c r="K86">
        <v>0.93520000000000003</v>
      </c>
      <c r="L86">
        <v>0.79859999999999998</v>
      </c>
      <c r="M86">
        <v>70.490799999999993</v>
      </c>
      <c r="N86">
        <v>14.0246</v>
      </c>
      <c r="O86">
        <v>7.9843000000000002</v>
      </c>
      <c r="P86">
        <v>1839.2605000000001</v>
      </c>
      <c r="Q86">
        <v>1750.8295000000001</v>
      </c>
    </row>
    <row r="87" spans="1:17" x14ac:dyDescent="0.3">
      <c r="A87" s="1">
        <v>44512</v>
      </c>
      <c r="B87">
        <v>1867.9</v>
      </c>
      <c r="C87">
        <v>1867.9</v>
      </c>
      <c r="D87">
        <v>1847.6</v>
      </c>
      <c r="E87">
        <v>1860.8</v>
      </c>
      <c r="F87">
        <v>210</v>
      </c>
      <c r="G87">
        <v>1822.1572000000001</v>
      </c>
      <c r="H87">
        <v>1787.69</v>
      </c>
      <c r="I87">
        <v>1788.23</v>
      </c>
      <c r="J87">
        <v>0.37219999999999998</v>
      </c>
      <c r="K87">
        <v>0.54659999999999997</v>
      </c>
      <c r="L87">
        <v>0.75249999999999995</v>
      </c>
      <c r="M87">
        <v>70.436400000000006</v>
      </c>
      <c r="N87">
        <v>17.168600000000001</v>
      </c>
      <c r="O87">
        <v>9.8210999999999995</v>
      </c>
      <c r="P87">
        <v>1851.4536000000001</v>
      </c>
      <c r="Q87">
        <v>1745.2664</v>
      </c>
    </row>
    <row r="88" spans="1:17" x14ac:dyDescent="0.3">
      <c r="A88" s="1">
        <v>44515</v>
      </c>
      <c r="B88">
        <v>1866.1</v>
      </c>
      <c r="C88">
        <v>1866.9</v>
      </c>
      <c r="D88">
        <v>1864.5</v>
      </c>
      <c r="E88">
        <v>1864.5</v>
      </c>
      <c r="F88">
        <v>87</v>
      </c>
      <c r="G88">
        <v>1834.7143000000001</v>
      </c>
      <c r="H88">
        <v>1791.0233000000001</v>
      </c>
      <c r="I88">
        <v>1788.9067</v>
      </c>
      <c r="J88">
        <v>0.1988</v>
      </c>
      <c r="K88">
        <v>0.57830000000000004</v>
      </c>
      <c r="L88">
        <v>0.74909999999999999</v>
      </c>
      <c r="M88">
        <v>68.334400000000002</v>
      </c>
      <c r="N88">
        <v>19.731300000000001</v>
      </c>
      <c r="O88">
        <v>11.8032</v>
      </c>
      <c r="P88">
        <v>1861.3317999999999</v>
      </c>
      <c r="Q88">
        <v>1745.6782000000001</v>
      </c>
    </row>
    <row r="89" spans="1:17" x14ac:dyDescent="0.3">
      <c r="A89" s="1">
        <v>44516</v>
      </c>
      <c r="B89">
        <v>1853.6</v>
      </c>
      <c r="C89">
        <v>1853.6</v>
      </c>
      <c r="D89">
        <v>1853.6</v>
      </c>
      <c r="E89">
        <v>1853.6</v>
      </c>
      <c r="F89">
        <v>1</v>
      </c>
      <c r="G89">
        <v>1843.1</v>
      </c>
      <c r="H89">
        <v>1794</v>
      </c>
      <c r="I89">
        <v>1789.4733000000001</v>
      </c>
      <c r="J89">
        <v>-0.58460000000000001</v>
      </c>
      <c r="K89">
        <v>0.72509999999999997</v>
      </c>
      <c r="L89">
        <v>0.76149999999999995</v>
      </c>
      <c r="M89">
        <v>71.340199999999996</v>
      </c>
      <c r="N89">
        <v>20.6448</v>
      </c>
      <c r="O89">
        <v>13.5715</v>
      </c>
      <c r="P89">
        <v>1867.8869999999999</v>
      </c>
      <c r="Q89">
        <v>1746.723</v>
      </c>
    </row>
    <row r="90" spans="1:17" x14ac:dyDescent="0.3">
      <c r="A90" s="1">
        <v>44517</v>
      </c>
      <c r="B90">
        <v>1869.7</v>
      </c>
      <c r="C90">
        <v>1869.7</v>
      </c>
      <c r="D90">
        <v>1862.6</v>
      </c>
      <c r="E90">
        <v>1862.6</v>
      </c>
      <c r="F90">
        <v>2</v>
      </c>
      <c r="G90">
        <v>1849.6143</v>
      </c>
      <c r="H90">
        <v>1797.4432999999999</v>
      </c>
      <c r="I90">
        <v>1790.0789</v>
      </c>
      <c r="J90">
        <v>0.48549999999999999</v>
      </c>
      <c r="K90">
        <v>0.64370000000000005</v>
      </c>
      <c r="L90">
        <v>0.75870000000000004</v>
      </c>
      <c r="M90">
        <v>72.292400000000001</v>
      </c>
      <c r="N90">
        <v>21.8431</v>
      </c>
      <c r="O90">
        <v>15.2258</v>
      </c>
      <c r="P90">
        <v>1875.0072</v>
      </c>
      <c r="Q90">
        <v>1748.4028000000001</v>
      </c>
    </row>
    <row r="91" spans="1:17" x14ac:dyDescent="0.3">
      <c r="A91" s="1">
        <v>44518</v>
      </c>
      <c r="B91">
        <v>1861</v>
      </c>
      <c r="C91">
        <v>1861</v>
      </c>
      <c r="D91">
        <v>1861</v>
      </c>
      <c r="E91">
        <v>1861</v>
      </c>
      <c r="F91">
        <v>9</v>
      </c>
      <c r="G91">
        <v>1854.6</v>
      </c>
      <c r="H91">
        <v>1800.73</v>
      </c>
      <c r="I91">
        <v>1790.6111000000001</v>
      </c>
      <c r="J91">
        <v>-8.5900000000000004E-2</v>
      </c>
      <c r="K91">
        <v>0.65969999999999995</v>
      </c>
      <c r="L91">
        <v>0.76039999999999996</v>
      </c>
      <c r="M91">
        <v>72.678700000000006</v>
      </c>
      <c r="N91">
        <v>22.4054</v>
      </c>
      <c r="O91">
        <v>16.6617</v>
      </c>
      <c r="P91">
        <v>1880.9794999999999</v>
      </c>
      <c r="Q91">
        <v>1750.3305</v>
      </c>
    </row>
    <row r="92" spans="1:17" x14ac:dyDescent="0.3">
      <c r="A92" s="1">
        <v>44519</v>
      </c>
      <c r="B92">
        <v>1851.2</v>
      </c>
      <c r="C92">
        <v>1851.2</v>
      </c>
      <c r="D92">
        <v>1851.2</v>
      </c>
      <c r="E92">
        <v>1851.2</v>
      </c>
      <c r="F92">
        <v>21</v>
      </c>
      <c r="G92">
        <v>1858.2285999999999</v>
      </c>
      <c r="H92">
        <v>1803.87</v>
      </c>
      <c r="I92">
        <v>1790.8289</v>
      </c>
      <c r="J92">
        <v>-0.52659999999999996</v>
      </c>
      <c r="K92">
        <v>0.72219999999999995</v>
      </c>
      <c r="L92">
        <v>0.76639999999999997</v>
      </c>
      <c r="M92">
        <v>70.695300000000003</v>
      </c>
      <c r="N92">
        <v>21.808900000000001</v>
      </c>
      <c r="O92">
        <v>17.691199999999998</v>
      </c>
      <c r="P92">
        <v>1884.5743</v>
      </c>
      <c r="Q92">
        <v>1753.1457</v>
      </c>
    </row>
    <row r="93" spans="1:17" x14ac:dyDescent="0.3">
      <c r="A93" s="1">
        <v>44522</v>
      </c>
      <c r="B93">
        <v>1806</v>
      </c>
      <c r="C93">
        <v>1841.6</v>
      </c>
      <c r="D93">
        <v>1805.7</v>
      </c>
      <c r="E93">
        <v>1841.6</v>
      </c>
      <c r="F93">
        <v>14</v>
      </c>
      <c r="G93">
        <v>1856.4713999999999</v>
      </c>
      <c r="H93">
        <v>1806.7032999999999</v>
      </c>
      <c r="I93">
        <v>1790.9567</v>
      </c>
      <c r="J93">
        <v>-0.51859999999999995</v>
      </c>
      <c r="K93">
        <v>0.45590000000000003</v>
      </c>
      <c r="L93">
        <v>0.77610000000000001</v>
      </c>
      <c r="M93">
        <v>65.918999999999997</v>
      </c>
      <c r="N93">
        <v>20.327200000000001</v>
      </c>
      <c r="O93">
        <v>18.218399999999999</v>
      </c>
      <c r="P93">
        <v>1886.6214</v>
      </c>
      <c r="Q93">
        <v>1755.8286000000001</v>
      </c>
    </row>
    <row r="94" spans="1:17" x14ac:dyDescent="0.3">
      <c r="A94" s="1">
        <v>44523</v>
      </c>
      <c r="B94">
        <v>1783.5</v>
      </c>
      <c r="C94">
        <v>1795.5</v>
      </c>
      <c r="D94">
        <v>1783.5</v>
      </c>
      <c r="E94">
        <v>1795.5</v>
      </c>
      <c r="F94">
        <v>264</v>
      </c>
      <c r="G94">
        <v>1847.1428000000001</v>
      </c>
      <c r="H94">
        <v>1808.1567</v>
      </c>
      <c r="I94">
        <v>1790.87</v>
      </c>
      <c r="J94">
        <v>-2.5032999999999999</v>
      </c>
      <c r="K94">
        <v>0.97060000000000002</v>
      </c>
      <c r="L94">
        <v>0.91379999999999995</v>
      </c>
      <c r="M94">
        <v>57.468800000000002</v>
      </c>
      <c r="N94">
        <v>15.257199999999999</v>
      </c>
      <c r="O94">
        <v>17.626100000000001</v>
      </c>
      <c r="P94">
        <v>1886.7539999999999</v>
      </c>
      <c r="Q94">
        <v>1754.366</v>
      </c>
    </row>
    <row r="95" spans="1:17" x14ac:dyDescent="0.3">
      <c r="A95" s="1">
        <v>44524</v>
      </c>
      <c r="B95">
        <v>1784.1</v>
      </c>
      <c r="C95">
        <v>1793</v>
      </c>
      <c r="D95">
        <v>1781.4</v>
      </c>
      <c r="E95">
        <v>1793</v>
      </c>
      <c r="F95">
        <v>188</v>
      </c>
      <c r="G95">
        <v>1836.9286</v>
      </c>
      <c r="H95">
        <v>1809.23</v>
      </c>
      <c r="I95">
        <v>1790.6488999999999</v>
      </c>
      <c r="J95">
        <v>-0.13919999999999999</v>
      </c>
      <c r="K95">
        <v>0.93759999999999999</v>
      </c>
      <c r="L95">
        <v>0.91110000000000002</v>
      </c>
      <c r="M95">
        <v>54.6068</v>
      </c>
      <c r="N95">
        <v>10.9116</v>
      </c>
      <c r="O95">
        <v>16.283200000000001</v>
      </c>
      <c r="P95">
        <v>1886.6936000000001</v>
      </c>
      <c r="Q95">
        <v>1754.5763999999999</v>
      </c>
    </row>
    <row r="96" spans="1:17" x14ac:dyDescent="0.3">
      <c r="A96" s="1">
        <v>44526</v>
      </c>
      <c r="B96">
        <v>1785.3</v>
      </c>
      <c r="C96">
        <v>1791.4</v>
      </c>
      <c r="D96">
        <v>1785.3</v>
      </c>
      <c r="E96">
        <v>1791.1</v>
      </c>
      <c r="F96">
        <v>186800</v>
      </c>
      <c r="G96">
        <v>1828</v>
      </c>
      <c r="H96">
        <v>1809.1932999999999</v>
      </c>
      <c r="I96">
        <v>1790.4721999999999</v>
      </c>
      <c r="J96">
        <v>-0.106</v>
      </c>
      <c r="K96">
        <v>0.95220000000000005</v>
      </c>
      <c r="L96">
        <v>0.85160000000000002</v>
      </c>
      <c r="M96">
        <v>48.824199999999998</v>
      </c>
      <c r="N96">
        <v>7.2310999999999996</v>
      </c>
      <c r="O96">
        <v>14.472799999999999</v>
      </c>
      <c r="P96">
        <v>1886.8543</v>
      </c>
      <c r="Q96">
        <v>1753.9757</v>
      </c>
    </row>
    <row r="97" spans="1:17" x14ac:dyDescent="0.3">
      <c r="A97" s="1">
        <v>44529</v>
      </c>
      <c r="B97">
        <v>1782.3</v>
      </c>
      <c r="C97">
        <v>1798.9</v>
      </c>
      <c r="D97">
        <v>1779.1</v>
      </c>
      <c r="E97">
        <v>1791.7</v>
      </c>
      <c r="F97">
        <v>26926</v>
      </c>
      <c r="G97">
        <v>1817.8714</v>
      </c>
      <c r="H97">
        <v>1809.1</v>
      </c>
      <c r="I97">
        <v>1790.4511</v>
      </c>
      <c r="J97">
        <v>3.3500000000000002E-2</v>
      </c>
      <c r="K97">
        <v>0.88870000000000005</v>
      </c>
      <c r="L97">
        <v>0.85119999999999996</v>
      </c>
      <c r="M97">
        <v>40.970700000000001</v>
      </c>
      <c r="N97">
        <v>4.3129</v>
      </c>
      <c r="O97">
        <v>12.440799999999999</v>
      </c>
      <c r="P97">
        <v>1886.9083000000001</v>
      </c>
      <c r="Q97">
        <v>1753.7817</v>
      </c>
    </row>
    <row r="98" spans="1:17" x14ac:dyDescent="0.3">
      <c r="A98" s="1">
        <v>44530</v>
      </c>
      <c r="B98">
        <v>1773.6</v>
      </c>
      <c r="C98">
        <v>1808.1</v>
      </c>
      <c r="D98">
        <v>1768.7</v>
      </c>
      <c r="E98">
        <v>1783.9</v>
      </c>
      <c r="F98">
        <v>4903</v>
      </c>
      <c r="G98">
        <v>1806.8570999999999</v>
      </c>
      <c r="H98">
        <v>1809.8433</v>
      </c>
      <c r="I98">
        <v>1790.2722000000001</v>
      </c>
      <c r="J98">
        <v>-0.43530000000000002</v>
      </c>
      <c r="K98">
        <v>0.8679</v>
      </c>
      <c r="L98">
        <v>0.78300000000000003</v>
      </c>
      <c r="M98">
        <v>34.798299999999998</v>
      </c>
      <c r="N98">
        <v>1.3552</v>
      </c>
      <c r="O98">
        <v>10.223699999999999</v>
      </c>
      <c r="P98">
        <v>1887.1206</v>
      </c>
      <c r="Q98">
        <v>1753.2094</v>
      </c>
    </row>
    <row r="99" spans="1:17" x14ac:dyDescent="0.3">
      <c r="A99" s="1">
        <v>44531</v>
      </c>
      <c r="B99">
        <v>1781.6</v>
      </c>
      <c r="C99">
        <v>1790.5</v>
      </c>
      <c r="D99">
        <v>1772.3</v>
      </c>
      <c r="E99">
        <v>1774.8</v>
      </c>
      <c r="F99">
        <v>1128</v>
      </c>
      <c r="G99">
        <v>1795.9429</v>
      </c>
      <c r="H99">
        <v>1809.75</v>
      </c>
      <c r="I99">
        <v>1789.9644000000001</v>
      </c>
      <c r="J99">
        <v>-0.5101</v>
      </c>
      <c r="K99">
        <v>0.86809999999999998</v>
      </c>
      <c r="L99">
        <v>0.77190000000000003</v>
      </c>
      <c r="M99">
        <v>32.723599999999998</v>
      </c>
      <c r="N99">
        <v>-1.7034</v>
      </c>
      <c r="O99">
        <v>7.8383000000000003</v>
      </c>
      <c r="P99">
        <v>1888.1437000000001</v>
      </c>
      <c r="Q99">
        <v>1750.6162999999999</v>
      </c>
    </row>
    <row r="100" spans="1:17" x14ac:dyDescent="0.3">
      <c r="A100" s="1">
        <v>44532</v>
      </c>
      <c r="B100">
        <v>1760.7</v>
      </c>
      <c r="C100">
        <v>1780.9</v>
      </c>
      <c r="D100">
        <v>1760.6</v>
      </c>
      <c r="E100">
        <v>1780.9</v>
      </c>
      <c r="F100">
        <v>1557</v>
      </c>
      <c r="G100">
        <v>1787.2714000000001</v>
      </c>
      <c r="H100">
        <v>1809.96</v>
      </c>
      <c r="I100">
        <v>1789.7111</v>
      </c>
      <c r="J100">
        <v>0.34370000000000001</v>
      </c>
      <c r="K100">
        <v>0.93940000000000001</v>
      </c>
      <c r="L100">
        <v>0.77370000000000005</v>
      </c>
      <c r="M100">
        <v>20.939499999999999</v>
      </c>
      <c r="N100">
        <v>-3.5937999999999999</v>
      </c>
      <c r="O100">
        <v>5.5518999999999998</v>
      </c>
      <c r="P100">
        <v>1886.9776999999999</v>
      </c>
      <c r="Q100">
        <v>1753.0723</v>
      </c>
    </row>
    <row r="101" spans="1:17" x14ac:dyDescent="0.3">
      <c r="A101" s="1">
        <v>44533</v>
      </c>
      <c r="B101">
        <v>1782</v>
      </c>
      <c r="C101">
        <v>1785.1</v>
      </c>
      <c r="D101">
        <v>1766.5</v>
      </c>
      <c r="E101">
        <v>1767.5</v>
      </c>
      <c r="F101">
        <v>694</v>
      </c>
      <c r="G101">
        <v>1783.2714000000001</v>
      </c>
      <c r="H101">
        <v>1809.4766999999999</v>
      </c>
      <c r="I101">
        <v>1789.3556000000001</v>
      </c>
      <c r="J101">
        <v>-0.75239999999999996</v>
      </c>
      <c r="K101">
        <v>0.36870000000000003</v>
      </c>
      <c r="L101">
        <v>0.78220000000000001</v>
      </c>
      <c r="M101">
        <v>14.6858</v>
      </c>
      <c r="N101">
        <v>-6.1028000000000002</v>
      </c>
      <c r="O101">
        <v>3.2208999999999999</v>
      </c>
      <c r="P101">
        <v>1887.8752999999999</v>
      </c>
      <c r="Q101">
        <v>1751.2646999999999</v>
      </c>
    </row>
    <row r="102" spans="1:17" x14ac:dyDescent="0.3">
      <c r="A102" s="1">
        <v>44536</v>
      </c>
      <c r="B102">
        <v>1777.5</v>
      </c>
      <c r="C102">
        <v>1783</v>
      </c>
      <c r="D102">
        <v>1777.2</v>
      </c>
      <c r="E102">
        <v>1780.2</v>
      </c>
      <c r="F102">
        <v>381</v>
      </c>
      <c r="G102">
        <v>1781.4429</v>
      </c>
      <c r="H102">
        <v>1809.2466999999999</v>
      </c>
      <c r="I102">
        <v>1789.0622000000001</v>
      </c>
      <c r="J102">
        <v>0.71850000000000003</v>
      </c>
      <c r="K102">
        <v>0.51490000000000002</v>
      </c>
      <c r="L102">
        <v>0.79200000000000004</v>
      </c>
      <c r="M102">
        <v>20.127500000000001</v>
      </c>
      <c r="N102">
        <v>-6.9859</v>
      </c>
      <c r="O102">
        <v>1.1796</v>
      </c>
      <c r="P102">
        <v>1888.5596</v>
      </c>
      <c r="Q102">
        <v>1749.1104</v>
      </c>
    </row>
    <row r="103" spans="1:17" x14ac:dyDescent="0.3">
      <c r="A103" s="1">
        <v>44537</v>
      </c>
      <c r="B103">
        <v>1782.6</v>
      </c>
      <c r="C103">
        <v>1786.1</v>
      </c>
      <c r="D103">
        <v>1772.3</v>
      </c>
      <c r="E103">
        <v>1779.5</v>
      </c>
      <c r="F103">
        <v>308</v>
      </c>
      <c r="G103">
        <v>1779.7856999999999</v>
      </c>
      <c r="H103">
        <v>1808.7533000000001</v>
      </c>
      <c r="I103">
        <v>1788.5233000000001</v>
      </c>
      <c r="J103">
        <v>-3.9300000000000002E-2</v>
      </c>
      <c r="K103">
        <v>0.51549999999999996</v>
      </c>
      <c r="L103">
        <v>0.78820000000000001</v>
      </c>
      <c r="M103">
        <v>21.695900000000002</v>
      </c>
      <c r="N103">
        <v>-7.6539999999999999</v>
      </c>
      <c r="O103">
        <v>-0.58720000000000006</v>
      </c>
      <c r="P103">
        <v>1888.8748000000001</v>
      </c>
      <c r="Q103">
        <v>1745.0452</v>
      </c>
    </row>
    <row r="104" spans="1:17" x14ac:dyDescent="0.3">
      <c r="A104" s="1">
        <v>44538</v>
      </c>
      <c r="B104">
        <v>1783.4</v>
      </c>
      <c r="C104">
        <v>1789.9</v>
      </c>
      <c r="D104">
        <v>1779</v>
      </c>
      <c r="E104">
        <v>1789.9</v>
      </c>
      <c r="F104">
        <v>1383</v>
      </c>
      <c r="G104">
        <v>1779.5286000000001</v>
      </c>
      <c r="H104">
        <v>1808.1233</v>
      </c>
      <c r="I104">
        <v>1788.2733000000001</v>
      </c>
      <c r="J104">
        <v>0.58440000000000003</v>
      </c>
      <c r="K104">
        <v>0.57620000000000005</v>
      </c>
      <c r="L104">
        <v>0.78100000000000003</v>
      </c>
      <c r="M104">
        <v>22.5245</v>
      </c>
      <c r="N104">
        <v>-7.2606999999999999</v>
      </c>
      <c r="O104">
        <v>-1.9218999999999999</v>
      </c>
      <c r="P104">
        <v>1887.9133999999999</v>
      </c>
      <c r="Q104">
        <v>1742.3866</v>
      </c>
    </row>
    <row r="105" spans="1:17" x14ac:dyDescent="0.3">
      <c r="A105" s="1">
        <v>44539</v>
      </c>
      <c r="B105">
        <v>1774.6</v>
      </c>
      <c r="C105">
        <v>1783.5</v>
      </c>
      <c r="D105">
        <v>1771.8</v>
      </c>
      <c r="E105">
        <v>1783.5</v>
      </c>
      <c r="F105">
        <v>455</v>
      </c>
      <c r="G105">
        <v>1779.4713999999999</v>
      </c>
      <c r="H105">
        <v>1807.8567</v>
      </c>
      <c r="I105">
        <v>1787.9532999999999</v>
      </c>
      <c r="J105">
        <v>-0.35759999999999997</v>
      </c>
      <c r="K105">
        <v>0.56740000000000002</v>
      </c>
      <c r="L105">
        <v>0.7641</v>
      </c>
      <c r="M105">
        <v>21.735900000000001</v>
      </c>
      <c r="N105">
        <v>-7.3802000000000003</v>
      </c>
      <c r="O105">
        <v>-3.0135000000000001</v>
      </c>
      <c r="P105">
        <v>1886.9449999999999</v>
      </c>
      <c r="Q105">
        <v>1739.125</v>
      </c>
    </row>
    <row r="106" spans="1:17" x14ac:dyDescent="0.3">
      <c r="A106" s="1">
        <v>44540</v>
      </c>
      <c r="B106">
        <v>1782.9</v>
      </c>
      <c r="C106">
        <v>1785.4</v>
      </c>
      <c r="D106">
        <v>1769.1</v>
      </c>
      <c r="E106">
        <v>1773.8</v>
      </c>
      <c r="F106">
        <v>545</v>
      </c>
      <c r="G106">
        <v>1779.3286000000001</v>
      </c>
      <c r="H106">
        <v>1807.1333</v>
      </c>
      <c r="I106">
        <v>1787.5589</v>
      </c>
      <c r="J106">
        <v>-0.54390000000000005</v>
      </c>
      <c r="K106">
        <v>0.5726</v>
      </c>
      <c r="L106">
        <v>0.76870000000000005</v>
      </c>
      <c r="M106">
        <v>21.751799999999999</v>
      </c>
      <c r="N106">
        <v>-8.1636000000000006</v>
      </c>
      <c r="O106">
        <v>-4.0434999999999999</v>
      </c>
      <c r="P106">
        <v>1882.2944</v>
      </c>
      <c r="Q106">
        <v>1735.7655999999999</v>
      </c>
    </row>
    <row r="107" spans="1:17" x14ac:dyDescent="0.3">
      <c r="A107" s="1">
        <v>44543</v>
      </c>
      <c r="B107">
        <v>1786.3</v>
      </c>
      <c r="C107">
        <v>1787.1</v>
      </c>
      <c r="D107">
        <v>1783.8</v>
      </c>
      <c r="E107">
        <v>1784.4</v>
      </c>
      <c r="F107">
        <v>206</v>
      </c>
      <c r="G107">
        <v>1779.8286000000001</v>
      </c>
      <c r="H107">
        <v>1806.8433</v>
      </c>
      <c r="I107">
        <v>1787.2655999999999</v>
      </c>
      <c r="J107">
        <v>0.59760000000000002</v>
      </c>
      <c r="K107">
        <v>0.60560000000000003</v>
      </c>
      <c r="L107">
        <v>0.77710000000000001</v>
      </c>
      <c r="M107">
        <v>29.275300000000001</v>
      </c>
      <c r="N107">
        <v>-7.8387000000000002</v>
      </c>
      <c r="O107">
        <v>-4.8026</v>
      </c>
      <c r="P107">
        <v>1874.9931999999999</v>
      </c>
      <c r="Q107">
        <v>1735.4268</v>
      </c>
    </row>
    <row r="108" spans="1:17" x14ac:dyDescent="0.3">
      <c r="A108" s="1">
        <v>44544</v>
      </c>
      <c r="B108">
        <v>1770.4</v>
      </c>
      <c r="C108">
        <v>1787</v>
      </c>
      <c r="D108">
        <v>1769</v>
      </c>
      <c r="E108">
        <v>1787</v>
      </c>
      <c r="F108">
        <v>322</v>
      </c>
      <c r="G108">
        <v>1782.6143</v>
      </c>
      <c r="H108">
        <v>1806.8267000000001</v>
      </c>
      <c r="I108">
        <v>1787.1233</v>
      </c>
      <c r="J108">
        <v>0.1457</v>
      </c>
      <c r="K108">
        <v>0.49780000000000002</v>
      </c>
      <c r="L108">
        <v>0.77559999999999996</v>
      </c>
      <c r="M108">
        <v>45.502600000000001</v>
      </c>
      <c r="N108">
        <v>-7.2874999999999996</v>
      </c>
      <c r="O108">
        <v>-5.2995999999999999</v>
      </c>
      <c r="P108">
        <v>1865.6485</v>
      </c>
      <c r="Q108">
        <v>1737.0215000000001</v>
      </c>
    </row>
    <row r="109" spans="1:17" x14ac:dyDescent="0.3">
      <c r="A109" s="1">
        <v>44545</v>
      </c>
      <c r="B109">
        <v>1762.6</v>
      </c>
      <c r="C109">
        <v>1778.7</v>
      </c>
      <c r="D109">
        <v>1753.9</v>
      </c>
      <c r="E109">
        <v>1767.4</v>
      </c>
      <c r="F109">
        <v>283</v>
      </c>
      <c r="G109">
        <v>1780.7856999999999</v>
      </c>
      <c r="H109">
        <v>1806.0567000000001</v>
      </c>
      <c r="I109">
        <v>1787.2778000000001</v>
      </c>
      <c r="J109">
        <v>-1.0968</v>
      </c>
      <c r="K109">
        <v>0.6159</v>
      </c>
      <c r="L109">
        <v>0.80020000000000002</v>
      </c>
      <c r="M109">
        <v>38.5304</v>
      </c>
      <c r="N109">
        <v>-8.3361000000000001</v>
      </c>
      <c r="O109">
        <v>-5.9069000000000003</v>
      </c>
      <c r="P109">
        <v>1858.0608</v>
      </c>
      <c r="Q109">
        <v>1735.9892</v>
      </c>
    </row>
    <row r="110" spans="1:17" x14ac:dyDescent="0.3">
      <c r="A110" s="1">
        <v>44546</v>
      </c>
      <c r="B110">
        <v>1796.6</v>
      </c>
      <c r="C110">
        <v>1798.1</v>
      </c>
      <c r="D110">
        <v>1781</v>
      </c>
      <c r="E110">
        <v>1781</v>
      </c>
      <c r="F110">
        <v>21</v>
      </c>
      <c r="G110">
        <v>1781</v>
      </c>
      <c r="H110">
        <v>1806.49</v>
      </c>
      <c r="I110">
        <v>1787.86</v>
      </c>
      <c r="J110">
        <v>0.76949999999999996</v>
      </c>
      <c r="K110">
        <v>0.69969999999999999</v>
      </c>
      <c r="L110">
        <v>0.7792</v>
      </c>
      <c r="M110">
        <v>45.904299999999999</v>
      </c>
      <c r="N110">
        <v>-7.9776999999999996</v>
      </c>
      <c r="O110">
        <v>-6.3209999999999997</v>
      </c>
      <c r="P110">
        <v>1845.8984</v>
      </c>
      <c r="Q110">
        <v>1739.9916000000001</v>
      </c>
    </row>
    <row r="111" spans="1:17" x14ac:dyDescent="0.3">
      <c r="A111" s="1">
        <v>44547</v>
      </c>
      <c r="B111">
        <v>1803.8</v>
      </c>
      <c r="C111">
        <v>1812.9</v>
      </c>
      <c r="D111">
        <v>1803.8</v>
      </c>
      <c r="E111">
        <v>1804</v>
      </c>
      <c r="F111">
        <v>654</v>
      </c>
      <c r="G111">
        <v>1783.0143</v>
      </c>
      <c r="H111">
        <v>1807.4032999999999</v>
      </c>
      <c r="I111">
        <v>1788.7121999999999</v>
      </c>
      <c r="J111">
        <v>1.2914000000000001</v>
      </c>
      <c r="K111">
        <v>0.83389999999999997</v>
      </c>
      <c r="L111">
        <v>0.80889999999999995</v>
      </c>
      <c r="M111">
        <v>54.220999999999997</v>
      </c>
      <c r="N111">
        <v>-5.7713000000000001</v>
      </c>
      <c r="O111">
        <v>-6.2111000000000001</v>
      </c>
      <c r="P111">
        <v>1832.7628</v>
      </c>
      <c r="Q111">
        <v>1747.4272000000001</v>
      </c>
    </row>
    <row r="112" spans="1:17" x14ac:dyDescent="0.3">
      <c r="A112" s="1">
        <v>44550</v>
      </c>
      <c r="B112">
        <v>1793.7</v>
      </c>
      <c r="C112">
        <v>1799.8</v>
      </c>
      <c r="D112">
        <v>1792</v>
      </c>
      <c r="E112">
        <v>1796.8</v>
      </c>
      <c r="F112">
        <v>226</v>
      </c>
      <c r="G112">
        <v>1784.9142999999999</v>
      </c>
      <c r="H112">
        <v>1807.4666999999999</v>
      </c>
      <c r="I112">
        <v>1789.2356</v>
      </c>
      <c r="J112">
        <v>-0.39910000000000001</v>
      </c>
      <c r="K112">
        <v>0.83789999999999998</v>
      </c>
      <c r="L112">
        <v>0.7913</v>
      </c>
      <c r="M112">
        <v>54.4452</v>
      </c>
      <c r="N112">
        <v>-4.5511999999999997</v>
      </c>
      <c r="O112">
        <v>-5.8791000000000002</v>
      </c>
      <c r="P112">
        <v>1819.1994</v>
      </c>
      <c r="Q112">
        <v>1755.5506</v>
      </c>
    </row>
    <row r="113" spans="1:17" x14ac:dyDescent="0.3">
      <c r="A113" s="1">
        <v>44551</v>
      </c>
      <c r="B113">
        <v>1787.9</v>
      </c>
      <c r="C113">
        <v>1796.5</v>
      </c>
      <c r="D113">
        <v>1787.9</v>
      </c>
      <c r="E113">
        <v>1791.4</v>
      </c>
      <c r="F113">
        <v>575</v>
      </c>
      <c r="G113">
        <v>1787.4286</v>
      </c>
      <c r="H113">
        <v>1806.6133</v>
      </c>
      <c r="I113">
        <v>1789.6033</v>
      </c>
      <c r="J113">
        <v>-0.30049999999999999</v>
      </c>
      <c r="K113">
        <v>0.81089999999999995</v>
      </c>
      <c r="L113">
        <v>0.75829999999999997</v>
      </c>
      <c r="M113">
        <v>55.869900000000001</v>
      </c>
      <c r="N113">
        <v>-3.9742000000000002</v>
      </c>
      <c r="O113">
        <v>-5.4981</v>
      </c>
      <c r="P113">
        <v>1804.1174000000001</v>
      </c>
      <c r="Q113">
        <v>1765.6125999999999</v>
      </c>
    </row>
    <row r="114" spans="1:17" x14ac:dyDescent="0.3">
      <c r="A114" s="1">
        <v>44552</v>
      </c>
      <c r="B114">
        <v>1801.6</v>
      </c>
      <c r="C114">
        <v>1805.2</v>
      </c>
      <c r="D114">
        <v>1785.5</v>
      </c>
      <c r="E114">
        <v>1786</v>
      </c>
      <c r="F114">
        <v>567</v>
      </c>
      <c r="G114">
        <v>1787.6572000000001</v>
      </c>
      <c r="H114">
        <v>1805.2766999999999</v>
      </c>
      <c r="I114">
        <v>1789.7044000000001</v>
      </c>
      <c r="J114">
        <v>-0.3014</v>
      </c>
      <c r="K114">
        <v>0.79820000000000002</v>
      </c>
      <c r="L114">
        <v>0.75249999999999995</v>
      </c>
      <c r="M114">
        <v>51.812399999999997</v>
      </c>
      <c r="N114">
        <v>-3.9076</v>
      </c>
      <c r="O114">
        <v>-5.18</v>
      </c>
      <c r="P114">
        <v>1802.9955</v>
      </c>
      <c r="Q114">
        <v>1765.7845</v>
      </c>
    </row>
    <row r="115" spans="1:17" x14ac:dyDescent="0.3">
      <c r="A115" s="1">
        <v>44553</v>
      </c>
      <c r="B115">
        <v>1811.2</v>
      </c>
      <c r="C115">
        <v>1811.2</v>
      </c>
      <c r="D115">
        <v>1800.8</v>
      </c>
      <c r="E115">
        <v>1806</v>
      </c>
      <c r="F115">
        <v>193</v>
      </c>
      <c r="G115">
        <v>1790.3714</v>
      </c>
      <c r="H115">
        <v>1804.6167</v>
      </c>
      <c r="I115">
        <v>1789.9078</v>
      </c>
      <c r="J115">
        <v>1.1197999999999999</v>
      </c>
      <c r="K115">
        <v>0.90280000000000005</v>
      </c>
      <c r="L115">
        <v>0.7833</v>
      </c>
      <c r="M115">
        <v>63.068600000000004</v>
      </c>
      <c r="N115">
        <v>-2.2153999999999998</v>
      </c>
      <c r="O115">
        <v>-4.5871000000000004</v>
      </c>
      <c r="P115">
        <v>1805.7062000000001</v>
      </c>
      <c r="Q115">
        <v>1764.3738000000001</v>
      </c>
    </row>
    <row r="116" spans="1:17" x14ac:dyDescent="0.3">
      <c r="A116" s="1">
        <v>44557</v>
      </c>
      <c r="B116">
        <v>1808.1</v>
      </c>
      <c r="C116">
        <v>1812.1</v>
      </c>
      <c r="D116">
        <v>1807</v>
      </c>
      <c r="E116">
        <v>1810</v>
      </c>
      <c r="F116">
        <v>150</v>
      </c>
      <c r="G116">
        <v>1796.4572000000001</v>
      </c>
      <c r="H116">
        <v>1803.1532999999999</v>
      </c>
      <c r="I116">
        <v>1790.1543999999999</v>
      </c>
      <c r="J116">
        <v>0.2215</v>
      </c>
      <c r="K116">
        <v>0.71640000000000004</v>
      </c>
      <c r="L116">
        <v>0.72709999999999997</v>
      </c>
      <c r="M116">
        <v>60.750399999999999</v>
      </c>
      <c r="N116">
        <v>-0.54530000000000001</v>
      </c>
      <c r="O116">
        <v>-3.7787000000000002</v>
      </c>
      <c r="P116">
        <v>1809.3679</v>
      </c>
      <c r="Q116">
        <v>1762.6021000000001</v>
      </c>
    </row>
    <row r="117" spans="1:17" x14ac:dyDescent="0.3">
      <c r="A117" s="1">
        <v>44558</v>
      </c>
      <c r="B117">
        <v>1810.2</v>
      </c>
      <c r="C117">
        <v>1818</v>
      </c>
      <c r="D117">
        <v>1805.5</v>
      </c>
      <c r="E117">
        <v>1812</v>
      </c>
      <c r="F117">
        <v>146</v>
      </c>
      <c r="G117">
        <v>1800.8857</v>
      </c>
      <c r="H117">
        <v>1801.5266999999999</v>
      </c>
      <c r="I117">
        <v>1790.51</v>
      </c>
      <c r="J117">
        <v>0.1105</v>
      </c>
      <c r="K117">
        <v>0.69399999999999995</v>
      </c>
      <c r="L117">
        <v>0.72299999999999998</v>
      </c>
      <c r="M117">
        <v>61.615400000000001</v>
      </c>
      <c r="N117">
        <v>0.92889999999999995</v>
      </c>
      <c r="O117">
        <v>-2.8372000000000002</v>
      </c>
      <c r="P117">
        <v>1813.0389</v>
      </c>
      <c r="Q117">
        <v>1760.9611</v>
      </c>
    </row>
    <row r="118" spans="1:17" x14ac:dyDescent="0.3">
      <c r="A118" s="1">
        <v>44559</v>
      </c>
      <c r="B118">
        <v>1805.1</v>
      </c>
      <c r="C118">
        <v>1805.1</v>
      </c>
      <c r="D118">
        <v>1791.4</v>
      </c>
      <c r="E118">
        <v>1803.2</v>
      </c>
      <c r="F118">
        <v>623</v>
      </c>
      <c r="G118">
        <v>1800.7714000000001</v>
      </c>
      <c r="H118">
        <v>1799.4833000000001</v>
      </c>
      <c r="I118">
        <v>1790.7221999999999</v>
      </c>
      <c r="J118">
        <v>-0.48570000000000002</v>
      </c>
      <c r="K118">
        <v>0.5615</v>
      </c>
      <c r="L118">
        <v>0.72450000000000003</v>
      </c>
      <c r="M118">
        <v>54.808399999999999</v>
      </c>
      <c r="N118">
        <v>1.3713</v>
      </c>
      <c r="O118">
        <v>-1.9955000000000001</v>
      </c>
      <c r="P118">
        <v>1814.9340999999999</v>
      </c>
      <c r="Q118">
        <v>1760.9958999999999</v>
      </c>
    </row>
    <row r="119" spans="1:17" x14ac:dyDescent="0.3">
      <c r="A119" s="1">
        <v>44560</v>
      </c>
      <c r="B119">
        <v>1812.7</v>
      </c>
      <c r="C119">
        <v>1816</v>
      </c>
      <c r="D119">
        <v>1796</v>
      </c>
      <c r="E119">
        <v>1801.7</v>
      </c>
      <c r="F119">
        <v>306</v>
      </c>
      <c r="G119">
        <v>1801.4713999999999</v>
      </c>
      <c r="H119">
        <v>1797.7533000000001</v>
      </c>
      <c r="I119">
        <v>1790.9989</v>
      </c>
      <c r="J119">
        <v>-8.3199999999999996E-2</v>
      </c>
      <c r="K119">
        <v>0.53659999999999997</v>
      </c>
      <c r="L119">
        <v>0.71889999999999998</v>
      </c>
      <c r="M119">
        <v>56.821599999999997</v>
      </c>
      <c r="N119">
        <v>1.5827</v>
      </c>
      <c r="O119">
        <v>-1.2799</v>
      </c>
      <c r="P119">
        <v>1816.1976</v>
      </c>
      <c r="Q119">
        <v>1762.4223999999999</v>
      </c>
    </row>
    <row r="120" spans="1:17" x14ac:dyDescent="0.3">
      <c r="A120" s="1">
        <v>44561</v>
      </c>
      <c r="B120">
        <v>1827.5</v>
      </c>
      <c r="C120">
        <v>1827.8</v>
      </c>
      <c r="D120">
        <v>1821.4</v>
      </c>
      <c r="E120">
        <v>1825.1</v>
      </c>
      <c r="F120">
        <v>80</v>
      </c>
      <c r="G120">
        <v>1806.2856999999999</v>
      </c>
      <c r="H120">
        <v>1796.5033000000001</v>
      </c>
      <c r="I120">
        <v>1791.2666999999999</v>
      </c>
      <c r="J120">
        <v>1.2988</v>
      </c>
      <c r="K120">
        <v>0.68689999999999996</v>
      </c>
      <c r="L120">
        <v>0.75590000000000002</v>
      </c>
      <c r="M120">
        <v>67.437100000000001</v>
      </c>
      <c r="N120">
        <v>3.5969000000000002</v>
      </c>
      <c r="O120">
        <v>-0.30449999999999999</v>
      </c>
      <c r="P120">
        <v>1822.4579000000001</v>
      </c>
      <c r="Q120">
        <v>1760.5821000000001</v>
      </c>
    </row>
    <row r="121" spans="1:17" x14ac:dyDescent="0.3">
      <c r="A121" s="1">
        <v>44564</v>
      </c>
      <c r="B121">
        <v>1799.4</v>
      </c>
      <c r="C121">
        <v>1830.1</v>
      </c>
      <c r="D121">
        <v>1798.8</v>
      </c>
      <c r="E121">
        <v>1830.1</v>
      </c>
      <c r="F121">
        <v>116</v>
      </c>
      <c r="G121">
        <v>1812.5857000000001</v>
      </c>
      <c r="H121">
        <v>1795.4733000000001</v>
      </c>
      <c r="I121">
        <v>1791.69</v>
      </c>
      <c r="J121">
        <v>0.27400000000000002</v>
      </c>
      <c r="K121">
        <v>0.6401</v>
      </c>
      <c r="L121">
        <v>0.75839999999999996</v>
      </c>
      <c r="M121">
        <v>66.148399999999995</v>
      </c>
      <c r="N121">
        <v>5.5328999999999997</v>
      </c>
      <c r="O121">
        <v>0.86299999999999999</v>
      </c>
      <c r="P121">
        <v>1827.9335000000001</v>
      </c>
      <c r="Q121">
        <v>1761.3665000000001</v>
      </c>
    </row>
    <row r="122" spans="1:17" x14ac:dyDescent="0.3">
      <c r="A122" s="1">
        <v>44565</v>
      </c>
      <c r="B122">
        <v>1814</v>
      </c>
      <c r="C122">
        <v>1815.3</v>
      </c>
      <c r="D122">
        <v>1800</v>
      </c>
      <c r="E122">
        <v>1800.5</v>
      </c>
      <c r="F122">
        <v>38</v>
      </c>
      <c r="G122">
        <v>1811.8</v>
      </c>
      <c r="H122">
        <v>1793.7833000000001</v>
      </c>
      <c r="I122">
        <v>1791.8356000000001</v>
      </c>
      <c r="J122">
        <v>-1.6173999999999999</v>
      </c>
      <c r="K122">
        <v>0.88229999999999997</v>
      </c>
      <c r="L122">
        <v>0.80649999999999999</v>
      </c>
      <c r="M122">
        <v>54.005899999999997</v>
      </c>
      <c r="N122">
        <v>4.6254</v>
      </c>
      <c r="O122">
        <v>1.6154999999999999</v>
      </c>
      <c r="P122">
        <v>1828.3253</v>
      </c>
      <c r="Q122">
        <v>1763.0047</v>
      </c>
    </row>
    <row r="123" spans="1:17" x14ac:dyDescent="0.3">
      <c r="A123" s="1">
        <v>44566</v>
      </c>
      <c r="B123">
        <v>1824.6</v>
      </c>
      <c r="C123">
        <v>1824.6</v>
      </c>
      <c r="D123">
        <v>1813.1</v>
      </c>
      <c r="E123">
        <v>1813.1</v>
      </c>
      <c r="F123">
        <v>8</v>
      </c>
      <c r="G123">
        <v>1812.2428</v>
      </c>
      <c r="H123">
        <v>1792.8333</v>
      </c>
      <c r="I123">
        <v>1791.9432999999999</v>
      </c>
      <c r="J123">
        <v>0.69979999999999998</v>
      </c>
      <c r="K123">
        <v>0.92349999999999999</v>
      </c>
      <c r="L123">
        <v>0.81479999999999997</v>
      </c>
      <c r="M123">
        <v>64.148600000000002</v>
      </c>
      <c r="N123">
        <v>4.8667999999999996</v>
      </c>
      <c r="O123">
        <v>2.2656999999999998</v>
      </c>
      <c r="P123">
        <v>1829.9609</v>
      </c>
      <c r="Q123">
        <v>1764.7291</v>
      </c>
    </row>
    <row r="124" spans="1:17" x14ac:dyDescent="0.3">
      <c r="A124" s="1">
        <v>44567</v>
      </c>
      <c r="B124">
        <v>1788.7</v>
      </c>
      <c r="C124">
        <v>1791.3</v>
      </c>
      <c r="D124">
        <v>1787.1</v>
      </c>
      <c r="E124">
        <v>1787.1</v>
      </c>
      <c r="F124">
        <v>30</v>
      </c>
      <c r="G124">
        <v>1808.6857</v>
      </c>
      <c r="H124">
        <v>1792.5533</v>
      </c>
      <c r="I124">
        <v>1791.5978</v>
      </c>
      <c r="J124">
        <v>-1.4339999999999999</v>
      </c>
      <c r="K124">
        <v>1.0729</v>
      </c>
      <c r="L124">
        <v>0.7218</v>
      </c>
      <c r="M124">
        <v>51.753900000000002</v>
      </c>
      <c r="N124">
        <v>2.9264000000000001</v>
      </c>
      <c r="O124">
        <v>2.3978999999999999</v>
      </c>
      <c r="P124">
        <v>1829.9791</v>
      </c>
      <c r="Q124">
        <v>1764.4309000000001</v>
      </c>
    </row>
    <row r="125" spans="1:17" x14ac:dyDescent="0.3">
      <c r="A125" s="1">
        <v>44568</v>
      </c>
      <c r="B125">
        <v>1797</v>
      </c>
      <c r="C125">
        <v>1797</v>
      </c>
      <c r="D125">
        <v>1784.4</v>
      </c>
      <c r="E125">
        <v>1791.8</v>
      </c>
      <c r="F125">
        <v>17</v>
      </c>
      <c r="G125">
        <v>1807.0571</v>
      </c>
      <c r="H125">
        <v>1792.5133000000001</v>
      </c>
      <c r="I125">
        <v>1791.33</v>
      </c>
      <c r="J125">
        <v>0.26300000000000001</v>
      </c>
      <c r="K125">
        <v>1.0762</v>
      </c>
      <c r="L125">
        <v>0.72309999999999997</v>
      </c>
      <c r="M125">
        <v>46.079700000000003</v>
      </c>
      <c r="N125">
        <v>1.7477</v>
      </c>
      <c r="O125">
        <v>2.2677999999999998</v>
      </c>
      <c r="P125">
        <v>1829.8694</v>
      </c>
      <c r="Q125">
        <v>1765.3706</v>
      </c>
    </row>
    <row r="126" spans="1:17" x14ac:dyDescent="0.3">
      <c r="A126" s="1">
        <v>44571</v>
      </c>
      <c r="B126">
        <v>1798.4</v>
      </c>
      <c r="C126">
        <v>1798.7</v>
      </c>
      <c r="D126">
        <v>1790.4</v>
      </c>
      <c r="E126">
        <v>1794.9</v>
      </c>
      <c r="F126">
        <v>534</v>
      </c>
      <c r="G126">
        <v>1806.0857000000001</v>
      </c>
      <c r="H126">
        <v>1792.64</v>
      </c>
      <c r="I126">
        <v>1791.1233</v>
      </c>
      <c r="J126">
        <v>0.17299999999999999</v>
      </c>
      <c r="K126">
        <v>1.0806</v>
      </c>
      <c r="L126">
        <v>0.72350000000000003</v>
      </c>
      <c r="M126">
        <v>49.372900000000001</v>
      </c>
      <c r="N126">
        <v>1.0516000000000001</v>
      </c>
      <c r="O126">
        <v>2.0246</v>
      </c>
      <c r="P126">
        <v>1828.9644000000001</v>
      </c>
      <c r="Q126">
        <v>1768.3856000000001</v>
      </c>
    </row>
    <row r="127" spans="1:17" x14ac:dyDescent="0.3">
      <c r="A127" s="1">
        <v>44572</v>
      </c>
      <c r="B127">
        <v>1818.6</v>
      </c>
      <c r="C127">
        <v>1822.5</v>
      </c>
      <c r="D127">
        <v>1803</v>
      </c>
      <c r="E127">
        <v>1803.9</v>
      </c>
      <c r="F127">
        <v>743</v>
      </c>
      <c r="G127">
        <v>1803.0571</v>
      </c>
      <c r="H127">
        <v>1793.0467000000001</v>
      </c>
      <c r="I127">
        <v>1791.02</v>
      </c>
      <c r="J127">
        <v>0.50139999999999996</v>
      </c>
      <c r="K127">
        <v>0.94889999999999997</v>
      </c>
      <c r="L127">
        <v>0.72899999999999998</v>
      </c>
      <c r="M127">
        <v>54.029699999999998</v>
      </c>
      <c r="N127">
        <v>1.2121999999999999</v>
      </c>
      <c r="O127">
        <v>1.8621000000000001</v>
      </c>
      <c r="P127">
        <v>1829.2521999999999</v>
      </c>
      <c r="Q127">
        <v>1770.0478000000001</v>
      </c>
    </row>
    <row r="128" spans="1:17" x14ac:dyDescent="0.3">
      <c r="A128" s="1">
        <v>44573</v>
      </c>
      <c r="B128">
        <v>1827.2</v>
      </c>
      <c r="C128">
        <v>1827.2</v>
      </c>
      <c r="D128">
        <v>1816.9</v>
      </c>
      <c r="E128">
        <v>1819</v>
      </c>
      <c r="F128">
        <v>1547</v>
      </c>
      <c r="G128">
        <v>1801.4713999999999</v>
      </c>
      <c r="H128">
        <v>1794.2166999999999</v>
      </c>
      <c r="I128">
        <v>1790.9989</v>
      </c>
      <c r="J128">
        <v>0.83709999999999996</v>
      </c>
      <c r="K128">
        <v>1.0137</v>
      </c>
      <c r="L128">
        <v>0.73819999999999997</v>
      </c>
      <c r="M128">
        <v>60.012099999999997</v>
      </c>
      <c r="N128">
        <v>2.5287999999999999</v>
      </c>
      <c r="O128">
        <v>1.9954000000000001</v>
      </c>
      <c r="P128">
        <v>1831.4269999999999</v>
      </c>
      <c r="Q128">
        <v>1771.0730000000001</v>
      </c>
    </row>
    <row r="129" spans="1:17" x14ac:dyDescent="0.3">
      <c r="A129" s="1">
        <v>44574</v>
      </c>
      <c r="B129">
        <v>1821.2</v>
      </c>
      <c r="C129">
        <v>1823</v>
      </c>
      <c r="D129">
        <v>1815.4</v>
      </c>
      <c r="E129">
        <v>1819.8</v>
      </c>
      <c r="F129">
        <v>40</v>
      </c>
      <c r="G129">
        <v>1804.2285999999999</v>
      </c>
      <c r="H129">
        <v>1795.7166999999999</v>
      </c>
      <c r="I129">
        <v>1790.9332999999999</v>
      </c>
      <c r="J129">
        <v>4.3999999999999997E-2</v>
      </c>
      <c r="K129">
        <v>0.75619999999999998</v>
      </c>
      <c r="L129">
        <v>0.73019999999999996</v>
      </c>
      <c r="M129">
        <v>54.738999999999997</v>
      </c>
      <c r="N129">
        <v>3.5952999999999999</v>
      </c>
      <c r="O129">
        <v>2.3153999999999999</v>
      </c>
      <c r="P129">
        <v>1830.5714</v>
      </c>
      <c r="Q129">
        <v>1777.1686</v>
      </c>
    </row>
    <row r="130" spans="1:17" x14ac:dyDescent="0.3">
      <c r="A130" s="1">
        <v>44575</v>
      </c>
      <c r="B130">
        <v>1816.5</v>
      </c>
      <c r="C130">
        <v>1822</v>
      </c>
      <c r="D130">
        <v>1816.5</v>
      </c>
      <c r="E130">
        <v>1821.5</v>
      </c>
      <c r="F130">
        <v>816</v>
      </c>
      <c r="G130">
        <v>1805.4286</v>
      </c>
      <c r="H130">
        <v>1797.07</v>
      </c>
      <c r="I130">
        <v>1791.3756000000001</v>
      </c>
      <c r="J130">
        <v>9.3399999999999997E-2</v>
      </c>
      <c r="K130">
        <v>0.71709999999999996</v>
      </c>
      <c r="L130">
        <v>0.72860000000000003</v>
      </c>
      <c r="M130">
        <v>54.012599999999999</v>
      </c>
      <c r="N130">
        <v>4.5255000000000001</v>
      </c>
      <c r="O130">
        <v>2.7574000000000001</v>
      </c>
      <c r="P130">
        <v>1831.4101000000001</v>
      </c>
      <c r="Q130">
        <v>1780.3798999999999</v>
      </c>
    </row>
    <row r="131" spans="1:17" x14ac:dyDescent="0.3">
      <c r="A131" s="1">
        <v>44579</v>
      </c>
      <c r="B131">
        <v>1812.3</v>
      </c>
      <c r="C131">
        <v>1820.1</v>
      </c>
      <c r="D131">
        <v>1812.3</v>
      </c>
      <c r="E131">
        <v>1816.8</v>
      </c>
      <c r="F131">
        <v>900</v>
      </c>
      <c r="G131">
        <v>1809.6714999999999</v>
      </c>
      <c r="H131">
        <v>1798.7132999999999</v>
      </c>
      <c r="I131">
        <v>1791.5767000000001</v>
      </c>
      <c r="J131">
        <v>-0.25800000000000001</v>
      </c>
      <c r="K131">
        <v>0.35060000000000002</v>
      </c>
      <c r="L131">
        <v>0.71460000000000001</v>
      </c>
      <c r="M131">
        <v>51.643900000000002</v>
      </c>
      <c r="N131">
        <v>4.8277999999999999</v>
      </c>
      <c r="O131">
        <v>3.1715</v>
      </c>
      <c r="P131">
        <v>1832.4883</v>
      </c>
      <c r="Q131">
        <v>1780.5817</v>
      </c>
    </row>
    <row r="132" spans="1:17" x14ac:dyDescent="0.3">
      <c r="A132" s="1">
        <v>44580</v>
      </c>
      <c r="B132">
        <v>1843.1</v>
      </c>
      <c r="C132">
        <v>1843.1</v>
      </c>
      <c r="D132">
        <v>1817.4</v>
      </c>
      <c r="E132">
        <v>1817.4</v>
      </c>
      <c r="F132">
        <v>4</v>
      </c>
      <c r="G132">
        <v>1813.3286000000001</v>
      </c>
      <c r="H132">
        <v>1799.9532999999999</v>
      </c>
      <c r="I132">
        <v>1791.8856000000001</v>
      </c>
      <c r="J132">
        <v>3.3000000000000002E-2</v>
      </c>
      <c r="K132">
        <v>0.3584</v>
      </c>
      <c r="L132">
        <v>0.70479999999999998</v>
      </c>
      <c r="M132">
        <v>55.1524</v>
      </c>
      <c r="N132">
        <v>5.0575000000000001</v>
      </c>
      <c r="O132">
        <v>3.5487000000000002</v>
      </c>
      <c r="P132">
        <v>1833.5266999999999</v>
      </c>
      <c r="Q132">
        <v>1781.6033</v>
      </c>
    </row>
    <row r="133" spans="1:17" x14ac:dyDescent="0.3">
      <c r="A133" s="1">
        <v>44581</v>
      </c>
      <c r="B133">
        <v>1842.5</v>
      </c>
      <c r="C133">
        <v>1843</v>
      </c>
      <c r="D133">
        <v>1838.2</v>
      </c>
      <c r="E133">
        <v>1840.6</v>
      </c>
      <c r="F133">
        <v>20</v>
      </c>
      <c r="G133">
        <v>1819.8571999999999</v>
      </c>
      <c r="H133">
        <v>1801.99</v>
      </c>
      <c r="I133">
        <v>1792.45</v>
      </c>
      <c r="J133">
        <v>1.2765</v>
      </c>
      <c r="K133">
        <v>0.53969999999999996</v>
      </c>
      <c r="L133">
        <v>0.7379</v>
      </c>
      <c r="M133">
        <v>62.194400000000002</v>
      </c>
      <c r="N133">
        <v>7.0305</v>
      </c>
      <c r="O133">
        <v>4.2450000000000001</v>
      </c>
      <c r="P133">
        <v>1838.7175999999999</v>
      </c>
      <c r="Q133">
        <v>1781.3324</v>
      </c>
    </row>
    <row r="134" spans="1:17" x14ac:dyDescent="0.3">
      <c r="A134" s="1">
        <v>44582</v>
      </c>
      <c r="B134">
        <v>1831.8</v>
      </c>
      <c r="C134">
        <v>1842.4</v>
      </c>
      <c r="D134">
        <v>1828.9</v>
      </c>
      <c r="E134">
        <v>1838</v>
      </c>
      <c r="F134">
        <v>19</v>
      </c>
      <c r="G134">
        <v>1824.7285999999999</v>
      </c>
      <c r="H134">
        <v>1803.5933</v>
      </c>
      <c r="I134">
        <v>1792.9677999999999</v>
      </c>
      <c r="J134">
        <v>-0.14130000000000001</v>
      </c>
      <c r="K134">
        <v>0.56579999999999997</v>
      </c>
      <c r="L134">
        <v>0.7339</v>
      </c>
      <c r="M134">
        <v>54.650300000000001</v>
      </c>
      <c r="N134">
        <v>8.2888000000000002</v>
      </c>
      <c r="O134">
        <v>5.0537999999999998</v>
      </c>
      <c r="P134">
        <v>1841.5740000000001</v>
      </c>
      <c r="Q134">
        <v>1783.6759999999999</v>
      </c>
    </row>
    <row r="135" spans="1:17" x14ac:dyDescent="0.3">
      <c r="A135" s="1">
        <v>44585</v>
      </c>
      <c r="B135">
        <v>1841.7</v>
      </c>
      <c r="C135">
        <v>1842.1</v>
      </c>
      <c r="D135">
        <v>1837.9</v>
      </c>
      <c r="E135">
        <v>1837.9</v>
      </c>
      <c r="F135">
        <v>8</v>
      </c>
      <c r="G135">
        <v>1827.4286</v>
      </c>
      <c r="H135">
        <v>1805.4067</v>
      </c>
      <c r="I135">
        <v>1793.3478</v>
      </c>
      <c r="J135">
        <v>-5.4000000000000003E-3</v>
      </c>
      <c r="K135">
        <v>0.51200000000000001</v>
      </c>
      <c r="L135">
        <v>0.72919999999999996</v>
      </c>
      <c r="M135">
        <v>52.9148</v>
      </c>
      <c r="N135">
        <v>9.1722000000000001</v>
      </c>
      <c r="O135">
        <v>5.8775000000000004</v>
      </c>
      <c r="P135">
        <v>1845.0840000000001</v>
      </c>
      <c r="Q135">
        <v>1783.356</v>
      </c>
    </row>
    <row r="136" spans="1:17" x14ac:dyDescent="0.3">
      <c r="A136" s="1">
        <v>44586</v>
      </c>
      <c r="B136">
        <v>1852.7</v>
      </c>
      <c r="C136">
        <v>1852.7</v>
      </c>
      <c r="D136">
        <v>1842</v>
      </c>
      <c r="E136">
        <v>1843</v>
      </c>
      <c r="F136">
        <v>11</v>
      </c>
      <c r="G136">
        <v>1830.7429</v>
      </c>
      <c r="H136">
        <v>1807.7132999999999</v>
      </c>
      <c r="I136">
        <v>1793.9043999999999</v>
      </c>
      <c r="J136">
        <v>0.27750000000000002</v>
      </c>
      <c r="K136">
        <v>0.51160000000000005</v>
      </c>
      <c r="L136">
        <v>0.71950000000000003</v>
      </c>
      <c r="M136">
        <v>69.441900000000004</v>
      </c>
      <c r="N136">
        <v>10.166600000000001</v>
      </c>
      <c r="O136">
        <v>6.7352999999999996</v>
      </c>
      <c r="P136">
        <v>1849.2129</v>
      </c>
      <c r="Q136">
        <v>1782.5271</v>
      </c>
    </row>
    <row r="137" spans="1:17" x14ac:dyDescent="0.3">
      <c r="A137" s="1">
        <v>44587</v>
      </c>
      <c r="B137">
        <v>1829.9</v>
      </c>
      <c r="C137">
        <v>1829.9</v>
      </c>
      <c r="D137">
        <v>1829.9</v>
      </c>
      <c r="E137">
        <v>1829.9</v>
      </c>
      <c r="F137">
        <v>55</v>
      </c>
      <c r="G137">
        <v>1831.9429</v>
      </c>
      <c r="H137">
        <v>1809.23</v>
      </c>
      <c r="I137">
        <v>1794.6944000000001</v>
      </c>
      <c r="J137">
        <v>-0.71079999999999999</v>
      </c>
      <c r="K137">
        <v>0.61480000000000001</v>
      </c>
      <c r="L137">
        <v>0.72970000000000002</v>
      </c>
      <c r="M137">
        <v>57.650300000000001</v>
      </c>
      <c r="N137">
        <v>9.7849000000000004</v>
      </c>
      <c r="O137">
        <v>7.3452000000000002</v>
      </c>
      <c r="P137">
        <v>1850.6274000000001</v>
      </c>
      <c r="Q137">
        <v>1782.9025999999999</v>
      </c>
    </row>
    <row r="138" spans="1:17" x14ac:dyDescent="0.3">
      <c r="A138" s="1">
        <v>44588</v>
      </c>
      <c r="B138">
        <v>1793.3</v>
      </c>
      <c r="C138">
        <v>1793.3</v>
      </c>
      <c r="D138">
        <v>1793.3</v>
      </c>
      <c r="E138">
        <v>1793.3</v>
      </c>
      <c r="F138">
        <v>196036</v>
      </c>
      <c r="G138">
        <v>1828.5857000000001</v>
      </c>
      <c r="H138">
        <v>1809.44</v>
      </c>
      <c r="I138">
        <v>1795.1556</v>
      </c>
      <c r="J138">
        <v>-2.0001000000000002</v>
      </c>
      <c r="K138">
        <v>1.0002</v>
      </c>
      <c r="L138">
        <v>0.82299999999999995</v>
      </c>
      <c r="M138">
        <v>52.574800000000003</v>
      </c>
      <c r="N138">
        <v>6.4546000000000001</v>
      </c>
      <c r="O138">
        <v>7.1670999999999996</v>
      </c>
      <c r="P138">
        <v>1851.2387000000001</v>
      </c>
      <c r="Q138">
        <v>1781.3013000000001</v>
      </c>
    </row>
    <row r="139" spans="1:17" x14ac:dyDescent="0.3">
      <c r="A139" s="1">
        <v>44589</v>
      </c>
      <c r="B139">
        <v>1784.9</v>
      </c>
      <c r="C139">
        <v>1798.4</v>
      </c>
      <c r="D139">
        <v>1778.8</v>
      </c>
      <c r="E139">
        <v>1797.5</v>
      </c>
      <c r="F139">
        <v>28521</v>
      </c>
      <c r="G139">
        <v>1825.7429</v>
      </c>
      <c r="H139">
        <v>1810.4432999999999</v>
      </c>
      <c r="I139">
        <v>1795.5478000000001</v>
      </c>
      <c r="J139">
        <v>0.23419999999999999</v>
      </c>
      <c r="K139">
        <v>1.0103</v>
      </c>
      <c r="L139">
        <v>0.7964</v>
      </c>
      <c r="M139">
        <v>52.377000000000002</v>
      </c>
      <c r="N139">
        <v>4.1069000000000004</v>
      </c>
      <c r="O139">
        <v>6.5551000000000004</v>
      </c>
      <c r="P139">
        <v>1851.4450999999999</v>
      </c>
      <c r="Q139">
        <v>1780.675</v>
      </c>
    </row>
    <row r="140" spans="1:17" x14ac:dyDescent="0.3">
      <c r="A140" s="1">
        <v>44592</v>
      </c>
      <c r="B140">
        <v>1795</v>
      </c>
      <c r="C140">
        <v>1798.5</v>
      </c>
      <c r="D140">
        <v>1785.1</v>
      </c>
      <c r="E140">
        <v>1788.5</v>
      </c>
      <c r="F140">
        <v>1735</v>
      </c>
      <c r="G140">
        <v>1818.3</v>
      </c>
      <c r="H140">
        <v>1810.6932999999999</v>
      </c>
      <c r="I140">
        <v>1795.6789000000001</v>
      </c>
      <c r="J140">
        <v>-0.50070000000000003</v>
      </c>
      <c r="K140">
        <v>0.79059999999999997</v>
      </c>
      <c r="L140">
        <v>0.79110000000000003</v>
      </c>
      <c r="M140">
        <v>47.456299999999999</v>
      </c>
      <c r="N140">
        <v>1.5027999999999999</v>
      </c>
      <c r="O140">
        <v>5.5446</v>
      </c>
      <c r="P140">
        <v>1851.3878</v>
      </c>
      <c r="Q140">
        <v>1777.0722000000001</v>
      </c>
    </row>
    <row r="141" spans="1:17" x14ac:dyDescent="0.3">
      <c r="A141" s="1">
        <v>44593</v>
      </c>
      <c r="B141">
        <v>1800.3</v>
      </c>
      <c r="C141">
        <v>1806.1</v>
      </c>
      <c r="D141">
        <v>1797.1</v>
      </c>
      <c r="E141">
        <v>1797.2</v>
      </c>
      <c r="F141">
        <v>223</v>
      </c>
      <c r="G141">
        <v>1812.4713999999999</v>
      </c>
      <c r="H141">
        <v>1810.4666999999999</v>
      </c>
      <c r="I141">
        <v>1796.0166999999999</v>
      </c>
      <c r="J141">
        <v>0.4864</v>
      </c>
      <c r="K141">
        <v>0.85840000000000005</v>
      </c>
      <c r="L141">
        <v>0.75939999999999996</v>
      </c>
      <c r="M141">
        <v>47.330599999999997</v>
      </c>
      <c r="N141">
        <v>0.1394</v>
      </c>
      <c r="O141">
        <v>4.4635999999999996</v>
      </c>
      <c r="P141">
        <v>1849.6976</v>
      </c>
      <c r="Q141">
        <v>1775.4724000000001</v>
      </c>
    </row>
    <row r="142" spans="1:17" x14ac:dyDescent="0.3">
      <c r="A142" s="1">
        <v>44594</v>
      </c>
      <c r="B142">
        <v>1809.2</v>
      </c>
      <c r="C142">
        <v>1810.1</v>
      </c>
      <c r="D142">
        <v>1795.1</v>
      </c>
      <c r="E142">
        <v>1797.8</v>
      </c>
      <c r="F142">
        <v>1690</v>
      </c>
      <c r="G142">
        <v>1806.7429</v>
      </c>
      <c r="H142">
        <v>1810.5</v>
      </c>
      <c r="I142">
        <v>1796.5510999999999</v>
      </c>
      <c r="J142">
        <v>3.3399999999999999E-2</v>
      </c>
      <c r="K142">
        <v>0.8609</v>
      </c>
      <c r="L142">
        <v>0.75580000000000003</v>
      </c>
      <c r="M142">
        <v>40.450499999999998</v>
      </c>
      <c r="N142">
        <v>-0.88239999999999996</v>
      </c>
      <c r="O142">
        <v>3.3944000000000001</v>
      </c>
      <c r="P142">
        <v>1849.7668000000001</v>
      </c>
      <c r="Q142">
        <v>1775.1333</v>
      </c>
    </row>
    <row r="143" spans="1:17" x14ac:dyDescent="0.3">
      <c r="A143" s="1">
        <v>44595</v>
      </c>
      <c r="B143">
        <v>1803</v>
      </c>
      <c r="C143">
        <v>1808.1</v>
      </c>
      <c r="D143">
        <v>1787.9</v>
      </c>
      <c r="E143">
        <v>1805.8</v>
      </c>
      <c r="F143">
        <v>466</v>
      </c>
      <c r="G143">
        <v>1801.4286</v>
      </c>
      <c r="H143">
        <v>1810.98</v>
      </c>
      <c r="I143">
        <v>1797.1522</v>
      </c>
      <c r="J143">
        <v>0.44500000000000001</v>
      </c>
      <c r="K143">
        <v>0.8821</v>
      </c>
      <c r="L143">
        <v>0.75770000000000004</v>
      </c>
      <c r="M143">
        <v>44.077800000000003</v>
      </c>
      <c r="N143">
        <v>-1.0347999999999999</v>
      </c>
      <c r="O143">
        <v>2.5085000000000002</v>
      </c>
      <c r="P143">
        <v>1849.5175999999999</v>
      </c>
      <c r="Q143">
        <v>1774.6523999999999</v>
      </c>
    </row>
    <row r="144" spans="1:17" x14ac:dyDescent="0.3">
      <c r="A144" s="1">
        <v>44596</v>
      </c>
      <c r="B144">
        <v>1806.6</v>
      </c>
      <c r="C144">
        <v>1813.7</v>
      </c>
      <c r="D144">
        <v>1792.5</v>
      </c>
      <c r="E144">
        <v>1806</v>
      </c>
      <c r="F144">
        <v>571</v>
      </c>
      <c r="G144">
        <v>1798.0143</v>
      </c>
      <c r="H144">
        <v>1811.6467</v>
      </c>
      <c r="I144">
        <v>1797.89</v>
      </c>
      <c r="J144">
        <v>1.11E-2</v>
      </c>
      <c r="K144">
        <v>0.86639999999999995</v>
      </c>
      <c r="L144">
        <v>0.75519999999999998</v>
      </c>
      <c r="M144">
        <v>43.359000000000002</v>
      </c>
      <c r="N144">
        <v>-1.1265000000000001</v>
      </c>
      <c r="O144">
        <v>1.7815000000000001</v>
      </c>
      <c r="P144">
        <v>1848.7206000000001</v>
      </c>
      <c r="Q144">
        <v>1777.3395</v>
      </c>
    </row>
    <row r="145" spans="1:17" x14ac:dyDescent="0.3">
      <c r="A145" s="1">
        <v>44599</v>
      </c>
      <c r="B145">
        <v>1820.6</v>
      </c>
      <c r="C145">
        <v>1821.3</v>
      </c>
      <c r="D145">
        <v>1809.1</v>
      </c>
      <c r="E145">
        <v>1812.2</v>
      </c>
      <c r="F145">
        <v>601</v>
      </c>
      <c r="G145">
        <v>1800.7143000000001</v>
      </c>
      <c r="H145">
        <v>1811.8533</v>
      </c>
      <c r="I145">
        <v>1798.7766999999999</v>
      </c>
      <c r="J145">
        <v>0.34329999999999999</v>
      </c>
      <c r="K145">
        <v>0.34179999999999999</v>
      </c>
      <c r="L145">
        <v>0.72970000000000002</v>
      </c>
      <c r="M145">
        <v>48.054099999999998</v>
      </c>
      <c r="N145">
        <v>-0.69089999999999996</v>
      </c>
      <c r="O145">
        <v>1.2870999999999999</v>
      </c>
      <c r="P145">
        <v>1848.3237999999999</v>
      </c>
      <c r="Q145">
        <v>1779.7762</v>
      </c>
    </row>
    <row r="146" spans="1:17" x14ac:dyDescent="0.3">
      <c r="A146" s="1">
        <v>44600</v>
      </c>
      <c r="B146">
        <v>1826.6</v>
      </c>
      <c r="C146">
        <v>1827.6</v>
      </c>
      <c r="D146">
        <v>1815</v>
      </c>
      <c r="E146">
        <v>1818.9</v>
      </c>
      <c r="F146">
        <v>108</v>
      </c>
      <c r="G146">
        <v>1803.7714000000001</v>
      </c>
      <c r="H146">
        <v>1812.15</v>
      </c>
      <c r="I146">
        <v>1799.8144</v>
      </c>
      <c r="J146">
        <v>0.36969999999999997</v>
      </c>
      <c r="K146">
        <v>0.35110000000000002</v>
      </c>
      <c r="L146">
        <v>0.73170000000000002</v>
      </c>
      <c r="M146">
        <v>50.603400000000001</v>
      </c>
      <c r="N146">
        <v>0.1928</v>
      </c>
      <c r="O146">
        <v>1.0682</v>
      </c>
      <c r="P146">
        <v>1848.3616</v>
      </c>
      <c r="Q146">
        <v>1782.1384</v>
      </c>
    </row>
    <row r="147" spans="1:17" x14ac:dyDescent="0.3">
      <c r="A147" s="1">
        <v>44601</v>
      </c>
      <c r="B147">
        <v>1835.2</v>
      </c>
      <c r="C147">
        <v>1835.2</v>
      </c>
      <c r="D147">
        <v>1825.3</v>
      </c>
      <c r="E147">
        <v>1825.4</v>
      </c>
      <c r="F147">
        <v>683</v>
      </c>
      <c r="G147">
        <v>1809.0428999999999</v>
      </c>
      <c r="H147">
        <v>1812.5967000000001</v>
      </c>
      <c r="I147">
        <v>1800.6043999999999</v>
      </c>
      <c r="J147">
        <v>0.3574</v>
      </c>
      <c r="K147">
        <v>0.1915</v>
      </c>
      <c r="L147">
        <v>0.73409999999999997</v>
      </c>
      <c r="M147">
        <v>42.936799999999998</v>
      </c>
      <c r="N147">
        <v>1.4014</v>
      </c>
      <c r="O147">
        <v>1.1348</v>
      </c>
      <c r="P147">
        <v>1849.2807</v>
      </c>
      <c r="Q147">
        <v>1783.3693000000001</v>
      </c>
    </row>
    <row r="148" spans="1:17" x14ac:dyDescent="0.3">
      <c r="A148" s="1">
        <v>44602</v>
      </c>
      <c r="B148">
        <v>1836.2</v>
      </c>
      <c r="C148">
        <v>1842.1</v>
      </c>
      <c r="D148">
        <v>1820.8</v>
      </c>
      <c r="E148">
        <v>1833.3</v>
      </c>
      <c r="F148">
        <v>365</v>
      </c>
      <c r="G148">
        <v>1814.2</v>
      </c>
      <c r="H148">
        <v>1813.6</v>
      </c>
      <c r="I148">
        <v>1801.3688999999999</v>
      </c>
      <c r="J148">
        <v>0.43280000000000002</v>
      </c>
      <c r="K148">
        <v>0.18329999999999999</v>
      </c>
      <c r="L148">
        <v>0.73119999999999996</v>
      </c>
      <c r="M148">
        <v>47.918500000000002</v>
      </c>
      <c r="N148">
        <v>2.9626000000000001</v>
      </c>
      <c r="O148">
        <v>1.5004</v>
      </c>
      <c r="P148">
        <v>1850.8495</v>
      </c>
      <c r="Q148">
        <v>1783.2304999999999</v>
      </c>
    </row>
    <row r="149" spans="1:17" x14ac:dyDescent="0.3">
      <c r="A149" s="1">
        <v>44603</v>
      </c>
      <c r="B149">
        <v>1840.8</v>
      </c>
      <c r="C149">
        <v>1864.8</v>
      </c>
      <c r="D149">
        <v>1822</v>
      </c>
      <c r="E149">
        <v>1822</v>
      </c>
      <c r="F149">
        <v>181</v>
      </c>
      <c r="G149">
        <v>1817.6572000000001</v>
      </c>
      <c r="H149">
        <v>1814.2766999999999</v>
      </c>
      <c r="I149">
        <v>1802.01</v>
      </c>
      <c r="J149">
        <v>-0.61639999999999995</v>
      </c>
      <c r="K149">
        <v>0.3851</v>
      </c>
      <c r="L149">
        <v>0.74109999999999998</v>
      </c>
      <c r="M149">
        <v>43.593899999999998</v>
      </c>
      <c r="N149">
        <v>3.2505000000000002</v>
      </c>
      <c r="O149">
        <v>1.8504</v>
      </c>
      <c r="P149">
        <v>1851.0116</v>
      </c>
      <c r="Q149">
        <v>1783.2883999999999</v>
      </c>
    </row>
    <row r="150" spans="1:17" x14ac:dyDescent="0.3">
      <c r="A150" s="1">
        <v>44606</v>
      </c>
      <c r="B150">
        <v>1868</v>
      </c>
      <c r="C150">
        <v>1870.6</v>
      </c>
      <c r="D150">
        <v>1854.6</v>
      </c>
      <c r="E150">
        <v>1861.8</v>
      </c>
      <c r="F150">
        <v>79</v>
      </c>
      <c r="G150">
        <v>1825.6572000000001</v>
      </c>
      <c r="H150">
        <v>1815.5</v>
      </c>
      <c r="I150">
        <v>1803.1488999999999</v>
      </c>
      <c r="J150">
        <v>2.1844000000000001</v>
      </c>
      <c r="K150">
        <v>0.8528</v>
      </c>
      <c r="L150">
        <v>0.80759999999999998</v>
      </c>
      <c r="M150">
        <v>55.919400000000003</v>
      </c>
      <c r="N150">
        <v>6.6139999999999999</v>
      </c>
      <c r="O150">
        <v>2.8031000000000001</v>
      </c>
      <c r="P150">
        <v>1858.4746</v>
      </c>
      <c r="Q150">
        <v>1779.8554999999999</v>
      </c>
    </row>
    <row r="151" spans="1:17" x14ac:dyDescent="0.3">
      <c r="A151" s="1">
        <v>44607</v>
      </c>
      <c r="B151">
        <v>1854.8</v>
      </c>
      <c r="C151">
        <v>1879.7</v>
      </c>
      <c r="D151">
        <v>1847.4</v>
      </c>
      <c r="E151">
        <v>1872.6</v>
      </c>
      <c r="F151">
        <v>86</v>
      </c>
      <c r="G151">
        <v>1835.1713999999999</v>
      </c>
      <c r="H151">
        <v>1816.9167</v>
      </c>
      <c r="I151">
        <v>1804.3733</v>
      </c>
      <c r="J151">
        <v>0.58009999999999995</v>
      </c>
      <c r="K151">
        <v>0.83199999999999996</v>
      </c>
      <c r="L151">
        <v>0.81220000000000003</v>
      </c>
      <c r="M151">
        <v>63.642200000000003</v>
      </c>
      <c r="N151">
        <v>10.035399999999999</v>
      </c>
      <c r="O151">
        <v>4.2496</v>
      </c>
      <c r="P151">
        <v>1867.9159</v>
      </c>
      <c r="Q151">
        <v>1775.9940999999999</v>
      </c>
    </row>
    <row r="152" spans="1:17" x14ac:dyDescent="0.3">
      <c r="A152" s="1">
        <v>44608</v>
      </c>
      <c r="B152">
        <v>1870.2</v>
      </c>
      <c r="C152">
        <v>1870.2</v>
      </c>
      <c r="D152">
        <v>1856.3</v>
      </c>
      <c r="E152">
        <v>1858.7</v>
      </c>
      <c r="F152">
        <v>34</v>
      </c>
      <c r="G152">
        <v>1841.8143</v>
      </c>
      <c r="H152">
        <v>1818.8567</v>
      </c>
      <c r="I152">
        <v>1805.5033000000001</v>
      </c>
      <c r="J152">
        <v>-0.74229999999999996</v>
      </c>
      <c r="K152">
        <v>0.96179999999999999</v>
      </c>
      <c r="L152">
        <v>0.76339999999999997</v>
      </c>
      <c r="M152">
        <v>74.439400000000006</v>
      </c>
      <c r="N152">
        <v>11.492800000000001</v>
      </c>
      <c r="O152">
        <v>5.6981999999999999</v>
      </c>
      <c r="P152">
        <v>1872.7471</v>
      </c>
      <c r="Q152">
        <v>1775.2928999999999</v>
      </c>
    </row>
    <row r="153" spans="1:17" x14ac:dyDescent="0.3">
      <c r="A153" s="1">
        <v>44609</v>
      </c>
      <c r="B153">
        <v>1900.7</v>
      </c>
      <c r="C153">
        <v>1900.7</v>
      </c>
      <c r="D153">
        <v>1876.2</v>
      </c>
      <c r="E153">
        <v>1876.3</v>
      </c>
      <c r="F153">
        <v>393</v>
      </c>
      <c r="G153">
        <v>1850.0143</v>
      </c>
      <c r="H153">
        <v>1820.9632999999999</v>
      </c>
      <c r="I153">
        <v>1806.8333</v>
      </c>
      <c r="J153">
        <v>0.94689999999999996</v>
      </c>
      <c r="K153">
        <v>0.98650000000000004</v>
      </c>
      <c r="L153">
        <v>0.77129999999999999</v>
      </c>
      <c r="M153">
        <v>76.766300000000001</v>
      </c>
      <c r="N153">
        <v>13.9076</v>
      </c>
      <c r="O153">
        <v>7.3400999999999996</v>
      </c>
      <c r="P153">
        <v>1879.4562000000001</v>
      </c>
      <c r="Q153">
        <v>1772.1538</v>
      </c>
    </row>
    <row r="154" spans="1:17" x14ac:dyDescent="0.3">
      <c r="A154" s="1">
        <v>44610</v>
      </c>
      <c r="B154">
        <v>1898.6</v>
      </c>
      <c r="C154">
        <v>1899.4</v>
      </c>
      <c r="D154">
        <v>1890.7</v>
      </c>
      <c r="E154">
        <v>1899.4</v>
      </c>
      <c r="F154">
        <v>51</v>
      </c>
      <c r="G154">
        <v>1860.5857000000001</v>
      </c>
      <c r="H154">
        <v>1824.7067</v>
      </c>
      <c r="I154">
        <v>1808.4721999999999</v>
      </c>
      <c r="J154">
        <v>1.2311000000000001</v>
      </c>
      <c r="K154">
        <v>1.0274000000000001</v>
      </c>
      <c r="L154">
        <v>0.73929999999999996</v>
      </c>
      <c r="M154">
        <v>84.376900000000006</v>
      </c>
      <c r="N154">
        <v>17.483799999999999</v>
      </c>
      <c r="O154">
        <v>9.3688000000000002</v>
      </c>
      <c r="P154">
        <v>1891.7058999999999</v>
      </c>
      <c r="Q154">
        <v>1766.0441000000001</v>
      </c>
    </row>
    <row r="155" spans="1:17" x14ac:dyDescent="0.3">
      <c r="A155" s="1">
        <v>44614</v>
      </c>
      <c r="B155">
        <v>1906.1</v>
      </c>
      <c r="C155">
        <v>1912</v>
      </c>
      <c r="D155">
        <v>1890.8</v>
      </c>
      <c r="E155">
        <v>1908.1</v>
      </c>
      <c r="F155">
        <v>173</v>
      </c>
      <c r="G155">
        <v>1871.2714000000001</v>
      </c>
      <c r="H155">
        <v>1828.5833</v>
      </c>
      <c r="I155">
        <v>1810.1088999999999</v>
      </c>
      <c r="J155">
        <v>0.45800000000000002</v>
      </c>
      <c r="K155">
        <v>1.0268999999999999</v>
      </c>
      <c r="L155">
        <v>0.74070000000000003</v>
      </c>
      <c r="M155">
        <v>84.376900000000006</v>
      </c>
      <c r="N155">
        <v>20.7804</v>
      </c>
      <c r="O155">
        <v>11.651199999999999</v>
      </c>
      <c r="P155">
        <v>1904.4965999999999</v>
      </c>
      <c r="Q155">
        <v>1760.2734</v>
      </c>
    </row>
    <row r="156" spans="1:17" x14ac:dyDescent="0.3">
      <c r="A156" s="1">
        <v>44615</v>
      </c>
      <c r="B156">
        <v>1909.2</v>
      </c>
      <c r="C156">
        <v>1910.6</v>
      </c>
      <c r="D156">
        <v>1895.7</v>
      </c>
      <c r="E156">
        <v>1896.6</v>
      </c>
      <c r="F156">
        <v>73</v>
      </c>
      <c r="G156">
        <v>1881.9286</v>
      </c>
      <c r="H156">
        <v>1831.9733000000001</v>
      </c>
      <c r="I156">
        <v>1811.2689</v>
      </c>
      <c r="J156">
        <v>-0.60270000000000001</v>
      </c>
      <c r="K156">
        <v>1.0243</v>
      </c>
      <c r="L156">
        <v>0.75549999999999995</v>
      </c>
      <c r="M156">
        <v>78.6875</v>
      </c>
      <c r="N156">
        <v>22.209099999999999</v>
      </c>
      <c r="O156">
        <v>13.762700000000001</v>
      </c>
      <c r="P156">
        <v>1912.6165000000001</v>
      </c>
      <c r="Q156">
        <v>1757.5135</v>
      </c>
    </row>
    <row r="157" spans="1:17" x14ac:dyDescent="0.3">
      <c r="A157" s="1">
        <v>44616</v>
      </c>
      <c r="B157">
        <v>1925.1</v>
      </c>
      <c r="C157">
        <v>1972.5</v>
      </c>
      <c r="D157">
        <v>1911.7</v>
      </c>
      <c r="E157">
        <v>1911.9</v>
      </c>
      <c r="F157">
        <v>2706</v>
      </c>
      <c r="G157">
        <v>1889.0857000000001</v>
      </c>
      <c r="H157">
        <v>1835.5733</v>
      </c>
      <c r="I157">
        <v>1812.5733</v>
      </c>
      <c r="J157">
        <v>0.80669999999999997</v>
      </c>
      <c r="K157">
        <v>0.76370000000000005</v>
      </c>
      <c r="L157">
        <v>0.76190000000000002</v>
      </c>
      <c r="M157">
        <v>79.554299999999998</v>
      </c>
      <c r="N157">
        <v>24.2958</v>
      </c>
      <c r="O157">
        <v>15.869400000000001</v>
      </c>
      <c r="P157">
        <v>1923.9041</v>
      </c>
      <c r="Q157">
        <v>1754.4259</v>
      </c>
    </row>
    <row r="158" spans="1:17" x14ac:dyDescent="0.3">
      <c r="A158" s="1">
        <v>44617</v>
      </c>
      <c r="B158">
        <v>1886.5</v>
      </c>
      <c r="C158">
        <v>1920</v>
      </c>
      <c r="D158">
        <v>1883.6</v>
      </c>
      <c r="E158">
        <v>1906.9</v>
      </c>
      <c r="F158">
        <v>586</v>
      </c>
      <c r="G158">
        <v>1893.9857</v>
      </c>
      <c r="H158">
        <v>1838.5033000000001</v>
      </c>
      <c r="I158">
        <v>1814.1877999999999</v>
      </c>
      <c r="J158">
        <v>-0.26150000000000001</v>
      </c>
      <c r="K158">
        <v>0.79310000000000003</v>
      </c>
      <c r="L158">
        <v>0.75649999999999995</v>
      </c>
      <c r="M158">
        <v>77.373800000000003</v>
      </c>
      <c r="N158">
        <v>25.254999999999999</v>
      </c>
      <c r="O158">
        <v>17.746500000000001</v>
      </c>
      <c r="P158">
        <v>1931.8387</v>
      </c>
      <c r="Q158">
        <v>1757.8513</v>
      </c>
    </row>
    <row r="159" spans="1:17" x14ac:dyDescent="0.3">
      <c r="A159" s="1">
        <v>44620</v>
      </c>
      <c r="B159">
        <v>1899.4</v>
      </c>
      <c r="C159">
        <v>1928.4</v>
      </c>
      <c r="D159">
        <v>1894.2</v>
      </c>
      <c r="E159">
        <v>1928.3</v>
      </c>
      <c r="F159">
        <v>390</v>
      </c>
      <c r="G159">
        <v>1903.9286</v>
      </c>
      <c r="H159">
        <v>1842.12</v>
      </c>
      <c r="I159">
        <v>1815.8622</v>
      </c>
      <c r="J159">
        <v>1.1222000000000001</v>
      </c>
      <c r="K159">
        <v>0.70799999999999996</v>
      </c>
      <c r="L159">
        <v>0.77610000000000001</v>
      </c>
      <c r="M159">
        <v>79.097700000000003</v>
      </c>
      <c r="N159">
        <v>27.425799999999999</v>
      </c>
      <c r="O159">
        <v>19.682300000000001</v>
      </c>
      <c r="P159">
        <v>1942.9392</v>
      </c>
      <c r="Q159">
        <v>1759.8308</v>
      </c>
    </row>
    <row r="160" spans="1:17" x14ac:dyDescent="0.3">
      <c r="A160" s="1">
        <v>44621</v>
      </c>
      <c r="B160">
        <v>1942.4</v>
      </c>
      <c r="C160">
        <v>1942.4</v>
      </c>
      <c r="D160">
        <v>1903.8</v>
      </c>
      <c r="E160">
        <v>1908.3</v>
      </c>
      <c r="F160">
        <v>547</v>
      </c>
      <c r="G160">
        <v>1908.5</v>
      </c>
      <c r="H160">
        <v>1845.0133000000001</v>
      </c>
      <c r="I160">
        <v>1817.3478</v>
      </c>
      <c r="J160">
        <v>-1.0371999999999999</v>
      </c>
      <c r="K160">
        <v>0.8871</v>
      </c>
      <c r="L160">
        <v>0.80810000000000004</v>
      </c>
      <c r="M160">
        <v>71.005600000000001</v>
      </c>
      <c r="N160">
        <v>27.218599999999999</v>
      </c>
      <c r="O160">
        <v>21.189599999999999</v>
      </c>
      <c r="P160">
        <v>1947.2668000000001</v>
      </c>
      <c r="Q160">
        <v>1767.4831999999999</v>
      </c>
    </row>
    <row r="161" spans="1:17" x14ac:dyDescent="0.3">
      <c r="A161" s="1">
        <v>44622</v>
      </c>
      <c r="B161">
        <v>1920.9</v>
      </c>
      <c r="C161">
        <v>1948.2</v>
      </c>
      <c r="D161">
        <v>1919.8</v>
      </c>
      <c r="E161">
        <v>1945.6</v>
      </c>
      <c r="F161">
        <v>109</v>
      </c>
      <c r="G161">
        <v>1915.1</v>
      </c>
      <c r="H161">
        <v>1849.3067000000001</v>
      </c>
      <c r="I161">
        <v>1819.1656</v>
      </c>
      <c r="J161">
        <v>1.9545999999999999</v>
      </c>
      <c r="K161">
        <v>1.0486</v>
      </c>
      <c r="L161">
        <v>0.86750000000000005</v>
      </c>
      <c r="M161">
        <v>74.671599999999998</v>
      </c>
      <c r="N161">
        <v>29.721499999999999</v>
      </c>
      <c r="O161">
        <v>22.896000000000001</v>
      </c>
      <c r="P161">
        <v>1958.203</v>
      </c>
      <c r="Q161">
        <v>1771.3869999999999</v>
      </c>
    </row>
    <row r="162" spans="1:17" x14ac:dyDescent="0.3">
      <c r="A162" s="1">
        <v>44623</v>
      </c>
      <c r="B162">
        <v>1934.4</v>
      </c>
      <c r="C162">
        <v>1940.3</v>
      </c>
      <c r="D162">
        <v>1924.8</v>
      </c>
      <c r="E162">
        <v>1930.5</v>
      </c>
      <c r="F162">
        <v>122</v>
      </c>
      <c r="G162">
        <v>1918.3</v>
      </c>
      <c r="H162">
        <v>1853.0767000000001</v>
      </c>
      <c r="I162">
        <v>1820.7589</v>
      </c>
      <c r="J162">
        <v>-0.77610000000000001</v>
      </c>
      <c r="K162">
        <v>1.1278999999999999</v>
      </c>
      <c r="L162">
        <v>0.88629999999999998</v>
      </c>
      <c r="M162">
        <v>69.378</v>
      </c>
      <c r="N162">
        <v>30.139299999999999</v>
      </c>
      <c r="O162">
        <v>24.3446</v>
      </c>
      <c r="P162">
        <v>1963.6452999999999</v>
      </c>
      <c r="Q162">
        <v>1779.2147</v>
      </c>
    </row>
    <row r="163" spans="1:17" x14ac:dyDescent="0.3">
      <c r="A163" s="1">
        <v>44624</v>
      </c>
      <c r="B163">
        <v>1965.1</v>
      </c>
      <c r="C163">
        <v>1970.9</v>
      </c>
      <c r="D163">
        <v>1935.6</v>
      </c>
      <c r="E163">
        <v>1937</v>
      </c>
      <c r="F163">
        <v>47</v>
      </c>
      <c r="G163">
        <v>1924.0714</v>
      </c>
      <c r="H163">
        <v>1856.29</v>
      </c>
      <c r="I163">
        <v>1822.3444</v>
      </c>
      <c r="J163">
        <v>0.3367</v>
      </c>
      <c r="K163">
        <v>1.0749</v>
      </c>
      <c r="L163">
        <v>0.86350000000000005</v>
      </c>
      <c r="M163">
        <v>73.373999999999995</v>
      </c>
      <c r="N163">
        <v>30.6416</v>
      </c>
      <c r="O163">
        <v>25.603999999999999</v>
      </c>
      <c r="P163">
        <v>1969.2085</v>
      </c>
      <c r="Q163">
        <v>1786.7716</v>
      </c>
    </row>
    <row r="164" spans="1:17" x14ac:dyDescent="0.3">
      <c r="A164" s="1">
        <v>44627</v>
      </c>
      <c r="B164">
        <v>1993.9</v>
      </c>
      <c r="C164">
        <v>2001.1</v>
      </c>
      <c r="D164">
        <v>1963</v>
      </c>
      <c r="E164">
        <v>1989</v>
      </c>
      <c r="F164">
        <v>2516</v>
      </c>
      <c r="G164">
        <v>1935.0857000000001</v>
      </c>
      <c r="H164">
        <v>1861.3233</v>
      </c>
      <c r="I164">
        <v>1824.3467000000001</v>
      </c>
      <c r="J164">
        <v>2.6846000000000001</v>
      </c>
      <c r="K164">
        <v>1.4044000000000001</v>
      </c>
      <c r="L164">
        <v>0.9748</v>
      </c>
      <c r="M164">
        <v>74.632099999999994</v>
      </c>
      <c r="N164">
        <v>34.834099999999999</v>
      </c>
      <c r="O164">
        <v>27.45</v>
      </c>
      <c r="P164">
        <v>1984.4621</v>
      </c>
      <c r="Q164">
        <v>1789.8179</v>
      </c>
    </row>
    <row r="165" spans="1:17" x14ac:dyDescent="0.3">
      <c r="A165" s="1">
        <v>44628</v>
      </c>
      <c r="B165">
        <v>2040.1</v>
      </c>
      <c r="C165">
        <v>2072</v>
      </c>
      <c r="D165">
        <v>1998</v>
      </c>
      <c r="E165">
        <v>1999.4</v>
      </c>
      <c r="F165">
        <v>1813</v>
      </c>
      <c r="G165">
        <v>1948.3</v>
      </c>
      <c r="H165">
        <v>1866.7067</v>
      </c>
      <c r="I165">
        <v>1826.6567</v>
      </c>
      <c r="J165">
        <v>0.52290000000000003</v>
      </c>
      <c r="K165">
        <v>1.3571</v>
      </c>
      <c r="L165">
        <v>0.97450000000000003</v>
      </c>
      <c r="M165">
        <v>74.592699999999994</v>
      </c>
      <c r="N165">
        <v>38.551600000000001</v>
      </c>
      <c r="O165">
        <v>29.670400000000001</v>
      </c>
      <c r="P165">
        <v>1999.3275000000001</v>
      </c>
      <c r="Q165">
        <v>1793.6724999999999</v>
      </c>
    </row>
    <row r="166" spans="1:17" x14ac:dyDescent="0.3">
      <c r="A166" s="1">
        <v>44629</v>
      </c>
      <c r="B166">
        <v>1985.9</v>
      </c>
      <c r="C166">
        <v>2063</v>
      </c>
      <c r="D166">
        <v>1980.8</v>
      </c>
      <c r="E166">
        <v>2053.6001000000001</v>
      </c>
      <c r="F166">
        <v>1022</v>
      </c>
      <c r="G166">
        <v>1966.2</v>
      </c>
      <c r="H166">
        <v>1873.7266999999999</v>
      </c>
      <c r="I166">
        <v>1829.5245</v>
      </c>
      <c r="J166">
        <v>2.7107999999999999</v>
      </c>
      <c r="K166">
        <v>1.5597000000000001</v>
      </c>
      <c r="L166">
        <v>1.0703</v>
      </c>
      <c r="M166">
        <v>82.690399999999997</v>
      </c>
      <c r="N166">
        <v>45.348399999999998</v>
      </c>
      <c r="O166">
        <v>32.805999999999997</v>
      </c>
      <c r="P166">
        <v>2026.2257</v>
      </c>
      <c r="Q166">
        <v>1790.2443000000001</v>
      </c>
    </row>
    <row r="167" spans="1:17" x14ac:dyDescent="0.3">
      <c r="A167" s="1">
        <v>44630</v>
      </c>
      <c r="B167">
        <v>1998.1</v>
      </c>
      <c r="C167">
        <v>2010.5</v>
      </c>
      <c r="D167">
        <v>1978.1</v>
      </c>
      <c r="E167">
        <v>1978.1</v>
      </c>
      <c r="F167">
        <v>670</v>
      </c>
      <c r="G167">
        <v>1976.1713999999999</v>
      </c>
      <c r="H167">
        <v>1878.6667</v>
      </c>
      <c r="I167">
        <v>1831.58</v>
      </c>
      <c r="J167">
        <v>-3.6764999999999999</v>
      </c>
      <c r="K167">
        <v>2.2681</v>
      </c>
      <c r="L167">
        <v>1.2881</v>
      </c>
      <c r="M167">
        <v>64.297700000000006</v>
      </c>
      <c r="N167">
        <v>44.133899999999997</v>
      </c>
      <c r="O167">
        <v>35.0715</v>
      </c>
      <c r="P167">
        <v>2031.0195000000001</v>
      </c>
      <c r="Q167">
        <v>1800.7204999999999</v>
      </c>
    </row>
    <row r="168" spans="1:17" x14ac:dyDescent="0.3">
      <c r="A168" s="1">
        <v>44631</v>
      </c>
      <c r="B168">
        <v>1982.7</v>
      </c>
      <c r="C168">
        <v>1996</v>
      </c>
      <c r="D168">
        <v>1959.9</v>
      </c>
      <c r="E168">
        <v>1985</v>
      </c>
      <c r="F168">
        <v>865</v>
      </c>
      <c r="G168">
        <v>1981.8</v>
      </c>
      <c r="H168">
        <v>1885.0567000000001</v>
      </c>
      <c r="I168">
        <v>1833.7745</v>
      </c>
      <c r="J168">
        <v>0.3488</v>
      </c>
      <c r="K168">
        <v>2.1802999999999999</v>
      </c>
      <c r="L168">
        <v>1.2148000000000001</v>
      </c>
      <c r="M168">
        <v>62.595599999999997</v>
      </c>
      <c r="N168">
        <v>43.229900000000001</v>
      </c>
      <c r="O168">
        <v>36.703200000000002</v>
      </c>
      <c r="P168">
        <v>2035.6510000000001</v>
      </c>
      <c r="Q168">
        <v>1811.259</v>
      </c>
    </row>
    <row r="169" spans="1:17" x14ac:dyDescent="0.3">
      <c r="A169" s="1">
        <v>44634</v>
      </c>
      <c r="B169">
        <v>1959.6</v>
      </c>
      <c r="C169">
        <v>1977.7</v>
      </c>
      <c r="D169">
        <v>1959.6</v>
      </c>
      <c r="E169">
        <v>1976.5</v>
      </c>
      <c r="F169">
        <v>145</v>
      </c>
      <c r="G169">
        <v>1988.3714</v>
      </c>
      <c r="H169">
        <v>1891.0233000000001</v>
      </c>
      <c r="I169">
        <v>1835.8411000000001</v>
      </c>
      <c r="J169">
        <v>-0.42820000000000003</v>
      </c>
      <c r="K169">
        <v>2.1553</v>
      </c>
      <c r="L169">
        <v>1.2229000000000001</v>
      </c>
      <c r="M169">
        <v>60.070700000000002</v>
      </c>
      <c r="N169">
        <v>41.350900000000003</v>
      </c>
      <c r="O169">
        <v>37.632800000000003</v>
      </c>
      <c r="P169">
        <v>2034.9204</v>
      </c>
      <c r="Q169">
        <v>1827.4395999999999</v>
      </c>
    </row>
    <row r="170" spans="1:17" x14ac:dyDescent="0.3">
      <c r="A170" s="1">
        <v>44635</v>
      </c>
      <c r="B170">
        <v>1928.5</v>
      </c>
      <c r="C170">
        <v>1939.9</v>
      </c>
      <c r="D170">
        <v>1910.7</v>
      </c>
      <c r="E170">
        <v>1939.8</v>
      </c>
      <c r="F170">
        <v>71</v>
      </c>
      <c r="G170">
        <v>1988.7714000000001</v>
      </c>
      <c r="H170">
        <v>1896.0667000000001</v>
      </c>
      <c r="I170">
        <v>1837.75</v>
      </c>
      <c r="J170">
        <v>-1.8568</v>
      </c>
      <c r="K170">
        <v>2.3125</v>
      </c>
      <c r="L170">
        <v>1.2782</v>
      </c>
      <c r="M170">
        <v>55.921100000000003</v>
      </c>
      <c r="N170">
        <v>36.479900000000001</v>
      </c>
      <c r="O170">
        <v>37.402200000000001</v>
      </c>
      <c r="P170">
        <v>2033.5700999999999</v>
      </c>
      <c r="Q170">
        <v>1836.5898999999999</v>
      </c>
    </row>
    <row r="171" spans="1:17" x14ac:dyDescent="0.3">
      <c r="A171" s="1">
        <v>44636</v>
      </c>
      <c r="B171">
        <v>1908</v>
      </c>
      <c r="C171">
        <v>1922.4</v>
      </c>
      <c r="D171">
        <v>1907.2</v>
      </c>
      <c r="E171">
        <v>1922.4</v>
      </c>
      <c r="F171">
        <v>104</v>
      </c>
      <c r="G171">
        <v>1979.2572</v>
      </c>
      <c r="H171">
        <v>1900.24</v>
      </c>
      <c r="I171">
        <v>1839.37</v>
      </c>
      <c r="J171">
        <v>-0.89700000000000002</v>
      </c>
      <c r="K171">
        <v>2.0068000000000001</v>
      </c>
      <c r="L171">
        <v>1.2952999999999999</v>
      </c>
      <c r="M171">
        <v>51.430900000000001</v>
      </c>
      <c r="N171">
        <v>30.8598</v>
      </c>
      <c r="O171">
        <v>36.093699999999998</v>
      </c>
      <c r="P171">
        <v>2031.8366000000001</v>
      </c>
      <c r="Q171">
        <v>1843.3034</v>
      </c>
    </row>
    <row r="172" spans="1:17" x14ac:dyDescent="0.3">
      <c r="A172" s="1">
        <v>44637</v>
      </c>
      <c r="B172">
        <v>1942.1</v>
      </c>
      <c r="C172">
        <v>1947.2</v>
      </c>
      <c r="D172">
        <v>1933.9</v>
      </c>
      <c r="E172">
        <v>1933.9</v>
      </c>
      <c r="F172">
        <v>39</v>
      </c>
      <c r="G172">
        <v>1969.9</v>
      </c>
      <c r="H172">
        <v>1904.7766999999999</v>
      </c>
      <c r="I172">
        <v>1840.9145000000001</v>
      </c>
      <c r="J172">
        <v>0.59819999999999995</v>
      </c>
      <c r="K172">
        <v>2.0131999999999999</v>
      </c>
      <c r="L172">
        <v>1.2965</v>
      </c>
      <c r="M172">
        <v>53.615400000000001</v>
      </c>
      <c r="N172">
        <v>27.022300000000001</v>
      </c>
      <c r="O172">
        <v>34.279400000000003</v>
      </c>
      <c r="P172">
        <v>2028.0474999999999</v>
      </c>
      <c r="Q172">
        <v>1854.6125</v>
      </c>
    </row>
    <row r="173" spans="1:17" x14ac:dyDescent="0.3">
      <c r="A173" s="1">
        <v>44638</v>
      </c>
      <c r="B173">
        <v>1928.2</v>
      </c>
      <c r="C173">
        <v>1939.3</v>
      </c>
      <c r="D173">
        <v>1928.2</v>
      </c>
      <c r="E173">
        <v>1934.5</v>
      </c>
      <c r="F173">
        <v>28</v>
      </c>
      <c r="G173">
        <v>1952.8857</v>
      </c>
      <c r="H173">
        <v>1909.0667000000001</v>
      </c>
      <c r="I173">
        <v>1842.22</v>
      </c>
      <c r="J173">
        <v>3.1E-2</v>
      </c>
      <c r="K173">
        <v>1.4996</v>
      </c>
      <c r="L173">
        <v>1.2965</v>
      </c>
      <c r="M173">
        <v>50.879199999999997</v>
      </c>
      <c r="N173">
        <v>23.755700000000001</v>
      </c>
      <c r="O173">
        <v>32.174700000000001</v>
      </c>
      <c r="P173">
        <v>2025.5038</v>
      </c>
      <c r="Q173">
        <v>1862.9763</v>
      </c>
    </row>
    <row r="174" spans="1:17" x14ac:dyDescent="0.3">
      <c r="A174" s="1">
        <v>44641</v>
      </c>
      <c r="B174">
        <v>1928.6</v>
      </c>
      <c r="C174">
        <v>1928.6</v>
      </c>
      <c r="D174">
        <v>1925</v>
      </c>
      <c r="E174">
        <v>1925.4</v>
      </c>
      <c r="F174">
        <v>5</v>
      </c>
      <c r="G174">
        <v>1945.3571999999999</v>
      </c>
      <c r="H174">
        <v>1913.0467000000001</v>
      </c>
      <c r="I174">
        <v>1843.3233</v>
      </c>
      <c r="J174">
        <v>-0.47039999999999998</v>
      </c>
      <c r="K174">
        <v>0.82820000000000005</v>
      </c>
      <c r="L174">
        <v>1.3024</v>
      </c>
      <c r="M174">
        <v>52.502200000000002</v>
      </c>
      <c r="N174">
        <v>20.1997</v>
      </c>
      <c r="O174">
        <v>29.779699999999998</v>
      </c>
      <c r="P174">
        <v>2024.5851</v>
      </c>
      <c r="Q174">
        <v>1866.4949999999999</v>
      </c>
    </row>
    <row r="175" spans="1:17" x14ac:dyDescent="0.3">
      <c r="A175" s="1">
        <v>44642</v>
      </c>
      <c r="B175">
        <v>1920.7</v>
      </c>
      <c r="C175">
        <v>1920.7</v>
      </c>
      <c r="D175">
        <v>1920.7</v>
      </c>
      <c r="E175">
        <v>1920.7</v>
      </c>
      <c r="F175">
        <v>26</v>
      </c>
      <c r="G175">
        <v>1936.1713999999999</v>
      </c>
      <c r="H175">
        <v>1916.6632999999999</v>
      </c>
      <c r="I175">
        <v>1844.3778</v>
      </c>
      <c r="J175">
        <v>-0.24410000000000001</v>
      </c>
      <c r="K175">
        <v>0.76919999999999999</v>
      </c>
      <c r="L175">
        <v>1.3048999999999999</v>
      </c>
      <c r="M175">
        <v>45.972200000000001</v>
      </c>
      <c r="N175">
        <v>16.808499999999999</v>
      </c>
      <c r="O175">
        <v>27.185500000000001</v>
      </c>
      <c r="P175">
        <v>2024.1523</v>
      </c>
      <c r="Q175">
        <v>1868.1876999999999</v>
      </c>
    </row>
    <row r="176" spans="1:17" x14ac:dyDescent="0.3">
      <c r="A176" s="1">
        <v>44643</v>
      </c>
      <c r="B176">
        <v>1936.6</v>
      </c>
      <c r="C176">
        <v>1936.6</v>
      </c>
      <c r="D176">
        <v>1936.6</v>
      </c>
      <c r="E176">
        <v>1936.6</v>
      </c>
      <c r="F176">
        <v>204</v>
      </c>
      <c r="G176">
        <v>1930.4713999999999</v>
      </c>
      <c r="H176">
        <v>1920.5867000000001</v>
      </c>
      <c r="I176">
        <v>1845.2967000000001</v>
      </c>
      <c r="J176">
        <v>0.82779999999999998</v>
      </c>
      <c r="K176">
        <v>0.91279999999999994</v>
      </c>
      <c r="L176">
        <v>1.3096000000000001</v>
      </c>
      <c r="M176">
        <v>50.984200000000001</v>
      </c>
      <c r="N176">
        <v>15.228400000000001</v>
      </c>
      <c r="O176">
        <v>24.7941</v>
      </c>
      <c r="P176">
        <v>2022.7782</v>
      </c>
      <c r="Q176">
        <v>1873.5618999999999</v>
      </c>
    </row>
    <row r="177" spans="1:17" x14ac:dyDescent="0.3">
      <c r="A177" s="1">
        <v>44644</v>
      </c>
      <c r="B177">
        <v>1961.6</v>
      </c>
      <c r="C177">
        <v>1964</v>
      </c>
      <c r="D177">
        <v>1961.6</v>
      </c>
      <c r="E177">
        <v>1963.6</v>
      </c>
      <c r="F177">
        <v>8</v>
      </c>
      <c r="G177">
        <v>1933.8714</v>
      </c>
      <c r="H177">
        <v>1925.1932999999999</v>
      </c>
      <c r="I177">
        <v>1846.4389000000001</v>
      </c>
      <c r="J177">
        <v>1.3942000000000001</v>
      </c>
      <c r="K177">
        <v>0.8014</v>
      </c>
      <c r="L177">
        <v>1.327</v>
      </c>
      <c r="M177">
        <v>54.025399999999998</v>
      </c>
      <c r="N177">
        <v>15.970800000000001</v>
      </c>
      <c r="O177">
        <v>23.029399999999999</v>
      </c>
      <c r="P177">
        <v>2023.6344999999999</v>
      </c>
      <c r="Q177">
        <v>1877.8756000000001</v>
      </c>
    </row>
    <row r="178" spans="1:17" x14ac:dyDescent="0.3">
      <c r="A178" s="1">
        <v>44645</v>
      </c>
      <c r="B178">
        <v>1953.8</v>
      </c>
      <c r="C178">
        <v>1953.8</v>
      </c>
      <c r="D178">
        <v>1953.8</v>
      </c>
      <c r="E178">
        <v>1953.8</v>
      </c>
      <c r="F178">
        <v>83</v>
      </c>
      <c r="G178">
        <v>1938.3570999999999</v>
      </c>
      <c r="H178">
        <v>1929.21</v>
      </c>
      <c r="I178">
        <v>1847.4311</v>
      </c>
      <c r="J178">
        <v>-0.49909999999999999</v>
      </c>
      <c r="K178">
        <v>0.7228</v>
      </c>
      <c r="L178">
        <v>1.3334999999999999</v>
      </c>
      <c r="M178">
        <v>43.893099999999997</v>
      </c>
      <c r="N178">
        <v>15.5886</v>
      </c>
      <c r="O178">
        <v>21.5412</v>
      </c>
      <c r="P178">
        <v>2022.9951000000001</v>
      </c>
      <c r="Q178">
        <v>1883.2049999999999</v>
      </c>
    </row>
    <row r="179" spans="1:17" x14ac:dyDescent="0.3">
      <c r="A179" s="1">
        <v>44648</v>
      </c>
      <c r="B179">
        <v>1939.6</v>
      </c>
      <c r="C179">
        <v>1939.6</v>
      </c>
      <c r="D179">
        <v>1932.6</v>
      </c>
      <c r="E179">
        <v>1932.6</v>
      </c>
      <c r="F179">
        <v>7</v>
      </c>
      <c r="G179">
        <v>1938.1713999999999</v>
      </c>
      <c r="H179">
        <v>1932.8967</v>
      </c>
      <c r="I179">
        <v>1848.3089</v>
      </c>
      <c r="J179">
        <v>-1.0851</v>
      </c>
      <c r="K179">
        <v>0.85019999999999996</v>
      </c>
      <c r="L179">
        <v>1.3464</v>
      </c>
      <c r="M179">
        <v>38.8294</v>
      </c>
      <c r="N179">
        <v>13.420400000000001</v>
      </c>
      <c r="O179">
        <v>19.917100000000001</v>
      </c>
      <c r="P179">
        <v>2022.9147</v>
      </c>
      <c r="Q179">
        <v>1883.7153000000001</v>
      </c>
    </row>
    <row r="180" spans="1:17" x14ac:dyDescent="0.3">
      <c r="A180" s="1">
        <v>44649</v>
      </c>
      <c r="B180">
        <v>1912</v>
      </c>
      <c r="C180">
        <v>1912</v>
      </c>
      <c r="D180">
        <v>1893.5</v>
      </c>
      <c r="E180">
        <v>1893.5</v>
      </c>
      <c r="F180">
        <v>128051</v>
      </c>
      <c r="G180">
        <v>1932.3143</v>
      </c>
      <c r="H180">
        <v>1933.9532999999999</v>
      </c>
      <c r="I180">
        <v>1848.6522</v>
      </c>
      <c r="J180">
        <v>-2.0232000000000001</v>
      </c>
      <c r="K180">
        <v>1.1402000000000001</v>
      </c>
      <c r="L180">
        <v>1.3522000000000001</v>
      </c>
      <c r="M180">
        <v>21.8034</v>
      </c>
      <c r="N180">
        <v>8.4496000000000002</v>
      </c>
      <c r="O180">
        <v>17.6236</v>
      </c>
      <c r="P180">
        <v>2024.4668999999999</v>
      </c>
      <c r="Q180">
        <v>1880.6831999999999</v>
      </c>
    </row>
    <row r="181" spans="1:17" x14ac:dyDescent="0.3">
      <c r="A181" s="1">
        <v>44650</v>
      </c>
      <c r="B181">
        <v>1933.5</v>
      </c>
      <c r="C181">
        <v>1937</v>
      </c>
      <c r="D181">
        <v>1914.5</v>
      </c>
      <c r="E181">
        <v>1918.4</v>
      </c>
      <c r="F181">
        <v>17765</v>
      </c>
      <c r="G181">
        <v>1931.3143</v>
      </c>
      <c r="H181">
        <v>1935.48</v>
      </c>
      <c r="I181">
        <v>1849.29</v>
      </c>
      <c r="J181">
        <v>1.3149999999999999</v>
      </c>
      <c r="K181">
        <v>1.2861</v>
      </c>
      <c r="L181">
        <v>1.3684000000000001</v>
      </c>
      <c r="M181">
        <v>37.205300000000001</v>
      </c>
      <c r="N181">
        <v>6.4451999999999998</v>
      </c>
      <c r="O181">
        <v>15.3879</v>
      </c>
      <c r="P181">
        <v>2024.6744000000001</v>
      </c>
      <c r="Q181">
        <v>1877.7556</v>
      </c>
    </row>
    <row r="182" spans="1:17" x14ac:dyDescent="0.3">
      <c r="A182" s="1">
        <v>44651</v>
      </c>
      <c r="B182">
        <v>1949.2</v>
      </c>
      <c r="C182">
        <v>1949.9</v>
      </c>
      <c r="D182">
        <v>1919.1</v>
      </c>
      <c r="E182">
        <v>1933.5</v>
      </c>
      <c r="F182">
        <v>3617</v>
      </c>
      <c r="G182">
        <v>1933.1429000000001</v>
      </c>
      <c r="H182">
        <v>1937.9733000000001</v>
      </c>
      <c r="I182">
        <v>1850.2045000000001</v>
      </c>
      <c r="J182">
        <v>0.78710000000000002</v>
      </c>
      <c r="K182">
        <v>1.3181</v>
      </c>
      <c r="L182">
        <v>1.3649</v>
      </c>
      <c r="M182">
        <v>39.337499999999999</v>
      </c>
      <c r="N182">
        <v>6.0058999999999996</v>
      </c>
      <c r="O182">
        <v>13.5115</v>
      </c>
      <c r="P182">
        <v>2024.6584</v>
      </c>
      <c r="Q182">
        <v>1878.0716</v>
      </c>
    </row>
    <row r="183" spans="1:17" x14ac:dyDescent="0.3">
      <c r="A183" s="1">
        <v>44652</v>
      </c>
      <c r="B183">
        <v>1919.1</v>
      </c>
      <c r="C183">
        <v>1938</v>
      </c>
      <c r="D183">
        <v>1917</v>
      </c>
      <c r="E183">
        <v>1935</v>
      </c>
      <c r="F183">
        <v>1016</v>
      </c>
      <c r="G183">
        <v>1932.9142999999999</v>
      </c>
      <c r="H183">
        <v>1939.93</v>
      </c>
      <c r="I183">
        <v>1851.2421999999999</v>
      </c>
      <c r="J183">
        <v>7.7600000000000002E-2</v>
      </c>
      <c r="K183">
        <v>1.2791999999999999</v>
      </c>
      <c r="L183">
        <v>1.3564000000000001</v>
      </c>
      <c r="M183">
        <v>41.151400000000002</v>
      </c>
      <c r="N183">
        <v>5.7129000000000003</v>
      </c>
      <c r="O183">
        <v>11.9518</v>
      </c>
      <c r="P183">
        <v>2024.6463000000001</v>
      </c>
      <c r="Q183">
        <v>1877.8837000000001</v>
      </c>
    </row>
    <row r="184" spans="1:17" x14ac:dyDescent="0.3">
      <c r="A184" s="1">
        <v>44655</v>
      </c>
      <c r="B184">
        <v>1929.2</v>
      </c>
      <c r="C184">
        <v>1936.1</v>
      </c>
      <c r="D184">
        <v>1915.6</v>
      </c>
      <c r="E184">
        <v>1921.2</v>
      </c>
      <c r="F184">
        <v>371</v>
      </c>
      <c r="G184">
        <v>1926.8570999999999</v>
      </c>
      <c r="H184">
        <v>1940.6567</v>
      </c>
      <c r="I184">
        <v>1852.6388999999999</v>
      </c>
      <c r="J184">
        <v>-0.71319999999999995</v>
      </c>
      <c r="K184">
        <v>1.1349</v>
      </c>
      <c r="L184">
        <v>1.3473999999999999</v>
      </c>
      <c r="M184">
        <v>45.604900000000001</v>
      </c>
      <c r="N184">
        <v>4.3174000000000001</v>
      </c>
      <c r="O184">
        <v>10.424899999999999</v>
      </c>
      <c r="P184">
        <v>2020.1727000000001</v>
      </c>
      <c r="Q184">
        <v>1875.5772999999999</v>
      </c>
    </row>
    <row r="185" spans="1:17" x14ac:dyDescent="0.3">
      <c r="A185" s="1">
        <v>44656</v>
      </c>
      <c r="B185">
        <v>1922.9</v>
      </c>
      <c r="C185">
        <v>1943.5</v>
      </c>
      <c r="D185">
        <v>1918.4</v>
      </c>
      <c r="E185">
        <v>1927.1</v>
      </c>
      <c r="F185">
        <v>412</v>
      </c>
      <c r="G185">
        <v>1923.0427999999999</v>
      </c>
      <c r="H185">
        <v>1941.29</v>
      </c>
      <c r="I185">
        <v>1854.1288999999999</v>
      </c>
      <c r="J185">
        <v>0.30709999999999998</v>
      </c>
      <c r="K185">
        <v>1.1528</v>
      </c>
      <c r="L185">
        <v>1.3461000000000001</v>
      </c>
      <c r="M185">
        <v>51.174399999999999</v>
      </c>
      <c r="N185">
        <v>3.6455000000000002</v>
      </c>
      <c r="O185">
        <v>9.0690000000000008</v>
      </c>
      <c r="P185">
        <v>2012.8448000000001</v>
      </c>
      <c r="Q185">
        <v>1875.6751999999999</v>
      </c>
    </row>
    <row r="186" spans="1:17" x14ac:dyDescent="0.3">
      <c r="A186" s="1">
        <v>44657</v>
      </c>
      <c r="B186">
        <v>1918.4</v>
      </c>
      <c r="C186">
        <v>1931.8</v>
      </c>
      <c r="D186">
        <v>1916.7</v>
      </c>
      <c r="E186">
        <v>1916.7</v>
      </c>
      <c r="F186">
        <v>138</v>
      </c>
      <c r="G186">
        <v>1920.7714000000001</v>
      </c>
      <c r="H186">
        <v>1941.96</v>
      </c>
      <c r="I186">
        <v>1855.5245</v>
      </c>
      <c r="J186">
        <v>-0.53969999999999996</v>
      </c>
      <c r="K186">
        <v>1.0994999999999999</v>
      </c>
      <c r="L186">
        <v>1.3451</v>
      </c>
      <c r="M186">
        <v>45.678400000000003</v>
      </c>
      <c r="N186">
        <v>2.2479</v>
      </c>
      <c r="O186">
        <v>7.7047999999999996</v>
      </c>
      <c r="P186">
        <v>1983.7789</v>
      </c>
      <c r="Q186">
        <v>1891.0510999999999</v>
      </c>
    </row>
    <row r="187" spans="1:17" x14ac:dyDescent="0.3">
      <c r="A187" s="1">
        <v>44658</v>
      </c>
      <c r="B187">
        <v>1933.8</v>
      </c>
      <c r="C187">
        <v>1934.8</v>
      </c>
      <c r="D187">
        <v>1919.5</v>
      </c>
      <c r="E187">
        <v>1919.5</v>
      </c>
      <c r="F187">
        <v>311</v>
      </c>
      <c r="G187">
        <v>1924.4857</v>
      </c>
      <c r="H187">
        <v>1942.2132999999999</v>
      </c>
      <c r="I187">
        <v>1856.9445000000001</v>
      </c>
      <c r="J187">
        <v>0.14610000000000001</v>
      </c>
      <c r="K187">
        <v>0.70689999999999997</v>
      </c>
      <c r="L187">
        <v>1.3375999999999999</v>
      </c>
      <c r="M187">
        <v>46.272399999999998</v>
      </c>
      <c r="N187">
        <v>1.3506</v>
      </c>
      <c r="O187">
        <v>6.4340000000000002</v>
      </c>
      <c r="P187">
        <v>1977.2933</v>
      </c>
      <c r="Q187">
        <v>1891.6767</v>
      </c>
    </row>
    <row r="188" spans="1:17" x14ac:dyDescent="0.3">
      <c r="A188" s="1">
        <v>44659</v>
      </c>
      <c r="B188">
        <v>1941.6</v>
      </c>
      <c r="C188">
        <v>1947.7</v>
      </c>
      <c r="D188">
        <v>1928.8</v>
      </c>
      <c r="E188">
        <v>1928.8</v>
      </c>
      <c r="F188">
        <v>153</v>
      </c>
      <c r="G188">
        <v>1925.9713999999999</v>
      </c>
      <c r="H188">
        <v>1942.9432999999999</v>
      </c>
      <c r="I188">
        <v>1858.5545</v>
      </c>
      <c r="J188">
        <v>0.48449999999999999</v>
      </c>
      <c r="K188">
        <v>0.53739999999999999</v>
      </c>
      <c r="L188">
        <v>1.3391</v>
      </c>
      <c r="M188">
        <v>50.844099999999997</v>
      </c>
      <c r="N188">
        <v>1.3742000000000001</v>
      </c>
      <c r="O188">
        <v>5.4219999999999997</v>
      </c>
      <c r="P188">
        <v>1967.2965999999999</v>
      </c>
      <c r="Q188">
        <v>1896.0534</v>
      </c>
    </row>
    <row r="189" spans="1:17" x14ac:dyDescent="0.3">
      <c r="A189" s="1">
        <v>44662</v>
      </c>
      <c r="B189">
        <v>1944.3</v>
      </c>
      <c r="C189">
        <v>1968.4</v>
      </c>
      <c r="D189">
        <v>1941.8</v>
      </c>
      <c r="E189">
        <v>1946.6</v>
      </c>
      <c r="F189">
        <v>163</v>
      </c>
      <c r="G189">
        <v>1927.8427999999999</v>
      </c>
      <c r="H189">
        <v>1943.5533</v>
      </c>
      <c r="I189">
        <v>1860.4632999999999</v>
      </c>
      <c r="J189">
        <v>0.92279999999999995</v>
      </c>
      <c r="K189">
        <v>0.56869999999999998</v>
      </c>
      <c r="L189">
        <v>1.3341000000000001</v>
      </c>
      <c r="M189">
        <v>56.037300000000002</v>
      </c>
      <c r="N189">
        <v>2.7968999999999999</v>
      </c>
      <c r="O189">
        <v>4.8970000000000002</v>
      </c>
      <c r="P189">
        <v>1959.9015999999999</v>
      </c>
      <c r="Q189">
        <v>1900.4584</v>
      </c>
    </row>
    <row r="190" spans="1:17" x14ac:dyDescent="0.3">
      <c r="A190" s="1">
        <v>44663</v>
      </c>
      <c r="B190">
        <v>1972.1</v>
      </c>
      <c r="C190">
        <v>1977.1</v>
      </c>
      <c r="D190">
        <v>1950.6</v>
      </c>
      <c r="E190">
        <v>1952.5</v>
      </c>
      <c r="F190">
        <v>246</v>
      </c>
      <c r="G190">
        <v>1930.3427999999999</v>
      </c>
      <c r="H190">
        <v>1945.0266999999999</v>
      </c>
      <c r="I190">
        <v>1862.37</v>
      </c>
      <c r="J190">
        <v>0.30309999999999998</v>
      </c>
      <c r="K190">
        <v>0.57379999999999998</v>
      </c>
      <c r="L190">
        <v>1.3190999999999999</v>
      </c>
      <c r="M190">
        <v>53.887500000000003</v>
      </c>
      <c r="N190">
        <v>4.3503999999999996</v>
      </c>
      <c r="O190">
        <v>4.7877000000000001</v>
      </c>
      <c r="P190">
        <v>1961.9128000000001</v>
      </c>
      <c r="Q190">
        <v>1899.7172</v>
      </c>
    </row>
    <row r="191" spans="1:17" x14ac:dyDescent="0.3">
      <c r="A191" s="1">
        <v>44664</v>
      </c>
      <c r="B191">
        <v>1981</v>
      </c>
      <c r="C191">
        <v>1981</v>
      </c>
      <c r="D191">
        <v>1969.5</v>
      </c>
      <c r="E191">
        <v>1969.5</v>
      </c>
      <c r="F191">
        <v>204</v>
      </c>
      <c r="G191">
        <v>1937.2429</v>
      </c>
      <c r="H191">
        <v>1945.8233</v>
      </c>
      <c r="I191">
        <v>1864.6144999999999</v>
      </c>
      <c r="J191">
        <v>0.87070000000000003</v>
      </c>
      <c r="K191">
        <v>0.49230000000000002</v>
      </c>
      <c r="L191">
        <v>1.2804</v>
      </c>
      <c r="M191">
        <v>51.5167</v>
      </c>
      <c r="N191">
        <v>6.8739999999999997</v>
      </c>
      <c r="O191">
        <v>5.2049000000000003</v>
      </c>
      <c r="P191">
        <v>1968.4386</v>
      </c>
      <c r="Q191">
        <v>1897.9014</v>
      </c>
    </row>
    <row r="192" spans="1:17" x14ac:dyDescent="0.3">
      <c r="A192" s="1">
        <v>44665</v>
      </c>
      <c r="B192">
        <v>1970.9</v>
      </c>
      <c r="C192">
        <v>1978.7</v>
      </c>
      <c r="D192">
        <v>1963</v>
      </c>
      <c r="E192">
        <v>1977.2</v>
      </c>
      <c r="F192">
        <v>101</v>
      </c>
      <c r="G192">
        <v>1944.4</v>
      </c>
      <c r="H192">
        <v>1947.38</v>
      </c>
      <c r="I192">
        <v>1866.8033</v>
      </c>
      <c r="J192">
        <v>0.39100000000000001</v>
      </c>
      <c r="K192">
        <v>0.4919</v>
      </c>
      <c r="L192">
        <v>1.2722</v>
      </c>
      <c r="M192">
        <v>56.081099999999999</v>
      </c>
      <c r="N192">
        <v>9.3871000000000002</v>
      </c>
      <c r="O192">
        <v>6.0414000000000003</v>
      </c>
      <c r="P192">
        <v>1975.7349999999999</v>
      </c>
      <c r="Q192">
        <v>1894.9349999999999</v>
      </c>
    </row>
    <row r="193" spans="1:17" x14ac:dyDescent="0.3">
      <c r="A193" s="1">
        <v>44669</v>
      </c>
      <c r="B193">
        <v>1982.9</v>
      </c>
      <c r="C193">
        <v>1997.1</v>
      </c>
      <c r="D193">
        <v>1972.8</v>
      </c>
      <c r="E193">
        <v>1973.4</v>
      </c>
      <c r="F193">
        <v>196</v>
      </c>
      <c r="G193">
        <v>1952.5</v>
      </c>
      <c r="H193">
        <v>1948.5933</v>
      </c>
      <c r="I193">
        <v>1868.9577999999999</v>
      </c>
      <c r="J193">
        <v>-0.19220000000000001</v>
      </c>
      <c r="K193">
        <v>0.39250000000000002</v>
      </c>
      <c r="L193">
        <v>1.2723</v>
      </c>
      <c r="M193">
        <v>61.657200000000003</v>
      </c>
      <c r="N193">
        <v>10.946</v>
      </c>
      <c r="O193">
        <v>7.0223000000000004</v>
      </c>
      <c r="P193">
        <v>1981.1107</v>
      </c>
      <c r="Q193">
        <v>1893.4493</v>
      </c>
    </row>
    <row r="194" spans="1:17" x14ac:dyDescent="0.3">
      <c r="A194" s="1">
        <v>44670</v>
      </c>
      <c r="B194">
        <v>1955.7</v>
      </c>
      <c r="C194">
        <v>1978.3</v>
      </c>
      <c r="D194">
        <v>1945.7</v>
      </c>
      <c r="E194">
        <v>1973.8</v>
      </c>
      <c r="F194">
        <v>130</v>
      </c>
      <c r="G194">
        <v>1960.2571</v>
      </c>
      <c r="H194">
        <v>1948.0867000000001</v>
      </c>
      <c r="I194">
        <v>1871.0011</v>
      </c>
      <c r="J194">
        <v>2.0299999999999999E-2</v>
      </c>
      <c r="K194">
        <v>0.40960000000000002</v>
      </c>
      <c r="L194">
        <v>1.1725000000000001</v>
      </c>
      <c r="M194">
        <v>79.457099999999997</v>
      </c>
      <c r="N194">
        <v>12.0745</v>
      </c>
      <c r="O194">
        <v>8.0327000000000002</v>
      </c>
      <c r="P194">
        <v>1986.0415</v>
      </c>
      <c r="Q194">
        <v>1893.3585</v>
      </c>
    </row>
    <row r="195" spans="1:17" x14ac:dyDescent="0.3">
      <c r="A195" s="1">
        <v>44671</v>
      </c>
      <c r="B195">
        <v>1952.3</v>
      </c>
      <c r="C195">
        <v>1953.6</v>
      </c>
      <c r="D195">
        <v>1945.5</v>
      </c>
      <c r="E195">
        <v>1945.5</v>
      </c>
      <c r="F195">
        <v>621</v>
      </c>
      <c r="G195">
        <v>1962.6429000000001</v>
      </c>
      <c r="H195">
        <v>1946.29</v>
      </c>
      <c r="I195">
        <v>1872.8010999999999</v>
      </c>
      <c r="J195">
        <v>-1.4338</v>
      </c>
      <c r="K195">
        <v>0.79959999999999998</v>
      </c>
      <c r="L195">
        <v>1.1956</v>
      </c>
      <c r="M195">
        <v>59.699300000000001</v>
      </c>
      <c r="N195">
        <v>10.563499999999999</v>
      </c>
      <c r="O195">
        <v>8.5388999999999999</v>
      </c>
      <c r="P195">
        <v>1986.4608000000001</v>
      </c>
      <c r="Q195">
        <v>1895.4192</v>
      </c>
    </row>
    <row r="196" spans="1:17" x14ac:dyDescent="0.3">
      <c r="A196" s="1">
        <v>44672</v>
      </c>
      <c r="B196">
        <v>1944.9</v>
      </c>
      <c r="C196">
        <v>1944.9</v>
      </c>
      <c r="D196">
        <v>1942.5</v>
      </c>
      <c r="E196">
        <v>1942.5</v>
      </c>
      <c r="F196">
        <v>4</v>
      </c>
      <c r="G196">
        <v>1962.0571</v>
      </c>
      <c r="H196">
        <v>1942.5867000000001</v>
      </c>
      <c r="I196">
        <v>1874.6756</v>
      </c>
      <c r="J196">
        <v>-0.1542</v>
      </c>
      <c r="K196">
        <v>0.72040000000000004</v>
      </c>
      <c r="L196">
        <v>1.0727</v>
      </c>
      <c r="M196">
        <v>53.526600000000002</v>
      </c>
      <c r="N196">
        <v>9.0198999999999998</v>
      </c>
      <c r="O196">
        <v>8.6350999999999996</v>
      </c>
      <c r="P196">
        <v>1986.7139</v>
      </c>
      <c r="Q196">
        <v>1895.7561000000001</v>
      </c>
    </row>
    <row r="197" spans="1:17" x14ac:dyDescent="0.3">
      <c r="A197" s="1">
        <v>44673</v>
      </c>
      <c r="B197">
        <v>1931</v>
      </c>
      <c r="C197">
        <v>1950.4</v>
      </c>
      <c r="D197">
        <v>1930.2</v>
      </c>
      <c r="E197">
        <v>1949.6</v>
      </c>
      <c r="F197">
        <v>178</v>
      </c>
      <c r="G197">
        <v>1961.6429000000001</v>
      </c>
      <c r="H197">
        <v>1941.6367</v>
      </c>
      <c r="I197">
        <v>1876.5110999999999</v>
      </c>
      <c r="J197">
        <v>0.36549999999999999</v>
      </c>
      <c r="K197">
        <v>0.72560000000000002</v>
      </c>
      <c r="L197">
        <v>0.8488</v>
      </c>
      <c r="M197">
        <v>55.480499999999999</v>
      </c>
      <c r="N197">
        <v>8.2742000000000004</v>
      </c>
      <c r="O197">
        <v>8.5629000000000008</v>
      </c>
      <c r="P197">
        <v>1984.9837</v>
      </c>
      <c r="Q197">
        <v>1896.0862999999999</v>
      </c>
    </row>
    <row r="198" spans="1:17" x14ac:dyDescent="0.3">
      <c r="A198" s="1">
        <v>44676</v>
      </c>
      <c r="B198">
        <v>1893.2</v>
      </c>
      <c r="C198">
        <v>1925</v>
      </c>
      <c r="D198">
        <v>1889.3</v>
      </c>
      <c r="E198">
        <v>1925</v>
      </c>
      <c r="F198">
        <v>748</v>
      </c>
      <c r="G198">
        <v>1955.2856999999999</v>
      </c>
      <c r="H198">
        <v>1939.6367</v>
      </c>
      <c r="I198">
        <v>1878.0444</v>
      </c>
      <c r="J198">
        <v>-1.2618</v>
      </c>
      <c r="K198">
        <v>0.73740000000000006</v>
      </c>
      <c r="L198">
        <v>0.87370000000000003</v>
      </c>
      <c r="M198">
        <v>51.319499999999998</v>
      </c>
      <c r="N198">
        <v>5.6333000000000002</v>
      </c>
      <c r="O198">
        <v>7.9770000000000003</v>
      </c>
      <c r="P198">
        <v>1983.6003000000001</v>
      </c>
      <c r="Q198">
        <v>1894.5897</v>
      </c>
    </row>
    <row r="199" spans="1:17" x14ac:dyDescent="0.3">
      <c r="A199" s="1">
        <v>44677</v>
      </c>
      <c r="B199">
        <v>1901.4</v>
      </c>
      <c r="C199">
        <v>1909.1</v>
      </c>
      <c r="D199">
        <v>1894</v>
      </c>
      <c r="E199">
        <v>1900.5</v>
      </c>
      <c r="F199">
        <v>302</v>
      </c>
      <c r="G199">
        <v>1944.3286000000001</v>
      </c>
      <c r="H199">
        <v>1937.1033</v>
      </c>
      <c r="I199">
        <v>1879.5233000000001</v>
      </c>
      <c r="J199">
        <v>-1.2726999999999999</v>
      </c>
      <c r="K199">
        <v>0.73680000000000001</v>
      </c>
      <c r="L199">
        <v>0.89790000000000003</v>
      </c>
      <c r="M199">
        <v>41.820399999999999</v>
      </c>
      <c r="N199">
        <v>1.5455000000000001</v>
      </c>
      <c r="O199">
        <v>6.6906999999999996</v>
      </c>
      <c r="P199">
        <v>1985.1827000000001</v>
      </c>
      <c r="Q199">
        <v>1889.7973</v>
      </c>
    </row>
    <row r="200" spans="1:17" x14ac:dyDescent="0.3">
      <c r="A200" s="1">
        <v>44678</v>
      </c>
      <c r="B200">
        <v>1885.9</v>
      </c>
      <c r="C200">
        <v>1900.6</v>
      </c>
      <c r="D200">
        <v>1882.2</v>
      </c>
      <c r="E200">
        <v>1897.8</v>
      </c>
      <c r="F200">
        <v>1786</v>
      </c>
      <c r="G200">
        <v>1933.5286000000001</v>
      </c>
      <c r="H200">
        <v>1935.7032999999999</v>
      </c>
      <c r="I200">
        <v>1880.8210999999999</v>
      </c>
      <c r="J200">
        <v>-0.1421</v>
      </c>
      <c r="K200">
        <v>0.74119999999999997</v>
      </c>
      <c r="L200">
        <v>0.83650000000000002</v>
      </c>
      <c r="M200">
        <v>43.899299999999997</v>
      </c>
      <c r="N200">
        <v>-1.8900999999999999</v>
      </c>
      <c r="O200">
        <v>4.9744999999999999</v>
      </c>
      <c r="P200">
        <v>1984.5947000000001</v>
      </c>
      <c r="Q200">
        <v>1890.8153</v>
      </c>
    </row>
    <row r="201" spans="1:17" x14ac:dyDescent="0.3">
      <c r="A201" s="1">
        <v>44679</v>
      </c>
      <c r="B201">
        <v>1888.7</v>
      </c>
      <c r="C201">
        <v>1893</v>
      </c>
      <c r="D201">
        <v>1872.9</v>
      </c>
      <c r="E201">
        <v>1883.8</v>
      </c>
      <c r="F201">
        <v>513</v>
      </c>
      <c r="G201">
        <v>1920.6713999999999</v>
      </c>
      <c r="H201">
        <v>1934.4167</v>
      </c>
      <c r="I201">
        <v>1881.7077999999999</v>
      </c>
      <c r="J201">
        <v>-0.73770000000000002</v>
      </c>
      <c r="K201">
        <v>0.69740000000000002</v>
      </c>
      <c r="L201">
        <v>0.83150000000000002</v>
      </c>
      <c r="M201">
        <v>39.253500000000003</v>
      </c>
      <c r="N201">
        <v>-5.6771000000000003</v>
      </c>
      <c r="O201">
        <v>2.8441999999999998</v>
      </c>
      <c r="P201">
        <v>1988.1221</v>
      </c>
      <c r="Q201">
        <v>1883.8279</v>
      </c>
    </row>
    <row r="202" spans="1:17" x14ac:dyDescent="0.3">
      <c r="A202" s="1">
        <v>44680</v>
      </c>
      <c r="B202">
        <v>1909.3</v>
      </c>
      <c r="C202">
        <v>1918.2</v>
      </c>
      <c r="D202">
        <v>1902.4</v>
      </c>
      <c r="E202">
        <v>1902.7</v>
      </c>
      <c r="F202">
        <v>132</v>
      </c>
      <c r="G202">
        <v>1914.5571</v>
      </c>
      <c r="H202">
        <v>1933.3767</v>
      </c>
      <c r="I202">
        <v>1882.8843999999999</v>
      </c>
      <c r="J202">
        <v>1.0033000000000001</v>
      </c>
      <c r="K202">
        <v>0.84150000000000003</v>
      </c>
      <c r="L202">
        <v>0.8458</v>
      </c>
      <c r="M202">
        <v>42.572499999999998</v>
      </c>
      <c r="N202">
        <v>-7.0717999999999996</v>
      </c>
      <c r="O202">
        <v>0.86099999999999999</v>
      </c>
      <c r="P202">
        <v>1988.6673000000001</v>
      </c>
      <c r="Q202">
        <v>1880.2027</v>
      </c>
    </row>
    <row r="203" spans="1:17" x14ac:dyDescent="0.3">
      <c r="A203" s="1">
        <v>44683</v>
      </c>
      <c r="B203">
        <v>1861.8</v>
      </c>
      <c r="C203">
        <v>1896.8</v>
      </c>
      <c r="D203">
        <v>1853</v>
      </c>
      <c r="E203">
        <v>1896.7</v>
      </c>
      <c r="F203">
        <v>385</v>
      </c>
      <c r="G203">
        <v>1908.0143</v>
      </c>
      <c r="H203">
        <v>1932.1167</v>
      </c>
      <c r="I203">
        <v>1884.0544</v>
      </c>
      <c r="J203">
        <v>-0.31530000000000002</v>
      </c>
      <c r="K203">
        <v>0.83860000000000001</v>
      </c>
      <c r="L203">
        <v>0.84699999999999998</v>
      </c>
      <c r="M203">
        <v>34.777299999999997</v>
      </c>
      <c r="N203">
        <v>-8.5625</v>
      </c>
      <c r="O203">
        <v>-1.0237000000000001</v>
      </c>
      <c r="P203">
        <v>1989.3126999999999</v>
      </c>
      <c r="Q203">
        <v>1875.7273</v>
      </c>
    </row>
    <row r="204" spans="1:17" x14ac:dyDescent="0.3">
      <c r="A204" s="1">
        <v>44684</v>
      </c>
      <c r="B204">
        <v>1868.8</v>
      </c>
      <c r="C204">
        <v>1868.8</v>
      </c>
      <c r="D204">
        <v>1868.8</v>
      </c>
      <c r="E204">
        <v>1868.8</v>
      </c>
      <c r="F204">
        <v>466</v>
      </c>
      <c r="G204">
        <v>1896.4713999999999</v>
      </c>
      <c r="H204">
        <v>1930.23</v>
      </c>
      <c r="I204">
        <v>1884.9744000000001</v>
      </c>
      <c r="J204">
        <v>-1.4710000000000001</v>
      </c>
      <c r="K204">
        <v>0.86880000000000002</v>
      </c>
      <c r="L204">
        <v>0.88260000000000005</v>
      </c>
      <c r="M204">
        <v>27.4879</v>
      </c>
      <c r="N204">
        <v>-11.858499999999999</v>
      </c>
      <c r="O204">
        <v>-3.1905999999999999</v>
      </c>
      <c r="P204">
        <v>1993.3375000000001</v>
      </c>
      <c r="Q204">
        <v>1866.4625000000001</v>
      </c>
    </row>
    <row r="205" spans="1:17" x14ac:dyDescent="0.3">
      <c r="A205" s="1">
        <v>44685</v>
      </c>
      <c r="B205">
        <v>1867</v>
      </c>
      <c r="C205">
        <v>1867</v>
      </c>
      <c r="D205">
        <v>1867</v>
      </c>
      <c r="E205">
        <v>1867</v>
      </c>
      <c r="F205">
        <v>1</v>
      </c>
      <c r="G205">
        <v>1888.1857</v>
      </c>
      <c r="H205">
        <v>1928.44</v>
      </c>
      <c r="I205">
        <v>1885.6522</v>
      </c>
      <c r="J205">
        <v>-9.6299999999999997E-2</v>
      </c>
      <c r="K205">
        <v>0.83169999999999999</v>
      </c>
      <c r="L205">
        <v>0.8821</v>
      </c>
      <c r="M205">
        <v>19.976500000000001</v>
      </c>
      <c r="N205">
        <v>-14.449199999999999</v>
      </c>
      <c r="O205">
        <v>-5.4424000000000001</v>
      </c>
      <c r="P205">
        <v>1996.3036999999999</v>
      </c>
      <c r="Q205">
        <v>1857.4863</v>
      </c>
    </row>
    <row r="206" spans="1:17" x14ac:dyDescent="0.3">
      <c r="A206" s="1">
        <v>44686</v>
      </c>
      <c r="B206">
        <v>1874</v>
      </c>
      <c r="C206">
        <v>1904.3</v>
      </c>
      <c r="D206">
        <v>1874</v>
      </c>
      <c r="E206">
        <v>1897</v>
      </c>
      <c r="F206">
        <v>80</v>
      </c>
      <c r="G206">
        <v>1887.6857</v>
      </c>
      <c r="H206">
        <v>1927.12</v>
      </c>
      <c r="I206">
        <v>1886.6188999999999</v>
      </c>
      <c r="J206">
        <v>1.6069</v>
      </c>
      <c r="K206">
        <v>1.0346</v>
      </c>
      <c r="L206">
        <v>0.92069999999999996</v>
      </c>
      <c r="M206">
        <v>29.222799999999999</v>
      </c>
      <c r="N206">
        <v>-13.921200000000001</v>
      </c>
      <c r="O206">
        <v>-7.1380999999999997</v>
      </c>
      <c r="P206">
        <v>1996.4774</v>
      </c>
      <c r="Q206">
        <v>1855.3425999999999</v>
      </c>
    </row>
    <row r="207" spans="1:17" x14ac:dyDescent="0.3">
      <c r="A207" s="1">
        <v>44687</v>
      </c>
      <c r="B207">
        <v>1881.2</v>
      </c>
      <c r="C207">
        <v>1890.3</v>
      </c>
      <c r="D207">
        <v>1871.5</v>
      </c>
      <c r="E207">
        <v>1874.7</v>
      </c>
      <c r="F207">
        <v>214</v>
      </c>
      <c r="G207">
        <v>1884.3857</v>
      </c>
      <c r="H207">
        <v>1924.1567</v>
      </c>
      <c r="I207">
        <v>1887.3155999999999</v>
      </c>
      <c r="J207">
        <v>-1.1755</v>
      </c>
      <c r="K207">
        <v>1.1244000000000001</v>
      </c>
      <c r="L207">
        <v>0.89959999999999996</v>
      </c>
      <c r="M207">
        <v>26.666599999999999</v>
      </c>
      <c r="N207">
        <v>-15.127800000000001</v>
      </c>
      <c r="O207">
        <v>-8.7361000000000004</v>
      </c>
      <c r="P207">
        <v>1997.846</v>
      </c>
      <c r="Q207">
        <v>1849.4939999999999</v>
      </c>
    </row>
    <row r="208" spans="1:17" x14ac:dyDescent="0.3">
      <c r="A208" s="1">
        <v>44690</v>
      </c>
      <c r="B208">
        <v>1857.1</v>
      </c>
      <c r="C208">
        <v>1867.5</v>
      </c>
      <c r="D208">
        <v>1854</v>
      </c>
      <c r="E208">
        <v>1866.6</v>
      </c>
      <c r="F208">
        <v>304</v>
      </c>
      <c r="G208">
        <v>1881.9286</v>
      </c>
      <c r="H208">
        <v>1921.25</v>
      </c>
      <c r="I208">
        <v>1888.02</v>
      </c>
      <c r="J208">
        <v>-0.43209999999999998</v>
      </c>
      <c r="K208">
        <v>1.1045</v>
      </c>
      <c r="L208">
        <v>0.89880000000000004</v>
      </c>
      <c r="M208">
        <v>25.5474</v>
      </c>
      <c r="N208">
        <v>-16.546900000000001</v>
      </c>
      <c r="O208">
        <v>-10.2982</v>
      </c>
      <c r="P208">
        <v>1998.9277</v>
      </c>
      <c r="Q208">
        <v>1842.1922999999999</v>
      </c>
    </row>
    <row r="209" spans="1:17" x14ac:dyDescent="0.3">
      <c r="A209" s="1">
        <v>44691</v>
      </c>
      <c r="B209">
        <v>1839.9</v>
      </c>
      <c r="C209">
        <v>1839.9</v>
      </c>
      <c r="D209">
        <v>1839.9</v>
      </c>
      <c r="E209">
        <v>1839.9</v>
      </c>
      <c r="F209">
        <v>1540</v>
      </c>
      <c r="G209">
        <v>1872.9571000000001</v>
      </c>
      <c r="H209">
        <v>1918.16</v>
      </c>
      <c r="I209">
        <v>1888.4444000000001</v>
      </c>
      <c r="J209">
        <v>-1.4303999999999999</v>
      </c>
      <c r="K209">
        <v>1.0724</v>
      </c>
      <c r="L209">
        <v>0.9133</v>
      </c>
      <c r="M209">
        <v>25.735299999999999</v>
      </c>
      <c r="N209">
        <v>-19.600100000000001</v>
      </c>
      <c r="O209">
        <v>-12.1586</v>
      </c>
      <c r="P209">
        <v>2000.3635999999999</v>
      </c>
      <c r="Q209">
        <v>1830.0863999999999</v>
      </c>
    </row>
    <row r="210" spans="1:17" x14ac:dyDescent="0.3">
      <c r="A210" s="1">
        <v>44692</v>
      </c>
      <c r="B210">
        <v>1852.6</v>
      </c>
      <c r="C210">
        <v>1852.6</v>
      </c>
      <c r="D210">
        <v>1841</v>
      </c>
      <c r="E210">
        <v>1841.5</v>
      </c>
      <c r="F210">
        <v>892</v>
      </c>
      <c r="G210">
        <v>1865.0714</v>
      </c>
      <c r="H210">
        <v>1916.4267</v>
      </c>
      <c r="I210">
        <v>1888.6267</v>
      </c>
      <c r="J210">
        <v>8.6999999999999994E-2</v>
      </c>
      <c r="K210">
        <v>1.0929</v>
      </c>
      <c r="L210">
        <v>0.84340000000000004</v>
      </c>
      <c r="M210">
        <v>26.641999999999999</v>
      </c>
      <c r="N210">
        <v>-21.641200000000001</v>
      </c>
      <c r="O210">
        <v>-14.055099999999999</v>
      </c>
      <c r="P210">
        <v>1998.9536000000001</v>
      </c>
      <c r="Q210">
        <v>1820.3964000000001</v>
      </c>
    </row>
    <row r="211" spans="1:17" x14ac:dyDescent="0.3">
      <c r="A211" s="1">
        <v>44693</v>
      </c>
      <c r="B211">
        <v>1823.8</v>
      </c>
      <c r="C211">
        <v>1851.9</v>
      </c>
      <c r="D211">
        <v>1822.2</v>
      </c>
      <c r="E211">
        <v>1849.8</v>
      </c>
      <c r="F211">
        <v>153</v>
      </c>
      <c r="G211">
        <v>1862.3570999999999</v>
      </c>
      <c r="H211">
        <v>1914.14</v>
      </c>
      <c r="I211">
        <v>1888.8456000000001</v>
      </c>
      <c r="J211">
        <v>0.45069999999999999</v>
      </c>
      <c r="K211">
        <v>1.0227999999999999</v>
      </c>
      <c r="L211">
        <v>0.80779999999999996</v>
      </c>
      <c r="M211">
        <v>27.046900000000001</v>
      </c>
      <c r="N211">
        <v>-22.331600000000002</v>
      </c>
      <c r="O211">
        <v>-15.7104</v>
      </c>
      <c r="P211">
        <v>1992.127</v>
      </c>
      <c r="Q211">
        <v>1815.2529999999999</v>
      </c>
    </row>
    <row r="212" spans="1:17" x14ac:dyDescent="0.3">
      <c r="A212" s="1">
        <v>44694</v>
      </c>
      <c r="B212">
        <v>1807.4</v>
      </c>
      <c r="C212">
        <v>1825</v>
      </c>
      <c r="D212">
        <v>1807.4</v>
      </c>
      <c r="E212">
        <v>1825</v>
      </c>
      <c r="F212">
        <v>335</v>
      </c>
      <c r="G212">
        <v>1856.3570999999999</v>
      </c>
      <c r="H212">
        <v>1910.5233000000001</v>
      </c>
      <c r="I212">
        <v>1889.1178</v>
      </c>
      <c r="J212">
        <v>-1.3407</v>
      </c>
      <c r="K212">
        <v>1.1173999999999999</v>
      </c>
      <c r="L212">
        <v>0.81889999999999996</v>
      </c>
      <c r="M212">
        <v>27.021999999999998</v>
      </c>
      <c r="N212">
        <v>-24.596399999999999</v>
      </c>
      <c r="O212">
        <v>-17.4876</v>
      </c>
      <c r="P212">
        <v>1984.0757000000001</v>
      </c>
      <c r="Q212">
        <v>1808.0843</v>
      </c>
    </row>
    <row r="213" spans="1:17" x14ac:dyDescent="0.3">
      <c r="A213" s="1">
        <v>44697</v>
      </c>
      <c r="B213">
        <v>1813.5</v>
      </c>
      <c r="C213">
        <v>1813.5</v>
      </c>
      <c r="D213">
        <v>1787</v>
      </c>
      <c r="E213">
        <v>1790.5</v>
      </c>
      <c r="F213">
        <v>34</v>
      </c>
      <c r="G213">
        <v>1841.1429000000001</v>
      </c>
      <c r="H213">
        <v>1905.7067</v>
      </c>
      <c r="I213">
        <v>1888.8667</v>
      </c>
      <c r="J213">
        <v>-1.8904000000000001</v>
      </c>
      <c r="K213">
        <v>0.86639999999999995</v>
      </c>
      <c r="L213">
        <v>0.87380000000000002</v>
      </c>
      <c r="M213">
        <v>25.834800000000001</v>
      </c>
      <c r="N213">
        <v>-28.842600000000001</v>
      </c>
      <c r="O213">
        <v>-19.758600000000001</v>
      </c>
      <c r="P213">
        <v>1979.018</v>
      </c>
      <c r="Q213">
        <v>1794.8520000000001</v>
      </c>
    </row>
    <row r="214" spans="1:17" x14ac:dyDescent="0.3">
      <c r="A214" s="1">
        <v>44698</v>
      </c>
      <c r="B214">
        <v>1818.2</v>
      </c>
      <c r="C214">
        <v>1828.6</v>
      </c>
      <c r="D214">
        <v>1816.7</v>
      </c>
      <c r="E214">
        <v>1824.9</v>
      </c>
      <c r="F214">
        <v>121</v>
      </c>
      <c r="G214">
        <v>1834.0286000000001</v>
      </c>
      <c r="H214">
        <v>1902.4966999999999</v>
      </c>
      <c r="I214">
        <v>1889.2867000000001</v>
      </c>
      <c r="J214">
        <v>1.9213</v>
      </c>
      <c r="K214">
        <v>1.3238000000000001</v>
      </c>
      <c r="L214">
        <v>0.95479999999999998</v>
      </c>
      <c r="M214">
        <v>35.942900000000002</v>
      </c>
      <c r="N214">
        <v>-29.096599999999999</v>
      </c>
      <c r="O214">
        <v>-21.626200000000001</v>
      </c>
      <c r="P214">
        <v>1965.9049</v>
      </c>
      <c r="Q214">
        <v>1793.0751</v>
      </c>
    </row>
    <row r="215" spans="1:17" x14ac:dyDescent="0.3">
      <c r="A215" s="1">
        <v>44699</v>
      </c>
      <c r="B215">
        <v>1815.9</v>
      </c>
      <c r="C215">
        <v>1819.7</v>
      </c>
      <c r="D215">
        <v>1805</v>
      </c>
      <c r="E215">
        <v>1815</v>
      </c>
      <c r="F215">
        <v>311</v>
      </c>
      <c r="G215">
        <v>1826.6572000000001</v>
      </c>
      <c r="H215">
        <v>1898.76</v>
      </c>
      <c r="I215">
        <v>1889.5445</v>
      </c>
      <c r="J215">
        <v>-0.54249999999999998</v>
      </c>
      <c r="K215">
        <v>1.3251999999999999</v>
      </c>
      <c r="L215">
        <v>0.95279999999999998</v>
      </c>
      <c r="M215">
        <v>36.520400000000002</v>
      </c>
      <c r="N215">
        <v>-29.753699999999998</v>
      </c>
      <c r="O215">
        <v>-23.2517</v>
      </c>
      <c r="P215">
        <v>1958.0915</v>
      </c>
      <c r="Q215">
        <v>1787.8386</v>
      </c>
    </row>
    <row r="216" spans="1:17" x14ac:dyDescent="0.3">
      <c r="A216" s="1">
        <v>44700</v>
      </c>
      <c r="B216">
        <v>1841.2</v>
      </c>
      <c r="C216">
        <v>1841.2</v>
      </c>
      <c r="D216">
        <v>1810.7</v>
      </c>
      <c r="E216">
        <v>1810.9</v>
      </c>
      <c r="F216">
        <v>138</v>
      </c>
      <c r="G216">
        <v>1822.5143</v>
      </c>
      <c r="H216">
        <v>1895.2333000000001</v>
      </c>
      <c r="I216">
        <v>1889.7221999999999</v>
      </c>
      <c r="J216">
        <v>-0.22589999999999999</v>
      </c>
      <c r="K216">
        <v>1.2436</v>
      </c>
      <c r="L216">
        <v>0.9506</v>
      </c>
      <c r="M216">
        <v>30.9068</v>
      </c>
      <c r="N216">
        <v>-30.256499999999999</v>
      </c>
      <c r="O216">
        <v>-24.652699999999999</v>
      </c>
      <c r="P216">
        <v>1949.1935000000001</v>
      </c>
      <c r="Q216">
        <v>1783.5764999999999</v>
      </c>
    </row>
    <row r="217" spans="1:17" x14ac:dyDescent="0.3">
      <c r="A217" s="1">
        <v>44701</v>
      </c>
      <c r="B217">
        <v>1841.8</v>
      </c>
      <c r="C217">
        <v>1841.8</v>
      </c>
      <c r="D217">
        <v>1836.3</v>
      </c>
      <c r="E217">
        <v>1839.1</v>
      </c>
      <c r="F217">
        <v>110</v>
      </c>
      <c r="G217">
        <v>1822.1713999999999</v>
      </c>
      <c r="H217">
        <v>1892.5533</v>
      </c>
      <c r="I217">
        <v>1890.1133</v>
      </c>
      <c r="J217">
        <v>1.5571999999999999</v>
      </c>
      <c r="K217">
        <v>1.4162999999999999</v>
      </c>
      <c r="L217">
        <v>1.0011000000000001</v>
      </c>
      <c r="M217">
        <v>39.032800000000002</v>
      </c>
      <c r="N217">
        <v>-28.056100000000001</v>
      </c>
      <c r="O217">
        <v>-25.333400000000001</v>
      </c>
      <c r="P217">
        <v>1934.5324000000001</v>
      </c>
      <c r="Q217">
        <v>1787.1876</v>
      </c>
    </row>
    <row r="218" spans="1:17" x14ac:dyDescent="0.3">
      <c r="A218" s="1">
        <v>44704</v>
      </c>
      <c r="B218">
        <v>1847.8</v>
      </c>
      <c r="C218">
        <v>1863</v>
      </c>
      <c r="D218">
        <v>1845.8</v>
      </c>
      <c r="E218">
        <v>1846.3</v>
      </c>
      <c r="F218">
        <v>216</v>
      </c>
      <c r="G218">
        <v>1821.6713999999999</v>
      </c>
      <c r="H218">
        <v>1889.8033</v>
      </c>
      <c r="I218">
        <v>1890.4167</v>
      </c>
      <c r="J218">
        <v>0.39150000000000001</v>
      </c>
      <c r="K218">
        <v>1.4132</v>
      </c>
      <c r="L218">
        <v>0.99929999999999997</v>
      </c>
      <c r="M218">
        <v>45.349299999999999</v>
      </c>
      <c r="N218">
        <v>-25.438099999999999</v>
      </c>
      <c r="O218">
        <v>-25.354299999999999</v>
      </c>
      <c r="P218">
        <v>1924.3116</v>
      </c>
      <c r="Q218">
        <v>1789.5383999999999</v>
      </c>
    </row>
    <row r="219" spans="1:17" x14ac:dyDescent="0.3">
      <c r="A219" s="1">
        <v>44705</v>
      </c>
      <c r="B219">
        <v>1865.1</v>
      </c>
      <c r="C219">
        <v>1867</v>
      </c>
      <c r="D219">
        <v>1852.5</v>
      </c>
      <c r="E219">
        <v>1852.5</v>
      </c>
      <c r="F219">
        <v>33</v>
      </c>
      <c r="G219">
        <v>1825.6</v>
      </c>
      <c r="H219">
        <v>1886.6667</v>
      </c>
      <c r="I219">
        <v>1890.78</v>
      </c>
      <c r="J219">
        <v>0.33579999999999999</v>
      </c>
      <c r="K219">
        <v>1.2884</v>
      </c>
      <c r="L219">
        <v>0.98340000000000005</v>
      </c>
      <c r="M219">
        <v>47.056399999999996</v>
      </c>
      <c r="N219">
        <v>-22.602399999999999</v>
      </c>
      <c r="O219">
        <v>-24.803899999999999</v>
      </c>
      <c r="P219">
        <v>1918.7207000000001</v>
      </c>
      <c r="Q219">
        <v>1790.3293000000001</v>
      </c>
    </row>
    <row r="220" spans="1:17" x14ac:dyDescent="0.3">
      <c r="A220" s="1">
        <v>44706</v>
      </c>
      <c r="B220">
        <v>1846.2</v>
      </c>
      <c r="C220">
        <v>1846.2</v>
      </c>
      <c r="D220">
        <v>1846.2</v>
      </c>
      <c r="E220">
        <v>1846.2</v>
      </c>
      <c r="F220">
        <v>0</v>
      </c>
      <c r="G220">
        <v>1833.5571</v>
      </c>
      <c r="H220">
        <v>1883.1233</v>
      </c>
      <c r="I220">
        <v>1891.0545</v>
      </c>
      <c r="J220">
        <v>-0.34010000000000001</v>
      </c>
      <c r="K220">
        <v>0.95509999999999995</v>
      </c>
      <c r="L220">
        <v>0.97989999999999999</v>
      </c>
      <c r="M220">
        <v>38.589399999999998</v>
      </c>
      <c r="N220">
        <v>-20.625699999999998</v>
      </c>
      <c r="O220">
        <v>-23.968299999999999</v>
      </c>
      <c r="P220">
        <v>1912.8825999999999</v>
      </c>
      <c r="Q220">
        <v>1791.0074</v>
      </c>
    </row>
    <row r="221" spans="1:17" x14ac:dyDescent="0.3">
      <c r="A221" s="1">
        <v>44707</v>
      </c>
      <c r="B221">
        <v>1847.4</v>
      </c>
      <c r="C221">
        <v>1847.4</v>
      </c>
      <c r="D221">
        <v>1840.4</v>
      </c>
      <c r="E221">
        <v>1840.4</v>
      </c>
      <c r="F221">
        <v>123355</v>
      </c>
      <c r="G221">
        <v>1835.7714000000001</v>
      </c>
      <c r="H221">
        <v>1878.82</v>
      </c>
      <c r="I221">
        <v>1891.3167000000001</v>
      </c>
      <c r="J221">
        <v>-0.31419999999999998</v>
      </c>
      <c r="K221">
        <v>0.72389999999999999</v>
      </c>
      <c r="L221">
        <v>0.9597</v>
      </c>
      <c r="M221">
        <v>41.678800000000003</v>
      </c>
      <c r="N221">
        <v>-19.3047</v>
      </c>
      <c r="O221">
        <v>-23.035599999999999</v>
      </c>
      <c r="P221">
        <v>1909.0033000000001</v>
      </c>
      <c r="Q221">
        <v>1790.5467000000001</v>
      </c>
    </row>
    <row r="222" spans="1:17" x14ac:dyDescent="0.3">
      <c r="A222" s="1">
        <v>44708</v>
      </c>
      <c r="B222">
        <v>1851.3</v>
      </c>
      <c r="C222">
        <v>1860.7</v>
      </c>
      <c r="D222">
        <v>1845.9</v>
      </c>
      <c r="E222">
        <v>1848.3</v>
      </c>
      <c r="F222">
        <v>30091</v>
      </c>
      <c r="G222">
        <v>1840.5286000000001</v>
      </c>
      <c r="H222">
        <v>1874.5233000000001</v>
      </c>
      <c r="I222">
        <v>1891.66</v>
      </c>
      <c r="J222">
        <v>0.42930000000000001</v>
      </c>
      <c r="K222">
        <v>0.66590000000000005</v>
      </c>
      <c r="L222">
        <v>0.96060000000000001</v>
      </c>
      <c r="M222">
        <v>45.556100000000001</v>
      </c>
      <c r="N222">
        <v>-17.419499999999999</v>
      </c>
      <c r="O222">
        <v>-21.912299999999998</v>
      </c>
      <c r="P222">
        <v>1900.7914000000001</v>
      </c>
      <c r="Q222">
        <v>1793.3186000000001</v>
      </c>
    </row>
    <row r="223" spans="1:17" x14ac:dyDescent="0.3">
      <c r="A223" s="1">
        <v>44712</v>
      </c>
      <c r="B223">
        <v>1842.7</v>
      </c>
      <c r="C223">
        <v>1862.1</v>
      </c>
      <c r="D223">
        <v>1832.8</v>
      </c>
      <c r="E223">
        <v>1850.3</v>
      </c>
      <c r="F223">
        <v>4073</v>
      </c>
      <c r="G223">
        <v>1846.1572000000001</v>
      </c>
      <c r="H223">
        <v>1870.42</v>
      </c>
      <c r="I223">
        <v>1891.7678000000001</v>
      </c>
      <c r="J223">
        <v>0.1082</v>
      </c>
      <c r="K223">
        <v>0.63639999999999997</v>
      </c>
      <c r="L223">
        <v>0.96240000000000003</v>
      </c>
      <c r="M223">
        <v>52.869799999999998</v>
      </c>
      <c r="N223">
        <v>-15.5844</v>
      </c>
      <c r="O223">
        <v>-20.646699999999999</v>
      </c>
      <c r="P223">
        <v>1893.1941999999999</v>
      </c>
      <c r="Q223">
        <v>1796.2757999999999</v>
      </c>
    </row>
    <row r="224" spans="1:17" x14ac:dyDescent="0.3">
      <c r="A224" s="1">
        <v>44713</v>
      </c>
      <c r="B224">
        <v>1843.3</v>
      </c>
      <c r="C224">
        <v>1847.9</v>
      </c>
      <c r="D224">
        <v>1825.3</v>
      </c>
      <c r="E224">
        <v>1831</v>
      </c>
      <c r="F224">
        <v>1623</v>
      </c>
      <c r="G224">
        <v>1845</v>
      </c>
      <c r="H224">
        <v>1865.66</v>
      </c>
      <c r="I224">
        <v>1891.69</v>
      </c>
      <c r="J224">
        <v>-1.0430999999999999</v>
      </c>
      <c r="K224">
        <v>0.53820000000000001</v>
      </c>
      <c r="L224">
        <v>0.97319999999999995</v>
      </c>
      <c r="M224">
        <v>47.360500000000002</v>
      </c>
      <c r="N224">
        <v>-15.508599999999999</v>
      </c>
      <c r="O224">
        <v>-19.6191</v>
      </c>
      <c r="P224">
        <v>1890.2901999999999</v>
      </c>
      <c r="Q224">
        <v>1795.3997999999999</v>
      </c>
    </row>
    <row r="225" spans="1:17" x14ac:dyDescent="0.3">
      <c r="A225" s="1">
        <v>44714</v>
      </c>
      <c r="B225">
        <v>1866.5</v>
      </c>
      <c r="C225">
        <v>1868.7</v>
      </c>
      <c r="D225">
        <v>1842.1</v>
      </c>
      <c r="E225">
        <v>1845.4</v>
      </c>
      <c r="F225">
        <v>551</v>
      </c>
      <c r="G225">
        <v>1844.8714</v>
      </c>
      <c r="H225">
        <v>1862.3233</v>
      </c>
      <c r="I225">
        <v>1891.7733000000001</v>
      </c>
      <c r="J225">
        <v>0.78649999999999998</v>
      </c>
      <c r="K225">
        <v>0.60960000000000003</v>
      </c>
      <c r="L225">
        <v>0.96409999999999996</v>
      </c>
      <c r="M225">
        <v>48.9268</v>
      </c>
      <c r="N225">
        <v>-14.123799999999999</v>
      </c>
      <c r="O225">
        <v>-18.520099999999999</v>
      </c>
      <c r="P225">
        <v>1887.8592000000001</v>
      </c>
      <c r="Q225">
        <v>1795.6708000000001</v>
      </c>
    </row>
    <row r="226" spans="1:17" x14ac:dyDescent="0.3">
      <c r="A226" s="1">
        <v>44715</v>
      </c>
      <c r="B226">
        <v>1845.4</v>
      </c>
      <c r="C226">
        <v>1871.8</v>
      </c>
      <c r="D226">
        <v>1845.4</v>
      </c>
      <c r="E226">
        <v>1867.6</v>
      </c>
      <c r="F226">
        <v>53</v>
      </c>
      <c r="G226">
        <v>1847.0286000000001</v>
      </c>
      <c r="H226">
        <v>1859.8267000000001</v>
      </c>
      <c r="I226">
        <v>1892.0467000000001</v>
      </c>
      <c r="J226">
        <v>1.2030000000000001</v>
      </c>
      <c r="K226">
        <v>0.76</v>
      </c>
      <c r="L226">
        <v>0.99619999999999997</v>
      </c>
      <c r="M226">
        <v>60.523699999999998</v>
      </c>
      <c r="N226">
        <v>-11.106999999999999</v>
      </c>
      <c r="O226">
        <v>-17.037500000000001</v>
      </c>
      <c r="P226">
        <v>1880.4671000000001</v>
      </c>
      <c r="Q226">
        <v>1800.1229000000001</v>
      </c>
    </row>
    <row r="227" spans="1:17" x14ac:dyDescent="0.3">
      <c r="A227" s="1">
        <v>44718</v>
      </c>
      <c r="B227">
        <v>1839.2</v>
      </c>
      <c r="C227">
        <v>1854.1</v>
      </c>
      <c r="D227">
        <v>1839.2</v>
      </c>
      <c r="E227">
        <v>1849</v>
      </c>
      <c r="F227">
        <v>142</v>
      </c>
      <c r="G227">
        <v>1847.4286</v>
      </c>
      <c r="H227">
        <v>1856.4733000000001</v>
      </c>
      <c r="I227">
        <v>1892.2589</v>
      </c>
      <c r="J227">
        <v>-0.99590000000000001</v>
      </c>
      <c r="K227">
        <v>0.85980000000000001</v>
      </c>
      <c r="L227">
        <v>1.004</v>
      </c>
      <c r="M227">
        <v>65.683599999999998</v>
      </c>
      <c r="N227">
        <v>-10.1006</v>
      </c>
      <c r="O227">
        <v>-15.6501</v>
      </c>
      <c r="P227">
        <v>1876.0721000000001</v>
      </c>
      <c r="Q227">
        <v>1801.9480000000001</v>
      </c>
    </row>
    <row r="228" spans="1:17" x14ac:dyDescent="0.3">
      <c r="A228" s="1">
        <v>44719</v>
      </c>
      <c r="B228">
        <v>1847.5</v>
      </c>
      <c r="C228">
        <v>1851.6</v>
      </c>
      <c r="D228">
        <v>1835</v>
      </c>
      <c r="E228">
        <v>1836.9</v>
      </c>
      <c r="F228">
        <v>1168</v>
      </c>
      <c r="G228">
        <v>1846.9286</v>
      </c>
      <c r="H228">
        <v>1853.5367000000001</v>
      </c>
      <c r="I228">
        <v>1892.7433000000001</v>
      </c>
      <c r="J228">
        <v>-0.65439999999999998</v>
      </c>
      <c r="K228">
        <v>0.89119999999999999</v>
      </c>
      <c r="L228">
        <v>0.98729999999999996</v>
      </c>
      <c r="M228">
        <v>53.6541</v>
      </c>
      <c r="N228">
        <v>-10.1622</v>
      </c>
      <c r="O228">
        <v>-14.5525</v>
      </c>
      <c r="P228">
        <v>1872.2380000000001</v>
      </c>
      <c r="Q228">
        <v>1802.8119999999999</v>
      </c>
    </row>
    <row r="229" spans="1:17" x14ac:dyDescent="0.3">
      <c r="A229" s="1">
        <v>44720</v>
      </c>
      <c r="B229">
        <v>1851.9</v>
      </c>
      <c r="C229">
        <v>1855</v>
      </c>
      <c r="D229">
        <v>1844.4</v>
      </c>
      <c r="E229">
        <v>1844.8</v>
      </c>
      <c r="F229">
        <v>218</v>
      </c>
      <c r="G229">
        <v>1846.4286</v>
      </c>
      <c r="H229">
        <v>1851.68</v>
      </c>
      <c r="I229">
        <v>1893.2689</v>
      </c>
      <c r="J229">
        <v>0.43009999999999998</v>
      </c>
      <c r="K229">
        <v>0.89129999999999998</v>
      </c>
      <c r="L229">
        <v>0.96940000000000004</v>
      </c>
      <c r="M229">
        <v>59.186199999999999</v>
      </c>
      <c r="N229">
        <v>-9.4643999999999995</v>
      </c>
      <c r="O229">
        <v>-13.5349</v>
      </c>
      <c r="P229">
        <v>1872.6224999999999</v>
      </c>
      <c r="Q229">
        <v>1802.9175</v>
      </c>
    </row>
    <row r="230" spans="1:17" x14ac:dyDescent="0.3">
      <c r="A230" s="1">
        <v>44721</v>
      </c>
      <c r="B230">
        <v>1848.8</v>
      </c>
      <c r="C230">
        <v>1850.1</v>
      </c>
      <c r="D230">
        <v>1837.9</v>
      </c>
      <c r="E230">
        <v>1846.1</v>
      </c>
      <c r="F230">
        <v>159</v>
      </c>
      <c r="G230">
        <v>1845.8286000000001</v>
      </c>
      <c r="H230">
        <v>1849.9567</v>
      </c>
      <c r="I230">
        <v>1893.9088999999999</v>
      </c>
      <c r="J230">
        <v>7.0499999999999993E-2</v>
      </c>
      <c r="K230">
        <v>0.89049999999999996</v>
      </c>
      <c r="L230">
        <v>0.9698</v>
      </c>
      <c r="M230">
        <v>61.041400000000003</v>
      </c>
      <c r="N230">
        <v>-8.7062000000000008</v>
      </c>
      <c r="O230">
        <v>-12.5692</v>
      </c>
      <c r="P230">
        <v>1873.0165</v>
      </c>
      <c r="Q230">
        <v>1802.9836</v>
      </c>
    </row>
    <row r="231" spans="1:17" x14ac:dyDescent="0.3">
      <c r="A231" s="1">
        <v>44722</v>
      </c>
      <c r="B231">
        <v>1871.5</v>
      </c>
      <c r="C231">
        <v>1875.6</v>
      </c>
      <c r="D231">
        <v>1823.9</v>
      </c>
      <c r="E231">
        <v>1842.7</v>
      </c>
      <c r="F231">
        <v>1490</v>
      </c>
      <c r="G231">
        <v>1847.5</v>
      </c>
      <c r="H231">
        <v>1848.5867000000001</v>
      </c>
      <c r="I231">
        <v>1894.4145000000001</v>
      </c>
      <c r="J231">
        <v>-0.1842</v>
      </c>
      <c r="K231">
        <v>0.77980000000000005</v>
      </c>
      <c r="L231">
        <v>0.96220000000000006</v>
      </c>
      <c r="M231">
        <v>51.337299999999999</v>
      </c>
      <c r="N231">
        <v>-8.2842000000000002</v>
      </c>
      <c r="O231">
        <v>-11.712199999999999</v>
      </c>
      <c r="P231">
        <v>1872.2998</v>
      </c>
      <c r="Q231">
        <v>1802.9902</v>
      </c>
    </row>
    <row r="232" spans="1:17" x14ac:dyDescent="0.3">
      <c r="A232" s="1">
        <v>44725</v>
      </c>
      <c r="B232">
        <v>1828</v>
      </c>
      <c r="C232">
        <v>1873.8</v>
      </c>
      <c r="D232">
        <v>1818.7</v>
      </c>
      <c r="E232">
        <v>1873.8</v>
      </c>
      <c r="F232">
        <v>127</v>
      </c>
      <c r="G232">
        <v>1851.5571</v>
      </c>
      <c r="H232">
        <v>1847.6233</v>
      </c>
      <c r="I232">
        <v>1895.2589</v>
      </c>
      <c r="J232">
        <v>1.6877</v>
      </c>
      <c r="K232">
        <v>0.96550000000000002</v>
      </c>
      <c r="L232">
        <v>0.996</v>
      </c>
      <c r="M232">
        <v>58.6751</v>
      </c>
      <c r="N232">
        <v>-5.3781999999999996</v>
      </c>
      <c r="O232">
        <v>-10.445399999999999</v>
      </c>
      <c r="P232">
        <v>1877.7337</v>
      </c>
      <c r="Q232">
        <v>1802.4363000000001</v>
      </c>
    </row>
    <row r="233" spans="1:17" x14ac:dyDescent="0.3">
      <c r="A233" s="1">
        <v>44726</v>
      </c>
      <c r="B233">
        <v>1809.5</v>
      </c>
      <c r="C233">
        <v>1825.5</v>
      </c>
      <c r="D233">
        <v>1805.3</v>
      </c>
      <c r="E233">
        <v>1825</v>
      </c>
      <c r="F233">
        <v>536</v>
      </c>
      <c r="G233">
        <v>1845.4713999999999</v>
      </c>
      <c r="H233">
        <v>1845.2333000000001</v>
      </c>
      <c r="I233">
        <v>1895.4721999999999</v>
      </c>
      <c r="J233">
        <v>-2.6042999999999998</v>
      </c>
      <c r="K233">
        <v>1.3261000000000001</v>
      </c>
      <c r="L233">
        <v>1.0996999999999999</v>
      </c>
      <c r="M233">
        <v>43.162599999999998</v>
      </c>
      <c r="N233">
        <v>-6.9329999999999998</v>
      </c>
      <c r="O233">
        <v>-9.7429000000000006</v>
      </c>
      <c r="P233">
        <v>1872.3907999999999</v>
      </c>
      <c r="Q233">
        <v>1811.2292</v>
      </c>
    </row>
    <row r="234" spans="1:17" x14ac:dyDescent="0.3">
      <c r="A234" s="1">
        <v>44727</v>
      </c>
      <c r="B234">
        <v>1815.3</v>
      </c>
      <c r="C234">
        <v>1839</v>
      </c>
      <c r="D234">
        <v>1810.8</v>
      </c>
      <c r="E234">
        <v>1814.1</v>
      </c>
      <c r="F234">
        <v>108</v>
      </c>
      <c r="G234">
        <v>1840.4857</v>
      </c>
      <c r="H234">
        <v>1843.41</v>
      </c>
      <c r="I234">
        <v>1895.5622000000001</v>
      </c>
      <c r="J234">
        <v>-0.59730000000000005</v>
      </c>
      <c r="K234">
        <v>1.3006</v>
      </c>
      <c r="L234">
        <v>1.0740000000000001</v>
      </c>
      <c r="M234">
        <v>42.197400000000002</v>
      </c>
      <c r="N234">
        <v>-8.9417000000000009</v>
      </c>
      <c r="O234">
        <v>-9.5827000000000009</v>
      </c>
      <c r="P234">
        <v>1873.4477999999999</v>
      </c>
      <c r="Q234">
        <v>1809.0922</v>
      </c>
    </row>
    <row r="235" spans="1:17" x14ac:dyDescent="0.3">
      <c r="A235" s="1">
        <v>44728</v>
      </c>
      <c r="B235">
        <v>1845.7</v>
      </c>
      <c r="C235">
        <v>1850.6</v>
      </c>
      <c r="D235">
        <v>1814.9</v>
      </c>
      <c r="E235">
        <v>1819.2</v>
      </c>
      <c r="F235">
        <v>136</v>
      </c>
      <c r="G235">
        <v>1837.9571000000001</v>
      </c>
      <c r="H235">
        <v>1841.8167000000001</v>
      </c>
      <c r="I235">
        <v>1895.64</v>
      </c>
      <c r="J235">
        <v>0.28110000000000002</v>
      </c>
      <c r="K235">
        <v>1.302</v>
      </c>
      <c r="L235">
        <v>1.0762</v>
      </c>
      <c r="M235">
        <v>44.829300000000003</v>
      </c>
      <c r="N235">
        <v>-10.0067</v>
      </c>
      <c r="O235">
        <v>-9.6675000000000004</v>
      </c>
      <c r="P235">
        <v>1872.9837</v>
      </c>
      <c r="Q235">
        <v>1809.9763</v>
      </c>
    </row>
    <row r="236" spans="1:17" x14ac:dyDescent="0.3">
      <c r="A236" s="1">
        <v>44729</v>
      </c>
      <c r="B236">
        <v>1835.6</v>
      </c>
      <c r="C236">
        <v>1853.7</v>
      </c>
      <c r="D236">
        <v>1833.6</v>
      </c>
      <c r="E236">
        <v>1853.7</v>
      </c>
      <c r="F236">
        <v>170</v>
      </c>
      <c r="G236">
        <v>1839.2285999999999</v>
      </c>
      <c r="H236">
        <v>1840.3733</v>
      </c>
      <c r="I236">
        <v>1896.0266999999999</v>
      </c>
      <c r="J236">
        <v>1.8964000000000001</v>
      </c>
      <c r="K236">
        <v>1.5087999999999999</v>
      </c>
      <c r="L236">
        <v>1.093</v>
      </c>
      <c r="M236">
        <v>51.165799999999997</v>
      </c>
      <c r="N236">
        <v>-7.9749999999999996</v>
      </c>
      <c r="O236">
        <v>-9.3290000000000006</v>
      </c>
      <c r="P236">
        <v>1872.0413000000001</v>
      </c>
      <c r="Q236">
        <v>1815.1986999999999</v>
      </c>
    </row>
    <row r="237" spans="1:17" x14ac:dyDescent="0.3">
      <c r="A237" s="1">
        <v>44733</v>
      </c>
      <c r="B237">
        <v>1834.6</v>
      </c>
      <c r="C237">
        <v>1838.6</v>
      </c>
      <c r="D237">
        <v>1830.1</v>
      </c>
      <c r="E237">
        <v>1835.3</v>
      </c>
      <c r="F237">
        <v>216</v>
      </c>
      <c r="G237">
        <v>1837.6857</v>
      </c>
      <c r="H237">
        <v>1839.06</v>
      </c>
      <c r="I237">
        <v>1896.1367</v>
      </c>
      <c r="J237">
        <v>-0.99260000000000004</v>
      </c>
      <c r="K237">
        <v>1.5623</v>
      </c>
      <c r="L237">
        <v>1.0871</v>
      </c>
      <c r="M237">
        <v>46.9758</v>
      </c>
      <c r="N237">
        <v>-7.7601000000000004</v>
      </c>
      <c r="O237">
        <v>-9.0152000000000001</v>
      </c>
      <c r="P237">
        <v>1872.0287000000001</v>
      </c>
      <c r="Q237">
        <v>1814.8313000000001</v>
      </c>
    </row>
    <row r="238" spans="1:17" x14ac:dyDescent="0.3">
      <c r="A238" s="1">
        <v>44734</v>
      </c>
      <c r="B238">
        <v>1834.3</v>
      </c>
      <c r="C238">
        <v>1842.7</v>
      </c>
      <c r="D238">
        <v>1821.6</v>
      </c>
      <c r="E238">
        <v>1829.5</v>
      </c>
      <c r="F238">
        <v>115</v>
      </c>
      <c r="G238">
        <v>1835.8</v>
      </c>
      <c r="H238">
        <v>1837.8233</v>
      </c>
      <c r="I238">
        <v>1896.0944</v>
      </c>
      <c r="J238">
        <v>-0.316</v>
      </c>
      <c r="K238">
        <v>1.5647</v>
      </c>
      <c r="L238">
        <v>1.0860000000000001</v>
      </c>
      <c r="M238">
        <v>49.680199999999999</v>
      </c>
      <c r="N238">
        <v>-7.9659000000000004</v>
      </c>
      <c r="O238">
        <v>-8.8053000000000008</v>
      </c>
      <c r="P238">
        <v>1871.8139000000001</v>
      </c>
      <c r="Q238">
        <v>1813.3661</v>
      </c>
    </row>
    <row r="239" spans="1:17" x14ac:dyDescent="0.3">
      <c r="A239" s="1">
        <v>44735</v>
      </c>
      <c r="B239">
        <v>1825.7</v>
      </c>
      <c r="C239">
        <v>1841.2</v>
      </c>
      <c r="D239">
        <v>1825.7</v>
      </c>
      <c r="E239">
        <v>1835.5</v>
      </c>
      <c r="F239">
        <v>9</v>
      </c>
      <c r="G239">
        <v>1830.3286000000001</v>
      </c>
      <c r="H239">
        <v>1837.6767</v>
      </c>
      <c r="I239">
        <v>1896.2444</v>
      </c>
      <c r="J239">
        <v>0.32800000000000001</v>
      </c>
      <c r="K239">
        <v>1.3804000000000001</v>
      </c>
      <c r="L239">
        <v>1.0566</v>
      </c>
      <c r="M239">
        <v>47.810699999999997</v>
      </c>
      <c r="N239">
        <v>-7.5578000000000003</v>
      </c>
      <c r="O239">
        <v>-8.5557999999999996</v>
      </c>
      <c r="P239">
        <v>1870.7383</v>
      </c>
      <c r="Q239">
        <v>1812.7417</v>
      </c>
    </row>
    <row r="240" spans="1:17" x14ac:dyDescent="0.3">
      <c r="A240" s="1">
        <v>44736</v>
      </c>
      <c r="B240">
        <v>1826.5</v>
      </c>
      <c r="C240">
        <v>1826.5</v>
      </c>
      <c r="D240">
        <v>1815.8</v>
      </c>
      <c r="E240">
        <v>1820.5</v>
      </c>
      <c r="F240">
        <v>61</v>
      </c>
      <c r="G240">
        <v>1829.6857</v>
      </c>
      <c r="H240">
        <v>1836.9766999999999</v>
      </c>
      <c r="I240">
        <v>1895.7855999999999</v>
      </c>
      <c r="J240">
        <v>-0.81720000000000004</v>
      </c>
      <c r="K240">
        <v>0.99050000000000005</v>
      </c>
      <c r="L240">
        <v>1.0668</v>
      </c>
      <c r="M240">
        <v>39.241700000000002</v>
      </c>
      <c r="N240">
        <v>-8.3484999999999996</v>
      </c>
      <c r="O240">
        <v>-8.5144000000000002</v>
      </c>
      <c r="P240">
        <v>1870.8644999999999</v>
      </c>
      <c r="Q240">
        <v>1810.0454999999999</v>
      </c>
    </row>
    <row r="241" spans="1:17" x14ac:dyDescent="0.3">
      <c r="A241" s="1">
        <v>44739</v>
      </c>
      <c r="B241">
        <v>1820.9</v>
      </c>
      <c r="C241">
        <v>1830.7</v>
      </c>
      <c r="D241">
        <v>1819.9</v>
      </c>
      <c r="E241">
        <v>1830.5</v>
      </c>
      <c r="F241">
        <v>77</v>
      </c>
      <c r="G241">
        <v>1832.0286000000001</v>
      </c>
      <c r="H241">
        <v>1836.3333</v>
      </c>
      <c r="I241">
        <v>1895.3178</v>
      </c>
      <c r="J241">
        <v>0.54930000000000001</v>
      </c>
      <c r="K241">
        <v>0.97589999999999999</v>
      </c>
      <c r="L241">
        <v>1.0685</v>
      </c>
      <c r="M241">
        <v>45.601500000000001</v>
      </c>
      <c r="N241">
        <v>-8.0751000000000008</v>
      </c>
      <c r="O241">
        <v>-8.4265000000000008</v>
      </c>
      <c r="P241">
        <v>1870.6938</v>
      </c>
      <c r="Q241">
        <v>1809.2262000000001</v>
      </c>
    </row>
    <row r="242" spans="1:17" x14ac:dyDescent="0.3">
      <c r="A242" s="1">
        <v>44740</v>
      </c>
      <c r="B242">
        <v>1817.5</v>
      </c>
      <c r="C242">
        <v>1826</v>
      </c>
      <c r="D242">
        <v>1817.5</v>
      </c>
      <c r="E242">
        <v>1824.2</v>
      </c>
      <c r="F242">
        <v>391</v>
      </c>
      <c r="G242">
        <v>1832.7429</v>
      </c>
      <c r="H242">
        <v>1836.3067000000001</v>
      </c>
      <c r="I242">
        <v>1894.9344000000001</v>
      </c>
      <c r="J242">
        <v>-0.34420000000000001</v>
      </c>
      <c r="K242">
        <v>0.98860000000000003</v>
      </c>
      <c r="L242">
        <v>1.0414000000000001</v>
      </c>
      <c r="M242">
        <v>46.894799999999996</v>
      </c>
      <c r="N242">
        <v>-8.2714999999999996</v>
      </c>
      <c r="O242">
        <v>-8.3955000000000002</v>
      </c>
      <c r="P242">
        <v>1869.9975999999999</v>
      </c>
      <c r="Q242">
        <v>1807.5124000000001</v>
      </c>
    </row>
    <row r="243" spans="1:17" x14ac:dyDescent="0.3">
      <c r="A243" s="1">
        <v>44741</v>
      </c>
      <c r="B243">
        <v>1813.7</v>
      </c>
      <c r="C243">
        <v>1830.3</v>
      </c>
      <c r="D243">
        <v>1812.8</v>
      </c>
      <c r="E243">
        <v>1818.3</v>
      </c>
      <c r="F243">
        <v>173</v>
      </c>
      <c r="G243">
        <v>1827.6857</v>
      </c>
      <c r="H243">
        <v>1837.2333000000001</v>
      </c>
      <c r="I243">
        <v>1894.29</v>
      </c>
      <c r="J243">
        <v>-0.32340000000000002</v>
      </c>
      <c r="K243">
        <v>0.55689999999999995</v>
      </c>
      <c r="L243">
        <v>0.98070000000000002</v>
      </c>
      <c r="M243">
        <v>43.456800000000001</v>
      </c>
      <c r="N243">
        <v>-8.8017000000000003</v>
      </c>
      <c r="O243">
        <v>-8.4768000000000008</v>
      </c>
      <c r="P243">
        <v>1869.1759999999999</v>
      </c>
      <c r="Q243">
        <v>1805.134</v>
      </c>
    </row>
    <row r="244" spans="1:17" x14ac:dyDescent="0.3">
      <c r="A244" s="1">
        <v>44742</v>
      </c>
      <c r="B244">
        <v>1804.1</v>
      </c>
      <c r="C244">
        <v>1817.3</v>
      </c>
      <c r="D244">
        <v>1801</v>
      </c>
      <c r="E244">
        <v>1809.6</v>
      </c>
      <c r="F244">
        <v>328</v>
      </c>
      <c r="G244">
        <v>1824.0143</v>
      </c>
      <c r="H244">
        <v>1836.7233000000001</v>
      </c>
      <c r="I244">
        <v>1893.2922000000001</v>
      </c>
      <c r="J244">
        <v>-0.47849999999999998</v>
      </c>
      <c r="K244">
        <v>0.47399999999999998</v>
      </c>
      <c r="L244">
        <v>0.91920000000000002</v>
      </c>
      <c r="M244">
        <v>41.305399999999999</v>
      </c>
      <c r="N244">
        <v>-9.8109000000000002</v>
      </c>
      <c r="O244">
        <v>-8.7436000000000007</v>
      </c>
      <c r="P244">
        <v>1870.3253</v>
      </c>
      <c r="Q244">
        <v>1801.8447000000001</v>
      </c>
    </row>
    <row r="245" spans="1:17" x14ac:dyDescent="0.3">
      <c r="A245" s="1">
        <v>44743</v>
      </c>
      <c r="B245">
        <v>1798.9</v>
      </c>
      <c r="C245">
        <v>1806.1</v>
      </c>
      <c r="D245">
        <v>1791.6</v>
      </c>
      <c r="E245">
        <v>1795.5</v>
      </c>
      <c r="F245">
        <v>77</v>
      </c>
      <c r="G245">
        <v>1819.1570999999999</v>
      </c>
      <c r="H245">
        <v>1836.0733</v>
      </c>
      <c r="I245">
        <v>1892.0410999999999</v>
      </c>
      <c r="J245">
        <v>-0.7792</v>
      </c>
      <c r="K245">
        <v>0.52270000000000005</v>
      </c>
      <c r="L245">
        <v>0.92479999999999996</v>
      </c>
      <c r="M245">
        <v>39.301900000000003</v>
      </c>
      <c r="N245">
        <v>-11.6145</v>
      </c>
      <c r="O245">
        <v>-9.3178000000000001</v>
      </c>
      <c r="P245">
        <v>1871.9916000000001</v>
      </c>
      <c r="Q245">
        <v>1795.1883</v>
      </c>
    </row>
    <row r="246" spans="1:17" x14ac:dyDescent="0.3">
      <c r="A246" s="1">
        <v>44747</v>
      </c>
      <c r="B246">
        <v>1761.8</v>
      </c>
      <c r="C246">
        <v>1805.4</v>
      </c>
      <c r="D246">
        <v>1761.8</v>
      </c>
      <c r="E246">
        <v>1805.4</v>
      </c>
      <c r="F246">
        <v>64</v>
      </c>
      <c r="G246">
        <v>1814.8570999999999</v>
      </c>
      <c r="H246">
        <v>1835.89</v>
      </c>
      <c r="I246">
        <v>1891.0278000000001</v>
      </c>
      <c r="J246">
        <v>0.5514</v>
      </c>
      <c r="K246">
        <v>0.56969999999999998</v>
      </c>
      <c r="L246">
        <v>0.93010000000000004</v>
      </c>
      <c r="M246">
        <v>32.848500000000001</v>
      </c>
      <c r="N246">
        <v>-12.105499999999999</v>
      </c>
      <c r="O246">
        <v>-9.8752999999999993</v>
      </c>
      <c r="P246">
        <v>1867.3277</v>
      </c>
      <c r="Q246">
        <v>1793.6323</v>
      </c>
    </row>
    <row r="247" spans="1:17" x14ac:dyDescent="0.3">
      <c r="A247" s="1">
        <v>44748</v>
      </c>
      <c r="B247">
        <v>1734.9</v>
      </c>
      <c r="C247">
        <v>1768</v>
      </c>
      <c r="D247">
        <v>1734</v>
      </c>
      <c r="E247">
        <v>1762.5</v>
      </c>
      <c r="F247">
        <v>1729</v>
      </c>
      <c r="G247">
        <v>1806.5714</v>
      </c>
      <c r="H247">
        <v>1833.3367000000001</v>
      </c>
      <c r="I247">
        <v>1889.3678</v>
      </c>
      <c r="J247">
        <v>-2.3761999999999999</v>
      </c>
      <c r="K247">
        <v>0.98719999999999997</v>
      </c>
      <c r="L247">
        <v>0.97809999999999997</v>
      </c>
      <c r="M247">
        <v>33.850099999999998</v>
      </c>
      <c r="N247">
        <v>-15.7744</v>
      </c>
      <c r="O247">
        <v>-11.055099999999999</v>
      </c>
      <c r="P247">
        <v>1872.8421000000001</v>
      </c>
      <c r="Q247">
        <v>1779.4679000000001</v>
      </c>
    </row>
    <row r="248" spans="1:17" x14ac:dyDescent="0.3">
      <c r="A248" s="1">
        <v>44749</v>
      </c>
      <c r="B248">
        <v>1737.9</v>
      </c>
      <c r="C248">
        <v>1745.2</v>
      </c>
      <c r="D248">
        <v>1737</v>
      </c>
      <c r="E248">
        <v>1745.2</v>
      </c>
      <c r="F248">
        <v>1869</v>
      </c>
      <c r="G248">
        <v>1794.3857</v>
      </c>
      <c r="H248">
        <v>1829.9666999999999</v>
      </c>
      <c r="I248">
        <v>1887.5710999999999</v>
      </c>
      <c r="J248">
        <v>-0.98160000000000003</v>
      </c>
      <c r="K248">
        <v>0.8921</v>
      </c>
      <c r="L248">
        <v>0.98460000000000003</v>
      </c>
      <c r="M248">
        <v>32.766399999999997</v>
      </c>
      <c r="N248">
        <v>-19.849299999999999</v>
      </c>
      <c r="O248">
        <v>-12.814</v>
      </c>
      <c r="P248">
        <v>1880.2777000000001</v>
      </c>
      <c r="Q248">
        <v>1762.8623</v>
      </c>
    </row>
    <row r="249" spans="1:17" x14ac:dyDescent="0.3">
      <c r="A249" s="1">
        <v>44750</v>
      </c>
      <c r="B249">
        <v>1740.6</v>
      </c>
      <c r="C249">
        <v>1749.3</v>
      </c>
      <c r="D249">
        <v>1732.1</v>
      </c>
      <c r="E249">
        <v>1738.1</v>
      </c>
      <c r="F249">
        <v>370</v>
      </c>
      <c r="G249">
        <v>1782.0857000000001</v>
      </c>
      <c r="H249">
        <v>1826.1532999999999</v>
      </c>
      <c r="I249">
        <v>1885.4577999999999</v>
      </c>
      <c r="J249">
        <v>-0.40679999999999999</v>
      </c>
      <c r="K249">
        <v>0.88849999999999996</v>
      </c>
      <c r="L249">
        <v>0.98050000000000004</v>
      </c>
      <c r="M249">
        <v>29.915800000000001</v>
      </c>
      <c r="N249">
        <v>-23.382000000000001</v>
      </c>
      <c r="O249">
        <v>-14.9276</v>
      </c>
      <c r="P249">
        <v>1884.645</v>
      </c>
      <c r="Q249">
        <v>1747.825</v>
      </c>
    </row>
    <row r="250" spans="1:17" x14ac:dyDescent="0.3">
      <c r="A250" s="1">
        <v>44753</v>
      </c>
      <c r="B250">
        <v>1730</v>
      </c>
      <c r="C250">
        <v>1736.7</v>
      </c>
      <c r="D250">
        <v>1730</v>
      </c>
      <c r="E250">
        <v>1732.5</v>
      </c>
      <c r="F250">
        <v>75</v>
      </c>
      <c r="G250">
        <v>1769.8286000000001</v>
      </c>
      <c r="H250">
        <v>1822.3633</v>
      </c>
      <c r="I250">
        <v>1883.5044</v>
      </c>
      <c r="J250">
        <v>-0.32219999999999999</v>
      </c>
      <c r="K250">
        <v>0.88859999999999995</v>
      </c>
      <c r="L250">
        <v>0.98040000000000005</v>
      </c>
      <c r="M250">
        <v>14.9711</v>
      </c>
      <c r="N250">
        <v>-26.33</v>
      </c>
      <c r="O250">
        <v>-17.207999999999998</v>
      </c>
      <c r="P250">
        <v>1886.9254000000001</v>
      </c>
      <c r="Q250">
        <v>1734.1846</v>
      </c>
    </row>
    <row r="251" spans="1:17" x14ac:dyDescent="0.3">
      <c r="A251" s="1">
        <v>44754</v>
      </c>
      <c r="B251">
        <v>1723.3</v>
      </c>
      <c r="C251">
        <v>1735.5</v>
      </c>
      <c r="D251">
        <v>1723.3</v>
      </c>
      <c r="E251">
        <v>1734.2</v>
      </c>
      <c r="F251">
        <v>451</v>
      </c>
      <c r="G251">
        <v>1759.0571</v>
      </c>
      <c r="H251">
        <v>1818.8233</v>
      </c>
      <c r="I251">
        <v>1881.1556</v>
      </c>
      <c r="J251">
        <v>9.8100000000000007E-2</v>
      </c>
      <c r="K251">
        <v>0.93630000000000002</v>
      </c>
      <c r="L251">
        <v>0.98170000000000002</v>
      </c>
      <c r="M251">
        <v>17.658300000000001</v>
      </c>
      <c r="N251">
        <v>-28.2041</v>
      </c>
      <c r="O251">
        <v>-19.407299999999999</v>
      </c>
      <c r="P251">
        <v>1887.0956000000001</v>
      </c>
      <c r="Q251">
        <v>1723.1643999999999</v>
      </c>
    </row>
    <row r="252" spans="1:17" x14ac:dyDescent="0.3">
      <c r="A252" s="1">
        <v>44755</v>
      </c>
      <c r="B252">
        <v>1734.2</v>
      </c>
      <c r="C252">
        <v>1734.2</v>
      </c>
      <c r="D252">
        <v>1710</v>
      </c>
      <c r="E252">
        <v>1710</v>
      </c>
      <c r="F252">
        <v>368</v>
      </c>
      <c r="G252">
        <v>1746.8427999999999</v>
      </c>
      <c r="H252">
        <v>1814.2132999999999</v>
      </c>
      <c r="I252">
        <v>1878.7056</v>
      </c>
      <c r="J252">
        <v>-1.3955</v>
      </c>
      <c r="K252">
        <v>0.98350000000000004</v>
      </c>
      <c r="L252">
        <v>0.99819999999999998</v>
      </c>
      <c r="M252">
        <v>15.798500000000001</v>
      </c>
      <c r="N252">
        <v>-31.281400000000001</v>
      </c>
      <c r="O252">
        <v>-21.7821</v>
      </c>
      <c r="P252">
        <v>1882.6627000000001</v>
      </c>
      <c r="Q252">
        <v>1711.2172</v>
      </c>
    </row>
    <row r="253" spans="1:17" x14ac:dyDescent="0.3">
      <c r="A253" s="1">
        <v>44756</v>
      </c>
      <c r="B253">
        <v>1704.5</v>
      </c>
      <c r="C253">
        <v>1710.5</v>
      </c>
      <c r="D253">
        <v>1704.5</v>
      </c>
      <c r="E253">
        <v>1710.3</v>
      </c>
      <c r="F253">
        <v>1289</v>
      </c>
      <c r="G253">
        <v>1733.2571</v>
      </c>
      <c r="H253">
        <v>1809.5467000000001</v>
      </c>
      <c r="I253">
        <v>1876.1867</v>
      </c>
      <c r="J253">
        <v>1.7500000000000002E-2</v>
      </c>
      <c r="K253">
        <v>0.8871</v>
      </c>
      <c r="L253">
        <v>0.99719999999999998</v>
      </c>
      <c r="M253">
        <v>12.958600000000001</v>
      </c>
      <c r="N253">
        <v>-33.311999999999998</v>
      </c>
      <c r="O253">
        <v>-24.088100000000001</v>
      </c>
      <c r="P253">
        <v>1884.0728999999999</v>
      </c>
      <c r="Q253">
        <v>1698.337</v>
      </c>
    </row>
    <row r="254" spans="1:17" x14ac:dyDescent="0.3">
      <c r="A254" s="1">
        <v>44757</v>
      </c>
      <c r="B254">
        <v>1702.4</v>
      </c>
      <c r="C254">
        <v>1709.7</v>
      </c>
      <c r="D254">
        <v>1701.1</v>
      </c>
      <c r="E254">
        <v>1705.4</v>
      </c>
      <c r="F254">
        <v>721</v>
      </c>
      <c r="G254">
        <v>1725.1</v>
      </c>
      <c r="H254">
        <v>1805.36</v>
      </c>
      <c r="I254">
        <v>1873.0355999999999</v>
      </c>
      <c r="J254">
        <v>-0.28649999999999998</v>
      </c>
      <c r="K254">
        <v>0.53820000000000001</v>
      </c>
      <c r="L254">
        <v>0.98619999999999997</v>
      </c>
      <c r="M254">
        <v>13.782299999999999</v>
      </c>
      <c r="N254">
        <v>-34.914200000000001</v>
      </c>
      <c r="O254">
        <v>-26.253299999999999</v>
      </c>
      <c r="P254">
        <v>1885.4682</v>
      </c>
      <c r="Q254">
        <v>1686.0717999999999</v>
      </c>
    </row>
    <row r="255" spans="1:17" x14ac:dyDescent="0.3">
      <c r="A255" s="1">
        <v>44760</v>
      </c>
      <c r="B255">
        <v>1709.2</v>
      </c>
      <c r="C255">
        <v>1712.4</v>
      </c>
      <c r="D255">
        <v>1709.2</v>
      </c>
      <c r="E255">
        <v>1712.2</v>
      </c>
      <c r="F255">
        <v>264</v>
      </c>
      <c r="G255">
        <v>1720.3857</v>
      </c>
      <c r="H255">
        <v>1800.92</v>
      </c>
      <c r="I255">
        <v>1869.8444</v>
      </c>
      <c r="J255">
        <v>0.3987</v>
      </c>
      <c r="K255">
        <v>0.5706</v>
      </c>
      <c r="L255">
        <v>0.9748</v>
      </c>
      <c r="M255">
        <v>12.010199999999999</v>
      </c>
      <c r="N255">
        <v>-35.229199999999999</v>
      </c>
      <c r="O255">
        <v>-28.048500000000001</v>
      </c>
      <c r="P255">
        <v>1883.9739</v>
      </c>
      <c r="Q255">
        <v>1676.8661</v>
      </c>
    </row>
    <row r="256" spans="1:17" x14ac:dyDescent="0.3">
      <c r="A256" s="1">
        <v>44761</v>
      </c>
      <c r="B256">
        <v>1710</v>
      </c>
      <c r="C256">
        <v>1714.4</v>
      </c>
      <c r="D256">
        <v>1706.1</v>
      </c>
      <c r="E256">
        <v>1712.3</v>
      </c>
      <c r="F256">
        <v>1684</v>
      </c>
      <c r="G256">
        <v>1716.7</v>
      </c>
      <c r="H256">
        <v>1795.7433000000001</v>
      </c>
      <c r="I256">
        <v>1866.0522000000001</v>
      </c>
      <c r="J256">
        <v>5.7999999999999996E-3</v>
      </c>
      <c r="K256">
        <v>0.5756</v>
      </c>
      <c r="L256">
        <v>0.93730000000000002</v>
      </c>
      <c r="M256">
        <v>12.5753</v>
      </c>
      <c r="N256">
        <v>-35.066499999999998</v>
      </c>
      <c r="O256">
        <v>-29.452100000000002</v>
      </c>
      <c r="P256">
        <v>1875.1309000000001</v>
      </c>
      <c r="Q256">
        <v>1671.5690999999999</v>
      </c>
    </row>
    <row r="257" spans="1:17" x14ac:dyDescent="0.3">
      <c r="A257" s="1">
        <v>44762</v>
      </c>
      <c r="B257">
        <v>1699.5</v>
      </c>
      <c r="C257">
        <v>1708.5</v>
      </c>
      <c r="D257">
        <v>1699.5</v>
      </c>
      <c r="E257">
        <v>1707.1</v>
      </c>
      <c r="F257">
        <v>130</v>
      </c>
      <c r="G257">
        <v>1713.0714</v>
      </c>
      <c r="H257">
        <v>1791.0133000000001</v>
      </c>
      <c r="I257">
        <v>1863.0410999999999</v>
      </c>
      <c r="J257">
        <v>-0.30370000000000003</v>
      </c>
      <c r="K257">
        <v>0.57499999999999996</v>
      </c>
      <c r="L257">
        <v>0.92769999999999997</v>
      </c>
      <c r="M257">
        <v>12.634399999999999</v>
      </c>
      <c r="N257">
        <v>-34.9542</v>
      </c>
      <c r="O257">
        <v>-30.552499999999998</v>
      </c>
      <c r="P257">
        <v>1868.4407000000001</v>
      </c>
      <c r="Q257">
        <v>1665.4392</v>
      </c>
    </row>
    <row r="258" spans="1:17" x14ac:dyDescent="0.3">
      <c r="A258" s="1">
        <v>44763</v>
      </c>
      <c r="B258">
        <v>1712.7</v>
      </c>
      <c r="C258">
        <v>1715.5</v>
      </c>
      <c r="D258">
        <v>1679.8</v>
      </c>
      <c r="E258">
        <v>1687</v>
      </c>
      <c r="F258">
        <v>183</v>
      </c>
      <c r="G258">
        <v>1706.3286000000001</v>
      </c>
      <c r="H258">
        <v>1786.0166999999999</v>
      </c>
      <c r="I258">
        <v>1859.73</v>
      </c>
      <c r="J258">
        <v>-1.1774</v>
      </c>
      <c r="K258">
        <v>0.65749999999999997</v>
      </c>
      <c r="L258">
        <v>0.94010000000000005</v>
      </c>
      <c r="M258">
        <v>11.7354</v>
      </c>
      <c r="N258">
        <v>-36.071300000000001</v>
      </c>
      <c r="O258">
        <v>-31.656300000000002</v>
      </c>
      <c r="P258">
        <v>1862.8200999999999</v>
      </c>
      <c r="Q258">
        <v>1656.8099</v>
      </c>
    </row>
    <row r="259" spans="1:17" x14ac:dyDescent="0.3">
      <c r="A259" s="1">
        <v>44764</v>
      </c>
      <c r="B259">
        <v>1727.1</v>
      </c>
      <c r="C259">
        <v>1735</v>
      </c>
      <c r="D259">
        <v>1713</v>
      </c>
      <c r="E259">
        <v>1713.3</v>
      </c>
      <c r="F259">
        <v>61</v>
      </c>
      <c r="G259">
        <v>1706.8</v>
      </c>
      <c r="H259">
        <v>1781.6333</v>
      </c>
      <c r="I259">
        <v>1856.8055999999999</v>
      </c>
      <c r="J259">
        <v>1.5589999999999999</v>
      </c>
      <c r="K259">
        <v>0.83109999999999995</v>
      </c>
      <c r="L259">
        <v>0.99070000000000003</v>
      </c>
      <c r="M259">
        <v>26.1601</v>
      </c>
      <c r="N259">
        <v>-34.4375</v>
      </c>
      <c r="O259">
        <v>-32.212499999999999</v>
      </c>
      <c r="P259">
        <v>1852.2058999999999</v>
      </c>
      <c r="Q259">
        <v>1655.2040999999999</v>
      </c>
    </row>
    <row r="260" spans="1:17" x14ac:dyDescent="0.3">
      <c r="A260" s="1">
        <v>44767</v>
      </c>
      <c r="B260">
        <v>1719</v>
      </c>
      <c r="C260">
        <v>1732</v>
      </c>
      <c r="D260">
        <v>1719</v>
      </c>
      <c r="E260">
        <v>1727</v>
      </c>
      <c r="F260">
        <v>67</v>
      </c>
      <c r="G260">
        <v>1709.1857</v>
      </c>
      <c r="H260">
        <v>1777.6632999999999</v>
      </c>
      <c r="I260">
        <v>1854.4411</v>
      </c>
      <c r="J260">
        <v>0.79959999999999998</v>
      </c>
      <c r="K260">
        <v>0.88009999999999999</v>
      </c>
      <c r="L260">
        <v>1.0075000000000001</v>
      </c>
      <c r="M260">
        <v>27.752600000000001</v>
      </c>
      <c r="N260">
        <v>-31.6721</v>
      </c>
      <c r="O260">
        <v>-32.104399999999998</v>
      </c>
      <c r="P260">
        <v>1842.9516000000001</v>
      </c>
      <c r="Q260">
        <v>1655.1084000000001</v>
      </c>
    </row>
    <row r="261" spans="1:17" x14ac:dyDescent="0.3">
      <c r="A261" s="1">
        <v>44768</v>
      </c>
      <c r="B261">
        <v>1717.7</v>
      </c>
      <c r="C261">
        <v>1718</v>
      </c>
      <c r="D261">
        <v>1717.7</v>
      </c>
      <c r="E261">
        <v>1718</v>
      </c>
      <c r="F261">
        <v>1</v>
      </c>
      <c r="G261">
        <v>1710.9857</v>
      </c>
      <c r="H261">
        <v>1773.5066999999999</v>
      </c>
      <c r="I261">
        <v>1852.17</v>
      </c>
      <c r="J261">
        <v>-0.52110000000000001</v>
      </c>
      <c r="K261">
        <v>0.90339999999999998</v>
      </c>
      <c r="L261">
        <v>1.0089999999999999</v>
      </c>
      <c r="M261">
        <v>34.363999999999997</v>
      </c>
      <c r="N261">
        <v>-29.862500000000001</v>
      </c>
      <c r="O261">
        <v>-31.655999999999999</v>
      </c>
      <c r="P261">
        <v>1829.9694999999999</v>
      </c>
      <c r="Q261">
        <v>1656.8405</v>
      </c>
    </row>
    <row r="262" spans="1:17" x14ac:dyDescent="0.3">
      <c r="A262" s="1">
        <v>44769</v>
      </c>
      <c r="B262">
        <v>1719.1</v>
      </c>
      <c r="C262">
        <v>1719.1</v>
      </c>
      <c r="D262">
        <v>1719.1</v>
      </c>
      <c r="E262">
        <v>1719.1</v>
      </c>
      <c r="F262">
        <v>144865</v>
      </c>
      <c r="G262">
        <v>1711.9713999999999</v>
      </c>
      <c r="H262">
        <v>1768.35</v>
      </c>
      <c r="I262">
        <v>1849.7833000000001</v>
      </c>
      <c r="J262">
        <v>6.4000000000000001E-2</v>
      </c>
      <c r="K262">
        <v>0.89429999999999998</v>
      </c>
      <c r="L262">
        <v>0.94410000000000005</v>
      </c>
      <c r="M262">
        <v>39.6511</v>
      </c>
      <c r="N262">
        <v>-28.0166</v>
      </c>
      <c r="O262">
        <v>-30.928100000000001</v>
      </c>
      <c r="P262">
        <v>1816.4266</v>
      </c>
      <c r="Q262">
        <v>1659.8733999999999</v>
      </c>
    </row>
    <row r="263" spans="1:17" x14ac:dyDescent="0.3">
      <c r="A263" s="1">
        <v>44770</v>
      </c>
      <c r="B263">
        <v>1750.3</v>
      </c>
      <c r="C263">
        <v>1755</v>
      </c>
      <c r="D263">
        <v>1732</v>
      </c>
      <c r="E263">
        <v>1732.3</v>
      </c>
      <c r="F263">
        <v>37236</v>
      </c>
      <c r="G263">
        <v>1714.8286000000001</v>
      </c>
      <c r="H263">
        <v>1765.26</v>
      </c>
      <c r="I263">
        <v>1847.5367000000001</v>
      </c>
      <c r="J263">
        <v>0.76780000000000004</v>
      </c>
      <c r="K263">
        <v>0.93200000000000005</v>
      </c>
      <c r="L263">
        <v>0.85460000000000003</v>
      </c>
      <c r="M263">
        <v>47.806399999999996</v>
      </c>
      <c r="N263">
        <v>-25.1982</v>
      </c>
      <c r="O263">
        <v>-29.7822</v>
      </c>
      <c r="P263">
        <v>1802.4367999999999</v>
      </c>
      <c r="Q263">
        <v>1665.2632000000001</v>
      </c>
    </row>
    <row r="264" spans="1:17" x14ac:dyDescent="0.3">
      <c r="A264" s="1">
        <v>44771</v>
      </c>
      <c r="B264">
        <v>1762.9</v>
      </c>
      <c r="C264">
        <v>1765.7</v>
      </c>
      <c r="D264">
        <v>1750</v>
      </c>
      <c r="E264">
        <v>1754</v>
      </c>
      <c r="F264">
        <v>3485</v>
      </c>
      <c r="G264">
        <v>1721.5286000000001</v>
      </c>
      <c r="H264">
        <v>1763.2566999999999</v>
      </c>
      <c r="I264">
        <v>1845.6322</v>
      </c>
      <c r="J264">
        <v>1.2526999999999999</v>
      </c>
      <c r="K264">
        <v>0.98440000000000005</v>
      </c>
      <c r="L264">
        <v>0.88880000000000003</v>
      </c>
      <c r="M264">
        <v>57.248800000000003</v>
      </c>
      <c r="N264">
        <v>-20.971800000000002</v>
      </c>
      <c r="O264">
        <v>-28.020099999999999</v>
      </c>
      <c r="P264">
        <v>1790.6441</v>
      </c>
      <c r="Q264">
        <v>1671.4958999999999</v>
      </c>
    </row>
    <row r="265" spans="1:17" x14ac:dyDescent="0.3">
      <c r="A265" s="1">
        <v>44774</v>
      </c>
      <c r="B265">
        <v>1769</v>
      </c>
      <c r="C265">
        <v>1772.5</v>
      </c>
      <c r="D265">
        <v>1756.1</v>
      </c>
      <c r="E265">
        <v>1763.9</v>
      </c>
      <c r="F265">
        <v>705</v>
      </c>
      <c r="G265">
        <v>1732.5143</v>
      </c>
      <c r="H265">
        <v>1761.4132999999999</v>
      </c>
      <c r="I265">
        <v>1843.89</v>
      </c>
      <c r="J265">
        <v>0.56440000000000001</v>
      </c>
      <c r="K265">
        <v>0.70089999999999997</v>
      </c>
      <c r="L265">
        <v>0.89459999999999995</v>
      </c>
      <c r="M265">
        <v>59.488799999999998</v>
      </c>
      <c r="N265">
        <v>-16.631799999999998</v>
      </c>
      <c r="O265">
        <v>-25.7424</v>
      </c>
      <c r="P265">
        <v>1783.2628999999999</v>
      </c>
      <c r="Q265">
        <v>1675.7171000000001</v>
      </c>
    </row>
    <row r="266" spans="1:17" x14ac:dyDescent="0.3">
      <c r="A266" s="1">
        <v>44775</v>
      </c>
      <c r="B266">
        <v>1771.1</v>
      </c>
      <c r="C266">
        <v>1786.6</v>
      </c>
      <c r="D266">
        <v>1759.4</v>
      </c>
      <c r="E266">
        <v>1772.1</v>
      </c>
      <c r="F266">
        <v>1078</v>
      </c>
      <c r="G266">
        <v>1740.9142999999999</v>
      </c>
      <c r="H266">
        <v>1758.6932999999999</v>
      </c>
      <c r="I266">
        <v>1842.0622000000001</v>
      </c>
      <c r="J266">
        <v>0.46489999999999998</v>
      </c>
      <c r="K266">
        <v>0.57220000000000004</v>
      </c>
      <c r="L266">
        <v>0.81950000000000001</v>
      </c>
      <c r="M266">
        <v>72.099599999999995</v>
      </c>
      <c r="N266">
        <v>-12.3878</v>
      </c>
      <c r="O266">
        <v>-23.0715</v>
      </c>
      <c r="P266">
        <v>1773.0905</v>
      </c>
      <c r="Q266">
        <v>1682.5595000000001</v>
      </c>
    </row>
    <row r="267" spans="1:17" x14ac:dyDescent="0.3">
      <c r="A267" s="1">
        <v>44776</v>
      </c>
      <c r="B267">
        <v>1758</v>
      </c>
      <c r="C267">
        <v>1770.5</v>
      </c>
      <c r="D267">
        <v>1753</v>
      </c>
      <c r="E267">
        <v>1756.7</v>
      </c>
      <c r="F267">
        <v>399</v>
      </c>
      <c r="G267">
        <v>1745.1570999999999</v>
      </c>
      <c r="H267">
        <v>1756.0733</v>
      </c>
      <c r="I267">
        <v>1839.7633000000001</v>
      </c>
      <c r="J267">
        <v>-0.86899999999999999</v>
      </c>
      <c r="K267">
        <v>0.74160000000000004</v>
      </c>
      <c r="L267">
        <v>0.81540000000000001</v>
      </c>
      <c r="M267">
        <v>64.91</v>
      </c>
      <c r="N267">
        <v>-10.1501</v>
      </c>
      <c r="O267">
        <v>-20.487200000000001</v>
      </c>
      <c r="P267">
        <v>1771.9311</v>
      </c>
      <c r="Q267">
        <v>1683.1388999999999</v>
      </c>
    </row>
    <row r="268" spans="1:17" x14ac:dyDescent="0.3">
      <c r="A268" s="1">
        <v>44777</v>
      </c>
      <c r="B268">
        <v>1788.5</v>
      </c>
      <c r="C268">
        <v>1792.1</v>
      </c>
      <c r="D268">
        <v>1767.7</v>
      </c>
      <c r="E268">
        <v>1769.4</v>
      </c>
      <c r="F268">
        <v>285</v>
      </c>
      <c r="G268">
        <v>1752.5</v>
      </c>
      <c r="H268">
        <v>1754.07</v>
      </c>
      <c r="I268">
        <v>1837.7144000000001</v>
      </c>
      <c r="J268">
        <v>0.72299999999999998</v>
      </c>
      <c r="K268">
        <v>0.67300000000000004</v>
      </c>
      <c r="L268">
        <v>0.82969999999999999</v>
      </c>
      <c r="M268">
        <v>69.583799999999997</v>
      </c>
      <c r="N268">
        <v>-7.2680999999999996</v>
      </c>
      <c r="O268">
        <v>-17.843399999999999</v>
      </c>
      <c r="P268">
        <v>1776.37</v>
      </c>
      <c r="Q268">
        <v>1681.1201000000001</v>
      </c>
    </row>
    <row r="269" spans="1:17" x14ac:dyDescent="0.3">
      <c r="A269" s="1">
        <v>44778</v>
      </c>
      <c r="B269">
        <v>1772.9</v>
      </c>
      <c r="C269">
        <v>1791.4</v>
      </c>
      <c r="D269">
        <v>1764.2</v>
      </c>
      <c r="E269">
        <v>1791.2</v>
      </c>
      <c r="F269">
        <v>645</v>
      </c>
      <c r="G269">
        <v>1762.8</v>
      </c>
      <c r="H269">
        <v>1752.5933</v>
      </c>
      <c r="I269">
        <v>1836.1433</v>
      </c>
      <c r="J269">
        <v>1.2321</v>
      </c>
      <c r="K269">
        <v>0.71250000000000002</v>
      </c>
      <c r="L269">
        <v>0.8619</v>
      </c>
      <c r="M269">
        <v>72.141199999999998</v>
      </c>
      <c r="N269">
        <v>-3.1882999999999999</v>
      </c>
      <c r="O269">
        <v>-14.9124</v>
      </c>
      <c r="P269">
        <v>1786.5472</v>
      </c>
      <c r="Q269">
        <v>1676.2528</v>
      </c>
    </row>
    <row r="270" spans="1:17" x14ac:dyDescent="0.3">
      <c r="A270" s="1">
        <v>44781</v>
      </c>
      <c r="B270">
        <v>1786.8</v>
      </c>
      <c r="C270">
        <v>1786.8</v>
      </c>
      <c r="D270">
        <v>1771.8</v>
      </c>
      <c r="E270">
        <v>1771.8</v>
      </c>
      <c r="F270">
        <v>127</v>
      </c>
      <c r="G270">
        <v>1768.4429</v>
      </c>
      <c r="H270">
        <v>1750.97</v>
      </c>
      <c r="I270">
        <v>1834.7910999999999</v>
      </c>
      <c r="J270">
        <v>-1.0831</v>
      </c>
      <c r="K270">
        <v>0.94220000000000004</v>
      </c>
      <c r="L270">
        <v>0.87109999999999999</v>
      </c>
      <c r="M270">
        <v>65.048100000000005</v>
      </c>
      <c r="N270">
        <v>-1.5031000000000001</v>
      </c>
      <c r="O270">
        <v>-12.230499999999999</v>
      </c>
      <c r="P270">
        <v>1791.4022</v>
      </c>
      <c r="Q270">
        <v>1675.3278</v>
      </c>
    </row>
    <row r="271" spans="1:17" x14ac:dyDescent="0.3">
      <c r="A271" s="1">
        <v>44782</v>
      </c>
      <c r="B271">
        <v>1794</v>
      </c>
      <c r="C271">
        <v>1796.1</v>
      </c>
      <c r="D271">
        <v>1789</v>
      </c>
      <c r="E271">
        <v>1790</v>
      </c>
      <c r="F271">
        <v>249</v>
      </c>
      <c r="G271">
        <v>1773.5857000000001</v>
      </c>
      <c r="H271">
        <v>1749.62</v>
      </c>
      <c r="I271">
        <v>1833.3643999999999</v>
      </c>
      <c r="J271">
        <v>1.0271999999999999</v>
      </c>
      <c r="K271">
        <v>0.90859999999999996</v>
      </c>
      <c r="L271">
        <v>0.88729999999999998</v>
      </c>
      <c r="M271">
        <v>69.672499999999999</v>
      </c>
      <c r="N271">
        <v>1.2862</v>
      </c>
      <c r="O271">
        <v>-9.5272000000000006</v>
      </c>
      <c r="P271">
        <v>1799.4848</v>
      </c>
      <c r="Q271">
        <v>1672.8252</v>
      </c>
    </row>
    <row r="272" spans="1:17" x14ac:dyDescent="0.3">
      <c r="A272" s="1">
        <v>44783</v>
      </c>
      <c r="B272">
        <v>1795.6</v>
      </c>
      <c r="C272">
        <v>1804.9</v>
      </c>
      <c r="D272">
        <v>1787.8</v>
      </c>
      <c r="E272">
        <v>1804.4</v>
      </c>
      <c r="F272">
        <v>601</v>
      </c>
      <c r="G272">
        <v>1779.3714</v>
      </c>
      <c r="H272">
        <v>1748.96</v>
      </c>
      <c r="I272">
        <v>1831.93</v>
      </c>
      <c r="J272">
        <v>0.80449999999999999</v>
      </c>
      <c r="K272">
        <v>0.92479999999999996</v>
      </c>
      <c r="L272">
        <v>0.89980000000000004</v>
      </c>
      <c r="M272">
        <v>78.634200000000007</v>
      </c>
      <c r="N272">
        <v>4.6055999999999999</v>
      </c>
      <c r="O272">
        <v>-6.7005999999999997</v>
      </c>
      <c r="P272">
        <v>1809.8195000000001</v>
      </c>
      <c r="Q272">
        <v>1671.9304999999999</v>
      </c>
    </row>
    <row r="273" spans="1:17" x14ac:dyDescent="0.3">
      <c r="A273" s="1">
        <v>44784</v>
      </c>
      <c r="B273">
        <v>1789.7</v>
      </c>
      <c r="C273">
        <v>1794.3</v>
      </c>
      <c r="D273">
        <v>1785.7</v>
      </c>
      <c r="E273">
        <v>1794.3</v>
      </c>
      <c r="F273">
        <v>1235</v>
      </c>
      <c r="G273">
        <v>1782.5428999999999</v>
      </c>
      <c r="H273">
        <v>1748.16</v>
      </c>
      <c r="I273">
        <v>1830.3667</v>
      </c>
      <c r="J273">
        <v>-0.55969999999999998</v>
      </c>
      <c r="K273">
        <v>0.97909999999999997</v>
      </c>
      <c r="L273">
        <v>0.90349999999999997</v>
      </c>
      <c r="M273">
        <v>71.451300000000003</v>
      </c>
      <c r="N273">
        <v>6.3480999999999996</v>
      </c>
      <c r="O273">
        <v>-4.0909000000000004</v>
      </c>
      <c r="P273">
        <v>1816.3712</v>
      </c>
      <c r="Q273">
        <v>1673.7788</v>
      </c>
    </row>
    <row r="274" spans="1:17" x14ac:dyDescent="0.3">
      <c r="A274" s="1">
        <v>44785</v>
      </c>
      <c r="B274">
        <v>1798.6</v>
      </c>
      <c r="C274">
        <v>1800.4</v>
      </c>
      <c r="D274">
        <v>1784.3</v>
      </c>
      <c r="E274">
        <v>1786.3</v>
      </c>
      <c r="F274">
        <v>187</v>
      </c>
      <c r="G274">
        <v>1786.7714000000001</v>
      </c>
      <c r="H274">
        <v>1747.3833</v>
      </c>
      <c r="I274">
        <v>1828.8678</v>
      </c>
      <c r="J274">
        <v>-0.44590000000000002</v>
      </c>
      <c r="K274">
        <v>0.9143</v>
      </c>
      <c r="L274">
        <v>0.90290000000000004</v>
      </c>
      <c r="M274">
        <v>66.193399999999997</v>
      </c>
      <c r="N274">
        <v>7.0027999999999997</v>
      </c>
      <c r="O274">
        <v>-1.8721000000000001</v>
      </c>
      <c r="P274">
        <v>1820.1176</v>
      </c>
      <c r="Q274">
        <v>1678.1224</v>
      </c>
    </row>
    <row r="275" spans="1:17" x14ac:dyDescent="0.3">
      <c r="A275" s="1">
        <v>44788</v>
      </c>
      <c r="B275">
        <v>1781.4</v>
      </c>
      <c r="C275">
        <v>1799</v>
      </c>
      <c r="D275">
        <v>1774.7</v>
      </c>
      <c r="E275">
        <v>1799</v>
      </c>
      <c r="F275">
        <v>64</v>
      </c>
      <c r="G275">
        <v>1791</v>
      </c>
      <c r="H275">
        <v>1747.5</v>
      </c>
      <c r="I275">
        <v>1827.4444000000001</v>
      </c>
      <c r="J275">
        <v>0.71099999999999997</v>
      </c>
      <c r="K275">
        <v>0.9133</v>
      </c>
      <c r="L275">
        <v>0.90180000000000005</v>
      </c>
      <c r="M275">
        <v>71.680999999999997</v>
      </c>
      <c r="N275">
        <v>8.4489999999999998</v>
      </c>
      <c r="O275">
        <v>0.19209999999999999</v>
      </c>
      <c r="P275">
        <v>1825.5583999999999</v>
      </c>
      <c r="Q275">
        <v>1681.3616</v>
      </c>
    </row>
    <row r="276" spans="1:17" x14ac:dyDescent="0.3">
      <c r="A276" s="1">
        <v>44789</v>
      </c>
      <c r="B276">
        <v>1773.2</v>
      </c>
      <c r="C276">
        <v>1777.4</v>
      </c>
      <c r="D276">
        <v>1771.4</v>
      </c>
      <c r="E276">
        <v>1777.4</v>
      </c>
      <c r="F276">
        <v>308</v>
      </c>
      <c r="G276">
        <v>1789.0286000000001</v>
      </c>
      <c r="H276">
        <v>1746.5667000000001</v>
      </c>
      <c r="I276">
        <v>1825.8967</v>
      </c>
      <c r="J276">
        <v>-1.2007000000000001</v>
      </c>
      <c r="K276">
        <v>0.93579999999999997</v>
      </c>
      <c r="L276">
        <v>0.92210000000000003</v>
      </c>
      <c r="M276">
        <v>64.061800000000005</v>
      </c>
      <c r="N276">
        <v>7.7626999999999997</v>
      </c>
      <c r="O276">
        <v>1.7061999999999999</v>
      </c>
      <c r="P276">
        <v>1826.8404</v>
      </c>
      <c r="Q276">
        <v>1686.5897</v>
      </c>
    </row>
    <row r="277" spans="1:17" x14ac:dyDescent="0.3">
      <c r="A277" s="1">
        <v>44790</v>
      </c>
      <c r="B277">
        <v>1760.3</v>
      </c>
      <c r="C277">
        <v>1769.7</v>
      </c>
      <c r="D277">
        <v>1760</v>
      </c>
      <c r="E277">
        <v>1769.7</v>
      </c>
      <c r="F277">
        <v>23</v>
      </c>
      <c r="G277">
        <v>1788.7285999999999</v>
      </c>
      <c r="H277">
        <v>1746.8067000000001</v>
      </c>
      <c r="I277">
        <v>1824.2321999999999</v>
      </c>
      <c r="J277">
        <v>-0.43319999999999997</v>
      </c>
      <c r="K277">
        <v>0.85129999999999995</v>
      </c>
      <c r="L277">
        <v>0.81489999999999996</v>
      </c>
      <c r="M277">
        <v>59.266599999999997</v>
      </c>
      <c r="N277">
        <v>6.5223000000000004</v>
      </c>
      <c r="O277">
        <v>2.6695000000000002</v>
      </c>
      <c r="P277">
        <v>1826.1289999999999</v>
      </c>
      <c r="Q277">
        <v>1693.5609999999999</v>
      </c>
    </row>
    <row r="278" spans="1:17" x14ac:dyDescent="0.3">
      <c r="A278" s="1">
        <v>44791</v>
      </c>
      <c r="B278">
        <v>1755.3</v>
      </c>
      <c r="C278">
        <v>1762.9</v>
      </c>
      <c r="D278">
        <v>1753.4</v>
      </c>
      <c r="E278">
        <v>1762.9</v>
      </c>
      <c r="F278">
        <v>321</v>
      </c>
      <c r="G278">
        <v>1784.8571999999999</v>
      </c>
      <c r="H278">
        <v>1747.3967</v>
      </c>
      <c r="I278">
        <v>1822.3888999999999</v>
      </c>
      <c r="J278">
        <v>-0.38419999999999999</v>
      </c>
      <c r="K278">
        <v>0.72070000000000001</v>
      </c>
      <c r="L278">
        <v>0.79679999999999995</v>
      </c>
      <c r="M278">
        <v>52.381</v>
      </c>
      <c r="N278">
        <v>4.9337</v>
      </c>
      <c r="O278">
        <v>3.1223000000000001</v>
      </c>
      <c r="P278">
        <v>1820.3652999999999</v>
      </c>
      <c r="Q278">
        <v>1706.9147</v>
      </c>
    </row>
    <row r="279" spans="1:17" x14ac:dyDescent="0.3">
      <c r="A279" s="1">
        <v>44792</v>
      </c>
      <c r="B279">
        <v>1747.6</v>
      </c>
      <c r="C279">
        <v>1754.3</v>
      </c>
      <c r="D279">
        <v>1747.5</v>
      </c>
      <c r="E279">
        <v>1753.7</v>
      </c>
      <c r="F279">
        <v>49</v>
      </c>
      <c r="G279">
        <v>1777.6143</v>
      </c>
      <c r="H279">
        <v>1747.9167</v>
      </c>
      <c r="I279">
        <v>1820.2456</v>
      </c>
      <c r="J279">
        <v>-0.52190000000000003</v>
      </c>
      <c r="K279">
        <v>0.5655</v>
      </c>
      <c r="L279">
        <v>0.79930000000000001</v>
      </c>
      <c r="M279">
        <v>47.261000000000003</v>
      </c>
      <c r="N279">
        <v>2.899</v>
      </c>
      <c r="O279">
        <v>3.0775999999999999</v>
      </c>
      <c r="P279">
        <v>1817.5047999999999</v>
      </c>
      <c r="Q279">
        <v>1713.8152</v>
      </c>
    </row>
    <row r="280" spans="1:17" x14ac:dyDescent="0.3">
      <c r="A280" s="1">
        <v>44795</v>
      </c>
      <c r="B280">
        <v>1734</v>
      </c>
      <c r="C280">
        <v>1740.5</v>
      </c>
      <c r="D280">
        <v>1726.5</v>
      </c>
      <c r="E280">
        <v>1740.5</v>
      </c>
      <c r="F280">
        <v>347</v>
      </c>
      <c r="G280">
        <v>1769.9286</v>
      </c>
      <c r="H280">
        <v>1748.1832999999999</v>
      </c>
      <c r="I280">
        <v>1817.89</v>
      </c>
      <c r="J280">
        <v>-0.75270000000000004</v>
      </c>
      <c r="K280">
        <v>0.57889999999999997</v>
      </c>
      <c r="L280">
        <v>0.80959999999999999</v>
      </c>
      <c r="M280">
        <v>41.736400000000003</v>
      </c>
      <c r="N280">
        <v>0.21879999999999999</v>
      </c>
      <c r="O280">
        <v>2.5059</v>
      </c>
      <c r="P280">
        <v>1816.3807999999999</v>
      </c>
      <c r="Q280">
        <v>1716.2891999999999</v>
      </c>
    </row>
    <row r="281" spans="1:17" x14ac:dyDescent="0.3">
      <c r="A281" s="1">
        <v>44796</v>
      </c>
      <c r="B281">
        <v>1746.8</v>
      </c>
      <c r="C281">
        <v>1748.9</v>
      </c>
      <c r="D281">
        <v>1731.9</v>
      </c>
      <c r="E281">
        <v>1738</v>
      </c>
      <c r="F281">
        <v>509</v>
      </c>
      <c r="G281">
        <v>1763.0286000000001</v>
      </c>
      <c r="H281">
        <v>1748.31</v>
      </c>
      <c r="I281">
        <v>1815.3178</v>
      </c>
      <c r="J281">
        <v>-0.14360000000000001</v>
      </c>
      <c r="K281">
        <v>0.58889999999999998</v>
      </c>
      <c r="L281">
        <v>0.81</v>
      </c>
      <c r="M281">
        <v>44.756</v>
      </c>
      <c r="N281">
        <v>-2.0830000000000002</v>
      </c>
      <c r="O281">
        <v>1.5881000000000001</v>
      </c>
      <c r="P281">
        <v>1813.9992</v>
      </c>
      <c r="Q281">
        <v>1720.6708000000001</v>
      </c>
    </row>
    <row r="282" spans="1:17" x14ac:dyDescent="0.3">
      <c r="A282" s="1">
        <v>44797</v>
      </c>
      <c r="B282">
        <v>1747.8</v>
      </c>
      <c r="C282">
        <v>1751.8</v>
      </c>
      <c r="D282">
        <v>1743.6</v>
      </c>
      <c r="E282">
        <v>1745</v>
      </c>
      <c r="F282">
        <v>187</v>
      </c>
      <c r="G282">
        <v>1755.3143</v>
      </c>
      <c r="H282">
        <v>1749.4766999999999</v>
      </c>
      <c r="I282">
        <v>1812.7378000000001</v>
      </c>
      <c r="J282">
        <v>0.40279999999999999</v>
      </c>
      <c r="K282">
        <v>0.49730000000000002</v>
      </c>
      <c r="L282">
        <v>0.76780000000000004</v>
      </c>
      <c r="M282">
        <v>42.931600000000003</v>
      </c>
      <c r="N282">
        <v>-3.3043</v>
      </c>
      <c r="O282">
        <v>0.60960000000000003</v>
      </c>
      <c r="P282">
        <v>1810.8875</v>
      </c>
      <c r="Q282">
        <v>1726.3724999999999</v>
      </c>
    </row>
    <row r="283" spans="1:17" x14ac:dyDescent="0.3">
      <c r="A283" s="1">
        <v>44798</v>
      </c>
      <c r="B283">
        <v>1757.7</v>
      </c>
      <c r="C283">
        <v>1761.8</v>
      </c>
      <c r="D283">
        <v>1755</v>
      </c>
      <c r="E283">
        <v>1761.6</v>
      </c>
      <c r="F283">
        <v>172</v>
      </c>
      <c r="G283">
        <v>1753.0571</v>
      </c>
      <c r="H283">
        <v>1751.1867</v>
      </c>
      <c r="I283">
        <v>1810.3843999999999</v>
      </c>
      <c r="J283">
        <v>0.95130000000000003</v>
      </c>
      <c r="K283">
        <v>0.59870000000000001</v>
      </c>
      <c r="L283">
        <v>0.78439999999999999</v>
      </c>
      <c r="M283">
        <v>41.158900000000003</v>
      </c>
      <c r="N283">
        <v>-2.8993000000000002</v>
      </c>
      <c r="O283">
        <v>-9.2200000000000004E-2</v>
      </c>
      <c r="P283">
        <v>1808.9434000000001</v>
      </c>
      <c r="Q283">
        <v>1731.2465999999999</v>
      </c>
    </row>
    <row r="284" spans="1:17" x14ac:dyDescent="0.3">
      <c r="A284" s="1">
        <v>44799</v>
      </c>
      <c r="B284">
        <v>1736.1</v>
      </c>
      <c r="C284">
        <v>1755</v>
      </c>
      <c r="D284">
        <v>1736.1</v>
      </c>
      <c r="E284">
        <v>1754</v>
      </c>
      <c r="F284">
        <v>202</v>
      </c>
      <c r="G284">
        <v>1750.8143</v>
      </c>
      <c r="H284">
        <v>1752.8067000000001</v>
      </c>
      <c r="I284">
        <v>1807.9422</v>
      </c>
      <c r="J284">
        <v>-0.43140000000000001</v>
      </c>
      <c r="K284">
        <v>0.59860000000000002</v>
      </c>
      <c r="L284">
        <v>0.7873</v>
      </c>
      <c r="M284">
        <v>44.280200000000001</v>
      </c>
      <c r="N284">
        <v>-3.1551</v>
      </c>
      <c r="O284">
        <v>-0.70479999999999998</v>
      </c>
      <c r="P284">
        <v>1808.9434000000001</v>
      </c>
      <c r="Q284">
        <v>1731.2465999999999</v>
      </c>
    </row>
    <row r="285" spans="1:17" x14ac:dyDescent="0.3">
      <c r="A285" s="1">
        <v>44802</v>
      </c>
      <c r="B285">
        <v>1736.6</v>
      </c>
      <c r="C285">
        <v>1741.2</v>
      </c>
      <c r="D285">
        <v>1732.1</v>
      </c>
      <c r="E285">
        <v>1732.4</v>
      </c>
      <c r="F285">
        <v>950</v>
      </c>
      <c r="G285">
        <v>1746.4571000000001</v>
      </c>
      <c r="H285">
        <v>1753.48</v>
      </c>
      <c r="I285">
        <v>1805.5744</v>
      </c>
      <c r="J285">
        <v>-1.2315</v>
      </c>
      <c r="K285">
        <v>0.73070000000000002</v>
      </c>
      <c r="L285">
        <v>0.82120000000000004</v>
      </c>
      <c r="M285">
        <v>31.886800000000001</v>
      </c>
      <c r="N285">
        <v>-5.0427</v>
      </c>
      <c r="O285">
        <v>-1.5724</v>
      </c>
      <c r="P285">
        <v>1810.8261</v>
      </c>
      <c r="Q285">
        <v>1726.2139</v>
      </c>
    </row>
    <row r="286" spans="1:17" x14ac:dyDescent="0.3">
      <c r="A286" s="1">
        <v>44803</v>
      </c>
      <c r="B286">
        <v>1723.2</v>
      </c>
      <c r="C286">
        <v>1739</v>
      </c>
      <c r="D286">
        <v>1720.7</v>
      </c>
      <c r="E286">
        <v>1736.4</v>
      </c>
      <c r="F286">
        <v>385</v>
      </c>
      <c r="G286">
        <v>1743.9857</v>
      </c>
      <c r="H286">
        <v>1754.2833000000001</v>
      </c>
      <c r="I286">
        <v>1803.2844</v>
      </c>
      <c r="J286">
        <v>0.23089999999999999</v>
      </c>
      <c r="K286">
        <v>0.73880000000000001</v>
      </c>
      <c r="L286">
        <v>0.82189999999999996</v>
      </c>
      <c r="M286">
        <v>27.119800000000001</v>
      </c>
      <c r="N286">
        <v>-6.1451000000000002</v>
      </c>
      <c r="O286">
        <v>-2.4868999999999999</v>
      </c>
      <c r="P286">
        <v>1811.3543999999999</v>
      </c>
      <c r="Q286">
        <v>1722.1156000000001</v>
      </c>
    </row>
    <row r="287" spans="1:17" x14ac:dyDescent="0.3">
      <c r="A287" s="1">
        <v>44804</v>
      </c>
      <c r="B287">
        <v>1712.8</v>
      </c>
      <c r="C287">
        <v>1720.9</v>
      </c>
      <c r="D287">
        <v>1708.5</v>
      </c>
      <c r="E287">
        <v>1718.3</v>
      </c>
      <c r="F287">
        <v>2133</v>
      </c>
      <c r="G287">
        <v>1740.8143</v>
      </c>
      <c r="H287">
        <v>1754.6567</v>
      </c>
      <c r="I287">
        <v>1800.7144000000001</v>
      </c>
      <c r="J287">
        <v>-1.0424</v>
      </c>
      <c r="K287">
        <v>0.78549999999999998</v>
      </c>
      <c r="L287">
        <v>0.84370000000000001</v>
      </c>
      <c r="M287">
        <v>25.734300000000001</v>
      </c>
      <c r="N287">
        <v>-8.3826000000000001</v>
      </c>
      <c r="O287">
        <v>-3.6659999999999999</v>
      </c>
      <c r="P287">
        <v>1814.2927999999999</v>
      </c>
      <c r="Q287">
        <v>1715.3371999999999</v>
      </c>
    </row>
    <row r="288" spans="1:17" x14ac:dyDescent="0.3">
      <c r="A288" s="1">
        <v>44805</v>
      </c>
      <c r="B288">
        <v>1696.6</v>
      </c>
      <c r="C288">
        <v>1707.9</v>
      </c>
      <c r="D288">
        <v>1693.9</v>
      </c>
      <c r="E288">
        <v>1707.9</v>
      </c>
      <c r="F288">
        <v>683</v>
      </c>
      <c r="G288">
        <v>1736.5143</v>
      </c>
      <c r="H288">
        <v>1755.3533</v>
      </c>
      <c r="I288">
        <v>1798.3022000000001</v>
      </c>
      <c r="J288">
        <v>-0.60529999999999995</v>
      </c>
      <c r="K288">
        <v>0.80110000000000003</v>
      </c>
      <c r="L288">
        <v>0.82169999999999999</v>
      </c>
      <c r="M288">
        <v>25.3459</v>
      </c>
      <c r="N288">
        <v>-10.8697</v>
      </c>
      <c r="O288">
        <v>-5.1067999999999998</v>
      </c>
      <c r="P288">
        <v>1817.2898</v>
      </c>
      <c r="Q288">
        <v>1706.1902</v>
      </c>
    </row>
    <row r="289" spans="1:17" x14ac:dyDescent="0.3">
      <c r="A289" s="1">
        <v>44806</v>
      </c>
      <c r="B289">
        <v>1709.8</v>
      </c>
      <c r="C289">
        <v>1715.7</v>
      </c>
      <c r="D289">
        <v>1703.1</v>
      </c>
      <c r="E289">
        <v>1703.4</v>
      </c>
      <c r="F289">
        <v>182</v>
      </c>
      <c r="G289">
        <v>1730.5714</v>
      </c>
      <c r="H289">
        <v>1755.0233000000001</v>
      </c>
      <c r="I289">
        <v>1796.1122</v>
      </c>
      <c r="J289">
        <v>-0.26350000000000001</v>
      </c>
      <c r="K289">
        <v>0.749</v>
      </c>
      <c r="L289">
        <v>0.77170000000000005</v>
      </c>
      <c r="M289">
        <v>18.302399999999999</v>
      </c>
      <c r="N289">
        <v>-13.0534</v>
      </c>
      <c r="O289">
        <v>-6.6961000000000004</v>
      </c>
      <c r="P289">
        <v>1816.8349000000001</v>
      </c>
      <c r="Q289">
        <v>1697.8651</v>
      </c>
    </row>
    <row r="290" spans="1:17" x14ac:dyDescent="0.3">
      <c r="A290" s="1">
        <v>44810</v>
      </c>
      <c r="B290">
        <v>1700.4</v>
      </c>
      <c r="C290">
        <v>1717.4</v>
      </c>
      <c r="D290">
        <v>1699.7</v>
      </c>
      <c r="E290">
        <v>1709.7</v>
      </c>
      <c r="F290">
        <v>697</v>
      </c>
      <c r="G290">
        <v>1723.1572000000001</v>
      </c>
      <c r="H290">
        <v>1754.4467</v>
      </c>
      <c r="I290">
        <v>1794.0222000000001</v>
      </c>
      <c r="J290">
        <v>0.36980000000000002</v>
      </c>
      <c r="K290">
        <v>0.59889999999999999</v>
      </c>
      <c r="L290">
        <v>0.75990000000000002</v>
      </c>
      <c r="M290">
        <v>25.0184</v>
      </c>
      <c r="N290">
        <v>-14.113</v>
      </c>
      <c r="O290">
        <v>-8.1795000000000009</v>
      </c>
      <c r="P290">
        <v>1816.95</v>
      </c>
      <c r="Q290">
        <v>1691.5400999999999</v>
      </c>
    </row>
    <row r="291" spans="1:17" x14ac:dyDescent="0.3">
      <c r="A291" s="1">
        <v>44811</v>
      </c>
      <c r="B291">
        <v>1715.3</v>
      </c>
      <c r="C291">
        <v>1715.3</v>
      </c>
      <c r="D291">
        <v>1694.7</v>
      </c>
      <c r="E291">
        <v>1694.8</v>
      </c>
      <c r="F291">
        <v>651</v>
      </c>
      <c r="G291">
        <v>1714.7</v>
      </c>
      <c r="H291">
        <v>1753.6732999999999</v>
      </c>
      <c r="I291">
        <v>1791.9222</v>
      </c>
      <c r="J291">
        <v>-0.87150000000000005</v>
      </c>
      <c r="K291">
        <v>0.62239999999999995</v>
      </c>
      <c r="L291">
        <v>0.77039999999999997</v>
      </c>
      <c r="M291">
        <v>23.7561</v>
      </c>
      <c r="N291">
        <v>-15.9709</v>
      </c>
      <c r="O291">
        <v>-9.7377000000000002</v>
      </c>
      <c r="P291">
        <v>1815.1455000000001</v>
      </c>
      <c r="Q291">
        <v>1683.8244999999999</v>
      </c>
    </row>
    <row r="292" spans="1:17" x14ac:dyDescent="0.3">
      <c r="A292" s="1">
        <v>44812</v>
      </c>
      <c r="B292">
        <v>1708</v>
      </c>
      <c r="C292">
        <v>1718.2</v>
      </c>
      <c r="D292">
        <v>1705.3</v>
      </c>
      <c r="E292">
        <v>1718.2</v>
      </c>
      <c r="F292">
        <v>1193</v>
      </c>
      <c r="G292">
        <v>1712.6713999999999</v>
      </c>
      <c r="H292">
        <v>1753.6433</v>
      </c>
      <c r="I292">
        <v>1789.8722</v>
      </c>
      <c r="J292">
        <v>1.3807</v>
      </c>
      <c r="K292">
        <v>0.84519999999999995</v>
      </c>
      <c r="L292">
        <v>0.81299999999999994</v>
      </c>
      <c r="M292">
        <v>35.969799999999999</v>
      </c>
      <c r="N292">
        <v>-15.377800000000001</v>
      </c>
      <c r="O292">
        <v>-10.8658</v>
      </c>
      <c r="P292">
        <v>1806.8538000000001</v>
      </c>
      <c r="Q292">
        <v>1683.4962</v>
      </c>
    </row>
    <row r="293" spans="1:17" x14ac:dyDescent="0.3">
      <c r="A293" s="1">
        <v>44813</v>
      </c>
      <c r="B293">
        <v>1716.2</v>
      </c>
      <c r="C293">
        <v>1720</v>
      </c>
      <c r="D293">
        <v>1712.8</v>
      </c>
      <c r="E293">
        <v>1719.2</v>
      </c>
      <c r="F293">
        <v>635</v>
      </c>
      <c r="G293">
        <v>1710.2143000000001</v>
      </c>
      <c r="H293">
        <v>1753.2067</v>
      </c>
      <c r="I293">
        <v>1787.9</v>
      </c>
      <c r="J293">
        <v>5.8200000000000002E-2</v>
      </c>
      <c r="K293">
        <v>0.83589999999999998</v>
      </c>
      <c r="L293">
        <v>0.80010000000000003</v>
      </c>
      <c r="M293">
        <v>38.5837</v>
      </c>
      <c r="N293">
        <v>-14.658200000000001</v>
      </c>
      <c r="O293">
        <v>-11.6243</v>
      </c>
      <c r="P293">
        <v>1799.5482</v>
      </c>
      <c r="Q293">
        <v>1683.2918</v>
      </c>
    </row>
    <row r="294" spans="1:17" x14ac:dyDescent="0.3">
      <c r="A294" s="1">
        <v>44816</v>
      </c>
      <c r="B294">
        <v>1728.1</v>
      </c>
      <c r="C294">
        <v>1728.1</v>
      </c>
      <c r="D294">
        <v>1727.4</v>
      </c>
      <c r="E294">
        <v>1727.4</v>
      </c>
      <c r="F294">
        <v>68</v>
      </c>
      <c r="G294">
        <v>1711.5143</v>
      </c>
      <c r="H294">
        <v>1752.32</v>
      </c>
      <c r="I294">
        <v>1786.3289</v>
      </c>
      <c r="J294">
        <v>0.47699999999999998</v>
      </c>
      <c r="K294">
        <v>0.75570000000000004</v>
      </c>
      <c r="L294">
        <v>0.76939999999999997</v>
      </c>
      <c r="M294">
        <v>45.516800000000003</v>
      </c>
      <c r="N294">
        <v>-13.273199999999999</v>
      </c>
      <c r="O294">
        <v>-11.954000000000001</v>
      </c>
      <c r="P294">
        <v>1792.8782000000001</v>
      </c>
      <c r="Q294">
        <v>1684.0717999999999</v>
      </c>
    </row>
    <row r="295" spans="1:17" x14ac:dyDescent="0.3">
      <c r="A295" s="1">
        <v>44817</v>
      </c>
      <c r="B295">
        <v>1705</v>
      </c>
      <c r="C295">
        <v>1720.5</v>
      </c>
      <c r="D295">
        <v>1697.3</v>
      </c>
      <c r="E295">
        <v>1720.5</v>
      </c>
      <c r="F295">
        <v>432</v>
      </c>
      <c r="G295">
        <v>1713.3143</v>
      </c>
      <c r="H295">
        <v>1750.8733</v>
      </c>
      <c r="I295">
        <v>1784.7011</v>
      </c>
      <c r="J295">
        <v>-0.39939999999999998</v>
      </c>
      <c r="K295">
        <v>0.72819999999999996</v>
      </c>
      <c r="L295">
        <v>0.7631</v>
      </c>
      <c r="M295">
        <v>44.186</v>
      </c>
      <c r="N295">
        <v>-12.587199999999999</v>
      </c>
      <c r="O295">
        <v>-12.0807</v>
      </c>
      <c r="P295">
        <v>1781.365</v>
      </c>
      <c r="Q295">
        <v>1687.7349999999999</v>
      </c>
    </row>
    <row r="296" spans="1:17" x14ac:dyDescent="0.3">
      <c r="A296" s="1">
        <v>44818</v>
      </c>
      <c r="B296">
        <v>1696.5</v>
      </c>
      <c r="C296">
        <v>1701.8</v>
      </c>
      <c r="D296">
        <v>1696.5</v>
      </c>
      <c r="E296">
        <v>1698.7</v>
      </c>
      <c r="F296">
        <v>532</v>
      </c>
      <c r="G296">
        <v>1712.6428000000001</v>
      </c>
      <c r="H296">
        <v>1748.4267</v>
      </c>
      <c r="I296">
        <v>1782.4978000000001</v>
      </c>
      <c r="J296">
        <v>-1.2670999999999999</v>
      </c>
      <c r="K296">
        <v>0.89339999999999997</v>
      </c>
      <c r="L296">
        <v>0.78559999999999997</v>
      </c>
      <c r="M296">
        <v>35.995100000000001</v>
      </c>
      <c r="N296">
        <v>-13.6454</v>
      </c>
      <c r="O296">
        <v>-12.393599999999999</v>
      </c>
      <c r="P296">
        <v>1775.4531999999999</v>
      </c>
      <c r="Q296">
        <v>1685.7768000000001</v>
      </c>
    </row>
    <row r="297" spans="1:17" x14ac:dyDescent="0.3">
      <c r="A297" s="1">
        <v>44819</v>
      </c>
      <c r="B297">
        <v>1665.4</v>
      </c>
      <c r="C297">
        <v>1686</v>
      </c>
      <c r="D297">
        <v>1662.3</v>
      </c>
      <c r="E297">
        <v>1685.5</v>
      </c>
      <c r="F297">
        <v>1125</v>
      </c>
      <c r="G297">
        <v>1709.1857</v>
      </c>
      <c r="H297">
        <v>1746.0533</v>
      </c>
      <c r="I297">
        <v>1780.3956000000001</v>
      </c>
      <c r="J297">
        <v>-0.77710000000000001</v>
      </c>
      <c r="K297">
        <v>0.91159999999999997</v>
      </c>
      <c r="L297">
        <v>0.78280000000000005</v>
      </c>
      <c r="M297">
        <v>26.497800000000002</v>
      </c>
      <c r="N297">
        <v>-15.3719</v>
      </c>
      <c r="O297">
        <v>-12.9893</v>
      </c>
      <c r="P297">
        <v>1771.6016</v>
      </c>
      <c r="Q297">
        <v>1681.2084</v>
      </c>
    </row>
    <row r="298" spans="1:17" x14ac:dyDescent="0.3">
      <c r="A298" s="1">
        <v>44820</v>
      </c>
      <c r="B298">
        <v>1671.7</v>
      </c>
      <c r="C298">
        <v>1674.9</v>
      </c>
      <c r="D298">
        <v>1651.7</v>
      </c>
      <c r="E298">
        <v>1660.4</v>
      </c>
      <c r="F298">
        <v>464</v>
      </c>
      <c r="G298">
        <v>1704.2714000000001</v>
      </c>
      <c r="H298">
        <v>1742.42</v>
      </c>
      <c r="I298">
        <v>1778.1043999999999</v>
      </c>
      <c r="J298">
        <v>-1.4892000000000001</v>
      </c>
      <c r="K298">
        <v>1.0118</v>
      </c>
      <c r="L298">
        <v>0.80320000000000003</v>
      </c>
      <c r="M298">
        <v>23.913</v>
      </c>
      <c r="N298">
        <v>-18.5517</v>
      </c>
      <c r="O298">
        <v>-14.101800000000001</v>
      </c>
      <c r="P298">
        <v>1771.9646</v>
      </c>
      <c r="Q298">
        <v>1670.5953999999999</v>
      </c>
    </row>
    <row r="299" spans="1:17" x14ac:dyDescent="0.3">
      <c r="A299" s="1">
        <v>44823</v>
      </c>
      <c r="B299">
        <v>1666.2</v>
      </c>
      <c r="C299">
        <v>1669.4</v>
      </c>
      <c r="D299">
        <v>1658.5</v>
      </c>
      <c r="E299">
        <v>1661.8</v>
      </c>
      <c r="F299">
        <v>580</v>
      </c>
      <c r="G299">
        <v>1696.2143000000001</v>
      </c>
      <c r="H299">
        <v>1738.1067</v>
      </c>
      <c r="I299">
        <v>1776.1256000000001</v>
      </c>
      <c r="J299">
        <v>8.43E-2</v>
      </c>
      <c r="K299">
        <v>0.73670000000000002</v>
      </c>
      <c r="L299">
        <v>0.75829999999999997</v>
      </c>
      <c r="M299">
        <v>27.826599999999999</v>
      </c>
      <c r="N299">
        <v>-20.719899999999999</v>
      </c>
      <c r="O299">
        <v>-15.4254</v>
      </c>
      <c r="P299">
        <v>1771.4898000000001</v>
      </c>
      <c r="Q299">
        <v>1661.8802000000001</v>
      </c>
    </row>
    <row r="300" spans="1:17" x14ac:dyDescent="0.3">
      <c r="A300" s="1">
        <v>44824</v>
      </c>
      <c r="B300">
        <v>1659.7</v>
      </c>
      <c r="C300">
        <v>1659.7</v>
      </c>
      <c r="D300">
        <v>1659.7</v>
      </c>
      <c r="E300">
        <v>1659.7</v>
      </c>
      <c r="F300">
        <v>2830</v>
      </c>
      <c r="G300">
        <v>1687.7143000000001</v>
      </c>
      <c r="H300">
        <v>1734.37</v>
      </c>
      <c r="I300">
        <v>1774.1056000000001</v>
      </c>
      <c r="J300">
        <v>-0.12640000000000001</v>
      </c>
      <c r="K300">
        <v>0.71750000000000003</v>
      </c>
      <c r="L300">
        <v>0.74180000000000001</v>
      </c>
      <c r="M300">
        <v>25.619800000000001</v>
      </c>
      <c r="N300">
        <v>-22.35</v>
      </c>
      <c r="O300">
        <v>-16.810300000000002</v>
      </c>
      <c r="P300">
        <v>1771.7981</v>
      </c>
      <c r="Q300">
        <v>1653.4919</v>
      </c>
    </row>
    <row r="301" spans="1:17" x14ac:dyDescent="0.3">
      <c r="A301" s="1">
        <v>44825</v>
      </c>
      <c r="B301">
        <v>1664.6</v>
      </c>
      <c r="C301">
        <v>1680.1</v>
      </c>
      <c r="D301">
        <v>1664.6</v>
      </c>
      <c r="E301">
        <v>1665.5</v>
      </c>
      <c r="F301">
        <v>2337</v>
      </c>
      <c r="G301">
        <v>1678.8714</v>
      </c>
      <c r="H301">
        <v>1730.22</v>
      </c>
      <c r="I301">
        <v>1772.0578</v>
      </c>
      <c r="J301">
        <v>0.34949999999999998</v>
      </c>
      <c r="K301">
        <v>0.68969999999999998</v>
      </c>
      <c r="L301">
        <v>0.71240000000000003</v>
      </c>
      <c r="M301">
        <v>31.793099999999999</v>
      </c>
      <c r="N301">
        <v>-22.909800000000001</v>
      </c>
      <c r="O301">
        <v>-18.030200000000001</v>
      </c>
      <c r="P301">
        <v>1770.472</v>
      </c>
      <c r="Q301">
        <v>1647.568</v>
      </c>
    </row>
    <row r="302" spans="1:17" x14ac:dyDescent="0.3">
      <c r="A302" s="1">
        <v>44826</v>
      </c>
      <c r="B302">
        <v>1670.8</v>
      </c>
      <c r="C302">
        <v>1670.8</v>
      </c>
      <c r="D302">
        <v>1668.3</v>
      </c>
      <c r="E302">
        <v>1668.3</v>
      </c>
      <c r="F302">
        <v>973</v>
      </c>
      <c r="G302">
        <v>1671.4142999999999</v>
      </c>
      <c r="H302">
        <v>1725.6832999999999</v>
      </c>
      <c r="I302">
        <v>1770.3167000000001</v>
      </c>
      <c r="J302">
        <v>0.1681</v>
      </c>
      <c r="K302">
        <v>0.73760000000000003</v>
      </c>
      <c r="L302">
        <v>0.68940000000000001</v>
      </c>
      <c r="M302">
        <v>35.589500000000001</v>
      </c>
      <c r="N302">
        <v>-22.864000000000001</v>
      </c>
      <c r="O302">
        <v>-18.997</v>
      </c>
      <c r="P302">
        <v>1766.7556999999999</v>
      </c>
      <c r="Q302">
        <v>1643.6143</v>
      </c>
    </row>
    <row r="303" spans="1:17" x14ac:dyDescent="0.3">
      <c r="A303" s="1">
        <v>44827</v>
      </c>
      <c r="B303">
        <v>1645.3</v>
      </c>
      <c r="C303">
        <v>1667</v>
      </c>
      <c r="D303">
        <v>1645.3</v>
      </c>
      <c r="E303">
        <v>1667</v>
      </c>
      <c r="F303">
        <v>1224</v>
      </c>
      <c r="G303">
        <v>1666.8857</v>
      </c>
      <c r="H303">
        <v>1721.44</v>
      </c>
      <c r="I303">
        <v>1768.9444000000001</v>
      </c>
      <c r="J303">
        <v>-7.7899999999999997E-2</v>
      </c>
      <c r="K303">
        <v>0.64580000000000004</v>
      </c>
      <c r="L303">
        <v>0.68779999999999997</v>
      </c>
      <c r="M303">
        <v>36.438200000000002</v>
      </c>
      <c r="N303">
        <v>-22.671199999999999</v>
      </c>
      <c r="O303">
        <v>-19.7318</v>
      </c>
      <c r="P303">
        <v>1758.1931</v>
      </c>
      <c r="Q303">
        <v>1642.7168999999999</v>
      </c>
    </row>
    <row r="304" spans="1:17" x14ac:dyDescent="0.3">
      <c r="A304" s="1">
        <v>44830</v>
      </c>
      <c r="B304">
        <v>1623.3</v>
      </c>
      <c r="C304">
        <v>1623.3</v>
      </c>
      <c r="D304">
        <v>1623.3</v>
      </c>
      <c r="E304">
        <v>1623.3</v>
      </c>
      <c r="F304">
        <v>1205</v>
      </c>
      <c r="G304">
        <v>1658</v>
      </c>
      <c r="H304">
        <v>1716.0066999999999</v>
      </c>
      <c r="I304">
        <v>1766.7044000000001</v>
      </c>
      <c r="J304">
        <v>-2.6215000000000002</v>
      </c>
      <c r="K304">
        <v>1.103</v>
      </c>
      <c r="L304">
        <v>0.81320000000000003</v>
      </c>
      <c r="M304">
        <v>24.825199999999999</v>
      </c>
      <c r="N304">
        <v>-25.747800000000002</v>
      </c>
      <c r="O304">
        <v>-20.934999999999999</v>
      </c>
      <c r="P304">
        <v>1755.5926999999999</v>
      </c>
      <c r="Q304">
        <v>1632.2473</v>
      </c>
    </row>
    <row r="305" spans="1:17" x14ac:dyDescent="0.3">
      <c r="A305" s="1">
        <v>44831</v>
      </c>
      <c r="B305">
        <v>1626.7</v>
      </c>
      <c r="C305">
        <v>1636.6</v>
      </c>
      <c r="D305">
        <v>1626.7</v>
      </c>
      <c r="E305">
        <v>1632.2</v>
      </c>
      <c r="F305">
        <v>888</v>
      </c>
      <c r="G305">
        <v>1653.9713999999999</v>
      </c>
      <c r="H305">
        <v>1710.4467</v>
      </c>
      <c r="I305">
        <v>1764.6732999999999</v>
      </c>
      <c r="J305">
        <v>0.54830000000000001</v>
      </c>
      <c r="K305">
        <v>1.0763</v>
      </c>
      <c r="L305">
        <v>0.80659999999999998</v>
      </c>
      <c r="M305">
        <v>31.099</v>
      </c>
      <c r="N305">
        <v>-27.154900000000001</v>
      </c>
      <c r="O305">
        <v>-22.178999999999998</v>
      </c>
      <c r="P305">
        <v>1753.6253999999999</v>
      </c>
      <c r="Q305">
        <v>1624.1946</v>
      </c>
    </row>
    <row r="306" spans="1:17" x14ac:dyDescent="0.3">
      <c r="A306" s="1">
        <v>44832</v>
      </c>
      <c r="B306">
        <v>1660.4</v>
      </c>
      <c r="C306">
        <v>1660.4</v>
      </c>
      <c r="D306">
        <v>1620.4</v>
      </c>
      <c r="E306">
        <v>1620.4</v>
      </c>
      <c r="F306">
        <v>18311</v>
      </c>
      <c r="G306">
        <v>1648.0571</v>
      </c>
      <c r="H306">
        <v>1705.2132999999999</v>
      </c>
      <c r="I306">
        <v>1762.5567000000001</v>
      </c>
      <c r="J306">
        <v>-0.72289999999999999</v>
      </c>
      <c r="K306">
        <v>1.0790999999999999</v>
      </c>
      <c r="L306">
        <v>0.79330000000000001</v>
      </c>
      <c r="M306">
        <v>18.2468</v>
      </c>
      <c r="N306">
        <v>-28.889099999999999</v>
      </c>
      <c r="O306">
        <v>-23.521000000000001</v>
      </c>
      <c r="P306">
        <v>1750.636</v>
      </c>
      <c r="Q306">
        <v>1615.5840000000001</v>
      </c>
    </row>
    <row r="307" spans="1:17" x14ac:dyDescent="0.3">
      <c r="A307" s="1">
        <v>44833</v>
      </c>
      <c r="B307">
        <v>1658.5</v>
      </c>
      <c r="C307">
        <v>1662.6</v>
      </c>
      <c r="D307">
        <v>1640</v>
      </c>
      <c r="E307">
        <v>1657</v>
      </c>
      <c r="F307">
        <v>6028</v>
      </c>
      <c r="G307">
        <v>1647.6713999999999</v>
      </c>
      <c r="H307">
        <v>1701.4567</v>
      </c>
      <c r="I307">
        <v>1760.5333000000001</v>
      </c>
      <c r="J307">
        <v>2.2587000000000002</v>
      </c>
      <c r="K307">
        <v>1.4693000000000001</v>
      </c>
      <c r="L307">
        <v>0.92030000000000001</v>
      </c>
      <c r="M307">
        <v>33.597099999999998</v>
      </c>
      <c r="N307">
        <v>-26.998999999999999</v>
      </c>
      <c r="O307">
        <v>-24.2166</v>
      </c>
      <c r="P307">
        <v>1746.4003</v>
      </c>
      <c r="Q307">
        <v>1613.6896999999999</v>
      </c>
    </row>
    <row r="308" spans="1:17" x14ac:dyDescent="0.3">
      <c r="A308" s="1">
        <v>44834</v>
      </c>
      <c r="B308">
        <v>1662.4</v>
      </c>
      <c r="C308">
        <v>1672.7</v>
      </c>
      <c r="D308">
        <v>1658</v>
      </c>
      <c r="E308">
        <v>1661.7</v>
      </c>
      <c r="F308">
        <v>548</v>
      </c>
      <c r="G308">
        <v>1647.1286</v>
      </c>
      <c r="H308">
        <v>1698.0833</v>
      </c>
      <c r="I308">
        <v>1758.4821999999999</v>
      </c>
      <c r="J308">
        <v>0.28360000000000002</v>
      </c>
      <c r="K308">
        <v>1.4666999999999999</v>
      </c>
      <c r="L308">
        <v>0.92420000000000002</v>
      </c>
      <c r="M308">
        <v>32.348199999999999</v>
      </c>
      <c r="N308">
        <v>-24.8355</v>
      </c>
      <c r="O308">
        <v>-24.340399999999999</v>
      </c>
      <c r="P308">
        <v>1743.2183</v>
      </c>
      <c r="Q308">
        <v>1612.2517</v>
      </c>
    </row>
    <row r="309" spans="1:17" x14ac:dyDescent="0.3">
      <c r="A309" s="1">
        <v>44837</v>
      </c>
      <c r="B309">
        <v>1692.9</v>
      </c>
      <c r="C309">
        <v>1700</v>
      </c>
      <c r="D309">
        <v>1661.9</v>
      </c>
      <c r="E309">
        <v>1667.2</v>
      </c>
      <c r="F309">
        <v>410</v>
      </c>
      <c r="G309">
        <v>1646.9713999999999</v>
      </c>
      <c r="H309">
        <v>1695.2</v>
      </c>
      <c r="I309">
        <v>1756.4232999999999</v>
      </c>
      <c r="J309">
        <v>0.33100000000000002</v>
      </c>
      <c r="K309">
        <v>1.4716</v>
      </c>
      <c r="L309">
        <v>0.92679999999999996</v>
      </c>
      <c r="M309">
        <v>35.571199999999997</v>
      </c>
      <c r="N309">
        <v>-22.418700000000001</v>
      </c>
      <c r="O309">
        <v>-23.956099999999999</v>
      </c>
      <c r="P309">
        <v>1740.415</v>
      </c>
      <c r="Q309">
        <v>1611.4349999999999</v>
      </c>
    </row>
    <row r="310" spans="1:17" x14ac:dyDescent="0.3">
      <c r="A310" s="1">
        <v>44838</v>
      </c>
      <c r="B310">
        <v>1721.1</v>
      </c>
      <c r="C310">
        <v>1728</v>
      </c>
      <c r="D310">
        <v>1696</v>
      </c>
      <c r="E310">
        <v>1701.2</v>
      </c>
      <c r="F310">
        <v>291</v>
      </c>
      <c r="G310">
        <v>1651.8570999999999</v>
      </c>
      <c r="H310">
        <v>1693.89</v>
      </c>
      <c r="I310">
        <v>1754.8122000000001</v>
      </c>
      <c r="J310">
        <v>2.0392999999999999</v>
      </c>
      <c r="K310">
        <v>1.6586000000000001</v>
      </c>
      <c r="L310">
        <v>1.0026999999999999</v>
      </c>
      <c r="M310">
        <v>50.634799999999998</v>
      </c>
      <c r="N310">
        <v>-17.557500000000001</v>
      </c>
      <c r="O310">
        <v>-22.676400000000001</v>
      </c>
      <c r="P310">
        <v>1739.1595</v>
      </c>
      <c r="Q310">
        <v>1611.8405</v>
      </c>
    </row>
    <row r="311" spans="1:17" x14ac:dyDescent="0.3">
      <c r="A311" s="1">
        <v>44839</v>
      </c>
      <c r="B311">
        <v>1711.4</v>
      </c>
      <c r="C311">
        <v>1726.6</v>
      </c>
      <c r="D311">
        <v>1703</v>
      </c>
      <c r="E311">
        <v>1724.1</v>
      </c>
      <c r="F311">
        <v>418</v>
      </c>
      <c r="G311">
        <v>1666.2571</v>
      </c>
      <c r="H311">
        <v>1693.4267</v>
      </c>
      <c r="I311">
        <v>1753.52</v>
      </c>
      <c r="J311">
        <v>1.3461000000000001</v>
      </c>
      <c r="K311">
        <v>1.0644</v>
      </c>
      <c r="L311">
        <v>1.0354000000000001</v>
      </c>
      <c r="M311">
        <v>59.341700000000003</v>
      </c>
      <c r="N311">
        <v>-11.722</v>
      </c>
      <c r="O311">
        <v>-20.485499999999998</v>
      </c>
      <c r="P311">
        <v>1743.7656999999999</v>
      </c>
      <c r="Q311">
        <v>1610.1642999999999</v>
      </c>
    </row>
    <row r="312" spans="1:17" x14ac:dyDescent="0.3">
      <c r="A312" s="1">
        <v>44840</v>
      </c>
      <c r="B312">
        <v>1711.7</v>
      </c>
      <c r="C312">
        <v>1723.3</v>
      </c>
      <c r="D312">
        <v>1709.1</v>
      </c>
      <c r="E312">
        <v>1721</v>
      </c>
      <c r="F312">
        <v>133</v>
      </c>
      <c r="G312">
        <v>1678.9428</v>
      </c>
      <c r="H312">
        <v>1692.6267</v>
      </c>
      <c r="I312">
        <v>1752.1056000000001</v>
      </c>
      <c r="J312">
        <v>-0.17979999999999999</v>
      </c>
      <c r="K312">
        <v>1.1343000000000001</v>
      </c>
      <c r="L312">
        <v>1.0326</v>
      </c>
      <c r="M312">
        <v>66.413899999999998</v>
      </c>
      <c r="N312">
        <v>-7.2637</v>
      </c>
      <c r="O312">
        <v>-17.841100000000001</v>
      </c>
      <c r="P312">
        <v>1744.2802999999999</v>
      </c>
      <c r="Q312">
        <v>1609.9296999999999</v>
      </c>
    </row>
    <row r="313" spans="1:17" x14ac:dyDescent="0.3">
      <c r="A313" s="1">
        <v>44841</v>
      </c>
      <c r="B313">
        <v>1700.5</v>
      </c>
      <c r="C313">
        <v>1710.1</v>
      </c>
      <c r="D313">
        <v>1693.7</v>
      </c>
      <c r="E313">
        <v>1710.1</v>
      </c>
      <c r="F313">
        <v>179</v>
      </c>
      <c r="G313">
        <v>1691.7571</v>
      </c>
      <c r="H313">
        <v>1690.91</v>
      </c>
      <c r="I313">
        <v>1750.5478000000001</v>
      </c>
      <c r="J313">
        <v>-0.63339999999999996</v>
      </c>
      <c r="K313">
        <v>1.115</v>
      </c>
      <c r="L313">
        <v>1.0206</v>
      </c>
      <c r="M313">
        <v>62.442</v>
      </c>
      <c r="N313">
        <v>-4.5575000000000001</v>
      </c>
      <c r="O313">
        <v>-15.1844</v>
      </c>
      <c r="P313">
        <v>1742.7392</v>
      </c>
      <c r="Q313">
        <v>1610.5607</v>
      </c>
    </row>
    <row r="314" spans="1:17" x14ac:dyDescent="0.3">
      <c r="A314" s="1">
        <v>44844</v>
      </c>
      <c r="B314">
        <v>1667.3</v>
      </c>
      <c r="C314">
        <v>1693.4</v>
      </c>
      <c r="D314">
        <v>1667</v>
      </c>
      <c r="E314">
        <v>1693.4</v>
      </c>
      <c r="F314">
        <v>195</v>
      </c>
      <c r="G314">
        <v>1696.9571000000001</v>
      </c>
      <c r="H314">
        <v>1688.89</v>
      </c>
      <c r="I314">
        <v>1749.0189</v>
      </c>
      <c r="J314">
        <v>-0.97650000000000003</v>
      </c>
      <c r="K314">
        <v>1.0685</v>
      </c>
      <c r="L314">
        <v>1.0316000000000001</v>
      </c>
      <c r="M314">
        <v>58.073799999999999</v>
      </c>
      <c r="N314">
        <v>-3.7174</v>
      </c>
      <c r="O314">
        <v>-12.891</v>
      </c>
      <c r="P314">
        <v>1737.1791000000001</v>
      </c>
      <c r="Q314">
        <v>1612.7209</v>
      </c>
    </row>
    <row r="315" spans="1:17" x14ac:dyDescent="0.3">
      <c r="A315" s="1">
        <v>44845</v>
      </c>
      <c r="B315">
        <v>1678.7</v>
      </c>
      <c r="C315">
        <v>1678.7</v>
      </c>
      <c r="D315">
        <v>1661</v>
      </c>
      <c r="E315">
        <v>1661.8</v>
      </c>
      <c r="F315">
        <v>167</v>
      </c>
      <c r="G315">
        <v>1696.9713999999999</v>
      </c>
      <c r="H315">
        <v>1686.5367000000001</v>
      </c>
      <c r="I315">
        <v>1746.9789000000001</v>
      </c>
      <c r="J315">
        <v>-1.8661000000000001</v>
      </c>
      <c r="K315">
        <v>1.3509</v>
      </c>
      <c r="L315">
        <v>1.0613999999999999</v>
      </c>
      <c r="M315">
        <v>49.211100000000002</v>
      </c>
      <c r="N315">
        <v>-5.5377999999999998</v>
      </c>
      <c r="O315">
        <v>-11.420400000000001</v>
      </c>
      <c r="P315">
        <v>1730.6306999999999</v>
      </c>
      <c r="Q315">
        <v>1613.3993</v>
      </c>
    </row>
    <row r="316" spans="1:17" x14ac:dyDescent="0.3">
      <c r="A316" s="1">
        <v>44846</v>
      </c>
      <c r="B316">
        <v>1670.3</v>
      </c>
      <c r="C316">
        <v>1672.7</v>
      </c>
      <c r="D316">
        <v>1668</v>
      </c>
      <c r="E316">
        <v>1668</v>
      </c>
      <c r="F316">
        <v>149</v>
      </c>
      <c r="G316">
        <v>1697.0857000000001</v>
      </c>
      <c r="H316">
        <v>1684.2566999999999</v>
      </c>
      <c r="I316">
        <v>1744.7610999999999</v>
      </c>
      <c r="J316">
        <v>0.37309999999999999</v>
      </c>
      <c r="K316">
        <v>1.3526</v>
      </c>
      <c r="L316">
        <v>1.0633999999999999</v>
      </c>
      <c r="M316">
        <v>49.936900000000001</v>
      </c>
      <c r="N316">
        <v>-6.4062000000000001</v>
      </c>
      <c r="O316">
        <v>-10.4175</v>
      </c>
      <c r="P316">
        <v>1727.7456999999999</v>
      </c>
      <c r="Q316">
        <v>1613.2143000000001</v>
      </c>
    </row>
    <row r="317" spans="1:17" x14ac:dyDescent="0.3">
      <c r="A317" s="1">
        <v>44847</v>
      </c>
      <c r="B317">
        <v>1670</v>
      </c>
      <c r="C317">
        <v>1675.3</v>
      </c>
      <c r="D317">
        <v>1641.5</v>
      </c>
      <c r="E317">
        <v>1675.2</v>
      </c>
      <c r="F317">
        <v>729</v>
      </c>
      <c r="G317">
        <v>1693.3714</v>
      </c>
      <c r="H317">
        <v>1682.82</v>
      </c>
      <c r="I317">
        <v>1742.83</v>
      </c>
      <c r="J317">
        <v>0.43169999999999997</v>
      </c>
      <c r="K317">
        <v>1.0553999999999999</v>
      </c>
      <c r="L317">
        <v>1.0537000000000001</v>
      </c>
      <c r="M317">
        <v>51.681699999999999</v>
      </c>
      <c r="N317">
        <v>-6.4393000000000002</v>
      </c>
      <c r="O317">
        <v>-9.6219000000000001</v>
      </c>
      <c r="P317">
        <v>1726.8459</v>
      </c>
      <c r="Q317">
        <v>1613.0841</v>
      </c>
    </row>
    <row r="318" spans="1:17" x14ac:dyDescent="0.3">
      <c r="A318" s="1">
        <v>44848</v>
      </c>
      <c r="B318">
        <v>1641.7</v>
      </c>
      <c r="C318">
        <v>1667</v>
      </c>
      <c r="D318">
        <v>1640</v>
      </c>
      <c r="E318">
        <v>1665.3</v>
      </c>
      <c r="F318">
        <v>82</v>
      </c>
      <c r="G318">
        <v>1684.9713999999999</v>
      </c>
      <c r="H318">
        <v>1681.4</v>
      </c>
      <c r="I318">
        <v>1740.9232999999999</v>
      </c>
      <c r="J318">
        <v>-0.59099999999999997</v>
      </c>
      <c r="K318">
        <v>0.80120000000000002</v>
      </c>
      <c r="L318">
        <v>1.0535000000000001</v>
      </c>
      <c r="M318">
        <v>60</v>
      </c>
      <c r="N318">
        <v>-7.1816000000000004</v>
      </c>
      <c r="O318">
        <v>-9.1338000000000008</v>
      </c>
      <c r="P318">
        <v>1726.9594999999999</v>
      </c>
      <c r="Q318">
        <v>1613.4604999999999</v>
      </c>
    </row>
    <row r="319" spans="1:17" x14ac:dyDescent="0.3">
      <c r="A319" s="1">
        <v>44851</v>
      </c>
      <c r="B319">
        <v>1657</v>
      </c>
      <c r="C319">
        <v>1657</v>
      </c>
      <c r="D319">
        <v>1646.8</v>
      </c>
      <c r="E319">
        <v>1650.2</v>
      </c>
      <c r="F319">
        <v>238</v>
      </c>
      <c r="G319">
        <v>1674.8570999999999</v>
      </c>
      <c r="H319">
        <v>1679.6267</v>
      </c>
      <c r="I319">
        <v>1738.7610999999999</v>
      </c>
      <c r="J319">
        <v>-0.90669999999999995</v>
      </c>
      <c r="K319">
        <v>0.80120000000000002</v>
      </c>
      <c r="L319">
        <v>1.0639000000000001</v>
      </c>
      <c r="M319">
        <v>54.162799999999997</v>
      </c>
      <c r="N319">
        <v>-8.8857999999999997</v>
      </c>
      <c r="O319">
        <v>-9.0841999999999992</v>
      </c>
      <c r="P319">
        <v>1726.9754</v>
      </c>
      <c r="Q319">
        <v>1612.2846</v>
      </c>
    </row>
    <row r="320" spans="1:17" x14ac:dyDescent="0.3">
      <c r="A320" s="1">
        <v>44852</v>
      </c>
      <c r="B320">
        <v>1649</v>
      </c>
      <c r="C320">
        <v>1655.2</v>
      </c>
      <c r="D320">
        <v>1649</v>
      </c>
      <c r="E320">
        <v>1651.4</v>
      </c>
      <c r="F320">
        <v>597</v>
      </c>
      <c r="G320">
        <v>1666.4713999999999</v>
      </c>
      <c r="H320">
        <v>1677.6832999999999</v>
      </c>
      <c r="I320">
        <v>1736.5978</v>
      </c>
      <c r="J320">
        <v>7.2700000000000001E-2</v>
      </c>
      <c r="K320">
        <v>0.83909999999999996</v>
      </c>
      <c r="L320">
        <v>1.0607</v>
      </c>
      <c r="M320">
        <v>57.538899999999998</v>
      </c>
      <c r="N320">
        <v>-10.024100000000001</v>
      </c>
      <c r="O320">
        <v>-9.2721999999999998</v>
      </c>
      <c r="P320">
        <v>1726.9815000000001</v>
      </c>
      <c r="Q320">
        <v>1611.4485</v>
      </c>
    </row>
    <row r="321" spans="1:17" x14ac:dyDescent="0.3">
      <c r="A321" s="1">
        <v>44853</v>
      </c>
      <c r="B321">
        <v>1627.5</v>
      </c>
      <c r="C321">
        <v>1637.5</v>
      </c>
      <c r="D321">
        <v>1627.5</v>
      </c>
      <c r="E321">
        <v>1637.5</v>
      </c>
      <c r="F321">
        <v>84</v>
      </c>
      <c r="G321">
        <v>1658.4857</v>
      </c>
      <c r="H321">
        <v>1675.7733000000001</v>
      </c>
      <c r="I321">
        <v>1734.3178</v>
      </c>
      <c r="J321">
        <v>-0.8417</v>
      </c>
      <c r="K321">
        <v>0.82769999999999999</v>
      </c>
      <c r="L321">
        <v>1.06</v>
      </c>
      <c r="M321">
        <v>44.669199999999996</v>
      </c>
      <c r="N321">
        <v>-11.910500000000001</v>
      </c>
      <c r="O321">
        <v>-9.7998999999999992</v>
      </c>
      <c r="P321">
        <v>1727.2925</v>
      </c>
      <c r="Q321">
        <v>1608.3375000000001</v>
      </c>
    </row>
    <row r="322" spans="1:17" x14ac:dyDescent="0.3">
      <c r="A322" s="1">
        <v>44854</v>
      </c>
      <c r="B322">
        <v>1630.8</v>
      </c>
      <c r="C322">
        <v>1641.4</v>
      </c>
      <c r="D322">
        <v>1622.8</v>
      </c>
      <c r="E322">
        <v>1622.8</v>
      </c>
      <c r="F322">
        <v>477</v>
      </c>
      <c r="G322">
        <v>1652.9142999999999</v>
      </c>
      <c r="H322">
        <v>1672.5933</v>
      </c>
      <c r="I322">
        <v>1731.5289</v>
      </c>
      <c r="J322">
        <v>-0.89770000000000005</v>
      </c>
      <c r="K322">
        <v>0.60840000000000005</v>
      </c>
      <c r="L322">
        <v>1.0307999999999999</v>
      </c>
      <c r="M322">
        <v>39.917099999999998</v>
      </c>
      <c r="N322">
        <v>-14.4253</v>
      </c>
      <c r="O322">
        <v>-10.725</v>
      </c>
      <c r="P322">
        <v>1728.3279</v>
      </c>
      <c r="Q322">
        <v>1602.752</v>
      </c>
    </row>
    <row r="323" spans="1:17" x14ac:dyDescent="0.3">
      <c r="A323" s="1">
        <v>44855</v>
      </c>
      <c r="B323">
        <v>1651</v>
      </c>
      <c r="C323">
        <v>1653.9</v>
      </c>
      <c r="D323">
        <v>1634.1</v>
      </c>
      <c r="E323">
        <v>1634.1</v>
      </c>
      <c r="F323">
        <v>224</v>
      </c>
      <c r="G323">
        <v>1648.0714</v>
      </c>
      <c r="H323">
        <v>1669.7566999999999</v>
      </c>
      <c r="I323">
        <v>1729.4078</v>
      </c>
      <c r="J323">
        <v>0.69630000000000003</v>
      </c>
      <c r="K323">
        <v>0.6794</v>
      </c>
      <c r="L323">
        <v>1.0425</v>
      </c>
      <c r="M323">
        <v>41.670900000000003</v>
      </c>
      <c r="N323">
        <v>-15.3299</v>
      </c>
      <c r="O323">
        <v>-11.645899999999999</v>
      </c>
      <c r="P323">
        <v>1728.2267999999999</v>
      </c>
      <c r="Q323">
        <v>1599.5632000000001</v>
      </c>
    </row>
    <row r="324" spans="1:17" x14ac:dyDescent="0.3">
      <c r="A324" s="1">
        <v>44858</v>
      </c>
      <c r="B324">
        <v>1648.7</v>
      </c>
      <c r="C324">
        <v>1662.7</v>
      </c>
      <c r="D324">
        <v>1648.7</v>
      </c>
      <c r="E324">
        <v>1662.7</v>
      </c>
      <c r="F324">
        <v>29</v>
      </c>
      <c r="G324">
        <v>1646.2856999999999</v>
      </c>
      <c r="H324">
        <v>1667.6</v>
      </c>
      <c r="I324">
        <v>1727.7256</v>
      </c>
      <c r="J324">
        <v>1.7502</v>
      </c>
      <c r="K324">
        <v>1.0137</v>
      </c>
      <c r="L324">
        <v>1.0941000000000001</v>
      </c>
      <c r="M324">
        <v>40.041400000000003</v>
      </c>
      <c r="N324">
        <v>-13.5824</v>
      </c>
      <c r="O324">
        <v>-12.033200000000001</v>
      </c>
      <c r="P324">
        <v>1727.3109999999999</v>
      </c>
      <c r="Q324">
        <v>1604.4190000000001</v>
      </c>
    </row>
    <row r="325" spans="1:17" x14ac:dyDescent="0.3">
      <c r="A325" s="1">
        <v>44859</v>
      </c>
      <c r="B325">
        <v>1652.8</v>
      </c>
      <c r="C325">
        <v>1652.8</v>
      </c>
      <c r="D325">
        <v>1637.3</v>
      </c>
      <c r="E325">
        <v>1648.2</v>
      </c>
      <c r="F325">
        <v>880</v>
      </c>
      <c r="G325">
        <v>1643.8427999999999</v>
      </c>
      <c r="H325">
        <v>1665.19</v>
      </c>
      <c r="I325">
        <v>1725.8255999999999</v>
      </c>
      <c r="J325">
        <v>-0.87209999999999999</v>
      </c>
      <c r="K325">
        <v>1.0415000000000001</v>
      </c>
      <c r="L325">
        <v>1.1015999999999999</v>
      </c>
      <c r="M325">
        <v>29.4754</v>
      </c>
      <c r="N325">
        <v>-13.2151</v>
      </c>
      <c r="O325">
        <v>-12.269600000000001</v>
      </c>
      <c r="P325">
        <v>1726.6650999999999</v>
      </c>
      <c r="Q325">
        <v>1606.6649</v>
      </c>
    </row>
    <row r="326" spans="1:17" x14ac:dyDescent="0.3">
      <c r="A326" s="1">
        <v>44860</v>
      </c>
      <c r="B326">
        <v>1664</v>
      </c>
      <c r="C326">
        <v>1667</v>
      </c>
      <c r="D326">
        <v>1649.8</v>
      </c>
      <c r="E326">
        <v>1649.8</v>
      </c>
      <c r="F326">
        <v>89</v>
      </c>
      <c r="G326">
        <v>1643.7856999999999</v>
      </c>
      <c r="H326">
        <v>1663.56</v>
      </c>
      <c r="I326">
        <v>1723.56</v>
      </c>
      <c r="J326">
        <v>9.7100000000000006E-2</v>
      </c>
      <c r="K326">
        <v>0.98640000000000005</v>
      </c>
      <c r="L326">
        <v>1.0813999999999999</v>
      </c>
      <c r="M326">
        <v>30.588899999999999</v>
      </c>
      <c r="N326">
        <v>-12.6492</v>
      </c>
      <c r="O326">
        <v>-12.345499999999999</v>
      </c>
      <c r="P326">
        <v>1724.7050999999999</v>
      </c>
      <c r="Q326">
        <v>1611.5649000000001</v>
      </c>
    </row>
    <row r="327" spans="1:17" x14ac:dyDescent="0.3">
      <c r="A327" s="1">
        <v>44861</v>
      </c>
      <c r="B327">
        <v>1660.7</v>
      </c>
      <c r="C327">
        <v>1660.7</v>
      </c>
      <c r="D327">
        <v>1660.7</v>
      </c>
      <c r="E327">
        <v>1660.7</v>
      </c>
      <c r="F327">
        <v>2298</v>
      </c>
      <c r="G327">
        <v>1645.1143</v>
      </c>
      <c r="H327">
        <v>1662.7333000000001</v>
      </c>
      <c r="I327">
        <v>1721.62</v>
      </c>
      <c r="J327">
        <v>0.66069999999999995</v>
      </c>
      <c r="K327">
        <v>1.0181</v>
      </c>
      <c r="L327">
        <v>1.0818000000000001</v>
      </c>
      <c r="M327">
        <v>36.5321</v>
      </c>
      <c r="N327">
        <v>-11.1921</v>
      </c>
      <c r="O327">
        <v>-12.114800000000001</v>
      </c>
      <c r="P327">
        <v>1724.7608</v>
      </c>
      <c r="Q327">
        <v>1611.8792000000001</v>
      </c>
    </row>
    <row r="328" spans="1:17" x14ac:dyDescent="0.3">
      <c r="A328" s="1">
        <v>44862</v>
      </c>
      <c r="B328">
        <v>1639.6</v>
      </c>
      <c r="C328">
        <v>1661</v>
      </c>
      <c r="D328">
        <v>1638.7</v>
      </c>
      <c r="E328">
        <v>1661</v>
      </c>
      <c r="F328">
        <v>626</v>
      </c>
      <c r="G328">
        <v>1648.4713999999999</v>
      </c>
      <c r="H328">
        <v>1662.7533000000001</v>
      </c>
      <c r="I328">
        <v>1719.7478000000001</v>
      </c>
      <c r="J328">
        <v>1.8100000000000002E-2</v>
      </c>
      <c r="K328">
        <v>0.93620000000000003</v>
      </c>
      <c r="L328">
        <v>1.0468</v>
      </c>
      <c r="M328">
        <v>40.299399999999999</v>
      </c>
      <c r="N328">
        <v>-9.8991000000000007</v>
      </c>
      <c r="O328">
        <v>-11.6717</v>
      </c>
      <c r="P328">
        <v>1724.7438999999999</v>
      </c>
      <c r="Q328">
        <v>1611.8261</v>
      </c>
    </row>
    <row r="329" spans="1:17" x14ac:dyDescent="0.3">
      <c r="A329" s="1">
        <v>44865</v>
      </c>
      <c r="B329">
        <v>1635.9</v>
      </c>
      <c r="C329">
        <v>1641.8</v>
      </c>
      <c r="D329">
        <v>1633.4</v>
      </c>
      <c r="E329">
        <v>1641.8</v>
      </c>
      <c r="F329">
        <v>522</v>
      </c>
      <c r="G329">
        <v>1651.1857</v>
      </c>
      <c r="H329">
        <v>1662.0867000000001</v>
      </c>
      <c r="I329">
        <v>1717.5956000000001</v>
      </c>
      <c r="J329">
        <v>-1.1558999999999999</v>
      </c>
      <c r="K329">
        <v>0.99060000000000004</v>
      </c>
      <c r="L329">
        <v>1.0679000000000001</v>
      </c>
      <c r="M329">
        <v>43.531700000000001</v>
      </c>
      <c r="N329">
        <v>-10.3048</v>
      </c>
      <c r="O329">
        <v>-11.398300000000001</v>
      </c>
      <c r="P329">
        <v>1724.7059999999999</v>
      </c>
      <c r="Q329">
        <v>1609.3240000000001</v>
      </c>
    </row>
    <row r="330" spans="1:17" x14ac:dyDescent="0.3">
      <c r="A330" s="1">
        <v>44866</v>
      </c>
      <c r="B330">
        <v>1645</v>
      </c>
      <c r="C330">
        <v>1653.7</v>
      </c>
      <c r="D330">
        <v>1630.8</v>
      </c>
      <c r="E330">
        <v>1630.8</v>
      </c>
      <c r="F330">
        <v>985</v>
      </c>
      <c r="G330">
        <v>1650.7143000000001</v>
      </c>
      <c r="H330">
        <v>1661.1233</v>
      </c>
      <c r="I330">
        <v>1715.4878000000001</v>
      </c>
      <c r="J330">
        <v>-0.67</v>
      </c>
      <c r="K330">
        <v>1.0042</v>
      </c>
      <c r="L330">
        <v>1.0741000000000001</v>
      </c>
      <c r="M330">
        <v>38.331299999999999</v>
      </c>
      <c r="N330">
        <v>-11.3827</v>
      </c>
      <c r="O330">
        <v>-11.395200000000001</v>
      </c>
      <c r="P330">
        <v>1720.9943000000001</v>
      </c>
      <c r="Q330">
        <v>1605.9957999999999</v>
      </c>
    </row>
    <row r="331" spans="1:17" x14ac:dyDescent="0.3">
      <c r="A331" s="1">
        <v>44867</v>
      </c>
      <c r="B331">
        <v>1645.7</v>
      </c>
      <c r="C331">
        <v>1664.7</v>
      </c>
      <c r="D331">
        <v>1634</v>
      </c>
      <c r="E331">
        <v>1650.8</v>
      </c>
      <c r="F331">
        <v>612</v>
      </c>
      <c r="G331">
        <v>1649.0143</v>
      </c>
      <c r="H331">
        <v>1660.6333</v>
      </c>
      <c r="I331">
        <v>1713.4911</v>
      </c>
      <c r="J331">
        <v>1.2263999999999999</v>
      </c>
      <c r="K331">
        <v>0.8589</v>
      </c>
      <c r="L331">
        <v>1.0971</v>
      </c>
      <c r="M331">
        <v>42.915199999999999</v>
      </c>
      <c r="N331">
        <v>-10.5021</v>
      </c>
      <c r="O331">
        <v>-11.2166</v>
      </c>
      <c r="P331">
        <v>1709.9327000000001</v>
      </c>
      <c r="Q331">
        <v>1609.7273</v>
      </c>
    </row>
    <row r="332" spans="1:17" x14ac:dyDescent="0.3">
      <c r="A332" s="1">
        <v>44868</v>
      </c>
      <c r="B332">
        <v>1627.3</v>
      </c>
      <c r="C332">
        <v>1629.2</v>
      </c>
      <c r="D332">
        <v>1615.1</v>
      </c>
      <c r="E332">
        <v>1629.2</v>
      </c>
      <c r="F332">
        <v>1427</v>
      </c>
      <c r="G332">
        <v>1646.3</v>
      </c>
      <c r="H332">
        <v>1659.33</v>
      </c>
      <c r="I332">
        <v>1711.3244</v>
      </c>
      <c r="J332">
        <v>-1.3085</v>
      </c>
      <c r="K332">
        <v>0.93669999999999998</v>
      </c>
      <c r="L332">
        <v>1.1211</v>
      </c>
      <c r="M332">
        <v>40.184899999999999</v>
      </c>
      <c r="N332">
        <v>-11.4156</v>
      </c>
      <c r="O332">
        <v>-11.256399999999999</v>
      </c>
      <c r="P332">
        <v>1698.0343</v>
      </c>
      <c r="Q332">
        <v>1612.4458</v>
      </c>
    </row>
    <row r="333" spans="1:17" x14ac:dyDescent="0.3">
      <c r="A333" s="1">
        <v>44869</v>
      </c>
      <c r="B333">
        <v>1672.5</v>
      </c>
      <c r="C333">
        <v>1674.5</v>
      </c>
      <c r="D333">
        <v>1629</v>
      </c>
      <c r="E333">
        <v>1630.2</v>
      </c>
      <c r="F333">
        <v>159</v>
      </c>
      <c r="G333">
        <v>1643.5</v>
      </c>
      <c r="H333">
        <v>1658.1033</v>
      </c>
      <c r="I333">
        <v>1709.2344000000001</v>
      </c>
      <c r="J333">
        <v>6.1400000000000003E-2</v>
      </c>
      <c r="K333">
        <v>0.93510000000000004</v>
      </c>
      <c r="L333">
        <v>1.1213</v>
      </c>
      <c r="M333">
        <v>44.110700000000001</v>
      </c>
      <c r="N333">
        <v>-11.9214</v>
      </c>
      <c r="O333">
        <v>-11.3894</v>
      </c>
      <c r="P333">
        <v>1686.7773</v>
      </c>
      <c r="Q333">
        <v>1615.7127</v>
      </c>
    </row>
    <row r="334" spans="1:17" x14ac:dyDescent="0.3">
      <c r="A334" s="1">
        <v>44872</v>
      </c>
      <c r="B334">
        <v>1676.5</v>
      </c>
      <c r="C334">
        <v>1677.9</v>
      </c>
      <c r="D334">
        <v>1672.9</v>
      </c>
      <c r="E334">
        <v>1676.9</v>
      </c>
      <c r="F334">
        <v>42</v>
      </c>
      <c r="G334">
        <v>1645.8143</v>
      </c>
      <c r="H334">
        <v>1659.89</v>
      </c>
      <c r="I334">
        <v>1707.76</v>
      </c>
      <c r="J334">
        <v>2.8647</v>
      </c>
      <c r="K334">
        <v>1.4753000000000001</v>
      </c>
      <c r="L334">
        <v>1.1377999999999999</v>
      </c>
      <c r="M334">
        <v>55.921999999999997</v>
      </c>
      <c r="N334">
        <v>-8.4565000000000001</v>
      </c>
      <c r="O334">
        <v>-10.8028</v>
      </c>
      <c r="P334">
        <v>1682.422</v>
      </c>
      <c r="Q334">
        <v>1618.4179999999999</v>
      </c>
    </row>
    <row r="335" spans="1:17" x14ac:dyDescent="0.3">
      <c r="A335" s="1">
        <v>44873</v>
      </c>
      <c r="B335">
        <v>1712.1</v>
      </c>
      <c r="C335">
        <v>1712.1</v>
      </c>
      <c r="D335">
        <v>1703.2</v>
      </c>
      <c r="E335">
        <v>1703.2</v>
      </c>
      <c r="F335">
        <v>23</v>
      </c>
      <c r="G335">
        <v>1651.8429000000001</v>
      </c>
      <c r="H335">
        <v>1662.2566999999999</v>
      </c>
      <c r="I335">
        <v>1706.7344000000001</v>
      </c>
      <c r="J335">
        <v>1.5684</v>
      </c>
      <c r="K335">
        <v>1.5661</v>
      </c>
      <c r="L335">
        <v>1.1660999999999999</v>
      </c>
      <c r="M335">
        <v>64.426900000000003</v>
      </c>
      <c r="N335">
        <v>-3.5474000000000001</v>
      </c>
      <c r="O335">
        <v>-9.3516999999999992</v>
      </c>
      <c r="P335">
        <v>1692.0537999999999</v>
      </c>
      <c r="Q335">
        <v>1612.9262000000001</v>
      </c>
    </row>
    <row r="336" spans="1:17" x14ac:dyDescent="0.3">
      <c r="A336" s="1">
        <v>44874</v>
      </c>
      <c r="B336">
        <v>1710.1</v>
      </c>
      <c r="C336">
        <v>1720.2</v>
      </c>
      <c r="D336">
        <v>1706</v>
      </c>
      <c r="E336">
        <v>1707.4</v>
      </c>
      <c r="F336">
        <v>497</v>
      </c>
      <c r="G336">
        <v>1661.2143000000001</v>
      </c>
      <c r="H336">
        <v>1665.1567</v>
      </c>
      <c r="I336">
        <v>1705.6456000000001</v>
      </c>
      <c r="J336">
        <v>0.24660000000000001</v>
      </c>
      <c r="K336">
        <v>1.4214</v>
      </c>
      <c r="L336">
        <v>1.1545000000000001</v>
      </c>
      <c r="M336">
        <v>69.475099999999998</v>
      </c>
      <c r="N336">
        <v>0.67420000000000002</v>
      </c>
      <c r="O336">
        <v>-7.3464999999999998</v>
      </c>
      <c r="P336">
        <v>1700.6451</v>
      </c>
      <c r="Q336">
        <v>1608.2748999999999</v>
      </c>
    </row>
    <row r="337" spans="1:17" x14ac:dyDescent="0.3">
      <c r="A337" s="1">
        <v>44875</v>
      </c>
      <c r="B337">
        <v>1750.3</v>
      </c>
      <c r="C337">
        <v>1750.3</v>
      </c>
      <c r="D337">
        <v>1708.2</v>
      </c>
      <c r="E337">
        <v>1708.2</v>
      </c>
      <c r="F337">
        <v>325</v>
      </c>
      <c r="G337">
        <v>1672.2714000000001</v>
      </c>
      <c r="H337">
        <v>1666.8633</v>
      </c>
      <c r="I337">
        <v>1705.0422000000001</v>
      </c>
      <c r="J337">
        <v>4.6899999999999997E-2</v>
      </c>
      <c r="K337">
        <v>1.3407</v>
      </c>
      <c r="L337">
        <v>1.0858000000000001</v>
      </c>
      <c r="M337">
        <v>67.924499999999995</v>
      </c>
      <c r="N337">
        <v>4.0378999999999996</v>
      </c>
      <c r="O337">
        <v>-5.0697000000000001</v>
      </c>
      <c r="P337">
        <v>1707.4816000000001</v>
      </c>
      <c r="Q337">
        <v>1604.7384</v>
      </c>
    </row>
    <row r="338" spans="1:17" x14ac:dyDescent="0.3">
      <c r="A338" s="1">
        <v>44876</v>
      </c>
      <c r="B338">
        <v>1766</v>
      </c>
      <c r="C338">
        <v>1766</v>
      </c>
      <c r="D338">
        <v>1757.6</v>
      </c>
      <c r="E338">
        <v>1763.8</v>
      </c>
      <c r="F338">
        <v>257</v>
      </c>
      <c r="G338">
        <v>1688.4142999999999</v>
      </c>
      <c r="H338">
        <v>1670.2666999999999</v>
      </c>
      <c r="I338">
        <v>1705.2489</v>
      </c>
      <c r="J338">
        <v>3.2549000000000001</v>
      </c>
      <c r="K338">
        <v>1.6614</v>
      </c>
      <c r="L338">
        <v>1.2285999999999999</v>
      </c>
      <c r="M338">
        <v>71.630300000000005</v>
      </c>
      <c r="N338">
        <v>11.0625</v>
      </c>
      <c r="O338">
        <v>-1.8431999999999999</v>
      </c>
      <c r="P338">
        <v>1731.4667999999999</v>
      </c>
      <c r="Q338">
        <v>1590.6032</v>
      </c>
    </row>
    <row r="339" spans="1:17" x14ac:dyDescent="0.3">
      <c r="A339" s="1">
        <v>44879</v>
      </c>
      <c r="B339">
        <v>1773.6</v>
      </c>
      <c r="C339">
        <v>1773.6</v>
      </c>
      <c r="D339">
        <v>1761.6</v>
      </c>
      <c r="E339">
        <v>1762</v>
      </c>
      <c r="F339">
        <v>358</v>
      </c>
      <c r="G339">
        <v>1707.3857</v>
      </c>
      <c r="H339">
        <v>1673.4267</v>
      </c>
      <c r="I339">
        <v>1705.5144</v>
      </c>
      <c r="J339">
        <v>-0.1021</v>
      </c>
      <c r="K339">
        <v>1.4335</v>
      </c>
      <c r="L339">
        <v>1.2296</v>
      </c>
      <c r="M339">
        <v>75.746600000000001</v>
      </c>
      <c r="N339">
        <v>16.296500000000002</v>
      </c>
      <c r="O339">
        <v>1.7847</v>
      </c>
      <c r="P339">
        <v>1749.9943000000001</v>
      </c>
      <c r="Q339">
        <v>1583.2556999999999</v>
      </c>
    </row>
    <row r="340" spans="1:17" x14ac:dyDescent="0.3">
      <c r="A340" s="1">
        <v>44880</v>
      </c>
      <c r="B340">
        <v>1773.8</v>
      </c>
      <c r="C340">
        <v>1773.8</v>
      </c>
      <c r="D340">
        <v>1769.9</v>
      </c>
      <c r="E340">
        <v>1770.8</v>
      </c>
      <c r="F340">
        <v>57</v>
      </c>
      <c r="G340">
        <v>1727.4713999999999</v>
      </c>
      <c r="H340">
        <v>1675.7466999999999</v>
      </c>
      <c r="I340">
        <v>1705.94</v>
      </c>
      <c r="J340">
        <v>0.49940000000000001</v>
      </c>
      <c r="K340">
        <v>1.3876999999999999</v>
      </c>
      <c r="L340">
        <v>1.181</v>
      </c>
      <c r="M340">
        <v>76.511799999999994</v>
      </c>
      <c r="N340">
        <v>20.913499999999999</v>
      </c>
      <c r="O340">
        <v>5.6105</v>
      </c>
      <c r="P340">
        <v>1767.6545000000001</v>
      </c>
      <c r="Q340">
        <v>1577.5355</v>
      </c>
    </row>
    <row r="341" spans="1:17" x14ac:dyDescent="0.3">
      <c r="A341" s="1">
        <v>44881</v>
      </c>
      <c r="B341">
        <v>1773</v>
      </c>
      <c r="C341">
        <v>1778.9</v>
      </c>
      <c r="D341">
        <v>1773</v>
      </c>
      <c r="E341">
        <v>1776.6</v>
      </c>
      <c r="F341">
        <v>303</v>
      </c>
      <c r="G341">
        <v>1741.7143000000001</v>
      </c>
      <c r="H341">
        <v>1677.4966999999999</v>
      </c>
      <c r="I341">
        <v>1706.4111</v>
      </c>
      <c r="J341">
        <v>0.32750000000000001</v>
      </c>
      <c r="K341">
        <v>1.1979</v>
      </c>
      <c r="L341">
        <v>1.1596</v>
      </c>
      <c r="M341">
        <v>75.974900000000005</v>
      </c>
      <c r="N341">
        <v>24.755099999999999</v>
      </c>
      <c r="O341">
        <v>9.4393999999999991</v>
      </c>
      <c r="P341">
        <v>1783.7162000000001</v>
      </c>
      <c r="Q341">
        <v>1575.3838000000001</v>
      </c>
    </row>
    <row r="342" spans="1:17" x14ac:dyDescent="0.3">
      <c r="A342" s="1">
        <v>44882</v>
      </c>
      <c r="B342">
        <v>1760.8</v>
      </c>
      <c r="C342">
        <v>1763</v>
      </c>
      <c r="D342">
        <v>1756</v>
      </c>
      <c r="E342">
        <v>1763</v>
      </c>
      <c r="F342">
        <v>18</v>
      </c>
      <c r="G342">
        <v>1750.2571</v>
      </c>
      <c r="H342">
        <v>1678.8967</v>
      </c>
      <c r="I342">
        <v>1707</v>
      </c>
      <c r="J342">
        <v>-0.76549999999999996</v>
      </c>
      <c r="K342">
        <v>1.2815000000000001</v>
      </c>
      <c r="L342">
        <v>1.1695</v>
      </c>
      <c r="M342">
        <v>71.573599999999999</v>
      </c>
      <c r="N342">
        <v>26.398</v>
      </c>
      <c r="O342">
        <v>12.831099999999999</v>
      </c>
      <c r="P342">
        <v>1793.4793999999999</v>
      </c>
      <c r="Q342">
        <v>1579.6405</v>
      </c>
    </row>
    <row r="343" spans="1:17" x14ac:dyDescent="0.3">
      <c r="A343" s="1">
        <v>44883</v>
      </c>
      <c r="B343">
        <v>1751.9</v>
      </c>
      <c r="C343">
        <v>1763.3</v>
      </c>
      <c r="D343">
        <v>1747.6</v>
      </c>
      <c r="E343">
        <v>1763.3</v>
      </c>
      <c r="F343">
        <v>414</v>
      </c>
      <c r="G343">
        <v>1758.2429</v>
      </c>
      <c r="H343">
        <v>1680.67</v>
      </c>
      <c r="I343">
        <v>1707.5889</v>
      </c>
      <c r="J343">
        <v>1.7000000000000001E-2</v>
      </c>
      <c r="K343">
        <v>1.2919</v>
      </c>
      <c r="L343">
        <v>1.1617</v>
      </c>
      <c r="M343">
        <v>77.930999999999997</v>
      </c>
      <c r="N343">
        <v>27.408200000000001</v>
      </c>
      <c r="O343">
        <v>15.746499999999999</v>
      </c>
      <c r="P343">
        <v>1802.1826000000001</v>
      </c>
      <c r="Q343">
        <v>1583.8574000000001</v>
      </c>
    </row>
    <row r="344" spans="1:17" x14ac:dyDescent="0.3">
      <c r="A344" s="1">
        <v>44886</v>
      </c>
      <c r="B344">
        <v>1737.4</v>
      </c>
      <c r="C344">
        <v>1744.9</v>
      </c>
      <c r="D344">
        <v>1736.1</v>
      </c>
      <c r="E344">
        <v>1739</v>
      </c>
      <c r="F344">
        <v>544</v>
      </c>
      <c r="G344">
        <v>1762.6429000000001</v>
      </c>
      <c r="H344">
        <v>1682.19</v>
      </c>
      <c r="I344">
        <v>1707.9621999999999</v>
      </c>
      <c r="J344">
        <v>-1.3781000000000001</v>
      </c>
      <c r="K344">
        <v>1.4695</v>
      </c>
      <c r="L344">
        <v>1.1768000000000001</v>
      </c>
      <c r="M344">
        <v>73.440200000000004</v>
      </c>
      <c r="N344">
        <v>25.948799999999999</v>
      </c>
      <c r="O344">
        <v>17.786999999999999</v>
      </c>
      <c r="P344">
        <v>1806.8656000000001</v>
      </c>
      <c r="Q344">
        <v>1586.8044</v>
      </c>
    </row>
    <row r="345" spans="1:17" x14ac:dyDescent="0.3">
      <c r="A345" s="1">
        <v>44887</v>
      </c>
      <c r="B345">
        <v>1738.3</v>
      </c>
      <c r="C345">
        <v>1741.7</v>
      </c>
      <c r="D345">
        <v>1738.3</v>
      </c>
      <c r="E345">
        <v>1741.7</v>
      </c>
      <c r="F345">
        <v>15</v>
      </c>
      <c r="G345">
        <v>1759.4857</v>
      </c>
      <c r="H345">
        <v>1684.8533</v>
      </c>
      <c r="I345">
        <v>1708.29</v>
      </c>
      <c r="J345">
        <v>0.15529999999999999</v>
      </c>
      <c r="K345">
        <v>0.66520000000000001</v>
      </c>
      <c r="L345">
        <v>1.117</v>
      </c>
      <c r="M345">
        <v>71.287999999999997</v>
      </c>
      <c r="N345">
        <v>24.725200000000001</v>
      </c>
      <c r="O345">
        <v>19.174600000000002</v>
      </c>
      <c r="P345">
        <v>1810.7826</v>
      </c>
      <c r="Q345">
        <v>1592.2374</v>
      </c>
    </row>
    <row r="346" spans="1:17" x14ac:dyDescent="0.3">
      <c r="A346" s="1">
        <v>44888</v>
      </c>
      <c r="B346">
        <v>1744.9</v>
      </c>
      <c r="C346">
        <v>1750.9</v>
      </c>
      <c r="D346">
        <v>1736.5</v>
      </c>
      <c r="E346">
        <v>1736.5</v>
      </c>
      <c r="F346">
        <v>39</v>
      </c>
      <c r="G346">
        <v>1755.8429000000001</v>
      </c>
      <c r="H346">
        <v>1687.1367</v>
      </c>
      <c r="I346">
        <v>1708.5589</v>
      </c>
      <c r="J346">
        <v>-0.29859999999999998</v>
      </c>
      <c r="K346">
        <v>0.66559999999999997</v>
      </c>
      <c r="L346">
        <v>1.1194</v>
      </c>
      <c r="M346">
        <v>77.219700000000003</v>
      </c>
      <c r="N346">
        <v>23.069900000000001</v>
      </c>
      <c r="O346">
        <v>19.953700000000001</v>
      </c>
      <c r="P346">
        <v>1813.3448000000001</v>
      </c>
      <c r="Q346">
        <v>1598.3452</v>
      </c>
    </row>
    <row r="347" spans="1:17" x14ac:dyDescent="0.3">
      <c r="A347" s="1">
        <v>44890</v>
      </c>
      <c r="B347">
        <v>1753.3</v>
      </c>
      <c r="C347">
        <v>1757.9</v>
      </c>
      <c r="D347">
        <v>1749.2</v>
      </c>
      <c r="E347">
        <v>1753</v>
      </c>
      <c r="F347">
        <v>216</v>
      </c>
      <c r="G347">
        <v>1753.3</v>
      </c>
      <c r="H347">
        <v>1689.73</v>
      </c>
      <c r="I347">
        <v>1709.0689</v>
      </c>
      <c r="J347">
        <v>0.95020000000000004</v>
      </c>
      <c r="K347">
        <v>0.76029999999999998</v>
      </c>
      <c r="L347">
        <v>1.1279999999999999</v>
      </c>
      <c r="M347">
        <v>78.880499999999998</v>
      </c>
      <c r="N347">
        <v>22.8263</v>
      </c>
      <c r="O347">
        <v>20.528199999999998</v>
      </c>
      <c r="P347">
        <v>1817.7240999999999</v>
      </c>
      <c r="Q347">
        <v>1603.1958999999999</v>
      </c>
    </row>
    <row r="348" spans="1:17" x14ac:dyDescent="0.3">
      <c r="A348" s="1">
        <v>44893</v>
      </c>
      <c r="B348">
        <v>1740.1</v>
      </c>
      <c r="C348">
        <v>1741.3</v>
      </c>
      <c r="D348">
        <v>1740.1</v>
      </c>
      <c r="E348">
        <v>1741.3</v>
      </c>
      <c r="F348">
        <v>132767</v>
      </c>
      <c r="G348">
        <v>1748.2571</v>
      </c>
      <c r="H348">
        <v>1692.2633000000001</v>
      </c>
      <c r="I348">
        <v>1709.6722</v>
      </c>
      <c r="J348">
        <v>-0.66739999999999999</v>
      </c>
      <c r="K348">
        <v>0.75090000000000001</v>
      </c>
      <c r="L348">
        <v>1.1297999999999999</v>
      </c>
      <c r="M348">
        <v>68.130600000000001</v>
      </c>
      <c r="N348">
        <v>21.442</v>
      </c>
      <c r="O348">
        <v>20.710999999999999</v>
      </c>
      <c r="P348">
        <v>1819.9403</v>
      </c>
      <c r="Q348">
        <v>1609.0097000000001</v>
      </c>
    </row>
    <row r="349" spans="1:17" x14ac:dyDescent="0.3">
      <c r="A349" s="1">
        <v>44894</v>
      </c>
      <c r="B349">
        <v>1748.4</v>
      </c>
      <c r="C349">
        <v>1758.2</v>
      </c>
      <c r="D349">
        <v>1737.9</v>
      </c>
      <c r="E349">
        <v>1739.5</v>
      </c>
      <c r="F349">
        <v>19416</v>
      </c>
      <c r="G349">
        <v>1744.9</v>
      </c>
      <c r="H349">
        <v>1695.24</v>
      </c>
      <c r="I349">
        <v>1709.9632999999999</v>
      </c>
      <c r="J349">
        <v>-0.10340000000000001</v>
      </c>
      <c r="K349">
        <v>0.72119999999999995</v>
      </c>
      <c r="L349">
        <v>1.1132</v>
      </c>
      <c r="M349">
        <v>61.854999999999997</v>
      </c>
      <c r="N349">
        <v>19.9695</v>
      </c>
      <c r="O349">
        <v>20.5627</v>
      </c>
      <c r="P349">
        <v>1819.5716</v>
      </c>
      <c r="Q349">
        <v>1619.1484</v>
      </c>
    </row>
    <row r="350" spans="1:17" x14ac:dyDescent="0.3">
      <c r="A350" s="1">
        <v>44895</v>
      </c>
      <c r="B350">
        <v>1746</v>
      </c>
      <c r="C350">
        <v>1769.4</v>
      </c>
      <c r="D350">
        <v>1745.1</v>
      </c>
      <c r="E350">
        <v>1748.1</v>
      </c>
      <c r="F350">
        <v>3339</v>
      </c>
      <c r="G350">
        <v>1742.7285999999999</v>
      </c>
      <c r="H350">
        <v>1698.4632999999999</v>
      </c>
      <c r="I350">
        <v>1710.1977999999999</v>
      </c>
      <c r="J350">
        <v>0.49440000000000001</v>
      </c>
      <c r="K350">
        <v>0.76519999999999999</v>
      </c>
      <c r="L350">
        <v>1.1144000000000001</v>
      </c>
      <c r="M350">
        <v>62.9206</v>
      </c>
      <c r="N350">
        <v>19.2743</v>
      </c>
      <c r="O350">
        <v>20.305</v>
      </c>
      <c r="P350">
        <v>1816.9872</v>
      </c>
      <c r="Q350">
        <v>1633.4628</v>
      </c>
    </row>
    <row r="351" spans="1:17" x14ac:dyDescent="0.3">
      <c r="A351" s="1">
        <v>44896</v>
      </c>
      <c r="B351">
        <v>1801.1</v>
      </c>
      <c r="C351">
        <v>1803.7</v>
      </c>
      <c r="D351">
        <v>1768.7</v>
      </c>
      <c r="E351">
        <v>1768.7</v>
      </c>
      <c r="F351">
        <v>1053</v>
      </c>
      <c r="G351">
        <v>1746.9713999999999</v>
      </c>
      <c r="H351">
        <v>1702.8367000000001</v>
      </c>
      <c r="I351">
        <v>1710.7610999999999</v>
      </c>
      <c r="J351">
        <v>1.1783999999999999</v>
      </c>
      <c r="K351">
        <v>0.66930000000000001</v>
      </c>
      <c r="L351">
        <v>1.1106</v>
      </c>
      <c r="M351">
        <v>67.061499999999995</v>
      </c>
      <c r="N351">
        <v>20.153300000000002</v>
      </c>
      <c r="O351">
        <v>20.274699999999999</v>
      </c>
      <c r="P351">
        <v>1817.7557999999999</v>
      </c>
      <c r="Q351">
        <v>1644.4842000000001</v>
      </c>
    </row>
    <row r="352" spans="1:17" x14ac:dyDescent="0.3">
      <c r="A352" s="1">
        <v>44897</v>
      </c>
      <c r="B352">
        <v>1795.9</v>
      </c>
      <c r="C352">
        <v>1802.3</v>
      </c>
      <c r="D352">
        <v>1779.4</v>
      </c>
      <c r="E352">
        <v>1802</v>
      </c>
      <c r="F352">
        <v>1725</v>
      </c>
      <c r="G352">
        <v>1755.5857000000001</v>
      </c>
      <c r="H352">
        <v>1708.81</v>
      </c>
      <c r="I352">
        <v>1711.6822</v>
      </c>
      <c r="J352">
        <v>1.8827</v>
      </c>
      <c r="K352">
        <v>0.9073</v>
      </c>
      <c r="L352">
        <v>1.1263000000000001</v>
      </c>
      <c r="M352">
        <v>62.322600000000001</v>
      </c>
      <c r="N352">
        <v>23.268699999999999</v>
      </c>
      <c r="O352">
        <v>20.8735</v>
      </c>
      <c r="P352">
        <v>1817.6204</v>
      </c>
      <c r="Q352">
        <v>1661.8996</v>
      </c>
    </row>
    <row r="353" spans="1:17" x14ac:dyDescent="0.3">
      <c r="A353" s="1">
        <v>44900</v>
      </c>
      <c r="B353">
        <v>1767.4</v>
      </c>
      <c r="C353">
        <v>1808</v>
      </c>
      <c r="D353">
        <v>1764.3</v>
      </c>
      <c r="E353">
        <v>1795.7</v>
      </c>
      <c r="F353">
        <v>1713</v>
      </c>
      <c r="G353">
        <v>1764.0427999999999</v>
      </c>
      <c r="H353">
        <v>1714.1967</v>
      </c>
      <c r="I353">
        <v>1712.3867</v>
      </c>
      <c r="J353">
        <v>-0.34960000000000002</v>
      </c>
      <c r="K353">
        <v>0.91490000000000005</v>
      </c>
      <c r="L353">
        <v>1.1315999999999999</v>
      </c>
      <c r="M353">
        <v>60.5642</v>
      </c>
      <c r="N353">
        <v>24.941800000000001</v>
      </c>
      <c r="O353">
        <v>21.687100000000001</v>
      </c>
      <c r="P353">
        <v>1810.5305000000001</v>
      </c>
      <c r="Q353">
        <v>1685.5395000000001</v>
      </c>
    </row>
    <row r="354" spans="1:17" x14ac:dyDescent="0.3">
      <c r="A354" s="1">
        <v>44901</v>
      </c>
      <c r="B354">
        <v>1769.3</v>
      </c>
      <c r="C354">
        <v>1779.4</v>
      </c>
      <c r="D354">
        <v>1767.9</v>
      </c>
      <c r="E354">
        <v>1768.6</v>
      </c>
      <c r="F354">
        <v>105</v>
      </c>
      <c r="G354">
        <v>1766.2714000000001</v>
      </c>
      <c r="H354">
        <v>1717.7266999999999</v>
      </c>
      <c r="I354">
        <v>1712.5489</v>
      </c>
      <c r="J354">
        <v>-1.5092000000000001</v>
      </c>
      <c r="K354">
        <v>1.1483000000000001</v>
      </c>
      <c r="L354">
        <v>1.1459999999999999</v>
      </c>
      <c r="M354">
        <v>49.381300000000003</v>
      </c>
      <c r="N354">
        <v>23.8066</v>
      </c>
      <c r="O354">
        <v>22.111000000000001</v>
      </c>
      <c r="P354">
        <v>1805.9202</v>
      </c>
      <c r="Q354">
        <v>1699.3198</v>
      </c>
    </row>
    <row r="355" spans="1:17" x14ac:dyDescent="0.3">
      <c r="A355" s="1">
        <v>44902</v>
      </c>
      <c r="B355">
        <v>1785.5</v>
      </c>
      <c r="C355">
        <v>1790.3</v>
      </c>
      <c r="D355">
        <v>1769.3</v>
      </c>
      <c r="E355">
        <v>1769.3</v>
      </c>
      <c r="F355">
        <v>422</v>
      </c>
      <c r="G355">
        <v>1770.2714000000001</v>
      </c>
      <c r="H355">
        <v>1721.7633000000001</v>
      </c>
      <c r="I355">
        <v>1712.6088999999999</v>
      </c>
      <c r="J355">
        <v>3.9600000000000003E-2</v>
      </c>
      <c r="K355">
        <v>1.0961000000000001</v>
      </c>
      <c r="L355">
        <v>1.1282000000000001</v>
      </c>
      <c r="M355">
        <v>47.886499999999998</v>
      </c>
      <c r="N355">
        <v>22.701699999999999</v>
      </c>
      <c r="O355">
        <v>22.229199999999999</v>
      </c>
      <c r="P355">
        <v>1804.2914000000001</v>
      </c>
      <c r="Q355">
        <v>1707.5586000000001</v>
      </c>
    </row>
    <row r="356" spans="1:17" x14ac:dyDescent="0.3">
      <c r="A356" s="1">
        <v>44903</v>
      </c>
      <c r="B356">
        <v>1788.7</v>
      </c>
      <c r="C356">
        <v>1790.9</v>
      </c>
      <c r="D356">
        <v>1782</v>
      </c>
      <c r="E356">
        <v>1782</v>
      </c>
      <c r="F356">
        <v>713</v>
      </c>
      <c r="G356">
        <v>1776.3427999999999</v>
      </c>
      <c r="H356">
        <v>1726.17</v>
      </c>
      <c r="I356">
        <v>1712.7189000000001</v>
      </c>
      <c r="J356">
        <v>0.71779999999999999</v>
      </c>
      <c r="K356">
        <v>1.0980000000000001</v>
      </c>
      <c r="L356">
        <v>1.1311</v>
      </c>
      <c r="M356">
        <v>55.529699999999998</v>
      </c>
      <c r="N356">
        <v>22.590499999999999</v>
      </c>
      <c r="O356">
        <v>22.301400000000001</v>
      </c>
      <c r="P356">
        <v>1803.5657000000001</v>
      </c>
      <c r="Q356">
        <v>1715.7443000000001</v>
      </c>
    </row>
    <row r="357" spans="1:17" x14ac:dyDescent="0.3">
      <c r="A357" s="1">
        <v>44904</v>
      </c>
      <c r="B357">
        <v>1798.1</v>
      </c>
      <c r="C357">
        <v>1804.3</v>
      </c>
      <c r="D357">
        <v>1791.1</v>
      </c>
      <c r="E357">
        <v>1794.9</v>
      </c>
      <c r="F357">
        <v>125</v>
      </c>
      <c r="G357">
        <v>1783.0286000000001</v>
      </c>
      <c r="H357">
        <v>1730.6433</v>
      </c>
      <c r="I357">
        <v>1713.1433</v>
      </c>
      <c r="J357">
        <v>0.72389999999999999</v>
      </c>
      <c r="K357">
        <v>1.1064000000000001</v>
      </c>
      <c r="L357">
        <v>1.1318999999999999</v>
      </c>
      <c r="M357">
        <v>58.568300000000001</v>
      </c>
      <c r="N357">
        <v>23.274899999999999</v>
      </c>
      <c r="O357">
        <v>22.496099999999998</v>
      </c>
      <c r="P357">
        <v>1803.4</v>
      </c>
      <c r="Q357">
        <v>1724.58</v>
      </c>
    </row>
    <row r="358" spans="1:17" x14ac:dyDescent="0.3">
      <c r="A358" s="1">
        <v>44907</v>
      </c>
      <c r="B358">
        <v>1780.5</v>
      </c>
      <c r="C358">
        <v>1793.9</v>
      </c>
      <c r="D358">
        <v>1777.7</v>
      </c>
      <c r="E358">
        <v>1787.3</v>
      </c>
      <c r="F358">
        <v>85</v>
      </c>
      <c r="G358">
        <v>1785.6857</v>
      </c>
      <c r="H358">
        <v>1734.8533</v>
      </c>
      <c r="I358">
        <v>1713.3422</v>
      </c>
      <c r="J358">
        <v>-0.4234</v>
      </c>
      <c r="K358">
        <v>1.0799000000000001</v>
      </c>
      <c r="L358">
        <v>1.1380999999999999</v>
      </c>
      <c r="M358">
        <v>64.400700000000001</v>
      </c>
      <c r="N358">
        <v>22.939699999999998</v>
      </c>
      <c r="O358">
        <v>22.584800000000001</v>
      </c>
      <c r="P358">
        <v>1805.9292</v>
      </c>
      <c r="Q358">
        <v>1724.4007999999999</v>
      </c>
    </row>
    <row r="359" spans="1:17" x14ac:dyDescent="0.3">
      <c r="A359" s="1">
        <v>44908</v>
      </c>
      <c r="B359">
        <v>1813.9</v>
      </c>
      <c r="C359">
        <v>1819.8</v>
      </c>
      <c r="D359">
        <v>1780.5</v>
      </c>
      <c r="E359">
        <v>1780.7</v>
      </c>
      <c r="F359">
        <v>205</v>
      </c>
      <c r="G359">
        <v>1782.6429000000001</v>
      </c>
      <c r="H359">
        <v>1739.4833000000001</v>
      </c>
      <c r="I359">
        <v>1713.2256</v>
      </c>
      <c r="J359">
        <v>-0.36930000000000002</v>
      </c>
      <c r="K359">
        <v>0.77039999999999997</v>
      </c>
      <c r="L359">
        <v>1.1133999999999999</v>
      </c>
      <c r="M359">
        <v>61.363599999999998</v>
      </c>
      <c r="N359">
        <v>21.889099999999999</v>
      </c>
      <c r="O359">
        <v>22.445699999999999</v>
      </c>
      <c r="P359">
        <v>1807.4127000000001</v>
      </c>
      <c r="Q359">
        <v>1724.7873</v>
      </c>
    </row>
    <row r="360" spans="1:17" x14ac:dyDescent="0.3">
      <c r="A360" s="1">
        <v>44909</v>
      </c>
      <c r="B360">
        <v>1807.5</v>
      </c>
      <c r="C360">
        <v>1812.8</v>
      </c>
      <c r="D360">
        <v>1797.9</v>
      </c>
      <c r="E360">
        <v>1810.8</v>
      </c>
      <c r="F360">
        <v>1074</v>
      </c>
      <c r="G360">
        <v>1784.8</v>
      </c>
      <c r="H360">
        <v>1745.4833000000001</v>
      </c>
      <c r="I360">
        <v>1713.6588999999999</v>
      </c>
      <c r="J360">
        <v>1.6903999999999999</v>
      </c>
      <c r="K360">
        <v>1.0314000000000001</v>
      </c>
      <c r="L360">
        <v>1.1274999999999999</v>
      </c>
      <c r="M360">
        <v>68.905799999999999</v>
      </c>
      <c r="N360">
        <v>23.217700000000001</v>
      </c>
      <c r="O360">
        <v>22.600100000000001</v>
      </c>
      <c r="P360">
        <v>1813.99</v>
      </c>
      <c r="Q360">
        <v>1722.21</v>
      </c>
    </row>
    <row r="361" spans="1:17" x14ac:dyDescent="0.3">
      <c r="A361" s="1">
        <v>44910</v>
      </c>
      <c r="B361">
        <v>1777.2</v>
      </c>
      <c r="C361">
        <v>1801</v>
      </c>
      <c r="D361">
        <v>1774.8</v>
      </c>
      <c r="E361">
        <v>1801</v>
      </c>
      <c r="F361">
        <v>421</v>
      </c>
      <c r="G361">
        <v>1789.4286</v>
      </c>
      <c r="H361">
        <v>1750.49</v>
      </c>
      <c r="I361">
        <v>1713.7810999999999</v>
      </c>
      <c r="J361">
        <v>-0.54120000000000001</v>
      </c>
      <c r="K361">
        <v>0.81899999999999995</v>
      </c>
      <c r="L361">
        <v>1.1266</v>
      </c>
      <c r="M361">
        <v>62.6449</v>
      </c>
      <c r="N361">
        <v>23.212299999999999</v>
      </c>
      <c r="O361">
        <v>22.7225</v>
      </c>
      <c r="P361">
        <v>1817.4063000000001</v>
      </c>
      <c r="Q361">
        <v>1721.2337</v>
      </c>
    </row>
    <row r="362" spans="1:17" x14ac:dyDescent="0.3">
      <c r="A362" s="1">
        <v>44911</v>
      </c>
      <c r="B362">
        <v>1790</v>
      </c>
      <c r="C362">
        <v>1791.4</v>
      </c>
      <c r="D362">
        <v>1777.9</v>
      </c>
      <c r="E362">
        <v>1777.9</v>
      </c>
      <c r="F362">
        <v>206</v>
      </c>
      <c r="G362">
        <v>1790.6572000000001</v>
      </c>
      <c r="H362">
        <v>1755.4467</v>
      </c>
      <c r="I362">
        <v>1713.4866999999999</v>
      </c>
      <c r="J362">
        <v>-1.2826</v>
      </c>
      <c r="K362">
        <v>1.0093000000000001</v>
      </c>
      <c r="L362">
        <v>1.1253</v>
      </c>
      <c r="M362">
        <v>59.095399999999998</v>
      </c>
      <c r="N362">
        <v>21.1007</v>
      </c>
      <c r="O362">
        <v>22.398199999999999</v>
      </c>
      <c r="P362">
        <v>1818.2007000000001</v>
      </c>
      <c r="Q362">
        <v>1721.9293</v>
      </c>
    </row>
    <row r="363" spans="1:17" x14ac:dyDescent="0.3">
      <c r="A363" s="1">
        <v>44914</v>
      </c>
      <c r="B363">
        <v>1787.7</v>
      </c>
      <c r="C363">
        <v>1796.3</v>
      </c>
      <c r="D363">
        <v>1785.6</v>
      </c>
      <c r="E363">
        <v>1791.6</v>
      </c>
      <c r="F363">
        <v>79</v>
      </c>
      <c r="G363">
        <v>1792.0286000000001</v>
      </c>
      <c r="H363">
        <v>1760.8267000000001</v>
      </c>
      <c r="I363">
        <v>1713.4567</v>
      </c>
      <c r="J363">
        <v>0.77059999999999995</v>
      </c>
      <c r="K363">
        <v>1.0150999999999999</v>
      </c>
      <c r="L363">
        <v>1.1275999999999999</v>
      </c>
      <c r="M363">
        <v>62.224299999999999</v>
      </c>
      <c r="N363">
        <v>20.2988</v>
      </c>
      <c r="O363">
        <v>21.978300000000001</v>
      </c>
      <c r="P363">
        <v>1820.4351999999999</v>
      </c>
      <c r="Q363">
        <v>1722.5247999999999</v>
      </c>
    </row>
    <row r="364" spans="1:17" x14ac:dyDescent="0.3">
      <c r="A364" s="1">
        <v>44915</v>
      </c>
      <c r="B364">
        <v>1815.9</v>
      </c>
      <c r="C364">
        <v>1821.4</v>
      </c>
      <c r="D364">
        <v>1786.5</v>
      </c>
      <c r="E364">
        <v>1786.5</v>
      </c>
      <c r="F364">
        <v>51</v>
      </c>
      <c r="G364">
        <v>1790.8286000000001</v>
      </c>
      <c r="H364">
        <v>1764.48</v>
      </c>
      <c r="I364">
        <v>1713.4589000000001</v>
      </c>
      <c r="J364">
        <v>-0.28470000000000001</v>
      </c>
      <c r="K364">
        <v>0.97960000000000003</v>
      </c>
      <c r="L364">
        <v>1.0246</v>
      </c>
      <c r="M364">
        <v>59.160299999999999</v>
      </c>
      <c r="N364">
        <v>19.032399999999999</v>
      </c>
      <c r="O364">
        <v>21.389099999999999</v>
      </c>
      <c r="P364">
        <v>1820.7406000000001</v>
      </c>
      <c r="Q364">
        <v>1726.9694</v>
      </c>
    </row>
    <row r="365" spans="1:17" x14ac:dyDescent="0.3">
      <c r="A365" s="1">
        <v>44916</v>
      </c>
      <c r="B365">
        <v>1815.9</v>
      </c>
      <c r="C365">
        <v>1821.4</v>
      </c>
      <c r="D365">
        <v>1814.4</v>
      </c>
      <c r="E365">
        <v>1817.4</v>
      </c>
      <c r="F365">
        <v>35</v>
      </c>
      <c r="G365">
        <v>1795.1286</v>
      </c>
      <c r="H365">
        <v>1768.2867000000001</v>
      </c>
      <c r="I365">
        <v>1713.6632999999999</v>
      </c>
      <c r="J365">
        <v>1.7296</v>
      </c>
      <c r="K365">
        <v>1.1675</v>
      </c>
      <c r="L365">
        <v>1.0323</v>
      </c>
      <c r="M365">
        <v>61.0732</v>
      </c>
      <c r="N365">
        <v>20.2882</v>
      </c>
      <c r="O365">
        <v>21.168900000000001</v>
      </c>
      <c r="P365">
        <v>1825.8008</v>
      </c>
      <c r="Q365">
        <v>1729.4792</v>
      </c>
    </row>
    <row r="366" spans="1:17" x14ac:dyDescent="0.3">
      <c r="A366" s="1">
        <v>44917</v>
      </c>
      <c r="B366">
        <v>1787</v>
      </c>
      <c r="C366">
        <v>1818.1</v>
      </c>
      <c r="D366">
        <v>1785</v>
      </c>
      <c r="E366">
        <v>1818.1</v>
      </c>
      <c r="F366">
        <v>411</v>
      </c>
      <c r="G366">
        <v>1800.4713999999999</v>
      </c>
      <c r="H366">
        <v>1771.9766999999999</v>
      </c>
      <c r="I366">
        <v>1714.1156000000001</v>
      </c>
      <c r="J366">
        <v>3.85E-2</v>
      </c>
      <c r="K366">
        <v>1.1416999999999999</v>
      </c>
      <c r="L366">
        <v>1.0327999999999999</v>
      </c>
      <c r="M366">
        <v>54.297899999999998</v>
      </c>
      <c r="N366">
        <v>21.096800000000002</v>
      </c>
      <c r="O366">
        <v>21.154499999999999</v>
      </c>
      <c r="P366">
        <v>1829.0242000000001</v>
      </c>
      <c r="Q366">
        <v>1734.4158</v>
      </c>
    </row>
    <row r="367" spans="1:17" x14ac:dyDescent="0.3">
      <c r="A367" s="1">
        <v>44918</v>
      </c>
      <c r="B367">
        <v>1795.9</v>
      </c>
      <c r="C367">
        <v>1802.8</v>
      </c>
      <c r="D367">
        <v>1794.1</v>
      </c>
      <c r="E367">
        <v>1794.3</v>
      </c>
      <c r="F367">
        <v>49</v>
      </c>
      <c r="G367">
        <v>1798.1143</v>
      </c>
      <c r="H367">
        <v>1774.8467000000001</v>
      </c>
      <c r="I367">
        <v>1714.3888999999999</v>
      </c>
      <c r="J367">
        <v>-1.3090999999999999</v>
      </c>
      <c r="K367">
        <v>1.0961000000000001</v>
      </c>
      <c r="L367">
        <v>1.0693999999999999</v>
      </c>
      <c r="M367">
        <v>49.658200000000001</v>
      </c>
      <c r="N367">
        <v>19.5913</v>
      </c>
      <c r="O367">
        <v>20.841899999999999</v>
      </c>
      <c r="P367">
        <v>1829.3855000000001</v>
      </c>
      <c r="Q367">
        <v>1738.1845000000001</v>
      </c>
    </row>
    <row r="368" spans="1:17" x14ac:dyDescent="0.3">
      <c r="A368" s="1">
        <v>44922</v>
      </c>
      <c r="B368">
        <v>1814.8</v>
      </c>
      <c r="C368">
        <v>1826.3</v>
      </c>
      <c r="D368">
        <v>1803.4</v>
      </c>
      <c r="E368">
        <v>1803.4</v>
      </c>
      <c r="F368">
        <v>69</v>
      </c>
      <c r="G368">
        <v>1798.4572000000001</v>
      </c>
      <c r="H368">
        <v>1776.1667</v>
      </c>
      <c r="I368">
        <v>1714.8389</v>
      </c>
      <c r="J368">
        <v>0.50719999999999998</v>
      </c>
      <c r="K368">
        <v>1.1014999999999999</v>
      </c>
      <c r="L368">
        <v>0.90039999999999998</v>
      </c>
      <c r="M368">
        <v>59.314799999999998</v>
      </c>
      <c r="N368">
        <v>18.914400000000001</v>
      </c>
      <c r="O368">
        <v>20.456399999999999</v>
      </c>
      <c r="P368">
        <v>1828.6011000000001</v>
      </c>
      <c r="Q368">
        <v>1745.1789000000001</v>
      </c>
    </row>
    <row r="369" spans="1:17" x14ac:dyDescent="0.3">
      <c r="A369" s="1">
        <v>44923</v>
      </c>
      <c r="B369">
        <v>1807.9</v>
      </c>
      <c r="C369">
        <v>1807.9</v>
      </c>
      <c r="D369">
        <v>1803.1</v>
      </c>
      <c r="E369">
        <v>1803.2</v>
      </c>
      <c r="F369">
        <v>434</v>
      </c>
      <c r="G369">
        <v>1802.0714</v>
      </c>
      <c r="H369">
        <v>1777.54</v>
      </c>
      <c r="I369">
        <v>1715.3888999999999</v>
      </c>
      <c r="J369">
        <v>-1.11E-2</v>
      </c>
      <c r="K369">
        <v>0.94359999999999999</v>
      </c>
      <c r="L369">
        <v>0.89990000000000003</v>
      </c>
      <c r="M369">
        <v>59.098199999999999</v>
      </c>
      <c r="N369">
        <v>18.1526</v>
      </c>
      <c r="O369">
        <v>19.9956</v>
      </c>
      <c r="P369">
        <v>1825.8562999999999</v>
      </c>
      <c r="Q369">
        <v>1754.2936999999999</v>
      </c>
    </row>
    <row r="370" spans="1:17" x14ac:dyDescent="0.3">
      <c r="A370" s="1">
        <v>44924</v>
      </c>
      <c r="B370">
        <v>1819.5</v>
      </c>
      <c r="C370">
        <v>1819.5</v>
      </c>
      <c r="D370">
        <v>1805.8</v>
      </c>
      <c r="E370">
        <v>1805.8</v>
      </c>
      <c r="F370">
        <v>277</v>
      </c>
      <c r="G370">
        <v>1804.1</v>
      </c>
      <c r="H370">
        <v>1778.7067</v>
      </c>
      <c r="I370">
        <v>1716.1143999999999</v>
      </c>
      <c r="J370">
        <v>0.14419999999999999</v>
      </c>
      <c r="K370">
        <v>0.91020000000000001</v>
      </c>
      <c r="L370">
        <v>0.89659999999999995</v>
      </c>
      <c r="M370">
        <v>56.753700000000002</v>
      </c>
      <c r="N370">
        <v>17.5563</v>
      </c>
      <c r="O370">
        <v>19.5077</v>
      </c>
      <c r="P370">
        <v>1823.3967</v>
      </c>
      <c r="Q370">
        <v>1762.5234</v>
      </c>
    </row>
    <row r="371" spans="1:17" x14ac:dyDescent="0.3">
      <c r="A371" s="1">
        <v>44925</v>
      </c>
      <c r="B371">
        <v>1819.7</v>
      </c>
      <c r="C371">
        <v>1822.3</v>
      </c>
      <c r="D371">
        <v>1816.8</v>
      </c>
      <c r="E371">
        <v>1817</v>
      </c>
      <c r="F371">
        <v>95</v>
      </c>
      <c r="G371">
        <v>1808.4572000000001</v>
      </c>
      <c r="H371">
        <v>1780.0533</v>
      </c>
      <c r="I371">
        <v>1716.9921999999999</v>
      </c>
      <c r="J371">
        <v>0.62019999999999997</v>
      </c>
      <c r="K371">
        <v>0.90800000000000003</v>
      </c>
      <c r="L371">
        <v>0.90100000000000002</v>
      </c>
      <c r="M371">
        <v>56.3324</v>
      </c>
      <c r="N371">
        <v>17.782399999999999</v>
      </c>
      <c r="O371">
        <v>19.162700000000001</v>
      </c>
      <c r="P371">
        <v>1825.3683000000001</v>
      </c>
      <c r="Q371">
        <v>1765.3818000000001</v>
      </c>
    </row>
    <row r="372" spans="1:17" x14ac:dyDescent="0.3">
      <c r="A372" s="1">
        <v>44929</v>
      </c>
      <c r="B372">
        <v>1839.7</v>
      </c>
      <c r="C372">
        <v>1839.7</v>
      </c>
      <c r="D372">
        <v>1836.2</v>
      </c>
      <c r="E372">
        <v>1836.2</v>
      </c>
      <c r="F372">
        <v>29</v>
      </c>
      <c r="G372">
        <v>1811.1429000000001</v>
      </c>
      <c r="H372">
        <v>1782.4933000000001</v>
      </c>
      <c r="I372">
        <v>1718.0056</v>
      </c>
      <c r="J372">
        <v>1.0567</v>
      </c>
      <c r="K372">
        <v>0.74590000000000001</v>
      </c>
      <c r="L372">
        <v>0.90359999999999996</v>
      </c>
      <c r="M372">
        <v>63.138100000000001</v>
      </c>
      <c r="N372">
        <v>19.288599999999999</v>
      </c>
      <c r="O372">
        <v>19.187899999999999</v>
      </c>
      <c r="P372">
        <v>1832.1410000000001</v>
      </c>
      <c r="Q372">
        <v>1762.029</v>
      </c>
    </row>
    <row r="373" spans="1:17" x14ac:dyDescent="0.3">
      <c r="A373" s="1">
        <v>44930</v>
      </c>
      <c r="B373">
        <v>1852.8</v>
      </c>
      <c r="C373">
        <v>1859.1</v>
      </c>
      <c r="D373">
        <v>1845.6</v>
      </c>
      <c r="E373">
        <v>1845.6</v>
      </c>
      <c r="F373">
        <v>25</v>
      </c>
      <c r="G373">
        <v>1815.0714</v>
      </c>
      <c r="H373">
        <v>1785.2366999999999</v>
      </c>
      <c r="I373">
        <v>1718.9389000000001</v>
      </c>
      <c r="J373">
        <v>0.51190000000000002</v>
      </c>
      <c r="K373">
        <v>0.75549999999999995</v>
      </c>
      <c r="L373">
        <v>0.90580000000000005</v>
      </c>
      <c r="M373">
        <v>67.178399999999996</v>
      </c>
      <c r="N373">
        <v>20.998699999999999</v>
      </c>
      <c r="O373">
        <v>19.55</v>
      </c>
      <c r="P373">
        <v>1840.7846999999999</v>
      </c>
      <c r="Q373">
        <v>1758.3752999999999</v>
      </c>
    </row>
    <row r="374" spans="1:17" x14ac:dyDescent="0.3">
      <c r="A374" s="1">
        <v>44931</v>
      </c>
      <c r="B374">
        <v>1834.8</v>
      </c>
      <c r="C374">
        <v>1855.2</v>
      </c>
      <c r="D374">
        <v>1834.8</v>
      </c>
      <c r="E374">
        <v>1855.2</v>
      </c>
      <c r="F374">
        <v>24</v>
      </c>
      <c r="G374">
        <v>1823.7714000000001</v>
      </c>
      <c r="H374">
        <v>1789.11</v>
      </c>
      <c r="I374">
        <v>1720.0633</v>
      </c>
      <c r="J374">
        <v>0.5202</v>
      </c>
      <c r="K374">
        <v>0.34389999999999998</v>
      </c>
      <c r="L374">
        <v>0.86009999999999998</v>
      </c>
      <c r="M374">
        <v>63.182899999999997</v>
      </c>
      <c r="N374">
        <v>22.864999999999998</v>
      </c>
      <c r="O374">
        <v>20.213000000000001</v>
      </c>
      <c r="P374">
        <v>1849.3864000000001</v>
      </c>
      <c r="Q374">
        <v>1758.4336000000001</v>
      </c>
    </row>
    <row r="375" spans="1:17" x14ac:dyDescent="0.3">
      <c r="A375" s="1">
        <v>44932</v>
      </c>
      <c r="B375">
        <v>1864.2</v>
      </c>
      <c r="C375">
        <v>1868.2</v>
      </c>
      <c r="D375">
        <v>1835.3</v>
      </c>
      <c r="E375">
        <v>1838.4</v>
      </c>
      <c r="F375">
        <v>26</v>
      </c>
      <c r="G375">
        <v>1828.7714000000001</v>
      </c>
      <c r="H375">
        <v>1792.3333</v>
      </c>
      <c r="I375">
        <v>1721.2411</v>
      </c>
      <c r="J375">
        <v>-0.90559999999999996</v>
      </c>
      <c r="K375">
        <v>0.62439999999999996</v>
      </c>
      <c r="L375">
        <v>0.88419999999999999</v>
      </c>
      <c r="M375">
        <v>60.6614</v>
      </c>
      <c r="N375">
        <v>22.726500000000001</v>
      </c>
      <c r="O375">
        <v>20.715699999999998</v>
      </c>
      <c r="P375">
        <v>1852.2660000000001</v>
      </c>
      <c r="Q375">
        <v>1762.4639999999999</v>
      </c>
    </row>
    <row r="376" spans="1:17" x14ac:dyDescent="0.3">
      <c r="A376" s="1">
        <v>44935</v>
      </c>
      <c r="B376">
        <v>1872.7</v>
      </c>
      <c r="C376">
        <v>1880</v>
      </c>
      <c r="D376">
        <v>1867</v>
      </c>
      <c r="E376">
        <v>1867</v>
      </c>
      <c r="F376">
        <v>62</v>
      </c>
      <c r="G376">
        <v>1837.8857</v>
      </c>
      <c r="H376">
        <v>1796.6832999999999</v>
      </c>
      <c r="I376">
        <v>1722.6922</v>
      </c>
      <c r="J376">
        <v>1.5557000000000001</v>
      </c>
      <c r="K376">
        <v>0.76829999999999998</v>
      </c>
      <c r="L376">
        <v>0.91369999999999996</v>
      </c>
      <c r="M376">
        <v>74.626900000000006</v>
      </c>
      <c r="N376">
        <v>24.640499999999999</v>
      </c>
      <c r="O376">
        <v>21.500699999999998</v>
      </c>
      <c r="P376">
        <v>1862.1451999999999</v>
      </c>
      <c r="Q376">
        <v>1761.0848000000001</v>
      </c>
    </row>
    <row r="377" spans="1:17" x14ac:dyDescent="0.3">
      <c r="A377" s="1">
        <v>44936</v>
      </c>
      <c r="B377">
        <v>1871.6</v>
      </c>
      <c r="C377">
        <v>1878.1</v>
      </c>
      <c r="D377">
        <v>1871.6</v>
      </c>
      <c r="E377">
        <v>1877.8</v>
      </c>
      <c r="F377">
        <v>101</v>
      </c>
      <c r="G377">
        <v>1848.1713999999999</v>
      </c>
      <c r="H377">
        <v>1800.8433</v>
      </c>
      <c r="I377">
        <v>1724.4644000000001</v>
      </c>
      <c r="J377">
        <v>0.57850000000000001</v>
      </c>
      <c r="K377">
        <v>0.75209999999999999</v>
      </c>
      <c r="L377">
        <v>0.90629999999999999</v>
      </c>
      <c r="M377">
        <v>74.213499999999996</v>
      </c>
      <c r="N377">
        <v>26.720800000000001</v>
      </c>
      <c r="O377">
        <v>22.544699999999999</v>
      </c>
      <c r="P377">
        <v>1873.5903000000001</v>
      </c>
      <c r="Q377">
        <v>1757.9296999999999</v>
      </c>
    </row>
    <row r="378" spans="1:17" x14ac:dyDescent="0.3">
      <c r="A378" s="1">
        <v>44937</v>
      </c>
      <c r="B378">
        <v>1874.6</v>
      </c>
      <c r="C378">
        <v>1877.8</v>
      </c>
      <c r="D378">
        <v>1873.1</v>
      </c>
      <c r="E378">
        <v>1873.1</v>
      </c>
      <c r="F378">
        <v>1236</v>
      </c>
      <c r="G378">
        <v>1856.1857</v>
      </c>
      <c r="H378">
        <v>1805.2366999999999</v>
      </c>
      <c r="I378">
        <v>1726.3</v>
      </c>
      <c r="J378">
        <v>-0.25030000000000002</v>
      </c>
      <c r="K378">
        <v>0.81059999999999999</v>
      </c>
      <c r="L378">
        <v>0.89510000000000001</v>
      </c>
      <c r="M378">
        <v>74.380600000000001</v>
      </c>
      <c r="N378">
        <v>27.671199999999999</v>
      </c>
      <c r="O378">
        <v>23.57</v>
      </c>
      <c r="P378">
        <v>1881.6008999999999</v>
      </c>
      <c r="Q378">
        <v>1758.4991</v>
      </c>
    </row>
    <row r="379" spans="1:17" x14ac:dyDescent="0.3">
      <c r="A379" s="1">
        <v>44938</v>
      </c>
      <c r="B379">
        <v>1895.5</v>
      </c>
      <c r="C379">
        <v>1897.4</v>
      </c>
      <c r="D379">
        <v>1877.2</v>
      </c>
      <c r="E379">
        <v>1877.2</v>
      </c>
      <c r="F379">
        <v>59</v>
      </c>
      <c r="G379">
        <v>1862.0427999999999</v>
      </c>
      <c r="H379">
        <v>1809.8267000000001</v>
      </c>
      <c r="I379">
        <v>1728.2311</v>
      </c>
      <c r="J379">
        <v>0.21890000000000001</v>
      </c>
      <c r="K379">
        <v>0.76459999999999995</v>
      </c>
      <c r="L379">
        <v>0.89270000000000005</v>
      </c>
      <c r="M379">
        <v>69.827600000000004</v>
      </c>
      <c r="N379">
        <v>28.427499999999998</v>
      </c>
      <c r="O379">
        <v>24.541499999999999</v>
      </c>
      <c r="P379">
        <v>1888.5311999999999</v>
      </c>
      <c r="Q379">
        <v>1761.2188000000001</v>
      </c>
    </row>
    <row r="380" spans="1:17" x14ac:dyDescent="0.3">
      <c r="A380" s="1">
        <v>44939</v>
      </c>
      <c r="B380">
        <v>1918.4</v>
      </c>
      <c r="C380">
        <v>1920.9</v>
      </c>
      <c r="D380">
        <v>1898.3</v>
      </c>
      <c r="E380">
        <v>1899</v>
      </c>
      <c r="F380">
        <v>512</v>
      </c>
      <c r="G380">
        <v>1869.6713999999999</v>
      </c>
      <c r="H380">
        <v>1814.8567</v>
      </c>
      <c r="I380">
        <v>1730.3344</v>
      </c>
      <c r="J380">
        <v>1.1613</v>
      </c>
      <c r="K380">
        <v>0.82869999999999999</v>
      </c>
      <c r="L380">
        <v>0.90700000000000003</v>
      </c>
      <c r="M380">
        <v>73.531099999999995</v>
      </c>
      <c r="N380">
        <v>30.435199999999998</v>
      </c>
      <c r="O380">
        <v>25.720199999999998</v>
      </c>
      <c r="P380">
        <v>1900.596</v>
      </c>
      <c r="Q380">
        <v>1757.9739999999999</v>
      </c>
    </row>
    <row r="381" spans="1:17" x14ac:dyDescent="0.3">
      <c r="A381" s="1">
        <v>44943</v>
      </c>
      <c r="B381">
        <v>1907.2</v>
      </c>
      <c r="C381">
        <v>1920.1</v>
      </c>
      <c r="D381">
        <v>1905.2</v>
      </c>
      <c r="E381">
        <v>1920.1</v>
      </c>
      <c r="F381">
        <v>706</v>
      </c>
      <c r="G381">
        <v>1878.9429</v>
      </c>
      <c r="H381">
        <v>1819.9032999999999</v>
      </c>
      <c r="I381">
        <v>1732.8378</v>
      </c>
      <c r="J381">
        <v>1.1111</v>
      </c>
      <c r="K381">
        <v>0.87070000000000003</v>
      </c>
      <c r="L381">
        <v>0.90469999999999995</v>
      </c>
      <c r="M381">
        <v>87.174899999999994</v>
      </c>
      <c r="N381">
        <v>33.344499999999996</v>
      </c>
      <c r="O381">
        <v>27.245100000000001</v>
      </c>
      <c r="P381">
        <v>1915.8860999999999</v>
      </c>
      <c r="Q381">
        <v>1754.5939000000001</v>
      </c>
    </row>
    <row r="382" spans="1:17" x14ac:dyDescent="0.3">
      <c r="A382" s="1">
        <v>44944</v>
      </c>
      <c r="B382">
        <v>1904.4</v>
      </c>
      <c r="C382">
        <v>1911.1</v>
      </c>
      <c r="D382">
        <v>1903.1</v>
      </c>
      <c r="E382">
        <v>1911.1</v>
      </c>
      <c r="F382">
        <v>1027</v>
      </c>
      <c r="G382">
        <v>1889.3286000000001</v>
      </c>
      <c r="H382">
        <v>1823.54</v>
      </c>
      <c r="I382">
        <v>1734.9811</v>
      </c>
      <c r="J382">
        <v>-0.46870000000000001</v>
      </c>
      <c r="K382">
        <v>0.76249999999999996</v>
      </c>
      <c r="L382">
        <v>0.86180000000000001</v>
      </c>
      <c r="M382">
        <v>81.844999999999999</v>
      </c>
      <c r="N382">
        <v>34.5259</v>
      </c>
      <c r="O382">
        <v>28.7012</v>
      </c>
      <c r="P382">
        <v>1924.5824</v>
      </c>
      <c r="Q382">
        <v>1759.2175999999999</v>
      </c>
    </row>
    <row r="383" spans="1:17" x14ac:dyDescent="0.3">
      <c r="A383" s="1">
        <v>44945</v>
      </c>
      <c r="B383">
        <v>1922.1</v>
      </c>
      <c r="C383">
        <v>1931.8</v>
      </c>
      <c r="D383">
        <v>1922.1</v>
      </c>
      <c r="E383">
        <v>1922.1</v>
      </c>
      <c r="F383">
        <v>371</v>
      </c>
      <c r="G383">
        <v>1897.2</v>
      </c>
      <c r="H383">
        <v>1827.7533000000001</v>
      </c>
      <c r="I383">
        <v>1737.2356</v>
      </c>
      <c r="J383">
        <v>0.5756</v>
      </c>
      <c r="K383">
        <v>0.62660000000000005</v>
      </c>
      <c r="L383">
        <v>0.85799999999999998</v>
      </c>
      <c r="M383">
        <v>83.046099999999996</v>
      </c>
      <c r="N383">
        <v>35.935499999999998</v>
      </c>
      <c r="O383">
        <v>30.148099999999999</v>
      </c>
      <c r="P383">
        <v>1934.9038</v>
      </c>
      <c r="Q383">
        <v>1761.9462000000001</v>
      </c>
    </row>
    <row r="384" spans="1:17" x14ac:dyDescent="0.3">
      <c r="A384" s="1">
        <v>44946</v>
      </c>
      <c r="B384">
        <v>1926.4</v>
      </c>
      <c r="C384">
        <v>1928.5</v>
      </c>
      <c r="D384">
        <v>1921.4</v>
      </c>
      <c r="E384">
        <v>1922.1</v>
      </c>
      <c r="F384">
        <v>1346</v>
      </c>
      <c r="G384">
        <v>1903.5284999999999</v>
      </c>
      <c r="H384">
        <v>1832.87</v>
      </c>
      <c r="I384">
        <v>1739.3988999999999</v>
      </c>
      <c r="J384">
        <v>0</v>
      </c>
      <c r="K384">
        <v>0.64</v>
      </c>
      <c r="L384">
        <v>0.79430000000000001</v>
      </c>
      <c r="M384">
        <v>82.797499999999999</v>
      </c>
      <c r="N384">
        <v>36.630400000000002</v>
      </c>
      <c r="O384">
        <v>31.444600000000001</v>
      </c>
      <c r="P384">
        <v>1942.5001999999999</v>
      </c>
      <c r="Q384">
        <v>1767.9097999999999</v>
      </c>
    </row>
    <row r="385" spans="1:17" x14ac:dyDescent="0.3">
      <c r="A385" s="1">
        <v>44949</v>
      </c>
      <c r="B385">
        <v>1927.1</v>
      </c>
      <c r="C385">
        <v>1927.1</v>
      </c>
      <c r="D385">
        <v>1915</v>
      </c>
      <c r="E385">
        <v>1926.5</v>
      </c>
      <c r="F385">
        <v>218</v>
      </c>
      <c r="G385">
        <v>1911.1570999999999</v>
      </c>
      <c r="H385">
        <v>1838.11</v>
      </c>
      <c r="I385">
        <v>1741.6877999999999</v>
      </c>
      <c r="J385">
        <v>0.22889999999999999</v>
      </c>
      <c r="K385">
        <v>0.59060000000000001</v>
      </c>
      <c r="L385">
        <v>0.79310000000000003</v>
      </c>
      <c r="M385">
        <v>82.111400000000003</v>
      </c>
      <c r="N385">
        <v>37.108400000000003</v>
      </c>
      <c r="O385">
        <v>32.577300000000001</v>
      </c>
      <c r="P385">
        <v>1951.5686000000001</v>
      </c>
      <c r="Q385">
        <v>1769.7514000000001</v>
      </c>
    </row>
    <row r="386" spans="1:17" x14ac:dyDescent="0.3">
      <c r="A386" s="1">
        <v>44950</v>
      </c>
      <c r="B386">
        <v>1933.9</v>
      </c>
      <c r="C386">
        <v>1936.8</v>
      </c>
      <c r="D386">
        <v>1931.8</v>
      </c>
      <c r="E386">
        <v>1931.8</v>
      </c>
      <c r="F386">
        <v>201</v>
      </c>
      <c r="G386">
        <v>1918.9571000000001</v>
      </c>
      <c r="H386">
        <v>1843.1033</v>
      </c>
      <c r="I386">
        <v>1744.2778000000001</v>
      </c>
      <c r="J386">
        <v>0.27510000000000001</v>
      </c>
      <c r="K386">
        <v>0.58799999999999997</v>
      </c>
      <c r="L386">
        <v>0.78890000000000005</v>
      </c>
      <c r="M386">
        <v>80.523600000000002</v>
      </c>
      <c r="N386">
        <v>37.482799999999997</v>
      </c>
      <c r="O386">
        <v>33.558399999999999</v>
      </c>
      <c r="P386">
        <v>1960.2194</v>
      </c>
      <c r="Q386">
        <v>1772.4704999999999</v>
      </c>
    </row>
    <row r="387" spans="1:17" x14ac:dyDescent="0.3">
      <c r="A387" s="1">
        <v>44951</v>
      </c>
      <c r="B387">
        <v>1941.2</v>
      </c>
      <c r="C387">
        <v>1941.2</v>
      </c>
      <c r="D387">
        <v>1939.8</v>
      </c>
      <c r="E387">
        <v>1941.2</v>
      </c>
      <c r="F387">
        <v>7</v>
      </c>
      <c r="G387">
        <v>1924.9857</v>
      </c>
      <c r="H387">
        <v>1847.98</v>
      </c>
      <c r="I387">
        <v>1747.1188999999999</v>
      </c>
      <c r="J387">
        <v>0.48659999999999998</v>
      </c>
      <c r="K387">
        <v>0.49220000000000003</v>
      </c>
      <c r="L387">
        <v>0.78539999999999999</v>
      </c>
      <c r="M387">
        <v>80.523600000000002</v>
      </c>
      <c r="N387">
        <v>38.0989</v>
      </c>
      <c r="O387">
        <v>34.466500000000003</v>
      </c>
      <c r="P387">
        <v>1966.8144</v>
      </c>
      <c r="Q387">
        <v>1780.5654999999999</v>
      </c>
    </row>
    <row r="388" spans="1:17" x14ac:dyDescent="0.3">
      <c r="A388" s="1">
        <v>44952</v>
      </c>
      <c r="B388">
        <v>1929.1</v>
      </c>
      <c r="C388">
        <v>1937.1</v>
      </c>
      <c r="D388">
        <v>1927.1</v>
      </c>
      <c r="E388">
        <v>1936.6</v>
      </c>
      <c r="F388">
        <v>131</v>
      </c>
      <c r="G388">
        <v>1927.3427999999999</v>
      </c>
      <c r="H388">
        <v>1852.9567</v>
      </c>
      <c r="I388">
        <v>1750.1877999999999</v>
      </c>
      <c r="J388">
        <v>-0.23699999999999999</v>
      </c>
      <c r="K388">
        <v>0.38</v>
      </c>
      <c r="L388">
        <v>0.78049999999999997</v>
      </c>
      <c r="M388">
        <v>76.846999999999994</v>
      </c>
      <c r="N388">
        <v>37.7804</v>
      </c>
      <c r="O388">
        <v>35.129300000000001</v>
      </c>
      <c r="P388">
        <v>1971.336</v>
      </c>
      <c r="Q388">
        <v>1789.364</v>
      </c>
    </row>
    <row r="389" spans="1:17" x14ac:dyDescent="0.3">
      <c r="A389" s="1">
        <v>44953</v>
      </c>
      <c r="B389">
        <v>1928.6</v>
      </c>
      <c r="C389">
        <v>1928.6</v>
      </c>
      <c r="D389">
        <v>1928.6</v>
      </c>
      <c r="E389">
        <v>1928.6</v>
      </c>
      <c r="F389">
        <v>150902</v>
      </c>
      <c r="G389">
        <v>1929.8427999999999</v>
      </c>
      <c r="H389">
        <v>1857.8867</v>
      </c>
      <c r="I389">
        <v>1753.1522</v>
      </c>
      <c r="J389">
        <v>-0.41310000000000002</v>
      </c>
      <c r="K389">
        <v>0.36580000000000001</v>
      </c>
      <c r="L389">
        <v>0.78180000000000005</v>
      </c>
      <c r="M389">
        <v>81.582599999999999</v>
      </c>
      <c r="N389">
        <v>36.462200000000003</v>
      </c>
      <c r="O389">
        <v>35.395899999999997</v>
      </c>
      <c r="P389">
        <v>1972.3518999999999</v>
      </c>
      <c r="Q389">
        <v>1800.8880999999999</v>
      </c>
    </row>
    <row r="390" spans="1:17" x14ac:dyDescent="0.3">
      <c r="A390" s="1">
        <v>44956</v>
      </c>
      <c r="B390">
        <v>1922.9</v>
      </c>
      <c r="C390">
        <v>1933.6</v>
      </c>
      <c r="D390">
        <v>1920.3</v>
      </c>
      <c r="E390">
        <v>1928.3</v>
      </c>
      <c r="F390">
        <v>27220</v>
      </c>
      <c r="G390">
        <v>1930.7285999999999</v>
      </c>
      <c r="H390">
        <v>1861.8033</v>
      </c>
      <c r="I390">
        <v>1756.1367</v>
      </c>
      <c r="J390">
        <v>-1.5599999999999999E-2</v>
      </c>
      <c r="K390">
        <v>0.31009999999999999</v>
      </c>
      <c r="L390">
        <v>0.73550000000000004</v>
      </c>
      <c r="M390">
        <v>76.768600000000006</v>
      </c>
      <c r="N390">
        <v>34.989899999999999</v>
      </c>
      <c r="O390">
        <v>35.314700000000002</v>
      </c>
      <c r="P390">
        <v>1971.3744999999999</v>
      </c>
      <c r="Q390">
        <v>1814.1153999999999</v>
      </c>
    </row>
    <row r="391" spans="1:17" x14ac:dyDescent="0.3">
      <c r="A391" s="1">
        <v>44957</v>
      </c>
      <c r="B391">
        <v>1929.5</v>
      </c>
      <c r="C391">
        <v>1930.4</v>
      </c>
      <c r="D391">
        <v>1900.6</v>
      </c>
      <c r="E391">
        <v>1923</v>
      </c>
      <c r="F391">
        <v>1910</v>
      </c>
      <c r="G391">
        <v>1930.8570999999999</v>
      </c>
      <c r="H391">
        <v>1865.87</v>
      </c>
      <c r="I391">
        <v>1758.9978000000001</v>
      </c>
      <c r="J391">
        <v>-0.27489999999999998</v>
      </c>
      <c r="K391">
        <v>0.33339999999999997</v>
      </c>
      <c r="L391">
        <v>0.72770000000000001</v>
      </c>
      <c r="M391">
        <v>70.733900000000006</v>
      </c>
      <c r="N391">
        <v>33.014899999999997</v>
      </c>
      <c r="O391">
        <v>34.854700000000001</v>
      </c>
      <c r="P391">
        <v>1969.1025999999999</v>
      </c>
      <c r="Q391">
        <v>1826.9874</v>
      </c>
    </row>
    <row r="392" spans="1:17" x14ac:dyDescent="0.3">
      <c r="A392" s="1">
        <v>44958</v>
      </c>
      <c r="B392">
        <v>1927.8</v>
      </c>
      <c r="C392">
        <v>1955</v>
      </c>
      <c r="D392">
        <v>1922</v>
      </c>
      <c r="E392">
        <v>1927.2</v>
      </c>
      <c r="F392">
        <v>2290</v>
      </c>
      <c r="G392">
        <v>1930.9571000000001</v>
      </c>
      <c r="H392">
        <v>1870.8467000000001</v>
      </c>
      <c r="I392">
        <v>1761.8743999999999</v>
      </c>
      <c r="J392">
        <v>0.21840000000000001</v>
      </c>
      <c r="K392">
        <v>0.33229999999999998</v>
      </c>
      <c r="L392">
        <v>0.67010000000000003</v>
      </c>
      <c r="M392">
        <v>74.930899999999994</v>
      </c>
      <c r="N392">
        <v>31.426300000000001</v>
      </c>
      <c r="O392">
        <v>34.168999999999997</v>
      </c>
      <c r="P392">
        <v>1968.4413999999999</v>
      </c>
      <c r="Q392">
        <v>1836.7485999999999</v>
      </c>
    </row>
    <row r="393" spans="1:17" x14ac:dyDescent="0.3">
      <c r="A393" s="1">
        <v>44959</v>
      </c>
      <c r="B393">
        <v>1916.3</v>
      </c>
      <c r="C393">
        <v>1959.1</v>
      </c>
      <c r="D393">
        <v>1911.3</v>
      </c>
      <c r="E393">
        <v>1952.3</v>
      </c>
      <c r="F393">
        <v>748</v>
      </c>
      <c r="G393">
        <v>1933.8857</v>
      </c>
      <c r="H393">
        <v>1876.2032999999999</v>
      </c>
      <c r="I393">
        <v>1765.0444</v>
      </c>
      <c r="J393">
        <v>1.3024</v>
      </c>
      <c r="K393">
        <v>0.59450000000000003</v>
      </c>
      <c r="L393">
        <v>0.69040000000000001</v>
      </c>
      <c r="M393">
        <v>78.996200000000002</v>
      </c>
      <c r="N393">
        <v>31.825800000000001</v>
      </c>
      <c r="O393">
        <v>33.700400000000002</v>
      </c>
      <c r="P393">
        <v>1971.5864999999999</v>
      </c>
      <c r="Q393">
        <v>1844.2735</v>
      </c>
    </row>
    <row r="394" spans="1:17" x14ac:dyDescent="0.3">
      <c r="A394" s="1">
        <v>44960</v>
      </c>
      <c r="B394">
        <v>1862.9</v>
      </c>
      <c r="C394">
        <v>1917</v>
      </c>
      <c r="D394">
        <v>1861.5</v>
      </c>
      <c r="E394">
        <v>1912.4</v>
      </c>
      <c r="F394">
        <v>992</v>
      </c>
      <c r="G394">
        <v>1929.7714000000001</v>
      </c>
      <c r="H394">
        <v>1880.4</v>
      </c>
      <c r="I394">
        <v>1768.2566999999999</v>
      </c>
      <c r="J394">
        <v>-2.0436999999999999</v>
      </c>
      <c r="K394">
        <v>0.99309999999999998</v>
      </c>
      <c r="L394">
        <v>0.80589999999999995</v>
      </c>
      <c r="M394">
        <v>54.539299999999997</v>
      </c>
      <c r="N394">
        <v>28.593299999999999</v>
      </c>
      <c r="O394">
        <v>32.679000000000002</v>
      </c>
      <c r="P394">
        <v>1969.4121</v>
      </c>
      <c r="Q394">
        <v>1852.1678999999999</v>
      </c>
    </row>
    <row r="395" spans="1:17" x14ac:dyDescent="0.3">
      <c r="A395" s="1">
        <v>44963</v>
      </c>
      <c r="B395">
        <v>1866.2</v>
      </c>
      <c r="C395">
        <v>1880</v>
      </c>
      <c r="D395">
        <v>1863.4</v>
      </c>
      <c r="E395">
        <v>1865.6</v>
      </c>
      <c r="F395">
        <v>424</v>
      </c>
      <c r="G395">
        <v>1919.6286</v>
      </c>
      <c r="H395">
        <v>1882.0066999999999</v>
      </c>
      <c r="I395">
        <v>1770.85</v>
      </c>
      <c r="J395">
        <v>-2.4472</v>
      </c>
      <c r="K395">
        <v>1.3056000000000001</v>
      </c>
      <c r="L395">
        <v>0.89390000000000003</v>
      </c>
      <c r="M395">
        <v>34.275799999999997</v>
      </c>
      <c r="N395">
        <v>22.0015</v>
      </c>
      <c r="O395">
        <v>30.543500000000002</v>
      </c>
      <c r="P395">
        <v>1964.6424999999999</v>
      </c>
      <c r="Q395">
        <v>1859.6574000000001</v>
      </c>
    </row>
    <row r="396" spans="1:17" x14ac:dyDescent="0.3">
      <c r="A396" s="1">
        <v>44964</v>
      </c>
      <c r="B396">
        <v>1871.7</v>
      </c>
      <c r="C396">
        <v>1875.7</v>
      </c>
      <c r="D396">
        <v>1868</v>
      </c>
      <c r="E396">
        <v>1870</v>
      </c>
      <c r="F396">
        <v>297</v>
      </c>
      <c r="G396">
        <v>1911.2571</v>
      </c>
      <c r="H396">
        <v>1883.7366999999999</v>
      </c>
      <c r="I396">
        <v>1773.6233</v>
      </c>
      <c r="J396">
        <v>0.2359</v>
      </c>
      <c r="K396">
        <v>1.3374999999999999</v>
      </c>
      <c r="L396">
        <v>0.89429999999999998</v>
      </c>
      <c r="M396">
        <v>37.818600000000004</v>
      </c>
      <c r="N396">
        <v>16.937200000000001</v>
      </c>
      <c r="O396">
        <v>27.822199999999999</v>
      </c>
      <c r="P396">
        <v>1964.2637999999999</v>
      </c>
      <c r="Q396">
        <v>1860.3362</v>
      </c>
    </row>
    <row r="397" spans="1:17" x14ac:dyDescent="0.3">
      <c r="A397" s="1">
        <v>44965</v>
      </c>
      <c r="B397">
        <v>1877.4</v>
      </c>
      <c r="C397">
        <v>1880.4</v>
      </c>
      <c r="D397">
        <v>1872.1</v>
      </c>
      <c r="E397">
        <v>1872.1</v>
      </c>
      <c r="F397">
        <v>230</v>
      </c>
      <c r="G397">
        <v>1903.2285999999999</v>
      </c>
      <c r="H397">
        <v>1886.33</v>
      </c>
      <c r="I397">
        <v>1776.0133000000001</v>
      </c>
      <c r="J397">
        <v>0.1123</v>
      </c>
      <c r="K397">
        <v>1.345</v>
      </c>
      <c r="L397">
        <v>0.85389999999999999</v>
      </c>
      <c r="M397">
        <v>34.355400000000003</v>
      </c>
      <c r="N397">
        <v>12.944000000000001</v>
      </c>
      <c r="O397">
        <v>24.846599999999999</v>
      </c>
      <c r="P397">
        <v>1964.8309999999999</v>
      </c>
      <c r="Q397">
        <v>1859.1989000000001</v>
      </c>
    </row>
    <row r="398" spans="1:17" x14ac:dyDescent="0.3">
      <c r="A398" s="1">
        <v>44966</v>
      </c>
      <c r="B398">
        <v>1866.2</v>
      </c>
      <c r="C398">
        <v>1884.6</v>
      </c>
      <c r="D398">
        <v>1859.8</v>
      </c>
      <c r="E398">
        <v>1875.3</v>
      </c>
      <c r="F398">
        <v>223</v>
      </c>
      <c r="G398">
        <v>1896.4142999999999</v>
      </c>
      <c r="H398">
        <v>1888.7266999999999</v>
      </c>
      <c r="I398">
        <v>1778.3867</v>
      </c>
      <c r="J398">
        <v>0.1709</v>
      </c>
      <c r="K398">
        <v>1.3631</v>
      </c>
      <c r="L398">
        <v>0.85119999999999996</v>
      </c>
      <c r="M398">
        <v>35.644199999999998</v>
      </c>
      <c r="N398">
        <v>9.9230999999999998</v>
      </c>
      <c r="O398">
        <v>21.861899999999999</v>
      </c>
      <c r="P398">
        <v>1964.6079</v>
      </c>
      <c r="Q398">
        <v>1859.6421</v>
      </c>
    </row>
    <row r="399" spans="1:17" x14ac:dyDescent="0.3">
      <c r="A399" s="1">
        <v>44967</v>
      </c>
      <c r="B399">
        <v>1862.8</v>
      </c>
      <c r="C399">
        <v>1863.5</v>
      </c>
      <c r="D399">
        <v>1852.4</v>
      </c>
      <c r="E399">
        <v>1861.6</v>
      </c>
      <c r="F399">
        <v>27</v>
      </c>
      <c r="G399">
        <v>1887.0428999999999</v>
      </c>
      <c r="H399">
        <v>1890.6732999999999</v>
      </c>
      <c r="I399">
        <v>1780.5467000000001</v>
      </c>
      <c r="J399">
        <v>-0.73060000000000003</v>
      </c>
      <c r="K399">
        <v>1.3442000000000001</v>
      </c>
      <c r="L399">
        <v>0.86539999999999995</v>
      </c>
      <c r="M399">
        <v>31.166599999999999</v>
      </c>
      <c r="N399">
        <v>6.3503999999999996</v>
      </c>
      <c r="O399">
        <v>18.759599999999999</v>
      </c>
      <c r="P399">
        <v>1966.4133999999999</v>
      </c>
      <c r="Q399">
        <v>1856.2765999999999</v>
      </c>
    </row>
    <row r="400" spans="1:17" x14ac:dyDescent="0.3">
      <c r="A400" s="1">
        <v>44970</v>
      </c>
      <c r="B400">
        <v>1851.9</v>
      </c>
      <c r="C400">
        <v>1861</v>
      </c>
      <c r="D400">
        <v>1850</v>
      </c>
      <c r="E400">
        <v>1859</v>
      </c>
      <c r="F400">
        <v>569</v>
      </c>
      <c r="G400">
        <v>1873.7143000000001</v>
      </c>
      <c r="H400">
        <v>1892.4467</v>
      </c>
      <c r="I400">
        <v>1782.3</v>
      </c>
      <c r="J400">
        <v>-0.13969999999999999</v>
      </c>
      <c r="K400">
        <v>1.1155999999999999</v>
      </c>
      <c r="L400">
        <v>0.86660000000000004</v>
      </c>
      <c r="M400">
        <v>28.537700000000001</v>
      </c>
      <c r="N400">
        <v>3.2715000000000001</v>
      </c>
      <c r="O400">
        <v>15.662000000000001</v>
      </c>
      <c r="P400">
        <v>1969.0145</v>
      </c>
      <c r="Q400">
        <v>1849.6755000000001</v>
      </c>
    </row>
    <row r="401" spans="1:17" x14ac:dyDescent="0.3">
      <c r="A401" s="1">
        <v>44971</v>
      </c>
      <c r="B401">
        <v>1854</v>
      </c>
      <c r="C401">
        <v>1862</v>
      </c>
      <c r="D401">
        <v>1846.2</v>
      </c>
      <c r="E401">
        <v>1854.1</v>
      </c>
      <c r="F401">
        <v>656</v>
      </c>
      <c r="G401">
        <v>1865.3857</v>
      </c>
      <c r="H401">
        <v>1893.6832999999999</v>
      </c>
      <c r="I401">
        <v>1783.7444</v>
      </c>
      <c r="J401">
        <v>-0.2636</v>
      </c>
      <c r="K401">
        <v>0.94599999999999995</v>
      </c>
      <c r="L401">
        <v>0.86329999999999996</v>
      </c>
      <c r="M401">
        <v>23.6221</v>
      </c>
      <c r="N401">
        <v>0.43109999999999998</v>
      </c>
      <c r="O401">
        <v>12.6158</v>
      </c>
      <c r="P401">
        <v>1970.3316</v>
      </c>
      <c r="Q401">
        <v>1841.7583999999999</v>
      </c>
    </row>
    <row r="402" spans="1:17" x14ac:dyDescent="0.3">
      <c r="A402" s="1">
        <v>44972</v>
      </c>
      <c r="B402">
        <v>1834.2</v>
      </c>
      <c r="C402">
        <v>1842</v>
      </c>
      <c r="D402">
        <v>1828.2</v>
      </c>
      <c r="E402">
        <v>1842</v>
      </c>
      <c r="F402">
        <v>368</v>
      </c>
      <c r="G402">
        <v>1862.0143</v>
      </c>
      <c r="H402">
        <v>1893.8767</v>
      </c>
      <c r="I402">
        <v>1785.0889</v>
      </c>
      <c r="J402">
        <v>-0.65259999999999996</v>
      </c>
      <c r="K402">
        <v>0.39090000000000003</v>
      </c>
      <c r="L402">
        <v>0.85240000000000005</v>
      </c>
      <c r="M402">
        <v>22.595600000000001</v>
      </c>
      <c r="N402">
        <v>-2.7645</v>
      </c>
      <c r="O402">
        <v>9.5396999999999998</v>
      </c>
      <c r="P402">
        <v>1972.8797999999999</v>
      </c>
      <c r="Q402">
        <v>1832.3001999999999</v>
      </c>
    </row>
    <row r="403" spans="1:17" x14ac:dyDescent="0.3">
      <c r="A403" s="1">
        <v>44973</v>
      </c>
      <c r="B403">
        <v>1842</v>
      </c>
      <c r="C403">
        <v>1843.7</v>
      </c>
      <c r="D403">
        <v>1827.2</v>
      </c>
      <c r="E403">
        <v>1838.6</v>
      </c>
      <c r="F403">
        <v>222</v>
      </c>
      <c r="G403">
        <v>1857.5286000000001</v>
      </c>
      <c r="H403">
        <v>1893.6433</v>
      </c>
      <c r="I403">
        <v>1786.5166999999999</v>
      </c>
      <c r="J403">
        <v>-0.18459999999999999</v>
      </c>
      <c r="K403">
        <v>0.3458</v>
      </c>
      <c r="L403">
        <v>0.8478</v>
      </c>
      <c r="M403">
        <v>23.214300000000001</v>
      </c>
      <c r="N403">
        <v>-5.5077999999999996</v>
      </c>
      <c r="O403">
        <v>6.5301999999999998</v>
      </c>
      <c r="P403">
        <v>1973.576</v>
      </c>
      <c r="Q403">
        <v>1823.2539999999999</v>
      </c>
    </row>
    <row r="404" spans="1:17" x14ac:dyDescent="0.3">
      <c r="A404" s="1">
        <v>44974</v>
      </c>
      <c r="B404">
        <v>1840.4</v>
      </c>
      <c r="C404">
        <v>1842.2</v>
      </c>
      <c r="D404">
        <v>1818.4</v>
      </c>
      <c r="E404">
        <v>1827.4</v>
      </c>
      <c r="F404">
        <v>35</v>
      </c>
      <c r="G404">
        <v>1851.1429000000001</v>
      </c>
      <c r="H404">
        <v>1892.7166999999999</v>
      </c>
      <c r="I404">
        <v>1788.0056</v>
      </c>
      <c r="J404">
        <v>-0.60919999999999996</v>
      </c>
      <c r="K404">
        <v>0.3301</v>
      </c>
      <c r="L404">
        <v>0.84860000000000002</v>
      </c>
      <c r="M404">
        <v>21.799900000000001</v>
      </c>
      <c r="N404">
        <v>-8.4878999999999998</v>
      </c>
      <c r="O404">
        <v>3.5266000000000002</v>
      </c>
      <c r="P404">
        <v>1974.2926</v>
      </c>
      <c r="Q404">
        <v>1813.0673999999999</v>
      </c>
    </row>
    <row r="405" spans="1:17" x14ac:dyDescent="0.3">
      <c r="A405" s="1">
        <v>44978</v>
      </c>
      <c r="B405">
        <v>1833</v>
      </c>
      <c r="C405">
        <v>1843</v>
      </c>
      <c r="D405">
        <v>1833</v>
      </c>
      <c r="E405">
        <v>1842.6</v>
      </c>
      <c r="F405">
        <v>862</v>
      </c>
      <c r="G405">
        <v>1846.4713999999999</v>
      </c>
      <c r="H405">
        <v>1892.8567</v>
      </c>
      <c r="I405">
        <v>1790.0144</v>
      </c>
      <c r="J405">
        <v>0.83179999999999998</v>
      </c>
      <c r="K405">
        <v>0.53369999999999995</v>
      </c>
      <c r="L405">
        <v>0.84719999999999995</v>
      </c>
      <c r="M405">
        <v>28.707599999999999</v>
      </c>
      <c r="N405">
        <v>-9.5134000000000007</v>
      </c>
      <c r="O405">
        <v>0.91859999999999997</v>
      </c>
      <c r="P405">
        <v>1971.624</v>
      </c>
      <c r="Q405">
        <v>1807.346</v>
      </c>
    </row>
    <row r="406" spans="1:17" x14ac:dyDescent="0.3">
      <c r="A406" s="1">
        <v>44979</v>
      </c>
      <c r="B406">
        <v>1832</v>
      </c>
      <c r="C406">
        <v>1836.2</v>
      </c>
      <c r="D406">
        <v>1825.1</v>
      </c>
      <c r="E406">
        <v>1835.7</v>
      </c>
      <c r="F406">
        <v>278</v>
      </c>
      <c r="G406">
        <v>1842.7714000000001</v>
      </c>
      <c r="H406">
        <v>1891.8133</v>
      </c>
      <c r="I406">
        <v>1791.8778</v>
      </c>
      <c r="J406">
        <v>-0.3745</v>
      </c>
      <c r="K406">
        <v>0.49580000000000002</v>
      </c>
      <c r="L406">
        <v>0.79769999999999996</v>
      </c>
      <c r="M406">
        <v>26.1097</v>
      </c>
      <c r="N406">
        <v>-10.758900000000001</v>
      </c>
      <c r="O406">
        <v>-1.4169</v>
      </c>
      <c r="P406">
        <v>1967.6358</v>
      </c>
      <c r="Q406">
        <v>1801.7242000000001</v>
      </c>
    </row>
    <row r="407" spans="1:17" x14ac:dyDescent="0.3">
      <c r="A407" s="1">
        <v>44980</v>
      </c>
      <c r="B407">
        <v>1818</v>
      </c>
      <c r="C407">
        <v>1827.5</v>
      </c>
      <c r="D407">
        <v>1818</v>
      </c>
      <c r="E407">
        <v>1826.4</v>
      </c>
      <c r="F407">
        <v>291</v>
      </c>
      <c r="G407">
        <v>1838.1143</v>
      </c>
      <c r="H407">
        <v>1890.1</v>
      </c>
      <c r="I407">
        <v>1793.5578</v>
      </c>
      <c r="J407">
        <v>-0.50660000000000005</v>
      </c>
      <c r="K407">
        <v>0.50780000000000003</v>
      </c>
      <c r="L407">
        <v>0.79269999999999996</v>
      </c>
      <c r="M407">
        <v>14.171900000000001</v>
      </c>
      <c r="N407">
        <v>-12.353899999999999</v>
      </c>
      <c r="O407">
        <v>-3.6042999999999998</v>
      </c>
      <c r="P407">
        <v>1961.3140000000001</v>
      </c>
      <c r="Q407">
        <v>1796.566</v>
      </c>
    </row>
    <row r="408" spans="1:17" x14ac:dyDescent="0.3">
      <c r="A408" s="1">
        <v>44981</v>
      </c>
      <c r="B408">
        <v>1808.8</v>
      </c>
      <c r="C408">
        <v>1808.8</v>
      </c>
      <c r="D408">
        <v>1808.8</v>
      </c>
      <c r="E408">
        <v>1808.8</v>
      </c>
      <c r="F408">
        <v>404</v>
      </c>
      <c r="G408">
        <v>1831.6429000000001</v>
      </c>
      <c r="H408">
        <v>1887.9567</v>
      </c>
      <c r="I408">
        <v>1795.1522</v>
      </c>
      <c r="J408">
        <v>-0.96360000000000001</v>
      </c>
      <c r="K408">
        <v>0.57509999999999994</v>
      </c>
      <c r="L408">
        <v>0.80820000000000003</v>
      </c>
      <c r="M408">
        <v>16.232099999999999</v>
      </c>
      <c r="N408">
        <v>-14.8668</v>
      </c>
      <c r="O408">
        <v>-5.8567999999999998</v>
      </c>
      <c r="P408">
        <v>1955.9126000000001</v>
      </c>
      <c r="Q408">
        <v>1789.1874</v>
      </c>
    </row>
    <row r="409" spans="1:17" x14ac:dyDescent="0.3">
      <c r="A409" s="1">
        <v>44984</v>
      </c>
      <c r="B409">
        <v>1817</v>
      </c>
      <c r="C409">
        <v>1817.5</v>
      </c>
      <c r="D409">
        <v>1808.9</v>
      </c>
      <c r="E409">
        <v>1811.6</v>
      </c>
      <c r="F409">
        <v>829</v>
      </c>
      <c r="G409">
        <v>1827.3</v>
      </c>
      <c r="H409">
        <v>1885.77</v>
      </c>
      <c r="I409">
        <v>1796.9456</v>
      </c>
      <c r="J409">
        <v>0.15479999999999999</v>
      </c>
      <c r="K409">
        <v>0.58550000000000002</v>
      </c>
      <c r="L409">
        <v>0.80740000000000001</v>
      </c>
      <c r="M409">
        <v>25.319900000000001</v>
      </c>
      <c r="N409">
        <v>-16.442900000000002</v>
      </c>
      <c r="O409">
        <v>-7.9740000000000002</v>
      </c>
      <c r="P409">
        <v>1949.9222</v>
      </c>
      <c r="Q409">
        <v>1783.4777999999999</v>
      </c>
    </row>
    <row r="410" spans="1:17" x14ac:dyDescent="0.3">
      <c r="A410" s="1">
        <v>44985</v>
      </c>
      <c r="B410">
        <v>1828.9</v>
      </c>
      <c r="C410">
        <v>1830</v>
      </c>
      <c r="D410">
        <v>1808.1</v>
      </c>
      <c r="E410">
        <v>1808.1</v>
      </c>
      <c r="F410">
        <v>618</v>
      </c>
      <c r="G410">
        <v>1822.9429</v>
      </c>
      <c r="H410">
        <v>1882.74</v>
      </c>
      <c r="I410">
        <v>1798.6867</v>
      </c>
      <c r="J410">
        <v>-0.19320000000000001</v>
      </c>
      <c r="K410">
        <v>0.58540000000000003</v>
      </c>
      <c r="L410">
        <v>0.77059999999999995</v>
      </c>
      <c r="M410">
        <v>21.474599999999999</v>
      </c>
      <c r="N410">
        <v>-17.769500000000001</v>
      </c>
      <c r="O410">
        <v>-9.9330999999999996</v>
      </c>
      <c r="P410">
        <v>1942.5308</v>
      </c>
      <c r="Q410">
        <v>1778.8490999999999</v>
      </c>
    </row>
    <row r="411" spans="1:17" x14ac:dyDescent="0.3">
      <c r="A411" s="1">
        <v>44986</v>
      </c>
      <c r="B411">
        <v>1837.7</v>
      </c>
      <c r="C411">
        <v>1841.7</v>
      </c>
      <c r="D411">
        <v>1827.1</v>
      </c>
      <c r="E411">
        <v>1827.1</v>
      </c>
      <c r="F411">
        <v>211</v>
      </c>
      <c r="G411">
        <v>1822.9</v>
      </c>
      <c r="H411">
        <v>1879.64</v>
      </c>
      <c r="I411">
        <v>1800.7933</v>
      </c>
      <c r="J411">
        <v>1.0508</v>
      </c>
      <c r="K411">
        <v>0.72829999999999995</v>
      </c>
      <c r="L411">
        <v>0.76719999999999999</v>
      </c>
      <c r="M411">
        <v>32.057400000000001</v>
      </c>
      <c r="N411">
        <v>-17.090599999999998</v>
      </c>
      <c r="O411">
        <v>-11.364599999999999</v>
      </c>
      <c r="P411">
        <v>1933.4919</v>
      </c>
      <c r="Q411">
        <v>1778.2981</v>
      </c>
    </row>
    <row r="412" spans="1:17" x14ac:dyDescent="0.3">
      <c r="A412" s="1">
        <v>44987</v>
      </c>
      <c r="B412">
        <v>1833.5</v>
      </c>
      <c r="C412">
        <v>1836.3</v>
      </c>
      <c r="D412">
        <v>1830</v>
      </c>
      <c r="E412">
        <v>1830</v>
      </c>
      <c r="F412">
        <v>154</v>
      </c>
      <c r="G412">
        <v>1821.1</v>
      </c>
      <c r="H412">
        <v>1876.9367</v>
      </c>
      <c r="I412">
        <v>1803.0956000000001</v>
      </c>
      <c r="J412">
        <v>0.15870000000000001</v>
      </c>
      <c r="K412">
        <v>0.63919999999999999</v>
      </c>
      <c r="L412">
        <v>0.7671</v>
      </c>
      <c r="M412">
        <v>31.894400000000001</v>
      </c>
      <c r="N412">
        <v>-16.1327</v>
      </c>
      <c r="O412">
        <v>-12.318199999999999</v>
      </c>
      <c r="P412">
        <v>1921.6932999999999</v>
      </c>
      <c r="Q412">
        <v>1780.3767</v>
      </c>
    </row>
    <row r="413" spans="1:17" x14ac:dyDescent="0.3">
      <c r="A413" s="1">
        <v>44988</v>
      </c>
      <c r="B413">
        <v>1847.7</v>
      </c>
      <c r="C413">
        <v>1855.4</v>
      </c>
      <c r="D413">
        <v>1837.3</v>
      </c>
      <c r="E413">
        <v>1837.3</v>
      </c>
      <c r="F413">
        <v>61</v>
      </c>
      <c r="G413">
        <v>1821.3286000000001</v>
      </c>
      <c r="H413">
        <v>1874.11</v>
      </c>
      <c r="I413">
        <v>1805.3533</v>
      </c>
      <c r="J413">
        <v>0.39889999999999998</v>
      </c>
      <c r="K413">
        <v>0.64980000000000004</v>
      </c>
      <c r="L413">
        <v>0.7621</v>
      </c>
      <c r="M413">
        <v>39.764099999999999</v>
      </c>
      <c r="N413">
        <v>-14.616</v>
      </c>
      <c r="O413">
        <v>-12.777799999999999</v>
      </c>
      <c r="P413">
        <v>1897.5749000000001</v>
      </c>
      <c r="Q413">
        <v>1792.9951000000001</v>
      </c>
    </row>
    <row r="414" spans="1:17" x14ac:dyDescent="0.3">
      <c r="A414" s="1">
        <v>44991</v>
      </c>
      <c r="B414">
        <v>1847.9</v>
      </c>
      <c r="C414">
        <v>1853.8</v>
      </c>
      <c r="D414">
        <v>1844.2</v>
      </c>
      <c r="E414">
        <v>1853.3</v>
      </c>
      <c r="F414">
        <v>5</v>
      </c>
      <c r="G414">
        <v>1825.1713999999999</v>
      </c>
      <c r="H414">
        <v>1871.8167000000001</v>
      </c>
      <c r="I414">
        <v>1807.4711</v>
      </c>
      <c r="J414">
        <v>0.87080000000000002</v>
      </c>
      <c r="K414">
        <v>0.67390000000000005</v>
      </c>
      <c r="L414">
        <v>0.78420000000000001</v>
      </c>
      <c r="M414">
        <v>47.842599999999997</v>
      </c>
      <c r="N414">
        <v>-11.9848</v>
      </c>
      <c r="O414">
        <v>-12.619199999999999</v>
      </c>
      <c r="P414">
        <v>1884.3144</v>
      </c>
      <c r="Q414">
        <v>1800.3456000000001</v>
      </c>
    </row>
    <row r="415" spans="1:17" x14ac:dyDescent="0.3">
      <c r="A415" s="1">
        <v>44992</v>
      </c>
      <c r="B415">
        <v>1813.9</v>
      </c>
      <c r="C415">
        <v>1840.9</v>
      </c>
      <c r="D415">
        <v>1813.9</v>
      </c>
      <c r="E415">
        <v>1840.9</v>
      </c>
      <c r="F415">
        <v>450</v>
      </c>
      <c r="G415">
        <v>1829.7571</v>
      </c>
      <c r="H415">
        <v>1868.9632999999999</v>
      </c>
      <c r="I415">
        <v>1809.6122</v>
      </c>
      <c r="J415">
        <v>-0.66910000000000003</v>
      </c>
      <c r="K415">
        <v>0.59260000000000002</v>
      </c>
      <c r="L415">
        <v>0.78759999999999997</v>
      </c>
      <c r="M415">
        <v>45.272199999999998</v>
      </c>
      <c r="N415">
        <v>-10.7759</v>
      </c>
      <c r="O415">
        <v>-12.250500000000001</v>
      </c>
      <c r="P415">
        <v>1881.6252999999999</v>
      </c>
      <c r="Q415">
        <v>1800.5648000000001</v>
      </c>
    </row>
    <row r="416" spans="1:17" x14ac:dyDescent="0.3">
      <c r="A416" s="1">
        <v>44993</v>
      </c>
      <c r="B416">
        <v>1812.7</v>
      </c>
      <c r="C416">
        <v>1812.9</v>
      </c>
      <c r="D416">
        <v>1811.5</v>
      </c>
      <c r="E416">
        <v>1811.6</v>
      </c>
      <c r="F416">
        <v>75</v>
      </c>
      <c r="G416">
        <v>1829.7571</v>
      </c>
      <c r="H416">
        <v>1864.9567</v>
      </c>
      <c r="I416">
        <v>1811.41</v>
      </c>
      <c r="J416">
        <v>-1.5915999999999999</v>
      </c>
      <c r="K416">
        <v>0.91879999999999995</v>
      </c>
      <c r="L416">
        <v>0.82579999999999998</v>
      </c>
      <c r="M416">
        <v>40.306100000000001</v>
      </c>
      <c r="N416">
        <v>-12.043200000000001</v>
      </c>
      <c r="O416">
        <v>-12.209099999999999</v>
      </c>
      <c r="P416">
        <v>1878.3503000000001</v>
      </c>
      <c r="Q416">
        <v>1797.9997000000001</v>
      </c>
    </row>
    <row r="417" spans="1:17" x14ac:dyDescent="0.3">
      <c r="A417" s="1">
        <v>44994</v>
      </c>
      <c r="B417">
        <v>1829.3</v>
      </c>
      <c r="C417">
        <v>1829.3</v>
      </c>
      <c r="D417">
        <v>1815.6</v>
      </c>
      <c r="E417">
        <v>1816.4</v>
      </c>
      <c r="F417">
        <v>332</v>
      </c>
      <c r="G417">
        <v>1830.9429</v>
      </c>
      <c r="H417">
        <v>1860.7967000000001</v>
      </c>
      <c r="I417">
        <v>1813.14</v>
      </c>
      <c r="J417">
        <v>0.26500000000000001</v>
      </c>
      <c r="K417">
        <v>0.91879999999999995</v>
      </c>
      <c r="L417">
        <v>0.82030000000000003</v>
      </c>
      <c r="M417">
        <v>42.983600000000003</v>
      </c>
      <c r="N417">
        <v>-12.516</v>
      </c>
      <c r="O417">
        <v>-12.2705</v>
      </c>
      <c r="P417">
        <v>1873.3231000000001</v>
      </c>
      <c r="Q417">
        <v>1797.4568999999999</v>
      </c>
    </row>
    <row r="418" spans="1:17" x14ac:dyDescent="0.3">
      <c r="A418" s="1">
        <v>44995</v>
      </c>
      <c r="B418">
        <v>1862</v>
      </c>
      <c r="C418">
        <v>1868.5</v>
      </c>
      <c r="D418">
        <v>1852</v>
      </c>
      <c r="E418">
        <v>1852.3</v>
      </c>
      <c r="F418">
        <v>248</v>
      </c>
      <c r="G418">
        <v>1834.5428999999999</v>
      </c>
      <c r="H418">
        <v>1857.9866999999999</v>
      </c>
      <c r="I418">
        <v>1815.2655999999999</v>
      </c>
      <c r="J418">
        <v>1.9763999999999999</v>
      </c>
      <c r="K418">
        <v>1.1267</v>
      </c>
      <c r="L418">
        <v>0.91290000000000004</v>
      </c>
      <c r="M418">
        <v>56.807000000000002</v>
      </c>
      <c r="N418">
        <v>-9.8800000000000008</v>
      </c>
      <c r="O418">
        <v>-11.792400000000001</v>
      </c>
      <c r="P418">
        <v>1868.2727</v>
      </c>
      <c r="Q418">
        <v>1800.2073</v>
      </c>
    </row>
    <row r="419" spans="1:17" x14ac:dyDescent="0.3">
      <c r="A419" s="1">
        <v>44998</v>
      </c>
      <c r="B419">
        <v>1911.7</v>
      </c>
      <c r="C419">
        <v>1913.1</v>
      </c>
      <c r="D419">
        <v>1875.1</v>
      </c>
      <c r="E419">
        <v>1890.8</v>
      </c>
      <c r="F419">
        <v>503</v>
      </c>
      <c r="G419">
        <v>1843.2285999999999</v>
      </c>
      <c r="H419">
        <v>1856.7266999999999</v>
      </c>
      <c r="I419">
        <v>1818.0322000000001</v>
      </c>
      <c r="J419">
        <v>2.0785</v>
      </c>
      <c r="K419">
        <v>1.3299000000000001</v>
      </c>
      <c r="L419">
        <v>0.997</v>
      </c>
      <c r="M419">
        <v>61.6877</v>
      </c>
      <c r="N419">
        <v>-4.6308999999999996</v>
      </c>
      <c r="O419">
        <v>-10.360099999999999</v>
      </c>
      <c r="P419">
        <v>1876.5061000000001</v>
      </c>
      <c r="Q419">
        <v>1794.8939</v>
      </c>
    </row>
    <row r="420" spans="1:17" x14ac:dyDescent="0.3">
      <c r="A420" s="1">
        <v>44999</v>
      </c>
      <c r="B420">
        <v>1906.2</v>
      </c>
      <c r="C420">
        <v>1912.2</v>
      </c>
      <c r="D420">
        <v>1901.1</v>
      </c>
      <c r="E420">
        <v>1912.2</v>
      </c>
      <c r="F420">
        <v>107</v>
      </c>
      <c r="G420">
        <v>1853.9286</v>
      </c>
      <c r="H420">
        <v>1856.19</v>
      </c>
      <c r="I420">
        <v>1821.1588999999999</v>
      </c>
      <c r="J420">
        <v>1.1317999999999999</v>
      </c>
      <c r="K420">
        <v>1.3514999999999999</v>
      </c>
      <c r="L420">
        <v>1.0206</v>
      </c>
      <c r="M420">
        <v>67.331199999999995</v>
      </c>
      <c r="N420">
        <v>1.2415</v>
      </c>
      <c r="O420">
        <v>-8.0397999999999996</v>
      </c>
      <c r="P420">
        <v>1890.83</v>
      </c>
      <c r="Q420">
        <v>1785.89</v>
      </c>
    </row>
    <row r="421" spans="1:17" x14ac:dyDescent="0.3">
      <c r="A421" s="1">
        <v>45000</v>
      </c>
      <c r="B421">
        <v>1926.6</v>
      </c>
      <c r="C421">
        <v>1926.6</v>
      </c>
      <c r="D421">
        <v>1898.5</v>
      </c>
      <c r="E421">
        <v>1903.9</v>
      </c>
      <c r="F421">
        <v>564</v>
      </c>
      <c r="G421">
        <v>1861.1572000000001</v>
      </c>
      <c r="H421">
        <v>1855.5533</v>
      </c>
      <c r="I421">
        <v>1823.9711</v>
      </c>
      <c r="J421">
        <v>-0.43409999999999999</v>
      </c>
      <c r="K421">
        <v>1.3940999999999999</v>
      </c>
      <c r="L421">
        <v>1.0223</v>
      </c>
      <c r="M421">
        <v>67.637699999999995</v>
      </c>
      <c r="N421">
        <v>5.1661000000000001</v>
      </c>
      <c r="O421">
        <v>-5.3986000000000001</v>
      </c>
      <c r="P421">
        <v>1900.6760999999999</v>
      </c>
      <c r="Q421">
        <v>1781.0239999999999</v>
      </c>
    </row>
    <row r="422" spans="1:17" x14ac:dyDescent="0.3">
      <c r="A422" s="1">
        <v>45001</v>
      </c>
      <c r="B422">
        <v>1919</v>
      </c>
      <c r="C422">
        <v>1931.7</v>
      </c>
      <c r="D422">
        <v>1909.9</v>
      </c>
      <c r="E422">
        <v>1909.9</v>
      </c>
      <c r="F422">
        <v>394</v>
      </c>
      <c r="G422">
        <v>1871.0143</v>
      </c>
      <c r="H422">
        <v>1854.9766999999999</v>
      </c>
      <c r="I422">
        <v>1827.09</v>
      </c>
      <c r="J422">
        <v>0.31509999999999999</v>
      </c>
      <c r="K422">
        <v>1.3165</v>
      </c>
      <c r="L422">
        <v>1.0233000000000001</v>
      </c>
      <c r="M422">
        <v>74.291200000000003</v>
      </c>
      <c r="N422">
        <v>8.6607000000000003</v>
      </c>
      <c r="O422">
        <v>-2.5867</v>
      </c>
      <c r="P422">
        <v>1911.5808999999999</v>
      </c>
      <c r="Q422">
        <v>1776.9092000000001</v>
      </c>
    </row>
    <row r="423" spans="1:17" x14ac:dyDescent="0.3">
      <c r="A423" s="1">
        <v>45002</v>
      </c>
      <c r="B423">
        <v>1969.8</v>
      </c>
      <c r="C423">
        <v>1985.1</v>
      </c>
      <c r="D423">
        <v>1946</v>
      </c>
      <c r="E423">
        <v>1946</v>
      </c>
      <c r="F423">
        <v>82</v>
      </c>
      <c r="G423">
        <v>1890.2143000000001</v>
      </c>
      <c r="H423">
        <v>1854.7666999999999</v>
      </c>
      <c r="I423">
        <v>1830.5989</v>
      </c>
      <c r="J423">
        <v>1.8902000000000001</v>
      </c>
      <c r="K423">
        <v>0.99880000000000002</v>
      </c>
      <c r="L423">
        <v>1.0547</v>
      </c>
      <c r="M423">
        <v>77.837599999999995</v>
      </c>
      <c r="N423">
        <v>14.1798</v>
      </c>
      <c r="O423">
        <v>0.76659999999999995</v>
      </c>
      <c r="P423">
        <v>1930.7679000000001</v>
      </c>
      <c r="Q423">
        <v>1768.4621</v>
      </c>
    </row>
    <row r="424" spans="1:17" x14ac:dyDescent="0.3">
      <c r="A424" s="1">
        <v>45005</v>
      </c>
      <c r="B424">
        <v>1979.2</v>
      </c>
      <c r="C424">
        <v>2003.9</v>
      </c>
      <c r="D424">
        <v>1968.9</v>
      </c>
      <c r="E424">
        <v>1988.3</v>
      </c>
      <c r="F424">
        <v>389</v>
      </c>
      <c r="G424">
        <v>1914.7714000000001</v>
      </c>
      <c r="H424">
        <v>1857.2967000000001</v>
      </c>
      <c r="I424">
        <v>1834.0589</v>
      </c>
      <c r="J424">
        <v>2.1737000000000002</v>
      </c>
      <c r="K424">
        <v>1.0148999999999999</v>
      </c>
      <c r="L424">
        <v>1.0547</v>
      </c>
      <c r="M424">
        <v>82.155600000000007</v>
      </c>
      <c r="N424">
        <v>21.7166</v>
      </c>
      <c r="O424">
        <v>4.9565999999999999</v>
      </c>
      <c r="P424">
        <v>1958.9445000000001</v>
      </c>
      <c r="Q424">
        <v>1756.3755000000001</v>
      </c>
    </row>
    <row r="425" spans="1:17" x14ac:dyDescent="0.3">
      <c r="A425" s="1">
        <v>45006</v>
      </c>
      <c r="B425">
        <v>1938</v>
      </c>
      <c r="C425">
        <v>1973.8</v>
      </c>
      <c r="D425">
        <v>1938</v>
      </c>
      <c r="E425">
        <v>1973.8</v>
      </c>
      <c r="F425">
        <v>47</v>
      </c>
      <c r="G425">
        <v>1932.1286</v>
      </c>
      <c r="H425">
        <v>1860.9032999999999</v>
      </c>
      <c r="I425">
        <v>1837.0655999999999</v>
      </c>
      <c r="J425">
        <v>-0.72929999999999995</v>
      </c>
      <c r="K425">
        <v>1.2123999999999999</v>
      </c>
      <c r="L425">
        <v>0.95120000000000005</v>
      </c>
      <c r="M425">
        <v>76.605000000000004</v>
      </c>
      <c r="N425">
        <v>26.217300000000002</v>
      </c>
      <c r="O425">
        <v>9.2087000000000003</v>
      </c>
      <c r="P425">
        <v>1977.6629</v>
      </c>
      <c r="Q425">
        <v>1750.7771</v>
      </c>
    </row>
    <row r="426" spans="1:17" x14ac:dyDescent="0.3">
      <c r="A426" s="1">
        <v>45007</v>
      </c>
      <c r="B426">
        <v>1946.8</v>
      </c>
      <c r="C426">
        <v>1974</v>
      </c>
      <c r="D426">
        <v>1946.8</v>
      </c>
      <c r="E426">
        <v>1946.8</v>
      </c>
      <c r="F426">
        <v>50</v>
      </c>
      <c r="G426">
        <v>1940.1286</v>
      </c>
      <c r="H426">
        <v>1863.4632999999999</v>
      </c>
      <c r="I426">
        <v>1839.7256</v>
      </c>
      <c r="J426">
        <v>-1.3678999999999999</v>
      </c>
      <c r="K426">
        <v>1.3541000000000001</v>
      </c>
      <c r="L426">
        <v>0.9929</v>
      </c>
      <c r="M426">
        <v>69.479699999999994</v>
      </c>
      <c r="N426">
        <v>27.290900000000001</v>
      </c>
      <c r="O426">
        <v>12.825100000000001</v>
      </c>
      <c r="P426">
        <v>1988.1126999999999</v>
      </c>
      <c r="Q426">
        <v>1751.4374</v>
      </c>
    </row>
    <row r="427" spans="1:17" x14ac:dyDescent="0.3">
      <c r="A427" s="1">
        <v>45008</v>
      </c>
      <c r="B427">
        <v>1993.8</v>
      </c>
      <c r="C427">
        <v>1994.6</v>
      </c>
      <c r="D427">
        <v>1990.5</v>
      </c>
      <c r="E427">
        <v>1990.5</v>
      </c>
      <c r="F427">
        <v>33</v>
      </c>
      <c r="G427">
        <v>1951.3143</v>
      </c>
      <c r="H427">
        <v>1867.41</v>
      </c>
      <c r="I427">
        <v>1842.8622</v>
      </c>
      <c r="J427">
        <v>2.2446999999999999</v>
      </c>
      <c r="K427">
        <v>1.5075000000000001</v>
      </c>
      <c r="L427">
        <v>1.0646</v>
      </c>
      <c r="M427">
        <v>72.784099999999995</v>
      </c>
      <c r="N427">
        <v>31.306999999999999</v>
      </c>
      <c r="O427">
        <v>16.5215</v>
      </c>
      <c r="P427">
        <v>2006.0135</v>
      </c>
      <c r="Q427">
        <v>1749.9465</v>
      </c>
    </row>
    <row r="428" spans="1:17" x14ac:dyDescent="0.3">
      <c r="A428" s="1">
        <v>45009</v>
      </c>
      <c r="B428">
        <v>1982.1</v>
      </c>
      <c r="C428">
        <v>1995.4</v>
      </c>
      <c r="D428">
        <v>1982.1</v>
      </c>
      <c r="E428">
        <v>1991.7</v>
      </c>
      <c r="F428">
        <v>19</v>
      </c>
      <c r="G428">
        <v>1963.8571999999999</v>
      </c>
      <c r="H428">
        <v>1871.29</v>
      </c>
      <c r="I428">
        <v>1845.3943999999999</v>
      </c>
      <c r="J428">
        <v>6.0299999999999999E-2</v>
      </c>
      <c r="K428">
        <v>1.4626999999999999</v>
      </c>
      <c r="L428">
        <v>1.0649999999999999</v>
      </c>
      <c r="M428">
        <v>71.530799999999999</v>
      </c>
      <c r="N428">
        <v>34.192500000000003</v>
      </c>
      <c r="O428">
        <v>20.055700000000002</v>
      </c>
      <c r="P428">
        <v>2020.3747000000001</v>
      </c>
      <c r="Q428">
        <v>1753.8753999999999</v>
      </c>
    </row>
    <row r="429" spans="1:17" x14ac:dyDescent="0.3">
      <c r="A429" s="1">
        <v>45012</v>
      </c>
      <c r="B429">
        <v>1952.4</v>
      </c>
      <c r="C429">
        <v>1957.2</v>
      </c>
      <c r="D429">
        <v>1952.4</v>
      </c>
      <c r="E429">
        <v>1957.2</v>
      </c>
      <c r="F429">
        <v>877</v>
      </c>
      <c r="G429">
        <v>1970.6143</v>
      </c>
      <c r="H429">
        <v>1874.4766999999999</v>
      </c>
      <c r="I429">
        <v>1847.5633</v>
      </c>
      <c r="J429">
        <v>-1.7322</v>
      </c>
      <c r="K429">
        <v>1.7235</v>
      </c>
      <c r="L429">
        <v>1.1101000000000001</v>
      </c>
      <c r="M429">
        <v>66.928700000000006</v>
      </c>
      <c r="N429">
        <v>33.311500000000002</v>
      </c>
      <c r="O429">
        <v>22.706900000000001</v>
      </c>
      <c r="P429">
        <v>2026.1822999999999</v>
      </c>
      <c r="Q429">
        <v>1762.6277</v>
      </c>
    </row>
    <row r="430" spans="1:17" x14ac:dyDescent="0.3">
      <c r="A430" s="1">
        <v>45013</v>
      </c>
      <c r="B430">
        <v>1972.4</v>
      </c>
      <c r="C430">
        <v>1972.4</v>
      </c>
      <c r="D430">
        <v>1972.4</v>
      </c>
      <c r="E430">
        <v>1972.4</v>
      </c>
      <c r="F430">
        <v>21</v>
      </c>
      <c r="G430">
        <v>1974.3857</v>
      </c>
      <c r="H430">
        <v>1878.2566999999999</v>
      </c>
      <c r="I430">
        <v>1849.8033</v>
      </c>
      <c r="J430">
        <v>0.77659999999999996</v>
      </c>
      <c r="K430">
        <v>1.6064000000000001</v>
      </c>
      <c r="L430">
        <v>1.1137999999999999</v>
      </c>
      <c r="M430">
        <v>74.408000000000001</v>
      </c>
      <c r="N430">
        <v>33.454099999999997</v>
      </c>
      <c r="O430">
        <v>24.856300000000001</v>
      </c>
      <c r="P430">
        <v>2032.2103999999999</v>
      </c>
      <c r="Q430">
        <v>1773.0296000000001</v>
      </c>
    </row>
    <row r="431" spans="1:17" x14ac:dyDescent="0.3">
      <c r="A431" s="1">
        <v>45014</v>
      </c>
      <c r="B431">
        <v>1966.1</v>
      </c>
      <c r="C431">
        <v>1966.1</v>
      </c>
      <c r="D431">
        <v>1966.1</v>
      </c>
      <c r="E431">
        <v>1966.1</v>
      </c>
      <c r="F431">
        <v>88563</v>
      </c>
      <c r="G431">
        <v>1971.2143000000001</v>
      </c>
      <c r="H431">
        <v>1881.99</v>
      </c>
      <c r="I431">
        <v>1851.9088999999999</v>
      </c>
      <c r="J431">
        <v>-0.31940000000000002</v>
      </c>
      <c r="K431">
        <v>1.3532999999999999</v>
      </c>
      <c r="L431">
        <v>1.1147</v>
      </c>
      <c r="M431">
        <v>72.620099999999994</v>
      </c>
      <c r="N431">
        <v>32.682000000000002</v>
      </c>
      <c r="O431">
        <v>26.421399999999998</v>
      </c>
      <c r="P431">
        <v>2036.9983</v>
      </c>
      <c r="Q431">
        <v>1782.1418000000001</v>
      </c>
    </row>
    <row r="432" spans="1:17" x14ac:dyDescent="0.3">
      <c r="A432" s="1">
        <v>45015</v>
      </c>
      <c r="B432">
        <v>1980.3</v>
      </c>
      <c r="C432">
        <v>1984.4</v>
      </c>
      <c r="D432">
        <v>1954.9</v>
      </c>
      <c r="E432">
        <v>1965.9</v>
      </c>
      <c r="F432">
        <v>10119</v>
      </c>
      <c r="G432">
        <v>1970.0857000000001</v>
      </c>
      <c r="H432">
        <v>1886.12</v>
      </c>
      <c r="I432">
        <v>1854.1632999999999</v>
      </c>
      <c r="J432">
        <v>-1.0200000000000001E-2</v>
      </c>
      <c r="K432">
        <v>1.3292999999999999</v>
      </c>
      <c r="L432">
        <v>1.1037999999999999</v>
      </c>
      <c r="M432">
        <v>69.241200000000006</v>
      </c>
      <c r="N432">
        <v>31.688700000000001</v>
      </c>
      <c r="O432">
        <v>27.474900000000002</v>
      </c>
      <c r="P432">
        <v>2040.3757000000001</v>
      </c>
      <c r="Q432">
        <v>1792.3543999999999</v>
      </c>
    </row>
    <row r="433" spans="1:17" x14ac:dyDescent="0.3">
      <c r="A433" s="1">
        <v>45016</v>
      </c>
      <c r="B433">
        <v>1969</v>
      </c>
      <c r="C433">
        <v>1986.8</v>
      </c>
      <c r="D433">
        <v>1968</v>
      </c>
      <c r="E433">
        <v>1981.3</v>
      </c>
      <c r="F433">
        <v>957</v>
      </c>
      <c r="G433">
        <v>1975.0143</v>
      </c>
      <c r="H433">
        <v>1890.8767</v>
      </c>
      <c r="I433">
        <v>1856.5856000000001</v>
      </c>
      <c r="J433">
        <v>0.78339999999999999</v>
      </c>
      <c r="K433">
        <v>1.2177</v>
      </c>
      <c r="L433">
        <v>1.1055999999999999</v>
      </c>
      <c r="M433">
        <v>66.629900000000006</v>
      </c>
      <c r="N433">
        <v>31.777899999999999</v>
      </c>
      <c r="O433">
        <v>28.3355</v>
      </c>
      <c r="P433">
        <v>2044.9404999999999</v>
      </c>
      <c r="Q433">
        <v>1802.1895</v>
      </c>
    </row>
    <row r="434" spans="1:17" x14ac:dyDescent="0.3">
      <c r="A434" s="1">
        <v>45019</v>
      </c>
      <c r="B434">
        <v>1983.9</v>
      </c>
      <c r="C434">
        <v>1991.7</v>
      </c>
      <c r="D434">
        <v>1950</v>
      </c>
      <c r="E434">
        <v>1968.1</v>
      </c>
      <c r="F434">
        <v>737</v>
      </c>
      <c r="G434">
        <v>1971.8143</v>
      </c>
      <c r="H434">
        <v>1895.5667000000001</v>
      </c>
      <c r="I434">
        <v>1859.1311000000001</v>
      </c>
      <c r="J434">
        <v>-0.66620000000000001</v>
      </c>
      <c r="K434">
        <v>0.87480000000000002</v>
      </c>
      <c r="L434">
        <v>1.1072</v>
      </c>
      <c r="M434">
        <v>60.591099999999997</v>
      </c>
      <c r="N434">
        <v>30.432600000000001</v>
      </c>
      <c r="O434">
        <v>28.754899999999999</v>
      </c>
      <c r="P434">
        <v>2047.5057999999999</v>
      </c>
      <c r="Q434">
        <v>1811.1042</v>
      </c>
    </row>
    <row r="435" spans="1:17" x14ac:dyDescent="0.3">
      <c r="A435" s="1">
        <v>45020</v>
      </c>
      <c r="B435">
        <v>2022.2</v>
      </c>
      <c r="C435">
        <v>2027.1</v>
      </c>
      <c r="D435">
        <v>1979</v>
      </c>
      <c r="E435">
        <v>1984.6</v>
      </c>
      <c r="F435">
        <v>811</v>
      </c>
      <c r="G435">
        <v>1970.8</v>
      </c>
      <c r="H435">
        <v>1900.3</v>
      </c>
      <c r="I435">
        <v>1861.83</v>
      </c>
      <c r="J435">
        <v>0.83840000000000003</v>
      </c>
      <c r="K435">
        <v>0.95309999999999995</v>
      </c>
      <c r="L435">
        <v>1.1073</v>
      </c>
      <c r="M435">
        <v>64.829099999999997</v>
      </c>
      <c r="N435">
        <v>30.347999999999999</v>
      </c>
      <c r="O435">
        <v>29.073499999999999</v>
      </c>
      <c r="P435">
        <v>2049.4164999999998</v>
      </c>
      <c r="Q435">
        <v>1823.5635</v>
      </c>
    </row>
    <row r="436" spans="1:17" x14ac:dyDescent="0.3">
      <c r="A436" s="1">
        <v>45021</v>
      </c>
      <c r="B436">
        <v>2020.9</v>
      </c>
      <c r="C436">
        <v>2033.8</v>
      </c>
      <c r="D436">
        <v>2013.6</v>
      </c>
      <c r="E436">
        <v>2022.1</v>
      </c>
      <c r="F436">
        <v>525</v>
      </c>
      <c r="G436">
        <v>1980.0714</v>
      </c>
      <c r="H436">
        <v>1906.5133000000001</v>
      </c>
      <c r="I436">
        <v>1865.0033000000001</v>
      </c>
      <c r="J436">
        <v>1.8895</v>
      </c>
      <c r="K436">
        <v>0.86480000000000001</v>
      </c>
      <c r="L436">
        <v>1.1396999999999999</v>
      </c>
      <c r="M436">
        <v>68.478200000000001</v>
      </c>
      <c r="N436">
        <v>32.927300000000002</v>
      </c>
      <c r="O436">
        <v>29.8443</v>
      </c>
      <c r="P436">
        <v>2049.7051000000001</v>
      </c>
      <c r="Q436">
        <v>1844.325</v>
      </c>
    </row>
    <row r="437" spans="1:17" x14ac:dyDescent="0.3">
      <c r="A437" s="1">
        <v>45022</v>
      </c>
      <c r="B437">
        <v>2011.9</v>
      </c>
      <c r="C437">
        <v>2023.3</v>
      </c>
      <c r="D437">
        <v>2005</v>
      </c>
      <c r="E437">
        <v>2022.2</v>
      </c>
      <c r="F437">
        <v>0</v>
      </c>
      <c r="G437">
        <v>1987.1857</v>
      </c>
      <c r="H437">
        <v>1913.04</v>
      </c>
      <c r="I437">
        <v>1867.9944</v>
      </c>
      <c r="J437">
        <v>4.8999999999999998E-3</v>
      </c>
      <c r="K437">
        <v>0.86850000000000005</v>
      </c>
      <c r="L437">
        <v>1.1306</v>
      </c>
      <c r="M437">
        <v>64.237700000000004</v>
      </c>
      <c r="N437">
        <v>34.5809</v>
      </c>
      <c r="O437">
        <v>30.791599999999999</v>
      </c>
      <c r="P437">
        <v>2045.0423000000001</v>
      </c>
      <c r="Q437">
        <v>1869.5677000000001</v>
      </c>
    </row>
    <row r="438" spans="1:17" x14ac:dyDescent="0.3">
      <c r="A438" s="1">
        <v>45026</v>
      </c>
      <c r="B438">
        <v>1989.1</v>
      </c>
      <c r="C438">
        <v>2006.6</v>
      </c>
      <c r="D438">
        <v>1984</v>
      </c>
      <c r="E438">
        <v>2000</v>
      </c>
      <c r="F438">
        <v>652</v>
      </c>
      <c r="G438">
        <v>1992.0286000000001</v>
      </c>
      <c r="H438">
        <v>1919.4132999999999</v>
      </c>
      <c r="I438">
        <v>1870.8688999999999</v>
      </c>
      <c r="J438">
        <v>-1.0978000000000001</v>
      </c>
      <c r="K438">
        <v>1.0085</v>
      </c>
      <c r="L438">
        <v>1.1362000000000001</v>
      </c>
      <c r="M438">
        <v>52.363599999999998</v>
      </c>
      <c r="N438">
        <v>33.711500000000001</v>
      </c>
      <c r="O438">
        <v>31.375599999999999</v>
      </c>
      <c r="P438">
        <v>2039.0586000000001</v>
      </c>
      <c r="Q438">
        <v>1890.3214</v>
      </c>
    </row>
    <row r="439" spans="1:17" x14ac:dyDescent="0.3">
      <c r="A439" s="1">
        <v>45027</v>
      </c>
      <c r="B439">
        <v>2004.8</v>
      </c>
      <c r="C439">
        <v>2006.5</v>
      </c>
      <c r="D439">
        <v>1991.4</v>
      </c>
      <c r="E439">
        <v>1991.4</v>
      </c>
      <c r="F439">
        <v>68</v>
      </c>
      <c r="G439">
        <v>1995.6713999999999</v>
      </c>
      <c r="H439">
        <v>1925.4067</v>
      </c>
      <c r="I439">
        <v>1873.6677999999999</v>
      </c>
      <c r="J439">
        <v>-0.43</v>
      </c>
      <c r="K439">
        <v>1.0385</v>
      </c>
      <c r="L439">
        <v>1.1445000000000001</v>
      </c>
      <c r="M439">
        <v>53.642400000000002</v>
      </c>
      <c r="N439">
        <v>31.96</v>
      </c>
      <c r="O439">
        <v>31.4925</v>
      </c>
      <c r="P439">
        <v>2036.2402999999999</v>
      </c>
      <c r="Q439">
        <v>1903.1996999999999</v>
      </c>
    </row>
    <row r="440" spans="1:17" x14ac:dyDescent="0.3">
      <c r="A440" s="1">
        <v>45028</v>
      </c>
      <c r="B440">
        <v>2010.9</v>
      </c>
      <c r="C440">
        <v>2025.7</v>
      </c>
      <c r="D440">
        <v>2005.2</v>
      </c>
      <c r="E440">
        <v>2005.2</v>
      </c>
      <c r="F440">
        <v>172</v>
      </c>
      <c r="G440">
        <v>1999.0857000000001</v>
      </c>
      <c r="H440">
        <v>1931.9766999999999</v>
      </c>
      <c r="I440">
        <v>1876.5244</v>
      </c>
      <c r="J440">
        <v>0.69299999999999995</v>
      </c>
      <c r="K440">
        <v>1.0304</v>
      </c>
      <c r="L440">
        <v>1.1422000000000001</v>
      </c>
      <c r="M440">
        <v>62.784599999999998</v>
      </c>
      <c r="N440">
        <v>31.3245</v>
      </c>
      <c r="O440">
        <v>31.4589</v>
      </c>
      <c r="P440">
        <v>2036.8389999999999</v>
      </c>
      <c r="Q440">
        <v>1911.9010000000001</v>
      </c>
    </row>
    <row r="441" spans="1:17" x14ac:dyDescent="0.3">
      <c r="A441" s="1">
        <v>45029</v>
      </c>
      <c r="B441">
        <v>2041.3</v>
      </c>
      <c r="C441">
        <v>2048.6001000000001</v>
      </c>
      <c r="D441">
        <v>2015.6</v>
      </c>
      <c r="E441">
        <v>2015.6</v>
      </c>
      <c r="F441">
        <v>1043</v>
      </c>
      <c r="G441">
        <v>2005.8714</v>
      </c>
      <c r="H441">
        <v>1938.26</v>
      </c>
      <c r="I441">
        <v>1879.2678000000001</v>
      </c>
      <c r="J441">
        <v>0.51870000000000005</v>
      </c>
      <c r="K441">
        <v>0.96419999999999995</v>
      </c>
      <c r="L441">
        <v>1.135</v>
      </c>
      <c r="M441">
        <v>56.432600000000001</v>
      </c>
      <c r="N441">
        <v>31.299199999999999</v>
      </c>
      <c r="O441">
        <v>31.4269</v>
      </c>
      <c r="P441">
        <v>2035.4838</v>
      </c>
      <c r="Q441">
        <v>1924.4262000000001</v>
      </c>
    </row>
    <row r="442" spans="1:17" x14ac:dyDescent="0.3">
      <c r="A442" s="1">
        <v>45030</v>
      </c>
      <c r="B442">
        <v>2002.2</v>
      </c>
      <c r="C442">
        <v>2047.8</v>
      </c>
      <c r="D442">
        <v>1995</v>
      </c>
      <c r="E442">
        <v>2041</v>
      </c>
      <c r="F442">
        <v>718</v>
      </c>
      <c r="G442">
        <v>2013.9286</v>
      </c>
      <c r="H442">
        <v>1945.2933</v>
      </c>
      <c r="I442">
        <v>1881.9232999999999</v>
      </c>
      <c r="J442">
        <v>1.2602</v>
      </c>
      <c r="K442">
        <v>1.0122</v>
      </c>
      <c r="L442">
        <v>1.1469</v>
      </c>
      <c r="M442">
        <v>61.240299999999998</v>
      </c>
      <c r="N442">
        <v>32.948900000000002</v>
      </c>
      <c r="O442">
        <v>31.731300000000001</v>
      </c>
      <c r="P442">
        <v>2038.0255</v>
      </c>
      <c r="Q442">
        <v>1934.9945</v>
      </c>
    </row>
    <row r="443" spans="1:17" x14ac:dyDescent="0.3">
      <c r="A443" s="1">
        <v>45033</v>
      </c>
      <c r="B443">
        <v>1994.2</v>
      </c>
      <c r="C443">
        <v>2007.6</v>
      </c>
      <c r="D443">
        <v>1983.2</v>
      </c>
      <c r="E443">
        <v>2002.7</v>
      </c>
      <c r="F443">
        <v>554</v>
      </c>
      <c r="G443">
        <v>2011.1570999999999</v>
      </c>
      <c r="H443">
        <v>1950.8067000000001</v>
      </c>
      <c r="I443">
        <v>1884.2233000000001</v>
      </c>
      <c r="J443">
        <v>-1.8765000000000001</v>
      </c>
      <c r="K443">
        <v>1.0898000000000001</v>
      </c>
      <c r="L443">
        <v>1.218</v>
      </c>
      <c r="M443">
        <v>60.197200000000002</v>
      </c>
      <c r="N443">
        <v>30.810600000000001</v>
      </c>
      <c r="O443">
        <v>31.5472</v>
      </c>
      <c r="P443">
        <v>2037.6120000000001</v>
      </c>
      <c r="Q443">
        <v>1941.078</v>
      </c>
    </row>
    <row r="444" spans="1:17" x14ac:dyDescent="0.3">
      <c r="A444" s="1">
        <v>45034</v>
      </c>
      <c r="B444">
        <v>2007.4</v>
      </c>
      <c r="C444">
        <v>2007.4</v>
      </c>
      <c r="D444">
        <v>1996.9</v>
      </c>
      <c r="E444">
        <v>1996.9</v>
      </c>
      <c r="F444">
        <v>72</v>
      </c>
      <c r="G444">
        <v>2007.5427999999999</v>
      </c>
      <c r="H444">
        <v>1955.5933</v>
      </c>
      <c r="I444">
        <v>1886.76</v>
      </c>
      <c r="J444">
        <v>-0.28960000000000002</v>
      </c>
      <c r="K444">
        <v>1.0892999999999999</v>
      </c>
      <c r="L444">
        <v>1.2175</v>
      </c>
      <c r="M444">
        <v>55.732300000000002</v>
      </c>
      <c r="N444">
        <v>28.3216</v>
      </c>
      <c r="O444">
        <v>30.902100000000001</v>
      </c>
      <c r="P444">
        <v>2038.1559</v>
      </c>
      <c r="Q444">
        <v>1941.3941</v>
      </c>
    </row>
    <row r="445" spans="1:17" x14ac:dyDescent="0.3">
      <c r="A445" s="1">
        <v>45035</v>
      </c>
      <c r="B445">
        <v>1995.2</v>
      </c>
      <c r="C445">
        <v>2006.4</v>
      </c>
      <c r="D445">
        <v>1969.8</v>
      </c>
      <c r="E445">
        <v>2005.7</v>
      </c>
      <c r="F445">
        <v>61</v>
      </c>
      <c r="G445">
        <v>2008.3570999999999</v>
      </c>
      <c r="H445">
        <v>1961.0867000000001</v>
      </c>
      <c r="I445">
        <v>1889.3867</v>
      </c>
      <c r="J445">
        <v>0.44069999999999998</v>
      </c>
      <c r="K445">
        <v>1.0253000000000001</v>
      </c>
      <c r="L445">
        <v>1.2052</v>
      </c>
      <c r="M445">
        <v>59.158200000000001</v>
      </c>
      <c r="N445">
        <v>26.750699999999998</v>
      </c>
      <c r="O445">
        <v>30.0718</v>
      </c>
      <c r="P445">
        <v>2039.6366</v>
      </c>
      <c r="Q445">
        <v>1943.1034</v>
      </c>
    </row>
    <row r="446" spans="1:17" x14ac:dyDescent="0.3">
      <c r="A446" s="1">
        <v>45036</v>
      </c>
      <c r="B446">
        <v>2007.6</v>
      </c>
      <c r="C446">
        <v>2007.6</v>
      </c>
      <c r="D446">
        <v>1998</v>
      </c>
      <c r="E446">
        <v>1998</v>
      </c>
      <c r="F446">
        <v>164</v>
      </c>
      <c r="G446">
        <v>2009.3</v>
      </c>
      <c r="H446">
        <v>1967.3</v>
      </c>
      <c r="I446">
        <v>1891.7867000000001</v>
      </c>
      <c r="J446">
        <v>-0.38390000000000002</v>
      </c>
      <c r="K446">
        <v>1.0219</v>
      </c>
      <c r="L446">
        <v>1.1594</v>
      </c>
      <c r="M446">
        <v>57.174799999999998</v>
      </c>
      <c r="N446">
        <v>24.6008</v>
      </c>
      <c r="O446">
        <v>28.977599999999999</v>
      </c>
      <c r="P446">
        <v>2037.44</v>
      </c>
      <c r="Q446">
        <v>1950.42</v>
      </c>
    </row>
    <row r="447" spans="1:17" x14ac:dyDescent="0.3">
      <c r="A447" s="1">
        <v>45037</v>
      </c>
      <c r="B447">
        <v>1979.5</v>
      </c>
      <c r="C447">
        <v>1996.2</v>
      </c>
      <c r="D447">
        <v>1974.1</v>
      </c>
      <c r="E447">
        <v>1996.2</v>
      </c>
      <c r="F447">
        <v>132</v>
      </c>
      <c r="G447">
        <v>2008.0143</v>
      </c>
      <c r="H447">
        <v>1973.2933</v>
      </c>
      <c r="I447">
        <v>1894.0233000000001</v>
      </c>
      <c r="J447">
        <v>-9.01E-2</v>
      </c>
      <c r="K447">
        <v>0.98209999999999997</v>
      </c>
      <c r="L447">
        <v>1.1618999999999999</v>
      </c>
      <c r="M447">
        <v>53.545900000000003</v>
      </c>
      <c r="N447">
        <v>22.492599999999999</v>
      </c>
      <c r="O447">
        <v>27.680599999999998</v>
      </c>
      <c r="P447">
        <v>2037.7049999999999</v>
      </c>
      <c r="Q447">
        <v>1950.7248999999999</v>
      </c>
    </row>
    <row r="448" spans="1:17" x14ac:dyDescent="0.3">
      <c r="A448" s="1">
        <v>45040</v>
      </c>
      <c r="B448">
        <v>1989.1</v>
      </c>
      <c r="C448">
        <v>1989.8</v>
      </c>
      <c r="D448">
        <v>1977.4</v>
      </c>
      <c r="E448">
        <v>1981.3</v>
      </c>
      <c r="F448">
        <v>145</v>
      </c>
      <c r="G448">
        <v>2003.1143</v>
      </c>
      <c r="H448">
        <v>1977.5933</v>
      </c>
      <c r="I448">
        <v>1896.1789000000001</v>
      </c>
      <c r="J448">
        <v>-0.74639999999999995</v>
      </c>
      <c r="K448">
        <v>0.97419999999999995</v>
      </c>
      <c r="L448">
        <v>1.1342000000000001</v>
      </c>
      <c r="M448">
        <v>53.116199999999999</v>
      </c>
      <c r="N448">
        <v>19.395800000000001</v>
      </c>
      <c r="O448">
        <v>26.023599999999998</v>
      </c>
      <c r="P448">
        <v>2037.5588</v>
      </c>
      <c r="Q448">
        <v>1949.8312000000001</v>
      </c>
    </row>
    <row r="449" spans="1:17" x14ac:dyDescent="0.3">
      <c r="A449" s="1">
        <v>45041</v>
      </c>
      <c r="B449">
        <v>1994</v>
      </c>
      <c r="C449">
        <v>1999.1</v>
      </c>
      <c r="D449">
        <v>1982.3</v>
      </c>
      <c r="E449">
        <v>1995.7</v>
      </c>
      <c r="F449">
        <v>306</v>
      </c>
      <c r="G449">
        <v>1996.6428000000001</v>
      </c>
      <c r="H449">
        <v>1981.09</v>
      </c>
      <c r="I449">
        <v>1898.5678</v>
      </c>
      <c r="J449">
        <v>0.7268</v>
      </c>
      <c r="K449">
        <v>0.85019999999999996</v>
      </c>
      <c r="L449">
        <v>1.0841000000000001</v>
      </c>
      <c r="M449">
        <v>52.646599999999999</v>
      </c>
      <c r="N449">
        <v>17.897300000000001</v>
      </c>
      <c r="O449">
        <v>24.398399999999999</v>
      </c>
      <c r="P449">
        <v>2035.9793</v>
      </c>
      <c r="Q449">
        <v>1955.2606000000001</v>
      </c>
    </row>
    <row r="450" spans="1:17" x14ac:dyDescent="0.3">
      <c r="A450" s="1">
        <v>45042</v>
      </c>
      <c r="B450">
        <v>1985.7</v>
      </c>
      <c r="C450">
        <v>1998.8</v>
      </c>
      <c r="D450">
        <v>1985.6</v>
      </c>
      <c r="E450">
        <v>1997.8</v>
      </c>
      <c r="F450">
        <v>615</v>
      </c>
      <c r="G450">
        <v>1995.9429</v>
      </c>
      <c r="H450">
        <v>1983.9432999999999</v>
      </c>
      <c r="I450">
        <v>1900.6456000000001</v>
      </c>
      <c r="J450">
        <v>0.1052</v>
      </c>
      <c r="K450">
        <v>0.50360000000000005</v>
      </c>
      <c r="L450">
        <v>1.0692999999999999</v>
      </c>
      <c r="M450">
        <v>43.029299999999999</v>
      </c>
      <c r="N450">
        <v>16.686800000000002</v>
      </c>
      <c r="O450">
        <v>22.856100000000001</v>
      </c>
      <c r="P450">
        <v>2035.7433000000001</v>
      </c>
      <c r="Q450">
        <v>1958.0367000000001</v>
      </c>
    </row>
    <row r="451" spans="1:17" x14ac:dyDescent="0.3">
      <c r="A451" s="1">
        <v>45043</v>
      </c>
      <c r="B451">
        <v>1989.9</v>
      </c>
      <c r="C451">
        <v>2002.3</v>
      </c>
      <c r="D451">
        <v>1979.9</v>
      </c>
      <c r="E451">
        <v>1990.6</v>
      </c>
      <c r="F451">
        <v>355</v>
      </c>
      <c r="G451">
        <v>1995.0427999999999</v>
      </c>
      <c r="H451">
        <v>1986.8333</v>
      </c>
      <c r="I451">
        <v>1902.7521999999999</v>
      </c>
      <c r="J451">
        <v>-0.3604</v>
      </c>
      <c r="K451">
        <v>0.51029999999999998</v>
      </c>
      <c r="L451">
        <v>1.0680000000000001</v>
      </c>
      <c r="M451">
        <v>41.29</v>
      </c>
      <c r="N451">
        <v>14.9739</v>
      </c>
      <c r="O451">
        <v>21.279599999999999</v>
      </c>
      <c r="P451">
        <v>2034.3366000000001</v>
      </c>
      <c r="Q451">
        <v>1961.8933999999999</v>
      </c>
    </row>
    <row r="452" spans="1:17" x14ac:dyDescent="0.3">
      <c r="A452" s="1">
        <v>45044</v>
      </c>
      <c r="B452">
        <v>1990.1</v>
      </c>
      <c r="C452">
        <v>1990.1</v>
      </c>
      <c r="D452">
        <v>1977.7</v>
      </c>
      <c r="E452">
        <v>1986.9</v>
      </c>
      <c r="F452">
        <v>152</v>
      </c>
      <c r="G452">
        <v>1992.3570999999999</v>
      </c>
      <c r="H452">
        <v>1989.4</v>
      </c>
      <c r="I452">
        <v>1905.0744</v>
      </c>
      <c r="J452">
        <v>-0.18590000000000001</v>
      </c>
      <c r="K452">
        <v>0.46400000000000002</v>
      </c>
      <c r="L452">
        <v>1.0692999999999999</v>
      </c>
      <c r="M452">
        <v>45.979100000000003</v>
      </c>
      <c r="N452">
        <v>13.1661</v>
      </c>
      <c r="O452">
        <v>19.6569</v>
      </c>
      <c r="P452">
        <v>2032.5618999999999</v>
      </c>
      <c r="Q452">
        <v>1965.7681</v>
      </c>
    </row>
    <row r="453" spans="1:17" x14ac:dyDescent="0.3">
      <c r="A453" s="1">
        <v>45047</v>
      </c>
      <c r="B453">
        <v>1983.4</v>
      </c>
      <c r="C453">
        <v>2005</v>
      </c>
      <c r="D453">
        <v>1976.9</v>
      </c>
      <c r="E453">
        <v>1980.1</v>
      </c>
      <c r="F453">
        <v>210</v>
      </c>
      <c r="G453">
        <v>1989.8</v>
      </c>
      <c r="H453">
        <v>1990.5367000000001</v>
      </c>
      <c r="I453">
        <v>1907.1688999999999</v>
      </c>
      <c r="J453">
        <v>-0.3422</v>
      </c>
      <c r="K453">
        <v>0.46050000000000002</v>
      </c>
      <c r="L453">
        <v>1.0196000000000001</v>
      </c>
      <c r="M453">
        <v>46.492800000000003</v>
      </c>
      <c r="N453">
        <v>11.0572</v>
      </c>
      <c r="O453">
        <v>17.937000000000001</v>
      </c>
      <c r="P453">
        <v>2032.6411000000001</v>
      </c>
      <c r="Q453">
        <v>1965.5689</v>
      </c>
    </row>
    <row r="454" spans="1:17" x14ac:dyDescent="0.3">
      <c r="A454" s="1">
        <v>45048</v>
      </c>
      <c r="B454">
        <v>2014.3</v>
      </c>
      <c r="C454">
        <v>2018</v>
      </c>
      <c r="D454">
        <v>1994.7</v>
      </c>
      <c r="E454">
        <v>1994.7</v>
      </c>
      <c r="F454">
        <v>1896</v>
      </c>
      <c r="G454">
        <v>1989.5857000000001</v>
      </c>
      <c r="H454">
        <v>1990.75</v>
      </c>
      <c r="I454">
        <v>1909.4821999999999</v>
      </c>
      <c r="J454">
        <v>0.73729999999999996</v>
      </c>
      <c r="K454">
        <v>0.56579999999999997</v>
      </c>
      <c r="L454">
        <v>0.94830000000000003</v>
      </c>
      <c r="M454">
        <v>46.757300000000001</v>
      </c>
      <c r="N454">
        <v>10.4436</v>
      </c>
      <c r="O454">
        <v>16.438300000000002</v>
      </c>
      <c r="P454">
        <v>2030.7488000000001</v>
      </c>
      <c r="Q454">
        <v>1970.1212</v>
      </c>
    </row>
    <row r="455" spans="1:17" x14ac:dyDescent="0.3">
      <c r="A455" s="1">
        <v>45049</v>
      </c>
      <c r="B455">
        <v>2028.6</v>
      </c>
      <c r="C455">
        <v>2035.1</v>
      </c>
      <c r="D455">
        <v>2015.2</v>
      </c>
      <c r="E455">
        <v>2017.1</v>
      </c>
      <c r="F455">
        <v>1349</v>
      </c>
      <c r="G455">
        <v>1994.7</v>
      </c>
      <c r="H455">
        <v>1992.1932999999999</v>
      </c>
      <c r="I455">
        <v>1911.7011</v>
      </c>
      <c r="J455">
        <v>1.123</v>
      </c>
      <c r="K455">
        <v>0.60009999999999997</v>
      </c>
      <c r="L455">
        <v>0.95840000000000003</v>
      </c>
      <c r="M455">
        <v>50.4313</v>
      </c>
      <c r="N455">
        <v>11.630699999999999</v>
      </c>
      <c r="O455">
        <v>15.476800000000001</v>
      </c>
      <c r="P455">
        <v>2032.2838999999999</v>
      </c>
      <c r="Q455">
        <v>1971.836</v>
      </c>
    </row>
    <row r="456" spans="1:17" x14ac:dyDescent="0.3">
      <c r="A456" s="1">
        <v>45050</v>
      </c>
      <c r="B456">
        <v>2048</v>
      </c>
      <c r="C456">
        <v>2072</v>
      </c>
      <c r="D456">
        <v>2040</v>
      </c>
      <c r="E456">
        <v>2045</v>
      </c>
      <c r="F456">
        <v>930</v>
      </c>
      <c r="G456">
        <v>2001.7429</v>
      </c>
      <c r="H456">
        <v>1995.4666999999999</v>
      </c>
      <c r="I456">
        <v>1914.2221999999999</v>
      </c>
      <c r="J456">
        <v>1.3832</v>
      </c>
      <c r="K456">
        <v>0.72409999999999997</v>
      </c>
      <c r="L456">
        <v>0.94699999999999995</v>
      </c>
      <c r="M456">
        <v>51.133800000000001</v>
      </c>
      <c r="N456">
        <v>14.6539</v>
      </c>
      <c r="O456">
        <v>15.312200000000001</v>
      </c>
      <c r="P456">
        <v>2038.0129999999999</v>
      </c>
      <c r="Q456">
        <v>1968.3969999999999</v>
      </c>
    </row>
    <row r="457" spans="1:17" x14ac:dyDescent="0.3">
      <c r="A457" s="1">
        <v>45051</v>
      </c>
      <c r="B457">
        <v>2017.4</v>
      </c>
      <c r="C457">
        <v>2046.4</v>
      </c>
      <c r="D457">
        <v>2004.3</v>
      </c>
      <c r="E457">
        <v>2046.4</v>
      </c>
      <c r="F457">
        <v>59</v>
      </c>
      <c r="G457">
        <v>2008.6857</v>
      </c>
      <c r="H457">
        <v>1997.33</v>
      </c>
      <c r="I457">
        <v>1917.0233000000001</v>
      </c>
      <c r="J457">
        <v>6.8500000000000005E-2</v>
      </c>
      <c r="K457">
        <v>0.72629999999999995</v>
      </c>
      <c r="L457">
        <v>0.86199999999999999</v>
      </c>
      <c r="M457">
        <v>65.6631</v>
      </c>
      <c r="N457">
        <v>16.967199999999998</v>
      </c>
      <c r="O457">
        <v>15.6432</v>
      </c>
      <c r="P457">
        <v>2043.4313</v>
      </c>
      <c r="Q457">
        <v>1965.3986</v>
      </c>
    </row>
    <row r="458" spans="1:17" x14ac:dyDescent="0.3">
      <c r="A458" s="1">
        <v>45054</v>
      </c>
      <c r="B458">
        <v>2026.3</v>
      </c>
      <c r="C458">
        <v>2026.3</v>
      </c>
      <c r="D458">
        <v>2022.5</v>
      </c>
      <c r="E458">
        <v>2022.5</v>
      </c>
      <c r="F458">
        <v>3</v>
      </c>
      <c r="G458">
        <v>2013.2429</v>
      </c>
      <c r="H458">
        <v>1998.3567</v>
      </c>
      <c r="I458">
        <v>1919.4577999999999</v>
      </c>
      <c r="J458">
        <v>-1.1678999999999999</v>
      </c>
      <c r="K458">
        <v>0.90049999999999997</v>
      </c>
      <c r="L458">
        <v>0.89239999999999997</v>
      </c>
      <c r="M458">
        <v>58.1218</v>
      </c>
      <c r="N458">
        <v>16.6797</v>
      </c>
      <c r="O458">
        <v>15.8505</v>
      </c>
      <c r="P458">
        <v>2045.3106</v>
      </c>
      <c r="Q458">
        <v>1965.7693999999999</v>
      </c>
    </row>
    <row r="459" spans="1:17" x14ac:dyDescent="0.3">
      <c r="A459" s="1">
        <v>45055</v>
      </c>
      <c r="B459">
        <v>2036.2</v>
      </c>
      <c r="C459">
        <v>2037.3</v>
      </c>
      <c r="D459">
        <v>2025.9</v>
      </c>
      <c r="E459">
        <v>2026.6</v>
      </c>
      <c r="F459">
        <v>241</v>
      </c>
      <c r="G459">
        <v>2018.9142999999999</v>
      </c>
      <c r="H459">
        <v>2000.67</v>
      </c>
      <c r="I459">
        <v>1921.94</v>
      </c>
      <c r="J459">
        <v>0.20269999999999999</v>
      </c>
      <c r="K459">
        <v>0.88229999999999997</v>
      </c>
      <c r="L459">
        <v>0.82620000000000005</v>
      </c>
      <c r="M459">
        <v>56.834499999999998</v>
      </c>
      <c r="N459">
        <v>16.5914</v>
      </c>
      <c r="O459">
        <v>15.998699999999999</v>
      </c>
      <c r="P459">
        <v>2047.5483999999999</v>
      </c>
      <c r="Q459">
        <v>1967.0515</v>
      </c>
    </row>
    <row r="460" spans="1:17" x14ac:dyDescent="0.3">
      <c r="A460" s="1">
        <v>45056</v>
      </c>
      <c r="B460">
        <v>2030.5</v>
      </c>
      <c r="C460">
        <v>2044.3</v>
      </c>
      <c r="D460">
        <v>2029.5</v>
      </c>
      <c r="E460">
        <v>2032.3</v>
      </c>
      <c r="F460">
        <v>248</v>
      </c>
      <c r="G460">
        <v>2026.3714</v>
      </c>
      <c r="H460">
        <v>2002.6667</v>
      </c>
      <c r="I460">
        <v>1924.4567</v>
      </c>
      <c r="J460">
        <v>0.28129999999999999</v>
      </c>
      <c r="K460">
        <v>0.8387</v>
      </c>
      <c r="L460">
        <v>0.8175</v>
      </c>
      <c r="M460">
        <v>61.365099999999998</v>
      </c>
      <c r="N460">
        <v>16.7879</v>
      </c>
      <c r="O460">
        <v>16.156500000000001</v>
      </c>
      <c r="P460">
        <v>2050.4025000000001</v>
      </c>
      <c r="Q460">
        <v>1966.9074000000001</v>
      </c>
    </row>
    <row r="461" spans="1:17" x14ac:dyDescent="0.3">
      <c r="A461" s="1">
        <v>45057</v>
      </c>
      <c r="B461">
        <v>2014.7</v>
      </c>
      <c r="C461">
        <v>2038.3</v>
      </c>
      <c r="D461">
        <v>2014</v>
      </c>
      <c r="E461">
        <v>2034.1</v>
      </c>
      <c r="F461">
        <v>90</v>
      </c>
      <c r="G461">
        <v>2032</v>
      </c>
      <c r="H461">
        <v>2004.9332999999999</v>
      </c>
      <c r="I461">
        <v>1926.8688999999999</v>
      </c>
      <c r="J461">
        <v>8.8599999999999998E-2</v>
      </c>
      <c r="K461">
        <v>0.82779999999999998</v>
      </c>
      <c r="L461">
        <v>0.81359999999999999</v>
      </c>
      <c r="M461">
        <v>62.558</v>
      </c>
      <c r="N461">
        <v>16.894100000000002</v>
      </c>
      <c r="O461">
        <v>16.304099999999998</v>
      </c>
      <c r="P461">
        <v>2052.7703000000001</v>
      </c>
      <c r="Q461">
        <v>1966.3896999999999</v>
      </c>
    </row>
    <row r="462" spans="1:17" x14ac:dyDescent="0.3">
      <c r="A462" s="1">
        <v>45058</v>
      </c>
      <c r="B462">
        <v>2014.5</v>
      </c>
      <c r="C462">
        <v>2014.5</v>
      </c>
      <c r="D462">
        <v>2014.5</v>
      </c>
      <c r="E462">
        <v>2014.5</v>
      </c>
      <c r="F462">
        <v>115</v>
      </c>
      <c r="G462">
        <v>2031.6286</v>
      </c>
      <c r="H462">
        <v>2006.5533</v>
      </c>
      <c r="I462">
        <v>1928.85</v>
      </c>
      <c r="J462">
        <v>-0.96360000000000001</v>
      </c>
      <c r="K462">
        <v>0.85019999999999996</v>
      </c>
      <c r="L462">
        <v>0.83699999999999997</v>
      </c>
      <c r="M462">
        <v>60.668399999999998</v>
      </c>
      <c r="N462">
        <v>15.221299999999999</v>
      </c>
      <c r="O462">
        <v>16.087499999999999</v>
      </c>
      <c r="P462">
        <v>2048.9400999999998</v>
      </c>
      <c r="Q462">
        <v>1967.5699</v>
      </c>
    </row>
    <row r="463" spans="1:17" x14ac:dyDescent="0.3">
      <c r="A463" s="1">
        <v>45061</v>
      </c>
      <c r="B463">
        <v>2018</v>
      </c>
      <c r="C463">
        <v>2018</v>
      </c>
      <c r="D463">
        <v>2013.8</v>
      </c>
      <c r="E463">
        <v>2013.8</v>
      </c>
      <c r="F463">
        <v>3</v>
      </c>
      <c r="G463">
        <v>2027.1713999999999</v>
      </c>
      <c r="H463">
        <v>2007.6367</v>
      </c>
      <c r="I463">
        <v>1930.7189000000001</v>
      </c>
      <c r="J463">
        <v>-3.4700000000000002E-2</v>
      </c>
      <c r="K463">
        <v>0.59079999999999999</v>
      </c>
      <c r="L463">
        <v>0.82679999999999998</v>
      </c>
      <c r="M463">
        <v>56.377800000000001</v>
      </c>
      <c r="N463">
        <v>13.6813</v>
      </c>
      <c r="O463">
        <v>15.606299999999999</v>
      </c>
      <c r="P463">
        <v>2049.4787999999999</v>
      </c>
      <c r="Q463">
        <v>1968.1412</v>
      </c>
    </row>
    <row r="464" spans="1:17" x14ac:dyDescent="0.3">
      <c r="A464" s="1">
        <v>45062</v>
      </c>
      <c r="B464">
        <v>1988.4</v>
      </c>
      <c r="C464">
        <v>1988.4</v>
      </c>
      <c r="D464">
        <v>1988.4</v>
      </c>
      <c r="E464">
        <v>1988.4</v>
      </c>
      <c r="F464">
        <v>49</v>
      </c>
      <c r="G464">
        <v>2018.8857</v>
      </c>
      <c r="H464">
        <v>2008.3133</v>
      </c>
      <c r="I464">
        <v>1932.1989000000001</v>
      </c>
      <c r="J464">
        <v>-1.2613000000000001</v>
      </c>
      <c r="K464">
        <v>0.68899999999999995</v>
      </c>
      <c r="L464">
        <v>0.85150000000000003</v>
      </c>
      <c r="M464">
        <v>47.155000000000001</v>
      </c>
      <c r="N464">
        <v>10.2927</v>
      </c>
      <c r="O464">
        <v>14.5435</v>
      </c>
      <c r="P464">
        <v>2049.7496000000001</v>
      </c>
      <c r="Q464">
        <v>1967.0204000000001</v>
      </c>
    </row>
    <row r="465" spans="1:17" x14ac:dyDescent="0.3">
      <c r="A465" s="1">
        <v>45063</v>
      </c>
      <c r="B465">
        <v>1980.7</v>
      </c>
      <c r="C465">
        <v>1983.6</v>
      </c>
      <c r="D465">
        <v>1980.7</v>
      </c>
      <c r="E465">
        <v>1983.6</v>
      </c>
      <c r="F465">
        <v>13</v>
      </c>
      <c r="G465">
        <v>2013.3286000000001</v>
      </c>
      <c r="H465">
        <v>2008.28</v>
      </c>
      <c r="I465">
        <v>1933.8122000000001</v>
      </c>
      <c r="J465">
        <v>-0.2414</v>
      </c>
      <c r="K465">
        <v>0.60219999999999996</v>
      </c>
      <c r="L465">
        <v>0.83919999999999995</v>
      </c>
      <c r="M465">
        <v>47.850099999999998</v>
      </c>
      <c r="N465">
        <v>7.1375999999999999</v>
      </c>
      <c r="O465">
        <v>13.0624</v>
      </c>
      <c r="P465">
        <v>2050.1017000000002</v>
      </c>
      <c r="Q465">
        <v>1964.4583</v>
      </c>
    </row>
    <row r="466" spans="1:17" x14ac:dyDescent="0.3">
      <c r="A466" s="1">
        <v>45064</v>
      </c>
      <c r="B466">
        <v>1956.5</v>
      </c>
      <c r="C466">
        <v>1956.8</v>
      </c>
      <c r="D466">
        <v>1956.5</v>
      </c>
      <c r="E466">
        <v>1956.5</v>
      </c>
      <c r="F466">
        <v>23</v>
      </c>
      <c r="G466">
        <v>2003.3143</v>
      </c>
      <c r="H466">
        <v>2006.0933</v>
      </c>
      <c r="I466">
        <v>1934.8067000000001</v>
      </c>
      <c r="J466">
        <v>-1.3662000000000001</v>
      </c>
      <c r="K466">
        <v>0.68130000000000002</v>
      </c>
      <c r="L466">
        <v>0.79610000000000003</v>
      </c>
      <c r="M466">
        <v>41.8367</v>
      </c>
      <c r="N466">
        <v>2.4224999999999999</v>
      </c>
      <c r="O466">
        <v>10.9344</v>
      </c>
      <c r="P466">
        <v>2053.5817000000002</v>
      </c>
      <c r="Q466">
        <v>1956.8282999999999</v>
      </c>
    </row>
    <row r="467" spans="1:17" x14ac:dyDescent="0.3">
      <c r="A467" s="1">
        <v>45065</v>
      </c>
      <c r="B467">
        <v>1978.7</v>
      </c>
      <c r="C467">
        <v>1978.7</v>
      </c>
      <c r="D467">
        <v>1960</v>
      </c>
      <c r="E467">
        <v>1960</v>
      </c>
      <c r="F467">
        <v>106</v>
      </c>
      <c r="G467">
        <v>1992.9857</v>
      </c>
      <c r="H467">
        <v>2004.02</v>
      </c>
      <c r="I467">
        <v>1935.72</v>
      </c>
      <c r="J467">
        <v>0.1789</v>
      </c>
      <c r="K467">
        <v>0.66259999999999997</v>
      </c>
      <c r="L467">
        <v>0.79749999999999999</v>
      </c>
      <c r="M467">
        <v>44.505200000000002</v>
      </c>
      <c r="N467">
        <v>-1.0201</v>
      </c>
      <c r="O467">
        <v>8.5434999999999999</v>
      </c>
      <c r="P467">
        <v>2055.7366000000002</v>
      </c>
      <c r="Q467">
        <v>1951.0534</v>
      </c>
    </row>
    <row r="468" spans="1:17" x14ac:dyDescent="0.3">
      <c r="A468" s="1">
        <v>45068</v>
      </c>
      <c r="B468">
        <v>1974.8</v>
      </c>
      <c r="C468">
        <v>1980.5</v>
      </c>
      <c r="D468">
        <v>1974.8</v>
      </c>
      <c r="E468">
        <v>1980.5</v>
      </c>
      <c r="F468">
        <v>8</v>
      </c>
      <c r="G468">
        <v>1985.3286000000001</v>
      </c>
      <c r="H468">
        <v>2003.37</v>
      </c>
      <c r="I468">
        <v>1936.9132999999999</v>
      </c>
      <c r="J468">
        <v>1.0459000000000001</v>
      </c>
      <c r="K468">
        <v>0.87309999999999999</v>
      </c>
      <c r="L468">
        <v>0.80120000000000002</v>
      </c>
      <c r="M468">
        <v>46.239400000000003</v>
      </c>
      <c r="N468">
        <v>-2.0703999999999998</v>
      </c>
      <c r="O468">
        <v>6.4207000000000001</v>
      </c>
      <c r="P468">
        <v>2055.7689</v>
      </c>
      <c r="Q468">
        <v>1950.9411</v>
      </c>
    </row>
    <row r="469" spans="1:17" x14ac:dyDescent="0.3">
      <c r="A469" s="1">
        <v>45069</v>
      </c>
      <c r="B469">
        <v>1972.4</v>
      </c>
      <c r="C469">
        <v>1972.4</v>
      </c>
      <c r="D469">
        <v>1972.4</v>
      </c>
      <c r="E469">
        <v>1972.4</v>
      </c>
      <c r="F469">
        <v>1</v>
      </c>
      <c r="G469">
        <v>1979.3143</v>
      </c>
      <c r="H469">
        <v>2002.7366999999999</v>
      </c>
      <c r="I469">
        <v>1937.9711</v>
      </c>
      <c r="J469">
        <v>-0.40899999999999997</v>
      </c>
      <c r="K469">
        <v>0.83540000000000003</v>
      </c>
      <c r="L469">
        <v>0.80079999999999996</v>
      </c>
      <c r="M469">
        <v>37.192</v>
      </c>
      <c r="N469">
        <v>-3.5156999999999998</v>
      </c>
      <c r="O469">
        <v>4.4333999999999998</v>
      </c>
      <c r="P469">
        <v>2056.3276999999998</v>
      </c>
      <c r="Q469">
        <v>1948.0523000000001</v>
      </c>
    </row>
    <row r="470" spans="1:17" x14ac:dyDescent="0.3">
      <c r="A470" s="1">
        <v>45070</v>
      </c>
      <c r="B470">
        <v>1962.8</v>
      </c>
      <c r="C470">
        <v>1975.4</v>
      </c>
      <c r="D470">
        <v>1962.8</v>
      </c>
      <c r="E470">
        <v>1975.4</v>
      </c>
      <c r="F470">
        <v>189</v>
      </c>
      <c r="G470">
        <v>1973.8286000000001</v>
      </c>
      <c r="H470">
        <v>2001.7433000000001</v>
      </c>
      <c r="I470">
        <v>1938.82</v>
      </c>
      <c r="J470">
        <v>0.15210000000000001</v>
      </c>
      <c r="K470">
        <v>0.84809999999999997</v>
      </c>
      <c r="L470">
        <v>0.79</v>
      </c>
      <c r="M470">
        <v>26.738</v>
      </c>
      <c r="N470">
        <v>-4.3688000000000002</v>
      </c>
      <c r="O470">
        <v>2.673</v>
      </c>
      <c r="P470">
        <v>2056.5014999999999</v>
      </c>
      <c r="Q470">
        <v>1945.6385</v>
      </c>
    </row>
    <row r="471" spans="1:17" x14ac:dyDescent="0.3">
      <c r="A471" s="1">
        <v>45071</v>
      </c>
      <c r="B471">
        <v>1943.1</v>
      </c>
      <c r="C471">
        <v>1943.1</v>
      </c>
      <c r="D471">
        <v>1943.1</v>
      </c>
      <c r="E471">
        <v>1943.1</v>
      </c>
      <c r="F471">
        <v>1</v>
      </c>
      <c r="G471">
        <v>1967.3570999999999</v>
      </c>
      <c r="H471">
        <v>1999.3267000000001</v>
      </c>
      <c r="I471">
        <v>1939.0755999999999</v>
      </c>
      <c r="J471">
        <v>-1.6351</v>
      </c>
      <c r="K471">
        <v>0.92879999999999996</v>
      </c>
      <c r="L471">
        <v>0.83350000000000002</v>
      </c>
      <c r="M471">
        <v>21.385000000000002</v>
      </c>
      <c r="N471">
        <v>-7.5640000000000001</v>
      </c>
      <c r="O471">
        <v>0.62560000000000004</v>
      </c>
      <c r="P471">
        <v>2059.7957000000001</v>
      </c>
      <c r="Q471">
        <v>1937.5943</v>
      </c>
    </row>
    <row r="472" spans="1:17" x14ac:dyDescent="0.3">
      <c r="A472" s="1">
        <v>45072</v>
      </c>
      <c r="B472">
        <v>1944.1</v>
      </c>
      <c r="C472">
        <v>1948.4</v>
      </c>
      <c r="D472">
        <v>1944.1</v>
      </c>
      <c r="E472">
        <v>1948.2</v>
      </c>
      <c r="F472">
        <v>166036</v>
      </c>
      <c r="G472">
        <v>1962.3</v>
      </c>
      <c r="H472">
        <v>1996.2333000000001</v>
      </c>
      <c r="I472">
        <v>1939.4878000000001</v>
      </c>
      <c r="J472">
        <v>0.26250000000000001</v>
      </c>
      <c r="K472">
        <v>0.95550000000000002</v>
      </c>
      <c r="L472">
        <v>0.79569999999999996</v>
      </c>
      <c r="M472">
        <v>27.025300000000001</v>
      </c>
      <c r="N472">
        <v>-9.5742999999999991</v>
      </c>
      <c r="O472">
        <v>-1.4144000000000001</v>
      </c>
      <c r="P472">
        <v>2061.7602999999999</v>
      </c>
      <c r="Q472">
        <v>1931.7597000000001</v>
      </c>
    </row>
    <row r="473" spans="1:17" x14ac:dyDescent="0.3">
      <c r="A473" s="1">
        <v>45076</v>
      </c>
      <c r="B473">
        <v>1958</v>
      </c>
      <c r="C473">
        <v>1962.6</v>
      </c>
      <c r="D473">
        <v>1931</v>
      </c>
      <c r="E473">
        <v>1942.7</v>
      </c>
      <c r="F473">
        <v>37838</v>
      </c>
      <c r="G473">
        <v>1960.3286000000001</v>
      </c>
      <c r="H473">
        <v>1994.2333000000001</v>
      </c>
      <c r="I473">
        <v>1939.7166999999999</v>
      </c>
      <c r="J473">
        <v>-0.2823</v>
      </c>
      <c r="K473">
        <v>0.82369999999999999</v>
      </c>
      <c r="L473">
        <v>0.7268</v>
      </c>
      <c r="M473">
        <v>24.279599999999999</v>
      </c>
      <c r="N473">
        <v>-11.478999999999999</v>
      </c>
      <c r="O473">
        <v>-3.4272999999999998</v>
      </c>
      <c r="P473">
        <v>2063.9344999999998</v>
      </c>
      <c r="Q473">
        <v>1925.8454999999999</v>
      </c>
    </row>
    <row r="474" spans="1:17" x14ac:dyDescent="0.3">
      <c r="A474" s="1">
        <v>45077</v>
      </c>
      <c r="B474">
        <v>1963.9</v>
      </c>
      <c r="C474">
        <v>1973</v>
      </c>
      <c r="D474">
        <v>1953</v>
      </c>
      <c r="E474">
        <v>1958.2</v>
      </c>
      <c r="F474">
        <v>5959</v>
      </c>
      <c r="G474">
        <v>1960.0714</v>
      </c>
      <c r="H474">
        <v>1992.9432999999999</v>
      </c>
      <c r="I474">
        <v>1940.1178</v>
      </c>
      <c r="J474">
        <v>0.79790000000000005</v>
      </c>
      <c r="K474">
        <v>0.88900000000000001</v>
      </c>
      <c r="L474">
        <v>0.74380000000000002</v>
      </c>
      <c r="M474">
        <v>28.571400000000001</v>
      </c>
      <c r="N474">
        <v>-11.603999999999999</v>
      </c>
      <c r="O474">
        <v>-5.0625999999999998</v>
      </c>
      <c r="P474">
        <v>2064.0333999999998</v>
      </c>
      <c r="Q474">
        <v>1922.0966000000001</v>
      </c>
    </row>
    <row r="475" spans="1:17" x14ac:dyDescent="0.3">
      <c r="A475" s="1">
        <v>45078</v>
      </c>
      <c r="B475">
        <v>1978</v>
      </c>
      <c r="C475">
        <v>1983</v>
      </c>
      <c r="D475">
        <v>1954.3</v>
      </c>
      <c r="E475">
        <v>1963.2</v>
      </c>
      <c r="F475">
        <v>750</v>
      </c>
      <c r="G475">
        <v>1957.6</v>
      </c>
      <c r="H475">
        <v>1991.5266999999999</v>
      </c>
      <c r="I475">
        <v>1940.5255999999999</v>
      </c>
      <c r="J475">
        <v>0.25530000000000003</v>
      </c>
      <c r="K475">
        <v>0.77559999999999996</v>
      </c>
      <c r="L475">
        <v>0.74029999999999996</v>
      </c>
      <c r="M475">
        <v>29.869399999999999</v>
      </c>
      <c r="N475">
        <v>-11.1708</v>
      </c>
      <c r="O475">
        <v>-6.2843</v>
      </c>
      <c r="P475">
        <v>2061.5886</v>
      </c>
      <c r="Q475">
        <v>1919.1514</v>
      </c>
    </row>
    <row r="476" spans="1:17" x14ac:dyDescent="0.3">
      <c r="A476" s="1">
        <v>45079</v>
      </c>
      <c r="B476">
        <v>1952.4</v>
      </c>
      <c r="C476">
        <v>1982.5</v>
      </c>
      <c r="D476">
        <v>1947.4</v>
      </c>
      <c r="E476">
        <v>1977.1</v>
      </c>
      <c r="F476">
        <v>356</v>
      </c>
      <c r="G476">
        <v>1958.2714000000001</v>
      </c>
      <c r="H476">
        <v>1990.83</v>
      </c>
      <c r="I476">
        <v>1941.0289</v>
      </c>
      <c r="J476">
        <v>0.70799999999999996</v>
      </c>
      <c r="K476">
        <v>0.82050000000000001</v>
      </c>
      <c r="L476">
        <v>0.751</v>
      </c>
      <c r="M476">
        <v>39.025799999999997</v>
      </c>
      <c r="N476">
        <v>-9.5952999999999999</v>
      </c>
      <c r="O476">
        <v>-6.9465000000000003</v>
      </c>
      <c r="P476">
        <v>2053.5506999999998</v>
      </c>
      <c r="Q476">
        <v>1920.3993</v>
      </c>
    </row>
    <row r="477" spans="1:17" x14ac:dyDescent="0.3">
      <c r="A477" s="1">
        <v>45082</v>
      </c>
      <c r="B477">
        <v>1958</v>
      </c>
      <c r="C477">
        <v>1961.9</v>
      </c>
      <c r="D477">
        <v>1937.8</v>
      </c>
      <c r="E477">
        <v>1947.5</v>
      </c>
      <c r="F477">
        <v>713</v>
      </c>
      <c r="G477">
        <v>1954.2856999999999</v>
      </c>
      <c r="H477">
        <v>1989.2067</v>
      </c>
      <c r="I477">
        <v>1941.0989</v>
      </c>
      <c r="J477">
        <v>-1.4971000000000001</v>
      </c>
      <c r="K477">
        <v>0.99919999999999998</v>
      </c>
      <c r="L477">
        <v>0.79730000000000001</v>
      </c>
      <c r="M477">
        <v>33.366799999999998</v>
      </c>
      <c r="N477">
        <v>-10.6128</v>
      </c>
      <c r="O477">
        <v>-7.6797000000000004</v>
      </c>
      <c r="P477">
        <v>2044.5917999999999</v>
      </c>
      <c r="Q477">
        <v>1919.4682</v>
      </c>
    </row>
    <row r="478" spans="1:17" x14ac:dyDescent="0.3">
      <c r="A478" s="1">
        <v>45083</v>
      </c>
      <c r="B478">
        <v>1965.5</v>
      </c>
      <c r="C478">
        <v>1965.5</v>
      </c>
      <c r="D478">
        <v>1958.8</v>
      </c>
      <c r="E478">
        <v>1960.8</v>
      </c>
      <c r="F478">
        <v>164</v>
      </c>
      <c r="G478">
        <v>1956.8143</v>
      </c>
      <c r="H478">
        <v>1988.5233000000001</v>
      </c>
      <c r="I478">
        <v>1941.3678</v>
      </c>
      <c r="J478">
        <v>0.68289999999999995</v>
      </c>
      <c r="K478">
        <v>0.81</v>
      </c>
      <c r="L478">
        <v>0.79869999999999997</v>
      </c>
      <c r="M478">
        <v>42.6282</v>
      </c>
      <c r="N478">
        <v>-10.2281</v>
      </c>
      <c r="O478">
        <v>-8.1893999999999991</v>
      </c>
      <c r="P478">
        <v>2039.1446000000001</v>
      </c>
      <c r="Q478">
        <v>1918.7454</v>
      </c>
    </row>
    <row r="479" spans="1:17" x14ac:dyDescent="0.3">
      <c r="A479" s="1">
        <v>45084</v>
      </c>
      <c r="B479">
        <v>1942.7</v>
      </c>
      <c r="C479">
        <v>1968.4</v>
      </c>
      <c r="D479">
        <v>1940.7</v>
      </c>
      <c r="E479">
        <v>1959</v>
      </c>
      <c r="F479">
        <v>139</v>
      </c>
      <c r="G479">
        <v>1958.3570999999999</v>
      </c>
      <c r="H479">
        <v>1987.3</v>
      </c>
      <c r="I479">
        <v>1941.7056</v>
      </c>
      <c r="J479">
        <v>-9.1800000000000007E-2</v>
      </c>
      <c r="K479">
        <v>0.81159999999999999</v>
      </c>
      <c r="L479">
        <v>0.78580000000000005</v>
      </c>
      <c r="M479">
        <v>43.322499999999998</v>
      </c>
      <c r="N479">
        <v>-9.9536999999999995</v>
      </c>
      <c r="O479">
        <v>-8.5422999999999991</v>
      </c>
      <c r="P479">
        <v>2031.9701</v>
      </c>
      <c r="Q479">
        <v>1919.1599000000001</v>
      </c>
    </row>
    <row r="480" spans="1:17" x14ac:dyDescent="0.3">
      <c r="A480" s="1">
        <v>45085</v>
      </c>
      <c r="B480">
        <v>1963.6</v>
      </c>
      <c r="C480">
        <v>1969</v>
      </c>
      <c r="D480">
        <v>1943.1</v>
      </c>
      <c r="E480">
        <v>1943.2</v>
      </c>
      <c r="F480">
        <v>433</v>
      </c>
      <c r="G480">
        <v>1958.4286</v>
      </c>
      <c r="H480">
        <v>1985.48</v>
      </c>
      <c r="I480">
        <v>1941.8711000000001</v>
      </c>
      <c r="J480">
        <v>-0.80649999999999999</v>
      </c>
      <c r="K480">
        <v>0.87270000000000003</v>
      </c>
      <c r="L480">
        <v>0.79679999999999995</v>
      </c>
      <c r="M480">
        <v>46.153799999999997</v>
      </c>
      <c r="N480">
        <v>-10.8857</v>
      </c>
      <c r="O480">
        <v>-9.0109999999999992</v>
      </c>
      <c r="P480">
        <v>2022.4991</v>
      </c>
      <c r="Q480">
        <v>1919.7209</v>
      </c>
    </row>
    <row r="481" spans="1:17" x14ac:dyDescent="0.3">
      <c r="A481" s="1">
        <v>45086</v>
      </c>
      <c r="B481">
        <v>1962.2</v>
      </c>
      <c r="C481">
        <v>1969.8</v>
      </c>
      <c r="D481">
        <v>1960.3</v>
      </c>
      <c r="E481">
        <v>1965.1</v>
      </c>
      <c r="F481">
        <v>49</v>
      </c>
      <c r="G481">
        <v>1959.4142999999999</v>
      </c>
      <c r="H481">
        <v>1984.63</v>
      </c>
      <c r="I481">
        <v>1942.3389</v>
      </c>
      <c r="J481">
        <v>1.127</v>
      </c>
      <c r="K481">
        <v>0.9294</v>
      </c>
      <c r="L481">
        <v>0.82509999999999994</v>
      </c>
      <c r="M481">
        <v>51.332999999999998</v>
      </c>
      <c r="N481">
        <v>-9.7447999999999997</v>
      </c>
      <c r="O481">
        <v>-9.1577000000000002</v>
      </c>
      <c r="P481">
        <v>2009.6482000000001</v>
      </c>
      <c r="Q481">
        <v>1925.6718000000001</v>
      </c>
    </row>
    <row r="482" spans="1:17" x14ac:dyDescent="0.3">
      <c r="A482" s="1">
        <v>45089</v>
      </c>
      <c r="B482">
        <v>1955.3</v>
      </c>
      <c r="C482">
        <v>1963.5</v>
      </c>
      <c r="D482">
        <v>1951.4</v>
      </c>
      <c r="E482">
        <v>1959.7</v>
      </c>
      <c r="F482">
        <v>212</v>
      </c>
      <c r="G482">
        <v>1958.9142999999999</v>
      </c>
      <c r="H482">
        <v>1983.7233000000001</v>
      </c>
      <c r="I482">
        <v>1942.7</v>
      </c>
      <c r="J482">
        <v>-0.27479999999999999</v>
      </c>
      <c r="K482">
        <v>0.93189999999999995</v>
      </c>
      <c r="L482">
        <v>0.82579999999999998</v>
      </c>
      <c r="M482">
        <v>44.0976</v>
      </c>
      <c r="N482">
        <v>-9.1707000000000001</v>
      </c>
      <c r="O482">
        <v>-9.1602999999999994</v>
      </c>
      <c r="P482">
        <v>2000.7367999999999</v>
      </c>
      <c r="Q482">
        <v>1929.1031</v>
      </c>
    </row>
    <row r="483" spans="1:17" x14ac:dyDescent="0.3">
      <c r="A483" s="1">
        <v>45090</v>
      </c>
      <c r="B483">
        <v>1944.6</v>
      </c>
      <c r="C483">
        <v>1967.5</v>
      </c>
      <c r="D483">
        <v>1940.3</v>
      </c>
      <c r="E483">
        <v>1960.6</v>
      </c>
      <c r="F483">
        <v>343</v>
      </c>
      <c r="G483">
        <v>1956.5571</v>
      </c>
      <c r="H483">
        <v>1983.0733</v>
      </c>
      <c r="I483">
        <v>1942.7922000000001</v>
      </c>
      <c r="J483">
        <v>4.5900000000000003E-2</v>
      </c>
      <c r="K483">
        <v>0.87749999999999995</v>
      </c>
      <c r="L483">
        <v>0.82399999999999995</v>
      </c>
      <c r="M483">
        <v>46.508899999999997</v>
      </c>
      <c r="N483">
        <v>-8.5446000000000009</v>
      </c>
      <c r="O483">
        <v>-9.0372000000000003</v>
      </c>
      <c r="P483">
        <v>1989.7186999999999</v>
      </c>
      <c r="Q483">
        <v>1934.8013000000001</v>
      </c>
    </row>
    <row r="484" spans="1:17" x14ac:dyDescent="0.3">
      <c r="A484" s="1">
        <v>45091</v>
      </c>
      <c r="B484">
        <v>1955.3</v>
      </c>
      <c r="C484">
        <v>1958.2</v>
      </c>
      <c r="D484">
        <v>1940.3</v>
      </c>
      <c r="E484">
        <v>1946.2</v>
      </c>
      <c r="F484">
        <v>202</v>
      </c>
      <c r="G484">
        <v>1956.3714</v>
      </c>
      <c r="H484">
        <v>1981.4567</v>
      </c>
      <c r="I484">
        <v>1943.1677999999999</v>
      </c>
      <c r="J484">
        <v>-0.73450000000000004</v>
      </c>
      <c r="K484">
        <v>0.70850000000000002</v>
      </c>
      <c r="L484">
        <v>0.8206</v>
      </c>
      <c r="M484">
        <v>41.9069</v>
      </c>
      <c r="N484">
        <v>-9.1053999999999995</v>
      </c>
      <c r="O484">
        <v>-9.0508000000000006</v>
      </c>
      <c r="P484">
        <v>1985.5603000000001</v>
      </c>
      <c r="Q484">
        <v>1934.7397000000001</v>
      </c>
    </row>
    <row r="485" spans="1:17" x14ac:dyDescent="0.3">
      <c r="A485" s="1">
        <v>45092</v>
      </c>
      <c r="B485">
        <v>1957.8</v>
      </c>
      <c r="C485">
        <v>1958.8</v>
      </c>
      <c r="D485">
        <v>1926</v>
      </c>
      <c r="E485">
        <v>1941.7</v>
      </c>
      <c r="F485">
        <v>329</v>
      </c>
      <c r="G485">
        <v>1953.6428000000001</v>
      </c>
      <c r="H485">
        <v>1978.9432999999999</v>
      </c>
      <c r="I485">
        <v>1944.0133000000001</v>
      </c>
      <c r="J485">
        <v>-0.23119999999999999</v>
      </c>
      <c r="K485">
        <v>0.6411</v>
      </c>
      <c r="L485">
        <v>0.78879999999999995</v>
      </c>
      <c r="M485">
        <v>49.5413</v>
      </c>
      <c r="N485">
        <v>-9.8000000000000007</v>
      </c>
      <c r="O485">
        <v>-9.2006999999999994</v>
      </c>
      <c r="P485">
        <v>1982.2023999999999</v>
      </c>
      <c r="Q485">
        <v>1933.9076</v>
      </c>
    </row>
    <row r="486" spans="1:17" x14ac:dyDescent="0.3">
      <c r="A486" s="1">
        <v>45093</v>
      </c>
      <c r="B486">
        <v>1958.4</v>
      </c>
      <c r="C486">
        <v>1962.9</v>
      </c>
      <c r="D486">
        <v>1953.5</v>
      </c>
      <c r="E486">
        <v>1961.4</v>
      </c>
      <c r="F486">
        <v>119</v>
      </c>
      <c r="G486">
        <v>1953.9857</v>
      </c>
      <c r="H486">
        <v>1976.1567</v>
      </c>
      <c r="I486">
        <v>1945.0289</v>
      </c>
      <c r="J486">
        <v>1.0145999999999999</v>
      </c>
      <c r="K486">
        <v>0.77649999999999997</v>
      </c>
      <c r="L486">
        <v>0.7671</v>
      </c>
      <c r="M486">
        <v>53.947400000000002</v>
      </c>
      <c r="N486">
        <v>-8.6609999999999996</v>
      </c>
      <c r="O486">
        <v>-9.0927000000000007</v>
      </c>
      <c r="P486">
        <v>1982.4803999999999</v>
      </c>
      <c r="Q486">
        <v>1934.1196</v>
      </c>
    </row>
    <row r="487" spans="1:17" x14ac:dyDescent="0.3">
      <c r="A487" s="1">
        <v>45097</v>
      </c>
      <c r="B487">
        <v>1935.5</v>
      </c>
      <c r="C487">
        <v>1958.6</v>
      </c>
      <c r="D487">
        <v>1931.3</v>
      </c>
      <c r="E487">
        <v>1958.6</v>
      </c>
      <c r="F487">
        <v>193</v>
      </c>
      <c r="G487">
        <v>1956.1857</v>
      </c>
      <c r="H487">
        <v>1973.23</v>
      </c>
      <c r="I487">
        <v>1945.99</v>
      </c>
      <c r="J487">
        <v>-0.14280000000000001</v>
      </c>
      <c r="K487">
        <v>0.69499999999999995</v>
      </c>
      <c r="L487">
        <v>0.7661</v>
      </c>
      <c r="M487">
        <v>54.832799999999999</v>
      </c>
      <c r="N487">
        <v>-7.8933</v>
      </c>
      <c r="O487">
        <v>-8.8528000000000002</v>
      </c>
      <c r="P487">
        <v>1982.3978</v>
      </c>
      <c r="Q487">
        <v>1934.0622000000001</v>
      </c>
    </row>
    <row r="488" spans="1:17" x14ac:dyDescent="0.3">
      <c r="A488" s="1">
        <v>45098</v>
      </c>
      <c r="B488">
        <v>1933.3</v>
      </c>
      <c r="C488">
        <v>1936.8</v>
      </c>
      <c r="D488">
        <v>1920</v>
      </c>
      <c r="E488">
        <v>1935.6</v>
      </c>
      <c r="F488">
        <v>557</v>
      </c>
      <c r="G488">
        <v>1951.9713999999999</v>
      </c>
      <c r="H488">
        <v>1970.3333</v>
      </c>
      <c r="I488">
        <v>1946.66</v>
      </c>
      <c r="J488">
        <v>-1.1742999999999999</v>
      </c>
      <c r="K488">
        <v>0.68059999999999998</v>
      </c>
      <c r="L488">
        <v>0.76639999999999997</v>
      </c>
      <c r="M488">
        <v>43.430300000000003</v>
      </c>
      <c r="N488">
        <v>-9.0366</v>
      </c>
      <c r="O488">
        <v>-8.8895999999999997</v>
      </c>
      <c r="P488">
        <v>1979.7813000000001</v>
      </c>
      <c r="Q488">
        <v>1932.1886999999999</v>
      </c>
    </row>
    <row r="489" spans="1:17" x14ac:dyDescent="0.3">
      <c r="A489" s="1">
        <v>45099</v>
      </c>
      <c r="B489">
        <v>1912.7</v>
      </c>
      <c r="C489">
        <v>1921</v>
      </c>
      <c r="D489">
        <v>1912.1</v>
      </c>
      <c r="E489">
        <v>1920</v>
      </c>
      <c r="F489">
        <v>237</v>
      </c>
      <c r="G489">
        <v>1946.3</v>
      </c>
      <c r="H489">
        <v>1966.78</v>
      </c>
      <c r="I489">
        <v>1947.3089</v>
      </c>
      <c r="J489">
        <v>-0.80600000000000005</v>
      </c>
      <c r="K489">
        <v>0.71709999999999996</v>
      </c>
      <c r="L489">
        <v>0.77280000000000004</v>
      </c>
      <c r="M489">
        <v>38.170900000000003</v>
      </c>
      <c r="N489">
        <v>-11.0738</v>
      </c>
      <c r="O489">
        <v>-9.3263999999999996</v>
      </c>
      <c r="P489">
        <v>1980.8103000000001</v>
      </c>
      <c r="Q489">
        <v>1925.9195999999999</v>
      </c>
    </row>
    <row r="490" spans="1:17" x14ac:dyDescent="0.3">
      <c r="A490" s="1">
        <v>45100</v>
      </c>
      <c r="B490">
        <v>1919.1</v>
      </c>
      <c r="C490">
        <v>1932.5</v>
      </c>
      <c r="D490">
        <v>1918.7</v>
      </c>
      <c r="E490">
        <v>1918.7</v>
      </c>
      <c r="F490">
        <v>105</v>
      </c>
      <c r="G490">
        <v>1940.3143</v>
      </c>
      <c r="H490">
        <v>1962.9933000000001</v>
      </c>
      <c r="I490">
        <v>1947.9721999999999</v>
      </c>
      <c r="J490">
        <v>-6.7699999999999996E-2</v>
      </c>
      <c r="K490">
        <v>0.70950000000000002</v>
      </c>
      <c r="L490">
        <v>0.76829999999999998</v>
      </c>
      <c r="M490">
        <v>32.823599999999999</v>
      </c>
      <c r="N490">
        <v>-12.647399999999999</v>
      </c>
      <c r="O490">
        <v>-9.9906000000000006</v>
      </c>
      <c r="P490">
        <v>1980.0286000000001</v>
      </c>
      <c r="Q490">
        <v>1921.0313000000001</v>
      </c>
    </row>
    <row r="491" spans="1:17" x14ac:dyDescent="0.3">
      <c r="A491" s="1">
        <v>45103</v>
      </c>
      <c r="B491">
        <v>1923.7</v>
      </c>
      <c r="C491">
        <v>1928.5</v>
      </c>
      <c r="D491">
        <v>1922.5</v>
      </c>
      <c r="E491">
        <v>1922.9</v>
      </c>
      <c r="F491">
        <v>71</v>
      </c>
      <c r="G491">
        <v>1936.9857</v>
      </c>
      <c r="H491">
        <v>1959.2867000000001</v>
      </c>
      <c r="I491">
        <v>1948.7366999999999</v>
      </c>
      <c r="J491">
        <v>0.21890000000000001</v>
      </c>
      <c r="K491">
        <v>0.70499999999999996</v>
      </c>
      <c r="L491">
        <v>0.77029999999999998</v>
      </c>
      <c r="M491">
        <v>41.4938</v>
      </c>
      <c r="N491">
        <v>-13.4011</v>
      </c>
      <c r="O491">
        <v>-10.672700000000001</v>
      </c>
      <c r="P491">
        <v>1981.3786</v>
      </c>
      <c r="Q491">
        <v>1917.6614</v>
      </c>
    </row>
    <row r="492" spans="1:17" x14ac:dyDescent="0.3">
      <c r="A492" s="1">
        <v>45104</v>
      </c>
      <c r="B492">
        <v>1914</v>
      </c>
      <c r="C492">
        <v>1929.4</v>
      </c>
      <c r="D492">
        <v>1914</v>
      </c>
      <c r="E492">
        <v>1927</v>
      </c>
      <c r="F492">
        <v>49</v>
      </c>
      <c r="G492">
        <v>1934.8857</v>
      </c>
      <c r="H492">
        <v>1956.37</v>
      </c>
      <c r="I492">
        <v>1949.6811</v>
      </c>
      <c r="J492">
        <v>0.2132</v>
      </c>
      <c r="K492">
        <v>0.71850000000000003</v>
      </c>
      <c r="L492">
        <v>0.7591</v>
      </c>
      <c r="M492">
        <v>37.518500000000003</v>
      </c>
      <c r="N492">
        <v>-13.511900000000001</v>
      </c>
      <c r="O492">
        <v>-11.240600000000001</v>
      </c>
      <c r="P492">
        <v>1981.8761999999999</v>
      </c>
      <c r="Q492">
        <v>1915.0437999999999</v>
      </c>
    </row>
    <row r="493" spans="1:17" x14ac:dyDescent="0.3">
      <c r="A493" s="1">
        <v>45105</v>
      </c>
      <c r="B493">
        <v>1912.3</v>
      </c>
      <c r="C493">
        <v>1912.3</v>
      </c>
      <c r="D493">
        <v>1912.3</v>
      </c>
      <c r="E493">
        <v>1912.3</v>
      </c>
      <c r="F493">
        <v>628</v>
      </c>
      <c r="G493">
        <v>1927.8714</v>
      </c>
      <c r="H493">
        <v>1952.9866999999999</v>
      </c>
      <c r="I493">
        <v>1950.5</v>
      </c>
      <c r="J493">
        <v>-0.76280000000000003</v>
      </c>
      <c r="K493">
        <v>0.55079999999999996</v>
      </c>
      <c r="L493">
        <v>0.76700000000000002</v>
      </c>
      <c r="M493">
        <v>34.254899999999999</v>
      </c>
      <c r="N493">
        <v>-14.6173</v>
      </c>
      <c r="O493">
        <v>-11.915900000000001</v>
      </c>
      <c r="P493">
        <v>1984.0237</v>
      </c>
      <c r="Q493">
        <v>1909.8562999999999</v>
      </c>
    </row>
    <row r="494" spans="1:17" x14ac:dyDescent="0.3">
      <c r="A494" s="1">
        <v>45106</v>
      </c>
      <c r="B494">
        <v>1909.2</v>
      </c>
      <c r="C494">
        <v>1909.9</v>
      </c>
      <c r="D494">
        <v>1892.5</v>
      </c>
      <c r="E494">
        <v>1909.9</v>
      </c>
      <c r="F494">
        <v>289</v>
      </c>
      <c r="G494">
        <v>1920.9142999999999</v>
      </c>
      <c r="H494">
        <v>1950.37</v>
      </c>
      <c r="I494">
        <v>1951.4167</v>
      </c>
      <c r="J494">
        <v>-0.1255</v>
      </c>
      <c r="K494">
        <v>0.55200000000000005</v>
      </c>
      <c r="L494">
        <v>0.73880000000000001</v>
      </c>
      <c r="M494">
        <v>37.657600000000002</v>
      </c>
      <c r="N494">
        <v>-15.5082</v>
      </c>
      <c r="O494">
        <v>-12.634399999999999</v>
      </c>
      <c r="P494">
        <v>1984.6845000000001</v>
      </c>
      <c r="Q494">
        <v>1904.3655000000001</v>
      </c>
    </row>
    <row r="495" spans="1:17" x14ac:dyDescent="0.3">
      <c r="A495" s="1">
        <v>45107</v>
      </c>
      <c r="B495">
        <v>1921.1</v>
      </c>
      <c r="C495">
        <v>1921.1</v>
      </c>
      <c r="D495">
        <v>1900.6</v>
      </c>
      <c r="E495">
        <v>1908.6</v>
      </c>
      <c r="F495">
        <v>445</v>
      </c>
      <c r="G495">
        <v>1917.0571</v>
      </c>
      <c r="H495">
        <v>1947.87</v>
      </c>
      <c r="I495">
        <v>1952.15</v>
      </c>
      <c r="J495">
        <v>-6.8099999999999994E-2</v>
      </c>
      <c r="K495">
        <v>0.4224</v>
      </c>
      <c r="L495">
        <v>0.73860000000000003</v>
      </c>
      <c r="M495">
        <v>25.284400000000002</v>
      </c>
      <c r="N495">
        <v>-16.133299999999998</v>
      </c>
      <c r="O495">
        <v>-13.334099999999999</v>
      </c>
      <c r="P495">
        <v>1983.9813999999999</v>
      </c>
      <c r="Q495">
        <v>1899.6086</v>
      </c>
    </row>
    <row r="496" spans="1:17" x14ac:dyDescent="0.3">
      <c r="A496" s="1">
        <v>45110</v>
      </c>
      <c r="B496">
        <v>1921.7</v>
      </c>
      <c r="C496">
        <v>1929.5</v>
      </c>
      <c r="D496">
        <v>1917.9</v>
      </c>
      <c r="E496">
        <v>1917.9</v>
      </c>
      <c r="F496">
        <v>41</v>
      </c>
      <c r="G496">
        <v>1916.7571</v>
      </c>
      <c r="H496">
        <v>1946.5833</v>
      </c>
      <c r="I496">
        <v>1953.0633</v>
      </c>
      <c r="J496">
        <v>0.48730000000000001</v>
      </c>
      <c r="K496">
        <v>0.39500000000000002</v>
      </c>
      <c r="L496">
        <v>0.70809999999999995</v>
      </c>
      <c r="M496">
        <v>32.318199999999997</v>
      </c>
      <c r="N496">
        <v>-15.6972</v>
      </c>
      <c r="O496">
        <v>-13.806800000000001</v>
      </c>
      <c r="P496">
        <v>1978.8424</v>
      </c>
      <c r="Q496">
        <v>1898.8276000000001</v>
      </c>
    </row>
    <row r="497" spans="1:17" x14ac:dyDescent="0.3">
      <c r="A497" s="1">
        <v>45112</v>
      </c>
      <c r="B497">
        <v>1919.6</v>
      </c>
      <c r="C497">
        <v>1933.9</v>
      </c>
      <c r="D497">
        <v>1914.7</v>
      </c>
      <c r="E497">
        <v>1923.5</v>
      </c>
      <c r="F497">
        <v>193</v>
      </c>
      <c r="G497">
        <v>1917.4429</v>
      </c>
      <c r="H497">
        <v>1945.3667</v>
      </c>
      <c r="I497">
        <v>1954.1422</v>
      </c>
      <c r="J497">
        <v>0.29199999999999998</v>
      </c>
      <c r="K497">
        <v>0.41010000000000002</v>
      </c>
      <c r="L497">
        <v>0.70979999999999999</v>
      </c>
      <c r="M497">
        <v>34.906500000000001</v>
      </c>
      <c r="N497">
        <v>-14.73</v>
      </c>
      <c r="O497">
        <v>-13.991400000000001</v>
      </c>
      <c r="P497">
        <v>1977.9863</v>
      </c>
      <c r="Q497">
        <v>1897.2836</v>
      </c>
    </row>
    <row r="498" spans="1:17" x14ac:dyDescent="0.3">
      <c r="A498" s="1">
        <v>45113</v>
      </c>
      <c r="B498">
        <v>1908.7</v>
      </c>
      <c r="C498">
        <v>1910.2</v>
      </c>
      <c r="D498">
        <v>1903.2</v>
      </c>
      <c r="E498">
        <v>1909.3</v>
      </c>
      <c r="F498">
        <v>81</v>
      </c>
      <c r="G498">
        <v>1915.5</v>
      </c>
      <c r="H498">
        <v>1942.9933000000001</v>
      </c>
      <c r="I498">
        <v>1955.2589</v>
      </c>
      <c r="J498">
        <v>-0.73819999999999997</v>
      </c>
      <c r="K498">
        <v>0.49080000000000001</v>
      </c>
      <c r="L498">
        <v>0.68830000000000002</v>
      </c>
      <c r="M498">
        <v>34.9634</v>
      </c>
      <c r="N498">
        <v>-14.936999999999999</v>
      </c>
      <c r="O498">
        <v>-14.1805</v>
      </c>
      <c r="P498">
        <v>1975.7584999999999</v>
      </c>
      <c r="Q498">
        <v>1894.3615</v>
      </c>
    </row>
    <row r="499" spans="1:17" x14ac:dyDescent="0.3">
      <c r="A499" s="1">
        <v>45114</v>
      </c>
      <c r="B499">
        <v>1926.2</v>
      </c>
      <c r="C499">
        <v>1934.1</v>
      </c>
      <c r="D499">
        <v>1913.4</v>
      </c>
      <c r="E499">
        <v>1913.4</v>
      </c>
      <c r="F499">
        <v>61</v>
      </c>
      <c r="G499">
        <v>1913.5572</v>
      </c>
      <c r="H499">
        <v>1941.0266999999999</v>
      </c>
      <c r="I499">
        <v>1956.39</v>
      </c>
      <c r="J499">
        <v>0.2147</v>
      </c>
      <c r="K499">
        <v>0.4909</v>
      </c>
      <c r="L499">
        <v>0.68869999999999998</v>
      </c>
      <c r="M499">
        <v>38.430100000000003</v>
      </c>
      <c r="N499">
        <v>-14.602</v>
      </c>
      <c r="O499">
        <v>-14.264799999999999</v>
      </c>
      <c r="P499">
        <v>1972.9369999999999</v>
      </c>
      <c r="Q499">
        <v>1892.6229000000001</v>
      </c>
    </row>
    <row r="500" spans="1:17" x14ac:dyDescent="0.3">
      <c r="A500" s="1">
        <v>45117</v>
      </c>
      <c r="B500">
        <v>1925</v>
      </c>
      <c r="C500">
        <v>1926.1</v>
      </c>
      <c r="D500">
        <v>1912.3</v>
      </c>
      <c r="E500">
        <v>1923.6</v>
      </c>
      <c r="F500">
        <v>269</v>
      </c>
      <c r="G500">
        <v>1915.1713999999999</v>
      </c>
      <c r="H500">
        <v>1939.3</v>
      </c>
      <c r="I500">
        <v>1957.6732999999999</v>
      </c>
      <c r="J500">
        <v>0.53310000000000002</v>
      </c>
      <c r="K500">
        <v>0.44119999999999998</v>
      </c>
      <c r="L500">
        <v>0.69689999999999996</v>
      </c>
      <c r="M500">
        <v>33.244700000000002</v>
      </c>
      <c r="N500">
        <v>-13.359400000000001</v>
      </c>
      <c r="O500">
        <v>-14.0837</v>
      </c>
      <c r="P500">
        <v>1971.8427999999999</v>
      </c>
      <c r="Q500">
        <v>1891.7572</v>
      </c>
    </row>
    <row r="501" spans="1:17" x14ac:dyDescent="0.3">
      <c r="A501" s="1">
        <v>45118</v>
      </c>
      <c r="B501">
        <v>1931.3</v>
      </c>
      <c r="C501">
        <v>1937</v>
      </c>
      <c r="D501">
        <v>1924.2</v>
      </c>
      <c r="E501">
        <v>1925</v>
      </c>
      <c r="F501">
        <v>142</v>
      </c>
      <c r="G501">
        <v>1917.3286000000001</v>
      </c>
      <c r="H501">
        <v>1938.6967</v>
      </c>
      <c r="I501">
        <v>1958.7610999999999</v>
      </c>
      <c r="J501">
        <v>7.2800000000000004E-2</v>
      </c>
      <c r="K501">
        <v>0.43169999999999997</v>
      </c>
      <c r="L501">
        <v>0.63290000000000002</v>
      </c>
      <c r="M501">
        <v>34.919199999999996</v>
      </c>
      <c r="N501">
        <v>-12.122</v>
      </c>
      <c r="O501">
        <v>-13.6914</v>
      </c>
      <c r="P501">
        <v>1966.7109</v>
      </c>
      <c r="Q501">
        <v>1892.8791000000001</v>
      </c>
    </row>
    <row r="502" spans="1:17" x14ac:dyDescent="0.3">
      <c r="A502" s="1">
        <v>45119</v>
      </c>
      <c r="B502">
        <v>1956.2</v>
      </c>
      <c r="C502">
        <v>1958</v>
      </c>
      <c r="D502">
        <v>1932.2</v>
      </c>
      <c r="E502">
        <v>1932.3</v>
      </c>
      <c r="F502">
        <v>132</v>
      </c>
      <c r="G502">
        <v>1920.7143000000001</v>
      </c>
      <c r="H502">
        <v>1938.1667</v>
      </c>
      <c r="I502">
        <v>1959.8978</v>
      </c>
      <c r="J502">
        <v>0.37919999999999998</v>
      </c>
      <c r="K502">
        <v>0.43340000000000001</v>
      </c>
      <c r="L502">
        <v>0.6351</v>
      </c>
      <c r="M502">
        <v>48.2759</v>
      </c>
      <c r="N502">
        <v>-10.432</v>
      </c>
      <c r="O502">
        <v>-13.0395</v>
      </c>
      <c r="P502">
        <v>1962.6</v>
      </c>
      <c r="Q502">
        <v>1894.25</v>
      </c>
    </row>
    <row r="503" spans="1:17" x14ac:dyDescent="0.3">
      <c r="A503" s="1">
        <v>45120</v>
      </c>
      <c r="B503">
        <v>1959.2</v>
      </c>
      <c r="C503">
        <v>1961.1</v>
      </c>
      <c r="D503">
        <v>1953</v>
      </c>
      <c r="E503">
        <v>1961.1</v>
      </c>
      <c r="F503">
        <v>121</v>
      </c>
      <c r="G503">
        <v>1926.8857</v>
      </c>
      <c r="H503">
        <v>1938.78</v>
      </c>
      <c r="I503">
        <v>1961.2733000000001</v>
      </c>
      <c r="J503">
        <v>1.4903999999999999</v>
      </c>
      <c r="K503">
        <v>0.65980000000000005</v>
      </c>
      <c r="L503">
        <v>0.69040000000000001</v>
      </c>
      <c r="M503">
        <v>68.870500000000007</v>
      </c>
      <c r="N503">
        <v>-6.6916000000000002</v>
      </c>
      <c r="O503">
        <v>-11.7699</v>
      </c>
      <c r="P503">
        <v>1962.7247</v>
      </c>
      <c r="Q503">
        <v>1894.1753000000001</v>
      </c>
    </row>
    <row r="504" spans="1:17" x14ac:dyDescent="0.3">
      <c r="A504" s="1">
        <v>45121</v>
      </c>
      <c r="B504">
        <v>1960.1</v>
      </c>
      <c r="C504">
        <v>1960.6</v>
      </c>
      <c r="D504">
        <v>1952.7</v>
      </c>
      <c r="E504">
        <v>1958.4</v>
      </c>
      <c r="F504">
        <v>94</v>
      </c>
      <c r="G504">
        <v>1931.8714</v>
      </c>
      <c r="H504">
        <v>1938.7867000000001</v>
      </c>
      <c r="I504">
        <v>1962.4411</v>
      </c>
      <c r="J504">
        <v>-0.13769999999999999</v>
      </c>
      <c r="K504">
        <v>0.6825</v>
      </c>
      <c r="L504">
        <v>0.67569999999999997</v>
      </c>
      <c r="M504">
        <v>67.996399999999994</v>
      </c>
      <c r="N504">
        <v>-3.9001999999999999</v>
      </c>
      <c r="O504">
        <v>-10.196</v>
      </c>
      <c r="P504">
        <v>1965.0559000000001</v>
      </c>
      <c r="Q504">
        <v>1893.0641000000001</v>
      </c>
    </row>
    <row r="505" spans="1:17" x14ac:dyDescent="0.3">
      <c r="A505" s="1">
        <v>45124</v>
      </c>
      <c r="B505">
        <v>1952.4</v>
      </c>
      <c r="C505">
        <v>1956.5</v>
      </c>
      <c r="D505">
        <v>1946.6</v>
      </c>
      <c r="E505">
        <v>1954</v>
      </c>
      <c r="F505">
        <v>29</v>
      </c>
      <c r="G505">
        <v>1938.2571</v>
      </c>
      <c r="H505">
        <v>1938.48</v>
      </c>
      <c r="I505">
        <v>1963.6977999999999</v>
      </c>
      <c r="J505">
        <v>-0.22470000000000001</v>
      </c>
      <c r="K505">
        <v>0.57679999999999998</v>
      </c>
      <c r="L505">
        <v>0.67520000000000002</v>
      </c>
      <c r="M505">
        <v>64.072400000000002</v>
      </c>
      <c r="N505">
        <v>-2.0198</v>
      </c>
      <c r="O505">
        <v>-8.5607000000000006</v>
      </c>
      <c r="P505">
        <v>1966.9767999999999</v>
      </c>
      <c r="Q505">
        <v>1892.3732</v>
      </c>
    </row>
    <row r="506" spans="1:17" x14ac:dyDescent="0.3">
      <c r="A506" s="1">
        <v>45125</v>
      </c>
      <c r="B506">
        <v>1977.2</v>
      </c>
      <c r="C506">
        <v>1978.4</v>
      </c>
      <c r="D506">
        <v>1963.4</v>
      </c>
      <c r="E506">
        <v>1968.8</v>
      </c>
      <c r="F506">
        <v>83</v>
      </c>
      <c r="G506">
        <v>1946.1713999999999</v>
      </c>
      <c r="H506">
        <v>1938.2032999999999</v>
      </c>
      <c r="I506">
        <v>1965.4444000000001</v>
      </c>
      <c r="J506">
        <v>0.75739999999999996</v>
      </c>
      <c r="K506">
        <v>0.59450000000000003</v>
      </c>
      <c r="L506">
        <v>0.67700000000000005</v>
      </c>
      <c r="M506">
        <v>67.244299999999996</v>
      </c>
      <c r="N506">
        <v>0.65710000000000002</v>
      </c>
      <c r="O506">
        <v>-6.7172000000000001</v>
      </c>
      <c r="P506">
        <v>1968.7906</v>
      </c>
      <c r="Q506">
        <v>1891.2994000000001</v>
      </c>
    </row>
    <row r="507" spans="1:17" x14ac:dyDescent="0.3">
      <c r="A507" s="1">
        <v>45126</v>
      </c>
      <c r="B507">
        <v>1977.5</v>
      </c>
      <c r="C507">
        <v>1977.5</v>
      </c>
      <c r="D507">
        <v>1973</v>
      </c>
      <c r="E507">
        <v>1977</v>
      </c>
      <c r="F507">
        <v>35</v>
      </c>
      <c r="G507">
        <v>1953.8</v>
      </c>
      <c r="H507">
        <v>1939.1867</v>
      </c>
      <c r="I507">
        <v>1967.2289000000001</v>
      </c>
      <c r="J507">
        <v>0.41649999999999998</v>
      </c>
      <c r="K507">
        <v>0.59209999999999996</v>
      </c>
      <c r="L507">
        <v>0.62</v>
      </c>
      <c r="M507">
        <v>78.203999999999994</v>
      </c>
      <c r="N507">
        <v>3.4011</v>
      </c>
      <c r="O507">
        <v>-4.6935000000000002</v>
      </c>
      <c r="P507">
        <v>1973.2753</v>
      </c>
      <c r="Q507">
        <v>1888.6547</v>
      </c>
    </row>
    <row r="508" spans="1:17" x14ac:dyDescent="0.3">
      <c r="A508" s="1">
        <v>45127</v>
      </c>
      <c r="B508">
        <v>1968.3</v>
      </c>
      <c r="C508">
        <v>1973.7</v>
      </c>
      <c r="D508">
        <v>1965.6</v>
      </c>
      <c r="E508">
        <v>1973.7</v>
      </c>
      <c r="F508">
        <v>638</v>
      </c>
      <c r="G508">
        <v>1960.7571</v>
      </c>
      <c r="H508">
        <v>1939.6167</v>
      </c>
      <c r="I508">
        <v>1968.5778</v>
      </c>
      <c r="J508">
        <v>-0.16689999999999999</v>
      </c>
      <c r="K508">
        <v>0.62</v>
      </c>
      <c r="L508">
        <v>0.60950000000000004</v>
      </c>
      <c r="M508">
        <v>77.595100000000002</v>
      </c>
      <c r="N508">
        <v>5.2488999999999999</v>
      </c>
      <c r="O508">
        <v>-2.7050000000000001</v>
      </c>
      <c r="P508">
        <v>1979.2901999999999</v>
      </c>
      <c r="Q508">
        <v>1886.4498000000001</v>
      </c>
    </row>
    <row r="509" spans="1:17" x14ac:dyDescent="0.3">
      <c r="A509" s="1">
        <v>45128</v>
      </c>
      <c r="B509">
        <v>1964.3</v>
      </c>
      <c r="C509">
        <v>1964.3</v>
      </c>
      <c r="D509">
        <v>1961.8</v>
      </c>
      <c r="E509">
        <v>1961.8</v>
      </c>
      <c r="F509">
        <v>50</v>
      </c>
      <c r="G509">
        <v>1964.9713999999999</v>
      </c>
      <c r="H509">
        <v>1939.71</v>
      </c>
      <c r="I509">
        <v>1969.3667</v>
      </c>
      <c r="J509">
        <v>-0.60289999999999999</v>
      </c>
      <c r="K509">
        <v>0.71809999999999996</v>
      </c>
      <c r="L509">
        <v>0.61990000000000001</v>
      </c>
      <c r="M509">
        <v>71.077699999999993</v>
      </c>
      <c r="N509">
        <v>5.6875</v>
      </c>
      <c r="O509">
        <v>-1.0265</v>
      </c>
      <c r="P509">
        <v>1982.6859999999999</v>
      </c>
      <c r="Q509">
        <v>1887.2339999999999</v>
      </c>
    </row>
    <row r="510" spans="1:17" x14ac:dyDescent="0.3">
      <c r="A510" s="1">
        <v>45131</v>
      </c>
      <c r="B510">
        <v>1960.3</v>
      </c>
      <c r="C510">
        <v>1965.5</v>
      </c>
      <c r="D510">
        <v>1960.3</v>
      </c>
      <c r="E510">
        <v>1965.3</v>
      </c>
      <c r="F510">
        <v>2</v>
      </c>
      <c r="G510">
        <v>1965.5714</v>
      </c>
      <c r="H510">
        <v>1940.4467</v>
      </c>
      <c r="I510">
        <v>1969.9567</v>
      </c>
      <c r="J510">
        <v>0.1784</v>
      </c>
      <c r="K510">
        <v>0.45329999999999998</v>
      </c>
      <c r="L510">
        <v>0.60119999999999996</v>
      </c>
      <c r="M510">
        <v>69.684399999999997</v>
      </c>
      <c r="N510">
        <v>6.2454999999999998</v>
      </c>
      <c r="O510">
        <v>0.4279</v>
      </c>
      <c r="P510">
        <v>1986.2088000000001</v>
      </c>
      <c r="Q510">
        <v>1888.3712</v>
      </c>
    </row>
    <row r="511" spans="1:17" x14ac:dyDescent="0.3">
      <c r="A511" s="1">
        <v>45132</v>
      </c>
      <c r="B511">
        <v>1962.1</v>
      </c>
      <c r="C511">
        <v>1962.5</v>
      </c>
      <c r="D511">
        <v>1953</v>
      </c>
      <c r="E511">
        <v>1953</v>
      </c>
      <c r="F511">
        <v>19</v>
      </c>
      <c r="G511">
        <v>1964.8</v>
      </c>
      <c r="H511">
        <v>1940.0433</v>
      </c>
      <c r="I511">
        <v>1970.5021999999999</v>
      </c>
      <c r="J511">
        <v>-0.62590000000000001</v>
      </c>
      <c r="K511">
        <v>0.51680000000000004</v>
      </c>
      <c r="L511">
        <v>0.57650000000000001</v>
      </c>
      <c r="M511">
        <v>61.604999999999997</v>
      </c>
      <c r="N511">
        <v>5.6303000000000001</v>
      </c>
      <c r="O511">
        <v>1.4683999999999999</v>
      </c>
      <c r="P511">
        <v>1987.7018</v>
      </c>
      <c r="Q511">
        <v>1889.8882000000001</v>
      </c>
    </row>
    <row r="512" spans="1:17" x14ac:dyDescent="0.3">
      <c r="A512" s="1">
        <v>45133</v>
      </c>
      <c r="B512">
        <v>1968.9</v>
      </c>
      <c r="C512">
        <v>1972</v>
      </c>
      <c r="D512">
        <v>1966.2</v>
      </c>
      <c r="E512">
        <v>1966.2</v>
      </c>
      <c r="F512">
        <v>51</v>
      </c>
      <c r="G512">
        <v>1966.5428999999999</v>
      </c>
      <c r="H512">
        <v>1940.26</v>
      </c>
      <c r="I512">
        <v>1971.1278</v>
      </c>
      <c r="J512">
        <v>0.67589999999999995</v>
      </c>
      <c r="K512">
        <v>0.57179999999999997</v>
      </c>
      <c r="L512">
        <v>0.58799999999999997</v>
      </c>
      <c r="M512">
        <v>72.561400000000006</v>
      </c>
      <c r="N512">
        <v>6.1372</v>
      </c>
      <c r="O512">
        <v>2.4020999999999999</v>
      </c>
      <c r="P512">
        <v>1990.8001999999999</v>
      </c>
      <c r="Q512">
        <v>1890.7098000000001</v>
      </c>
    </row>
    <row r="513" spans="1:17" x14ac:dyDescent="0.3">
      <c r="A513" s="1">
        <v>45134</v>
      </c>
      <c r="B513">
        <v>1945.4</v>
      </c>
      <c r="C513">
        <v>1945.4</v>
      </c>
      <c r="D513">
        <v>1945.4</v>
      </c>
      <c r="E513">
        <v>1945.4</v>
      </c>
      <c r="F513">
        <v>194253</v>
      </c>
      <c r="G513">
        <v>1963.2</v>
      </c>
      <c r="H513">
        <v>1939.7533000000001</v>
      </c>
      <c r="I513">
        <v>1971.1211000000001</v>
      </c>
      <c r="J513">
        <v>-1.0579000000000001</v>
      </c>
      <c r="K513">
        <v>0.62780000000000002</v>
      </c>
      <c r="L513">
        <v>0.61950000000000005</v>
      </c>
      <c r="M513">
        <v>61.204500000000003</v>
      </c>
      <c r="N513">
        <v>4.8051000000000004</v>
      </c>
      <c r="O513">
        <v>2.8826999999999998</v>
      </c>
      <c r="P513">
        <v>1990.6496999999999</v>
      </c>
      <c r="Q513">
        <v>1894.1703</v>
      </c>
    </row>
    <row r="514" spans="1:17" x14ac:dyDescent="0.3">
      <c r="A514" s="1">
        <v>45135</v>
      </c>
      <c r="B514">
        <v>1960.4</v>
      </c>
      <c r="C514">
        <v>1962.2</v>
      </c>
      <c r="D514">
        <v>1944.2</v>
      </c>
      <c r="E514">
        <v>1945.5</v>
      </c>
      <c r="F514">
        <v>23155</v>
      </c>
      <c r="G514">
        <v>1958.7</v>
      </c>
      <c r="H514">
        <v>1939.73</v>
      </c>
      <c r="I514">
        <v>1970.6456000000001</v>
      </c>
      <c r="J514">
        <v>5.1000000000000004E-3</v>
      </c>
      <c r="K514">
        <v>0.58130000000000004</v>
      </c>
      <c r="L514">
        <v>0.6048</v>
      </c>
      <c r="M514">
        <v>58.2517</v>
      </c>
      <c r="N514">
        <v>3.7145999999999999</v>
      </c>
      <c r="O514">
        <v>3.0491000000000001</v>
      </c>
      <c r="P514">
        <v>1989.9419</v>
      </c>
      <c r="Q514">
        <v>1898.4381000000001</v>
      </c>
    </row>
    <row r="515" spans="1:17" x14ac:dyDescent="0.3">
      <c r="A515" s="1">
        <v>45138</v>
      </c>
      <c r="B515">
        <v>1970.5</v>
      </c>
      <c r="C515">
        <v>1971.6</v>
      </c>
      <c r="D515">
        <v>1950</v>
      </c>
      <c r="E515">
        <v>1959.2</v>
      </c>
      <c r="F515">
        <v>1025</v>
      </c>
      <c r="G515">
        <v>1956.6286</v>
      </c>
      <c r="H515">
        <v>1940.3133</v>
      </c>
      <c r="I515">
        <v>1970.4833000000001</v>
      </c>
      <c r="J515">
        <v>0.70420000000000005</v>
      </c>
      <c r="K515">
        <v>0.68120000000000003</v>
      </c>
      <c r="L515">
        <v>0.61639999999999995</v>
      </c>
      <c r="M515">
        <v>61.793100000000003</v>
      </c>
      <c r="N515">
        <v>3.9108999999999998</v>
      </c>
      <c r="O515">
        <v>3.2214999999999998</v>
      </c>
      <c r="P515">
        <v>1989.6974</v>
      </c>
      <c r="Q515">
        <v>1903.7426</v>
      </c>
    </row>
    <row r="516" spans="1:17" x14ac:dyDescent="0.3">
      <c r="A516" s="1">
        <v>45139</v>
      </c>
      <c r="B516">
        <v>1940.7</v>
      </c>
      <c r="C516">
        <v>1965.4</v>
      </c>
      <c r="D516">
        <v>1940.7</v>
      </c>
      <c r="E516">
        <v>1964.9</v>
      </c>
      <c r="F516">
        <v>688</v>
      </c>
      <c r="G516">
        <v>1957.0714</v>
      </c>
      <c r="H516">
        <v>1940.43</v>
      </c>
      <c r="I516">
        <v>1970.6844000000001</v>
      </c>
      <c r="J516">
        <v>0.29089999999999999</v>
      </c>
      <c r="K516">
        <v>0.6552</v>
      </c>
      <c r="L516">
        <v>0.59030000000000005</v>
      </c>
      <c r="M516">
        <v>61.366799999999998</v>
      </c>
      <c r="N516">
        <v>4.4747000000000003</v>
      </c>
      <c r="O516">
        <v>3.4721000000000002</v>
      </c>
      <c r="P516">
        <v>1990.5251000000001</v>
      </c>
      <c r="Q516">
        <v>1907.615</v>
      </c>
    </row>
    <row r="517" spans="1:17" x14ac:dyDescent="0.3">
      <c r="A517" s="1">
        <v>45140</v>
      </c>
      <c r="B517">
        <v>1937.4</v>
      </c>
      <c r="C517">
        <v>1953.6</v>
      </c>
      <c r="D517">
        <v>1933.2</v>
      </c>
      <c r="E517">
        <v>1948.4</v>
      </c>
      <c r="F517">
        <v>652</v>
      </c>
      <c r="G517">
        <v>1954.6570999999999</v>
      </c>
      <c r="H517">
        <v>1940.09</v>
      </c>
      <c r="I517">
        <v>1970.2166999999999</v>
      </c>
      <c r="J517">
        <v>-0.8397</v>
      </c>
      <c r="K517">
        <v>0.72470000000000001</v>
      </c>
      <c r="L517">
        <v>0.60980000000000001</v>
      </c>
      <c r="M517">
        <v>45.156399999999998</v>
      </c>
      <c r="N517">
        <v>3.5493000000000001</v>
      </c>
      <c r="O517">
        <v>3.4874999999999998</v>
      </c>
      <c r="P517">
        <v>1989.9942000000001</v>
      </c>
      <c r="Q517">
        <v>1910.6358</v>
      </c>
    </row>
    <row r="518" spans="1:17" x14ac:dyDescent="0.3">
      <c r="A518" s="1">
        <v>45141</v>
      </c>
      <c r="B518">
        <v>1932</v>
      </c>
      <c r="C518">
        <v>1936.5</v>
      </c>
      <c r="D518">
        <v>1928</v>
      </c>
      <c r="E518">
        <v>1934.2</v>
      </c>
      <c r="F518">
        <v>773</v>
      </c>
      <c r="G518">
        <v>1951.9713999999999</v>
      </c>
      <c r="H518">
        <v>1940.0433</v>
      </c>
      <c r="I518">
        <v>1969.5778</v>
      </c>
      <c r="J518">
        <v>-0.7288</v>
      </c>
      <c r="K518">
        <v>0.73750000000000004</v>
      </c>
      <c r="L518">
        <v>0.58550000000000002</v>
      </c>
      <c r="M518">
        <v>41.514699999999998</v>
      </c>
      <c r="N518">
        <v>1.651</v>
      </c>
      <c r="O518">
        <v>3.1202000000000001</v>
      </c>
      <c r="P518">
        <v>1987.1750999999999</v>
      </c>
      <c r="Q518">
        <v>1915.9449</v>
      </c>
    </row>
    <row r="519" spans="1:17" x14ac:dyDescent="0.3">
      <c r="A519" s="1">
        <v>45142</v>
      </c>
      <c r="B519">
        <v>1939.6</v>
      </c>
      <c r="C519">
        <v>1945</v>
      </c>
      <c r="D519">
        <v>1920</v>
      </c>
      <c r="E519">
        <v>1934.9</v>
      </c>
      <c r="F519">
        <v>290</v>
      </c>
      <c r="G519">
        <v>1947.5</v>
      </c>
      <c r="H519">
        <v>1940.54</v>
      </c>
      <c r="I519">
        <v>1969.33</v>
      </c>
      <c r="J519">
        <v>3.6200000000000003E-2</v>
      </c>
      <c r="K519">
        <v>0.65529999999999999</v>
      </c>
      <c r="L519">
        <v>0.56540000000000001</v>
      </c>
      <c r="M519">
        <v>43.124600000000001</v>
      </c>
      <c r="N519">
        <v>0.20069999999999999</v>
      </c>
      <c r="O519">
        <v>2.5363000000000002</v>
      </c>
      <c r="P519">
        <v>1984.5009</v>
      </c>
      <c r="Q519">
        <v>1920.7691</v>
      </c>
    </row>
    <row r="520" spans="1:17" x14ac:dyDescent="0.3">
      <c r="A520" s="1">
        <v>45145</v>
      </c>
      <c r="B520">
        <v>1933.5</v>
      </c>
      <c r="C520">
        <v>1941</v>
      </c>
      <c r="D520">
        <v>1929.8</v>
      </c>
      <c r="E520">
        <v>1941</v>
      </c>
      <c r="F520">
        <v>376</v>
      </c>
      <c r="G520">
        <v>1946.8714</v>
      </c>
      <c r="H520">
        <v>1941.2833000000001</v>
      </c>
      <c r="I520">
        <v>1968.9811</v>
      </c>
      <c r="J520">
        <v>0.31530000000000002</v>
      </c>
      <c r="K520">
        <v>0.56430000000000002</v>
      </c>
      <c r="L520">
        <v>0.5675</v>
      </c>
      <c r="M520">
        <v>39.324100000000001</v>
      </c>
      <c r="N520">
        <v>-0.45119999999999999</v>
      </c>
      <c r="O520">
        <v>1.9388000000000001</v>
      </c>
      <c r="P520">
        <v>1982.8864000000001</v>
      </c>
      <c r="Q520">
        <v>1924.1235999999999</v>
      </c>
    </row>
    <row r="521" spans="1:17" x14ac:dyDescent="0.3">
      <c r="A521" s="1">
        <v>45146</v>
      </c>
      <c r="B521">
        <v>1924.1</v>
      </c>
      <c r="C521">
        <v>1933.2</v>
      </c>
      <c r="D521">
        <v>1923</v>
      </c>
      <c r="E521">
        <v>1931.7</v>
      </c>
      <c r="F521">
        <v>555</v>
      </c>
      <c r="G521">
        <v>1944.9</v>
      </c>
      <c r="H521">
        <v>1941.5767000000001</v>
      </c>
      <c r="I521">
        <v>1968.5989</v>
      </c>
      <c r="J521">
        <v>-0.47910000000000003</v>
      </c>
      <c r="K521">
        <v>0.58830000000000005</v>
      </c>
      <c r="L521">
        <v>0.57420000000000004</v>
      </c>
      <c r="M521">
        <v>32.749400000000001</v>
      </c>
      <c r="N521">
        <v>-1.6987000000000001</v>
      </c>
      <c r="O521">
        <v>1.2113</v>
      </c>
      <c r="P521">
        <v>1981.9794999999999</v>
      </c>
      <c r="Q521">
        <v>1925.7004999999999</v>
      </c>
    </row>
    <row r="522" spans="1:17" x14ac:dyDescent="0.3">
      <c r="A522" s="1">
        <v>45147</v>
      </c>
      <c r="B522">
        <v>1915.4</v>
      </c>
      <c r="C522">
        <v>1928.8</v>
      </c>
      <c r="D522">
        <v>1913.7</v>
      </c>
      <c r="E522">
        <v>1925.4</v>
      </c>
      <c r="F522">
        <v>451</v>
      </c>
      <c r="G522">
        <v>1940.0714</v>
      </c>
      <c r="H522">
        <v>1941.5233000000001</v>
      </c>
      <c r="I522">
        <v>1968.1488999999999</v>
      </c>
      <c r="J522">
        <v>-0.3261</v>
      </c>
      <c r="K522">
        <v>0.47070000000000001</v>
      </c>
      <c r="L522">
        <v>0.57630000000000003</v>
      </c>
      <c r="M522">
        <v>32.017899999999997</v>
      </c>
      <c r="N522">
        <v>-3.1593</v>
      </c>
      <c r="O522">
        <v>0.3372</v>
      </c>
      <c r="P522">
        <v>1982.8878</v>
      </c>
      <c r="Q522">
        <v>1924.1022</v>
      </c>
    </row>
    <row r="523" spans="1:17" x14ac:dyDescent="0.3">
      <c r="A523" s="1">
        <v>45148</v>
      </c>
      <c r="B523">
        <v>1914.4</v>
      </c>
      <c r="C523">
        <v>1927.8</v>
      </c>
      <c r="D523">
        <v>1911.4</v>
      </c>
      <c r="E523">
        <v>1921.1</v>
      </c>
      <c r="F523">
        <v>178</v>
      </c>
      <c r="G523">
        <v>1933.8143</v>
      </c>
      <c r="H523">
        <v>1941.8167000000001</v>
      </c>
      <c r="I523">
        <v>1967.48</v>
      </c>
      <c r="J523">
        <v>-0.2233</v>
      </c>
      <c r="K523">
        <v>0.40870000000000001</v>
      </c>
      <c r="L523">
        <v>0.55989999999999995</v>
      </c>
      <c r="M523">
        <v>33.938400000000001</v>
      </c>
      <c r="N523">
        <v>-4.6105999999999998</v>
      </c>
      <c r="O523">
        <v>-0.65239999999999998</v>
      </c>
      <c r="P523">
        <v>1983.9889000000001</v>
      </c>
      <c r="Q523">
        <v>1919.0011</v>
      </c>
    </row>
    <row r="524" spans="1:17" x14ac:dyDescent="0.3">
      <c r="A524" s="1">
        <v>45149</v>
      </c>
      <c r="B524">
        <v>1912.9</v>
      </c>
      <c r="C524">
        <v>1916.6</v>
      </c>
      <c r="D524">
        <v>1911.8</v>
      </c>
      <c r="E524">
        <v>1913</v>
      </c>
      <c r="F524">
        <v>57</v>
      </c>
      <c r="G524">
        <v>1928.7571</v>
      </c>
      <c r="H524">
        <v>1941.92</v>
      </c>
      <c r="I524">
        <v>1966.8678</v>
      </c>
      <c r="J524">
        <v>-0.42159999999999997</v>
      </c>
      <c r="K524">
        <v>0.34599999999999997</v>
      </c>
      <c r="L524">
        <v>0.56510000000000005</v>
      </c>
      <c r="M524">
        <v>30.0838</v>
      </c>
      <c r="N524">
        <v>-6.3413000000000004</v>
      </c>
      <c r="O524">
        <v>-1.7901</v>
      </c>
      <c r="P524">
        <v>1985.7774999999999</v>
      </c>
      <c r="Q524">
        <v>1912.6724999999999</v>
      </c>
    </row>
    <row r="525" spans="1:17" x14ac:dyDescent="0.3">
      <c r="A525" s="1">
        <v>45152</v>
      </c>
      <c r="B525">
        <v>1910.6</v>
      </c>
      <c r="C525">
        <v>1912.6</v>
      </c>
      <c r="D525">
        <v>1903.3</v>
      </c>
      <c r="E525">
        <v>1909.3</v>
      </c>
      <c r="F525">
        <v>46</v>
      </c>
      <c r="G525">
        <v>1925.2</v>
      </c>
      <c r="H525">
        <v>1941.9432999999999</v>
      </c>
      <c r="I525">
        <v>1966.0310999999999</v>
      </c>
      <c r="J525">
        <v>-0.19339999999999999</v>
      </c>
      <c r="K525">
        <v>0.27779999999999999</v>
      </c>
      <c r="L525">
        <v>0.56610000000000005</v>
      </c>
      <c r="M525">
        <v>32.192399999999999</v>
      </c>
      <c r="N525">
        <v>-7.9202000000000004</v>
      </c>
      <c r="O525">
        <v>-3.0160999999999998</v>
      </c>
      <c r="P525">
        <v>1987.5589</v>
      </c>
      <c r="Q525">
        <v>1906.4211</v>
      </c>
    </row>
    <row r="526" spans="1:17" x14ac:dyDescent="0.3">
      <c r="A526" s="1">
        <v>45153</v>
      </c>
      <c r="B526">
        <v>1902.5</v>
      </c>
      <c r="C526">
        <v>1907.7</v>
      </c>
      <c r="D526">
        <v>1895</v>
      </c>
      <c r="E526">
        <v>1906</v>
      </c>
      <c r="F526">
        <v>73</v>
      </c>
      <c r="G526">
        <v>1921.0714</v>
      </c>
      <c r="H526">
        <v>1941.5467000000001</v>
      </c>
      <c r="I526">
        <v>1964.7411</v>
      </c>
      <c r="J526">
        <v>-0.17280000000000001</v>
      </c>
      <c r="K526">
        <v>0.26090000000000002</v>
      </c>
      <c r="L526">
        <v>0.55940000000000001</v>
      </c>
      <c r="M526">
        <v>23.3156</v>
      </c>
      <c r="N526">
        <v>-9.3301999999999996</v>
      </c>
      <c r="O526">
        <v>-4.2789000000000001</v>
      </c>
      <c r="P526">
        <v>1986.9534000000001</v>
      </c>
      <c r="Q526">
        <v>1900.7465999999999</v>
      </c>
    </row>
    <row r="527" spans="1:17" x14ac:dyDescent="0.3">
      <c r="A527" s="1">
        <v>45154</v>
      </c>
      <c r="B527">
        <v>1896.1</v>
      </c>
      <c r="C527">
        <v>1904.5</v>
      </c>
      <c r="D527">
        <v>1890.3</v>
      </c>
      <c r="E527">
        <v>1904.5</v>
      </c>
      <c r="F527">
        <v>22</v>
      </c>
      <c r="G527">
        <v>1915.8570999999999</v>
      </c>
      <c r="H527">
        <v>1940.9132999999999</v>
      </c>
      <c r="I527">
        <v>1963.4332999999999</v>
      </c>
      <c r="J527">
        <v>-7.8700000000000006E-2</v>
      </c>
      <c r="K527">
        <v>0.14369999999999999</v>
      </c>
      <c r="L527">
        <v>0.55640000000000001</v>
      </c>
      <c r="M527">
        <v>28.128399999999999</v>
      </c>
      <c r="N527">
        <v>-10.4482</v>
      </c>
      <c r="O527">
        <v>-5.5128000000000004</v>
      </c>
      <c r="P527">
        <v>1983.7819</v>
      </c>
      <c r="Q527">
        <v>1896.6681000000001</v>
      </c>
    </row>
    <row r="528" spans="1:17" x14ac:dyDescent="0.3">
      <c r="A528" s="1">
        <v>45155</v>
      </c>
      <c r="B528">
        <v>1884.1</v>
      </c>
      <c r="C528">
        <v>1902.4</v>
      </c>
      <c r="D528">
        <v>1884</v>
      </c>
      <c r="E528">
        <v>1893.7</v>
      </c>
      <c r="F528">
        <v>245</v>
      </c>
      <c r="G528">
        <v>1910.4286</v>
      </c>
      <c r="H528">
        <v>1940.3933</v>
      </c>
      <c r="I528">
        <v>1962.2521999999999</v>
      </c>
      <c r="J528">
        <v>-0.56710000000000005</v>
      </c>
      <c r="K528">
        <v>0.16700000000000001</v>
      </c>
      <c r="L528">
        <v>0.54969999999999997</v>
      </c>
      <c r="M528">
        <v>25.143999999999998</v>
      </c>
      <c r="N528">
        <v>-12.066599999999999</v>
      </c>
      <c r="O528">
        <v>-6.8235999999999999</v>
      </c>
      <c r="P528">
        <v>1981.4978000000001</v>
      </c>
      <c r="Q528">
        <v>1890.9521999999999</v>
      </c>
    </row>
    <row r="529" spans="1:17" x14ac:dyDescent="0.3">
      <c r="A529" s="1">
        <v>45156</v>
      </c>
      <c r="B529">
        <v>1886.1</v>
      </c>
      <c r="C529">
        <v>1891.8</v>
      </c>
      <c r="D529">
        <v>1886.1</v>
      </c>
      <c r="E529">
        <v>1891.8</v>
      </c>
      <c r="F529">
        <v>19</v>
      </c>
      <c r="G529">
        <v>1905.6286</v>
      </c>
      <c r="H529">
        <v>1939.6732999999999</v>
      </c>
      <c r="I529">
        <v>1961.1456000000001</v>
      </c>
      <c r="J529">
        <v>-0.1003</v>
      </c>
      <c r="K529">
        <v>0.1787</v>
      </c>
      <c r="L529">
        <v>0.54800000000000004</v>
      </c>
      <c r="M529">
        <v>13.5282</v>
      </c>
      <c r="N529">
        <v>-13.348599999999999</v>
      </c>
      <c r="O529">
        <v>-8.1286000000000005</v>
      </c>
      <c r="P529">
        <v>1980.4306999999999</v>
      </c>
      <c r="Q529">
        <v>1885.0192999999999</v>
      </c>
    </row>
    <row r="530" spans="1:17" x14ac:dyDescent="0.3">
      <c r="A530" s="1">
        <v>45159</v>
      </c>
      <c r="B530">
        <v>1893.3</v>
      </c>
      <c r="C530">
        <v>1893.6</v>
      </c>
      <c r="D530">
        <v>1893.3</v>
      </c>
      <c r="E530">
        <v>1893.6</v>
      </c>
      <c r="F530">
        <v>876</v>
      </c>
      <c r="G530">
        <v>1901.7</v>
      </c>
      <c r="H530">
        <v>1938.6732999999999</v>
      </c>
      <c r="I530">
        <v>1959.9056</v>
      </c>
      <c r="J530">
        <v>9.5100000000000004E-2</v>
      </c>
      <c r="K530">
        <v>0.22220000000000001</v>
      </c>
      <c r="L530">
        <v>0.53800000000000003</v>
      </c>
      <c r="M530">
        <v>9.7174999999999994</v>
      </c>
      <c r="N530">
        <v>-14.057399999999999</v>
      </c>
      <c r="O530">
        <v>-9.3142999999999994</v>
      </c>
      <c r="P530">
        <v>1977.3125</v>
      </c>
      <c r="Q530">
        <v>1880.9675</v>
      </c>
    </row>
    <row r="531" spans="1:17" x14ac:dyDescent="0.3">
      <c r="A531" s="1">
        <v>45160</v>
      </c>
      <c r="B531">
        <v>1896.4</v>
      </c>
      <c r="C531">
        <v>1896.8</v>
      </c>
      <c r="D531">
        <v>1892.8</v>
      </c>
      <c r="E531">
        <v>1894.6</v>
      </c>
      <c r="F531">
        <v>46</v>
      </c>
      <c r="G531">
        <v>1899.0714</v>
      </c>
      <c r="H531">
        <v>1937.66</v>
      </c>
      <c r="I531">
        <v>1958.5610999999999</v>
      </c>
      <c r="J531">
        <v>5.28E-2</v>
      </c>
      <c r="K531">
        <v>0.21759999999999999</v>
      </c>
      <c r="L531">
        <v>0.53790000000000004</v>
      </c>
      <c r="M531">
        <v>13.150700000000001</v>
      </c>
      <c r="N531">
        <v>-14.3727</v>
      </c>
      <c r="O531">
        <v>-10.326000000000001</v>
      </c>
      <c r="P531">
        <v>1975.3728000000001</v>
      </c>
      <c r="Q531">
        <v>1877.0672</v>
      </c>
    </row>
    <row r="532" spans="1:17" x14ac:dyDescent="0.3">
      <c r="A532" s="1">
        <v>45161</v>
      </c>
      <c r="B532">
        <v>1918.5</v>
      </c>
      <c r="C532">
        <v>1918.5</v>
      </c>
      <c r="D532">
        <v>1909.6</v>
      </c>
      <c r="E532">
        <v>1909.6</v>
      </c>
      <c r="F532">
        <v>547</v>
      </c>
      <c r="G532">
        <v>1899.1143</v>
      </c>
      <c r="H532">
        <v>1936.9032999999999</v>
      </c>
      <c r="I532">
        <v>1957.1011000000001</v>
      </c>
      <c r="J532">
        <v>0.79169999999999996</v>
      </c>
      <c r="K532">
        <v>0.40949999999999998</v>
      </c>
      <c r="L532">
        <v>0.55430000000000001</v>
      </c>
      <c r="M532">
        <v>33.333300000000001</v>
      </c>
      <c r="N532">
        <v>-13.259399999999999</v>
      </c>
      <c r="O532">
        <v>-10.912699999999999</v>
      </c>
      <c r="P532">
        <v>1969.2584999999999</v>
      </c>
      <c r="Q532">
        <v>1877.5214000000001</v>
      </c>
    </row>
    <row r="533" spans="1:17" x14ac:dyDescent="0.3">
      <c r="A533" s="1">
        <v>45162</v>
      </c>
      <c r="B533">
        <v>1918.2</v>
      </c>
      <c r="C533">
        <v>1920.8</v>
      </c>
      <c r="D533">
        <v>1918.2</v>
      </c>
      <c r="E533">
        <v>1920</v>
      </c>
      <c r="F533">
        <v>337</v>
      </c>
      <c r="G533">
        <v>1901.1143</v>
      </c>
      <c r="H533">
        <v>1935.5333000000001</v>
      </c>
      <c r="I533">
        <v>1956.1822</v>
      </c>
      <c r="J533">
        <v>0.54459999999999997</v>
      </c>
      <c r="K533">
        <v>0.44629999999999997</v>
      </c>
      <c r="L533">
        <v>0.48720000000000002</v>
      </c>
      <c r="M533">
        <v>41.077800000000003</v>
      </c>
      <c r="N533">
        <v>-11.4064</v>
      </c>
      <c r="O533">
        <v>-11.0114</v>
      </c>
      <c r="P533">
        <v>1966.8141000000001</v>
      </c>
      <c r="Q533">
        <v>1877.4259</v>
      </c>
    </row>
    <row r="534" spans="1:17" x14ac:dyDescent="0.3">
      <c r="A534" s="1">
        <v>45163</v>
      </c>
      <c r="B534">
        <v>1911.1</v>
      </c>
      <c r="C534">
        <v>1919.8</v>
      </c>
      <c r="D534">
        <v>1911.1</v>
      </c>
      <c r="E534">
        <v>1919.8</v>
      </c>
      <c r="F534">
        <v>195</v>
      </c>
      <c r="G534">
        <v>1903.3</v>
      </c>
      <c r="H534">
        <v>1934.2466999999999</v>
      </c>
      <c r="I534">
        <v>1955.3255999999999</v>
      </c>
      <c r="J534">
        <v>-1.04E-2</v>
      </c>
      <c r="K534">
        <v>0.44240000000000002</v>
      </c>
      <c r="L534">
        <v>0.48720000000000002</v>
      </c>
      <c r="M534">
        <v>36.340200000000003</v>
      </c>
      <c r="N534">
        <v>-9.8405000000000005</v>
      </c>
      <c r="O534">
        <v>-10.777200000000001</v>
      </c>
      <c r="P534">
        <v>1964.1555000000001</v>
      </c>
      <c r="Q534">
        <v>1877.5145</v>
      </c>
    </row>
    <row r="535" spans="1:17" x14ac:dyDescent="0.3">
      <c r="A535" s="1">
        <v>45166</v>
      </c>
      <c r="B535">
        <v>1917.9</v>
      </c>
      <c r="C535">
        <v>1921.5</v>
      </c>
      <c r="D535">
        <v>1915.5</v>
      </c>
      <c r="E535">
        <v>1915.5</v>
      </c>
      <c r="F535">
        <v>99</v>
      </c>
      <c r="G535">
        <v>1906.4142999999999</v>
      </c>
      <c r="H535">
        <v>1932.9632999999999</v>
      </c>
      <c r="I535">
        <v>1954.3233</v>
      </c>
      <c r="J535">
        <v>-0.224</v>
      </c>
      <c r="K535">
        <v>0.36670000000000003</v>
      </c>
      <c r="L535">
        <v>0.48720000000000002</v>
      </c>
      <c r="M535">
        <v>38.843000000000004</v>
      </c>
      <c r="N535">
        <v>-8.8445999999999998</v>
      </c>
      <c r="O535">
        <v>-10.390700000000001</v>
      </c>
      <c r="P535">
        <v>1958.0542</v>
      </c>
      <c r="Q535">
        <v>1879.2457999999999</v>
      </c>
    </row>
    <row r="536" spans="1:17" x14ac:dyDescent="0.3">
      <c r="A536" s="1">
        <v>45167</v>
      </c>
      <c r="B536">
        <v>1936.5</v>
      </c>
      <c r="C536">
        <v>1936.5</v>
      </c>
      <c r="D536">
        <v>1916.9</v>
      </c>
      <c r="E536">
        <v>1917.9</v>
      </c>
      <c r="F536">
        <v>1674</v>
      </c>
      <c r="G536">
        <v>1910.1429000000001</v>
      </c>
      <c r="H536">
        <v>1931.2666999999999</v>
      </c>
      <c r="I536">
        <v>1953.4332999999999</v>
      </c>
      <c r="J536">
        <v>0.12529999999999999</v>
      </c>
      <c r="K536">
        <v>0.34910000000000002</v>
      </c>
      <c r="L536">
        <v>0.46339999999999998</v>
      </c>
      <c r="M536">
        <v>44.541499999999999</v>
      </c>
      <c r="N536">
        <v>-7.7721</v>
      </c>
      <c r="O536">
        <v>-9.8670000000000009</v>
      </c>
      <c r="P536">
        <v>1949.1515999999999</v>
      </c>
      <c r="Q536">
        <v>1883.4484</v>
      </c>
    </row>
    <row r="537" spans="1:17" x14ac:dyDescent="0.3">
      <c r="A537" s="1">
        <v>45168</v>
      </c>
      <c r="B537">
        <v>1944.3</v>
      </c>
      <c r="C537">
        <v>1946.4</v>
      </c>
      <c r="D537">
        <v>1934.6</v>
      </c>
      <c r="E537">
        <v>1936</v>
      </c>
      <c r="F537">
        <v>396</v>
      </c>
      <c r="G537">
        <v>1916.2</v>
      </c>
      <c r="H537">
        <v>1929.9</v>
      </c>
      <c r="I537">
        <v>1952.7644</v>
      </c>
      <c r="J537">
        <v>0.94369999999999998</v>
      </c>
      <c r="K537">
        <v>0.44280000000000003</v>
      </c>
      <c r="L537">
        <v>0.49230000000000002</v>
      </c>
      <c r="M537">
        <v>59.030299999999997</v>
      </c>
      <c r="N537">
        <v>-5.3994</v>
      </c>
      <c r="O537">
        <v>-8.9734999999999996</v>
      </c>
      <c r="P537">
        <v>1946.3782000000001</v>
      </c>
      <c r="Q537">
        <v>1884.9818</v>
      </c>
    </row>
    <row r="538" spans="1:17" x14ac:dyDescent="0.3">
      <c r="A538" s="1">
        <v>45169</v>
      </c>
      <c r="B538">
        <v>1938.2</v>
      </c>
      <c r="C538">
        <v>1944.4</v>
      </c>
      <c r="D538">
        <v>1938.2</v>
      </c>
      <c r="E538">
        <v>1944.4</v>
      </c>
      <c r="F538">
        <v>491</v>
      </c>
      <c r="G538">
        <v>1923.3143</v>
      </c>
      <c r="H538">
        <v>1928.9232999999999</v>
      </c>
      <c r="I538">
        <v>1952.3543999999999</v>
      </c>
      <c r="J538">
        <v>0.43390000000000001</v>
      </c>
      <c r="K538">
        <v>0.42799999999999999</v>
      </c>
      <c r="L538">
        <v>0.50029999999999997</v>
      </c>
      <c r="M538">
        <v>68.961399999999998</v>
      </c>
      <c r="N538">
        <v>-2.8088000000000002</v>
      </c>
      <c r="O538">
        <v>-7.7404999999999999</v>
      </c>
      <c r="P538">
        <v>1948.4812999999999</v>
      </c>
      <c r="Q538">
        <v>1883.8987</v>
      </c>
    </row>
    <row r="539" spans="1:17" x14ac:dyDescent="0.3">
      <c r="A539" s="1">
        <v>45170</v>
      </c>
      <c r="B539">
        <v>1939.8</v>
      </c>
      <c r="C539">
        <v>1950</v>
      </c>
      <c r="D539">
        <v>1936.6</v>
      </c>
      <c r="E539">
        <v>1950</v>
      </c>
      <c r="F539">
        <v>167</v>
      </c>
      <c r="G539">
        <v>1929.0857000000001</v>
      </c>
      <c r="H539">
        <v>1928.53</v>
      </c>
      <c r="I539">
        <v>1951.8467000000001</v>
      </c>
      <c r="J539">
        <v>0.28799999999999998</v>
      </c>
      <c r="K539">
        <v>0.38600000000000001</v>
      </c>
      <c r="L539">
        <v>0.49259999999999998</v>
      </c>
      <c r="M539">
        <v>74.025999999999996</v>
      </c>
      <c r="N539">
        <v>-0.3004</v>
      </c>
      <c r="O539">
        <v>-6.2525000000000004</v>
      </c>
      <c r="P539">
        <v>1951.691</v>
      </c>
      <c r="Q539">
        <v>1882.1990000000001</v>
      </c>
    </row>
    <row r="540" spans="1:17" x14ac:dyDescent="0.3">
      <c r="A540" s="1">
        <v>45174</v>
      </c>
      <c r="B540">
        <v>1926.2</v>
      </c>
      <c r="C540">
        <v>1934.4</v>
      </c>
      <c r="D540">
        <v>1924.7</v>
      </c>
      <c r="E540">
        <v>1934.4</v>
      </c>
      <c r="F540">
        <v>113</v>
      </c>
      <c r="G540">
        <v>1931.1429000000001</v>
      </c>
      <c r="H540">
        <v>1927.5</v>
      </c>
      <c r="I540">
        <v>1951.1422</v>
      </c>
      <c r="J540">
        <v>-0.8</v>
      </c>
      <c r="K540">
        <v>0.54559999999999997</v>
      </c>
      <c r="L540">
        <v>0.51119999999999999</v>
      </c>
      <c r="M540">
        <v>64.639200000000002</v>
      </c>
      <c r="N540">
        <v>0.4239</v>
      </c>
      <c r="O540">
        <v>-4.9172000000000002</v>
      </c>
      <c r="P540">
        <v>1950.5141000000001</v>
      </c>
      <c r="Q540">
        <v>1882.7158999999999</v>
      </c>
    </row>
    <row r="541" spans="1:17" x14ac:dyDescent="0.3">
      <c r="A541" s="1">
        <v>45175</v>
      </c>
      <c r="B541">
        <v>1918.1</v>
      </c>
      <c r="C541">
        <v>1925.3</v>
      </c>
      <c r="D541">
        <v>1916.3</v>
      </c>
      <c r="E541">
        <v>1924.1</v>
      </c>
      <c r="F541">
        <v>24</v>
      </c>
      <c r="G541">
        <v>1931.7571</v>
      </c>
      <c r="H541">
        <v>1926.5367000000001</v>
      </c>
      <c r="I541">
        <v>1950.4032999999999</v>
      </c>
      <c r="J541">
        <v>-0.53249999999999997</v>
      </c>
      <c r="K541">
        <v>0.59770000000000001</v>
      </c>
      <c r="L541">
        <v>0.50780000000000003</v>
      </c>
      <c r="M541">
        <v>59.262799999999999</v>
      </c>
      <c r="N541">
        <v>0.1648</v>
      </c>
      <c r="O541">
        <v>-3.9007999999999998</v>
      </c>
      <c r="P541">
        <v>1949.5880999999999</v>
      </c>
      <c r="Q541">
        <v>1882.8819000000001</v>
      </c>
    </row>
    <row r="542" spans="1:17" x14ac:dyDescent="0.3">
      <c r="A542" s="1">
        <v>45176</v>
      </c>
      <c r="B542">
        <v>1917.5</v>
      </c>
      <c r="C542">
        <v>1921.5</v>
      </c>
      <c r="D542">
        <v>1917.5</v>
      </c>
      <c r="E542">
        <v>1917.6</v>
      </c>
      <c r="F542">
        <v>41</v>
      </c>
      <c r="G542">
        <v>1932.0571</v>
      </c>
      <c r="H542">
        <v>1924.9167</v>
      </c>
      <c r="I542">
        <v>1949.6333</v>
      </c>
      <c r="J542">
        <v>-0.33779999999999999</v>
      </c>
      <c r="K542">
        <v>0.60729999999999995</v>
      </c>
      <c r="L542">
        <v>0.4914</v>
      </c>
      <c r="M542">
        <v>61.773400000000002</v>
      </c>
      <c r="N542">
        <v>-0.5585</v>
      </c>
      <c r="O542">
        <v>-3.2324000000000002</v>
      </c>
      <c r="P542">
        <v>1948.9282000000001</v>
      </c>
      <c r="Q542">
        <v>1882.7618</v>
      </c>
    </row>
    <row r="543" spans="1:17" x14ac:dyDescent="0.3">
      <c r="A543" s="1">
        <v>45177</v>
      </c>
      <c r="B543">
        <v>1918.4</v>
      </c>
      <c r="C543">
        <v>1924.7</v>
      </c>
      <c r="D543">
        <v>1918.4</v>
      </c>
      <c r="E543">
        <v>1924</v>
      </c>
      <c r="F543">
        <v>105</v>
      </c>
      <c r="G543">
        <v>1932.9286</v>
      </c>
      <c r="H543">
        <v>1924.2032999999999</v>
      </c>
      <c r="I543">
        <v>1949.01</v>
      </c>
      <c r="J543">
        <v>0.33379999999999999</v>
      </c>
      <c r="K543">
        <v>0.61850000000000005</v>
      </c>
      <c r="L543">
        <v>0.46089999999999998</v>
      </c>
      <c r="M543">
        <v>65.188699999999997</v>
      </c>
      <c r="N543">
        <v>-0.60840000000000005</v>
      </c>
      <c r="O543">
        <v>-2.7075999999999998</v>
      </c>
      <c r="P543">
        <v>1949.1954000000001</v>
      </c>
      <c r="Q543">
        <v>1882.7846</v>
      </c>
    </row>
    <row r="544" spans="1:17" x14ac:dyDescent="0.3">
      <c r="A544" s="1">
        <v>45180</v>
      </c>
      <c r="B544">
        <v>1923.3</v>
      </c>
      <c r="C544">
        <v>1928.3</v>
      </c>
      <c r="D544">
        <v>1921.8</v>
      </c>
      <c r="E544">
        <v>1923</v>
      </c>
      <c r="F544">
        <v>50</v>
      </c>
      <c r="G544">
        <v>1931.0714</v>
      </c>
      <c r="H544">
        <v>1923.4532999999999</v>
      </c>
      <c r="I544">
        <v>1948.2132999999999</v>
      </c>
      <c r="J544">
        <v>-5.1999999999999998E-2</v>
      </c>
      <c r="K544">
        <v>0.47599999999999998</v>
      </c>
      <c r="L544">
        <v>0.46079999999999999</v>
      </c>
      <c r="M544">
        <v>63.973399999999998</v>
      </c>
      <c r="N544">
        <v>-0.72019999999999995</v>
      </c>
      <c r="O544">
        <v>-2.3100999999999998</v>
      </c>
      <c r="P544">
        <v>1949.8068000000001</v>
      </c>
      <c r="Q544">
        <v>1883.1732</v>
      </c>
    </row>
    <row r="545" spans="1:17" x14ac:dyDescent="0.3">
      <c r="A545" s="1">
        <v>45181</v>
      </c>
      <c r="B545">
        <v>1911.3</v>
      </c>
      <c r="C545">
        <v>1920.8</v>
      </c>
      <c r="D545">
        <v>1911.3</v>
      </c>
      <c r="E545">
        <v>1920.8</v>
      </c>
      <c r="F545">
        <v>365</v>
      </c>
      <c r="G545">
        <v>1927.7</v>
      </c>
      <c r="H545">
        <v>1922.1732999999999</v>
      </c>
      <c r="I545">
        <v>1947.1433</v>
      </c>
      <c r="J545">
        <v>-0.1144</v>
      </c>
      <c r="K545">
        <v>0.41570000000000001</v>
      </c>
      <c r="L545">
        <v>0.43909999999999999</v>
      </c>
      <c r="M545">
        <v>62.312100000000001</v>
      </c>
      <c r="N545">
        <v>-0.97519999999999996</v>
      </c>
      <c r="O545">
        <v>-2.0430999999999999</v>
      </c>
      <c r="P545">
        <v>1950.2560000000001</v>
      </c>
      <c r="Q545">
        <v>1883.874</v>
      </c>
    </row>
    <row r="546" spans="1:17" x14ac:dyDescent="0.3">
      <c r="A546" s="1">
        <v>45182</v>
      </c>
      <c r="B546">
        <v>1909.1</v>
      </c>
      <c r="C546">
        <v>1914.6</v>
      </c>
      <c r="D546">
        <v>1908.9</v>
      </c>
      <c r="E546">
        <v>1910.3</v>
      </c>
      <c r="F546">
        <v>15</v>
      </c>
      <c r="G546">
        <v>1922.0286000000001</v>
      </c>
      <c r="H546">
        <v>1920.3533</v>
      </c>
      <c r="I546">
        <v>1945.6467</v>
      </c>
      <c r="J546">
        <v>-0.54659999999999997</v>
      </c>
      <c r="K546">
        <v>0.37940000000000002</v>
      </c>
      <c r="L546">
        <v>0.44230000000000003</v>
      </c>
      <c r="M546">
        <v>50.343499999999999</v>
      </c>
      <c r="N546">
        <v>-2.0013999999999998</v>
      </c>
      <c r="O546">
        <v>-2.0348000000000002</v>
      </c>
      <c r="P546">
        <v>1950.2239999999999</v>
      </c>
      <c r="Q546">
        <v>1884.336</v>
      </c>
    </row>
    <row r="547" spans="1:17" x14ac:dyDescent="0.3">
      <c r="A547" s="1">
        <v>45183</v>
      </c>
      <c r="B547">
        <v>1910</v>
      </c>
      <c r="C547">
        <v>1910</v>
      </c>
      <c r="D547">
        <v>1903</v>
      </c>
      <c r="E547">
        <v>1903</v>
      </c>
      <c r="F547">
        <v>169</v>
      </c>
      <c r="G547">
        <v>1917.5428999999999</v>
      </c>
      <c r="H547">
        <v>1918.84</v>
      </c>
      <c r="I547">
        <v>1944.0533</v>
      </c>
      <c r="J547">
        <v>-0.3821</v>
      </c>
      <c r="K547">
        <v>0.31340000000000001</v>
      </c>
      <c r="L547">
        <v>0.42309999999999998</v>
      </c>
      <c r="M547">
        <v>41.396799999999999</v>
      </c>
      <c r="N547">
        <v>-3.3650000000000002</v>
      </c>
      <c r="O547">
        <v>-2.3008000000000002</v>
      </c>
      <c r="P547">
        <v>1950.2781</v>
      </c>
      <c r="Q547">
        <v>1884.1319000000001</v>
      </c>
    </row>
    <row r="548" spans="1:17" x14ac:dyDescent="0.3">
      <c r="A548" s="1">
        <v>45184</v>
      </c>
      <c r="B548">
        <v>1923.7</v>
      </c>
      <c r="C548">
        <v>1927.3</v>
      </c>
      <c r="D548">
        <v>1923.5</v>
      </c>
      <c r="E548">
        <v>1923.5</v>
      </c>
      <c r="F548">
        <v>8</v>
      </c>
      <c r="G548">
        <v>1917.4572000000001</v>
      </c>
      <c r="H548">
        <v>1918.4833000000001</v>
      </c>
      <c r="I548">
        <v>1942.9532999999999</v>
      </c>
      <c r="J548">
        <v>1.0771999999999999</v>
      </c>
      <c r="K548">
        <v>0.55479999999999996</v>
      </c>
      <c r="L548">
        <v>0.4546</v>
      </c>
      <c r="M548">
        <v>51.5533</v>
      </c>
      <c r="N548">
        <v>-2.7595999999999998</v>
      </c>
      <c r="O548">
        <v>-2.3925999999999998</v>
      </c>
      <c r="P548">
        <v>1949.9441999999999</v>
      </c>
      <c r="Q548">
        <v>1887.4458</v>
      </c>
    </row>
    <row r="549" spans="1:17" x14ac:dyDescent="0.3">
      <c r="A549" s="1">
        <v>45187</v>
      </c>
      <c r="B549">
        <v>1931.5</v>
      </c>
      <c r="C549">
        <v>1931.5</v>
      </c>
      <c r="D549">
        <v>1926.4</v>
      </c>
      <c r="E549">
        <v>1928.2</v>
      </c>
      <c r="F549">
        <v>19</v>
      </c>
      <c r="G549">
        <v>1918.9713999999999</v>
      </c>
      <c r="H549">
        <v>1918.26</v>
      </c>
      <c r="I549">
        <v>1941.86</v>
      </c>
      <c r="J549">
        <v>0.24429999999999999</v>
      </c>
      <c r="K549">
        <v>0.53969999999999996</v>
      </c>
      <c r="L549">
        <v>0.45700000000000002</v>
      </c>
      <c r="M549">
        <v>55.313800000000001</v>
      </c>
      <c r="N549">
        <v>-1.879</v>
      </c>
      <c r="O549">
        <v>-2.2898999999999998</v>
      </c>
      <c r="P549">
        <v>1949.3126</v>
      </c>
      <c r="Q549">
        <v>1891.7174</v>
      </c>
    </row>
    <row r="550" spans="1:17" x14ac:dyDescent="0.3">
      <c r="A550" s="1">
        <v>45188</v>
      </c>
      <c r="B550">
        <v>1932</v>
      </c>
      <c r="C550">
        <v>1934</v>
      </c>
      <c r="D550">
        <v>1932</v>
      </c>
      <c r="E550">
        <v>1934</v>
      </c>
      <c r="F550">
        <v>6</v>
      </c>
      <c r="G550">
        <v>1920.4</v>
      </c>
      <c r="H550">
        <v>1918.0266999999999</v>
      </c>
      <c r="I550">
        <v>1940.7678000000001</v>
      </c>
      <c r="J550">
        <v>0.30080000000000001</v>
      </c>
      <c r="K550">
        <v>0.53720000000000001</v>
      </c>
      <c r="L550">
        <v>0.45669999999999999</v>
      </c>
      <c r="M550">
        <v>56.55</v>
      </c>
      <c r="N550">
        <v>-0.70489999999999997</v>
      </c>
      <c r="O550">
        <v>-1.9729000000000001</v>
      </c>
      <c r="P550">
        <v>1948.9527</v>
      </c>
      <c r="Q550">
        <v>1896.1172999999999</v>
      </c>
    </row>
    <row r="551" spans="1:17" x14ac:dyDescent="0.3">
      <c r="A551" s="1">
        <v>45189</v>
      </c>
      <c r="B551">
        <v>1945.6</v>
      </c>
      <c r="C551">
        <v>1945.6</v>
      </c>
      <c r="D551">
        <v>1929.2</v>
      </c>
      <c r="E551">
        <v>1945.6</v>
      </c>
      <c r="F551">
        <v>119</v>
      </c>
      <c r="G551">
        <v>1923.6286</v>
      </c>
      <c r="H551">
        <v>1918.49</v>
      </c>
      <c r="I551">
        <v>1939.7844</v>
      </c>
      <c r="J551">
        <v>0.5998</v>
      </c>
      <c r="K551">
        <v>0.56710000000000005</v>
      </c>
      <c r="L551">
        <v>0.46100000000000002</v>
      </c>
      <c r="M551">
        <v>54.123699999999999</v>
      </c>
      <c r="N551">
        <v>1.1483000000000001</v>
      </c>
      <c r="O551">
        <v>-1.3486</v>
      </c>
      <c r="P551">
        <v>1949.9492</v>
      </c>
      <c r="Q551">
        <v>1900.2208000000001</v>
      </c>
    </row>
    <row r="552" spans="1:17" x14ac:dyDescent="0.3">
      <c r="A552" s="1">
        <v>45190</v>
      </c>
      <c r="B552">
        <v>1919.2</v>
      </c>
      <c r="C552">
        <v>1924</v>
      </c>
      <c r="D552">
        <v>1919.2</v>
      </c>
      <c r="E552">
        <v>1924</v>
      </c>
      <c r="F552">
        <v>9</v>
      </c>
      <c r="G552">
        <v>1924.0857000000001</v>
      </c>
      <c r="H552">
        <v>1918.4432999999999</v>
      </c>
      <c r="I552">
        <v>1938.7789</v>
      </c>
      <c r="J552">
        <v>-1.1102000000000001</v>
      </c>
      <c r="K552">
        <v>0.74639999999999995</v>
      </c>
      <c r="L552">
        <v>0.502</v>
      </c>
      <c r="M552">
        <v>42.129600000000003</v>
      </c>
      <c r="N552">
        <v>0.86419999999999997</v>
      </c>
      <c r="O552">
        <v>-0.90610000000000002</v>
      </c>
      <c r="P552">
        <v>1949.5917999999999</v>
      </c>
      <c r="Q552">
        <v>1902.0182</v>
      </c>
    </row>
    <row r="553" spans="1:17" x14ac:dyDescent="0.3">
      <c r="A553" s="1">
        <v>45191</v>
      </c>
      <c r="B553">
        <v>1925.4</v>
      </c>
      <c r="C553">
        <v>1925.4</v>
      </c>
      <c r="D553">
        <v>1925.4</v>
      </c>
      <c r="E553">
        <v>1925.4</v>
      </c>
      <c r="F553">
        <v>1</v>
      </c>
      <c r="G553">
        <v>1926.2429</v>
      </c>
      <c r="H553">
        <v>1918.5867000000001</v>
      </c>
      <c r="I553">
        <v>1937.7967000000001</v>
      </c>
      <c r="J553">
        <v>7.2800000000000004E-2</v>
      </c>
      <c r="K553">
        <v>0.7026</v>
      </c>
      <c r="L553">
        <v>0.50039999999999996</v>
      </c>
      <c r="M553">
        <v>40.191400000000002</v>
      </c>
      <c r="N553">
        <v>0.74329999999999996</v>
      </c>
      <c r="O553">
        <v>-0.57620000000000005</v>
      </c>
      <c r="P553">
        <v>1949.7065</v>
      </c>
      <c r="Q553">
        <v>1902.4436000000001</v>
      </c>
    </row>
    <row r="554" spans="1:17" x14ac:dyDescent="0.3">
      <c r="A554" s="1">
        <v>45194</v>
      </c>
      <c r="B554">
        <v>1916.6</v>
      </c>
      <c r="C554">
        <v>1916.6</v>
      </c>
      <c r="D554">
        <v>1916.6</v>
      </c>
      <c r="E554">
        <v>1916.6</v>
      </c>
      <c r="F554">
        <v>114</v>
      </c>
      <c r="G554">
        <v>1928.1857</v>
      </c>
      <c r="H554">
        <v>1918.7067</v>
      </c>
      <c r="I554">
        <v>1936.9989</v>
      </c>
      <c r="J554">
        <v>-0.45710000000000001</v>
      </c>
      <c r="K554">
        <v>0.71199999999999997</v>
      </c>
      <c r="L554">
        <v>0.50149999999999995</v>
      </c>
      <c r="M554">
        <v>42.495800000000003</v>
      </c>
      <c r="N554">
        <v>-6.1800000000000001E-2</v>
      </c>
      <c r="O554">
        <v>-0.4733</v>
      </c>
      <c r="P554">
        <v>1949.7675999999999</v>
      </c>
      <c r="Q554">
        <v>1902.0624</v>
      </c>
    </row>
    <row r="555" spans="1:17" x14ac:dyDescent="0.3">
      <c r="A555" s="1">
        <v>45195</v>
      </c>
      <c r="B555">
        <v>1900.4</v>
      </c>
      <c r="C555">
        <v>1905.1</v>
      </c>
      <c r="D555">
        <v>1900.4</v>
      </c>
      <c r="E555">
        <v>1905</v>
      </c>
      <c r="F555">
        <v>161</v>
      </c>
      <c r="G555">
        <v>1925.5427999999999</v>
      </c>
      <c r="H555">
        <v>1918.5633</v>
      </c>
      <c r="I555">
        <v>1936.1256000000001</v>
      </c>
      <c r="J555">
        <v>-0.60519999999999996</v>
      </c>
      <c r="K555">
        <v>0.60450000000000004</v>
      </c>
      <c r="L555">
        <v>0.51270000000000004</v>
      </c>
      <c r="M555">
        <v>42.034999999999997</v>
      </c>
      <c r="N555">
        <v>-1.6172</v>
      </c>
      <c r="O555">
        <v>-0.70209999999999995</v>
      </c>
      <c r="P555">
        <v>1950.6297</v>
      </c>
      <c r="Q555">
        <v>1900.1503</v>
      </c>
    </row>
    <row r="556" spans="1:17" x14ac:dyDescent="0.3">
      <c r="A556" s="1">
        <v>45196</v>
      </c>
      <c r="B556">
        <v>1871.6</v>
      </c>
      <c r="C556">
        <v>1871.6</v>
      </c>
      <c r="D556">
        <v>1871.6</v>
      </c>
      <c r="E556">
        <v>1871.6</v>
      </c>
      <c r="F556">
        <v>12251</v>
      </c>
      <c r="G556">
        <v>1917.4571000000001</v>
      </c>
      <c r="H556">
        <v>1917.4167</v>
      </c>
      <c r="I556">
        <v>1935.1822</v>
      </c>
      <c r="J556">
        <v>-1.7533000000000001</v>
      </c>
      <c r="K556">
        <v>0.82579999999999998</v>
      </c>
      <c r="L556">
        <v>0.60350000000000004</v>
      </c>
      <c r="M556">
        <v>34.3324</v>
      </c>
      <c r="N556">
        <v>-5.4819000000000004</v>
      </c>
      <c r="O556">
        <v>-1.6579999999999999</v>
      </c>
      <c r="P556">
        <v>1957.8859</v>
      </c>
      <c r="Q556">
        <v>1888.2641000000001</v>
      </c>
    </row>
    <row r="557" spans="1:17" x14ac:dyDescent="0.3">
      <c r="A557" s="1">
        <v>45197</v>
      </c>
      <c r="B557">
        <v>1860.4</v>
      </c>
      <c r="C557">
        <v>1878.2</v>
      </c>
      <c r="D557">
        <v>1856.7</v>
      </c>
      <c r="E557">
        <v>1875.5</v>
      </c>
      <c r="F557">
        <v>4654</v>
      </c>
      <c r="G557">
        <v>1909.1</v>
      </c>
      <c r="H557">
        <v>1916.45</v>
      </c>
      <c r="I557">
        <v>1934.2433000000001</v>
      </c>
      <c r="J557">
        <v>0.2084</v>
      </c>
      <c r="K557">
        <v>0.81299999999999994</v>
      </c>
      <c r="L557">
        <v>0.60550000000000004</v>
      </c>
      <c r="M557">
        <v>33.194699999999997</v>
      </c>
      <c r="N557">
        <v>-8.1361000000000008</v>
      </c>
      <c r="O557">
        <v>-2.9537</v>
      </c>
      <c r="P557">
        <v>1960.2320999999999</v>
      </c>
      <c r="Q557">
        <v>1879.8679</v>
      </c>
    </row>
    <row r="558" spans="1:17" x14ac:dyDescent="0.3">
      <c r="A558" s="1">
        <v>45198</v>
      </c>
      <c r="B558">
        <v>1848.1</v>
      </c>
      <c r="C558">
        <v>1872.3</v>
      </c>
      <c r="D558">
        <v>1846</v>
      </c>
      <c r="E558">
        <v>1864.3</v>
      </c>
      <c r="F558">
        <v>1605</v>
      </c>
      <c r="G558">
        <v>1897.4857</v>
      </c>
      <c r="H558">
        <v>1915.47</v>
      </c>
      <c r="I558">
        <v>1932.9521999999999</v>
      </c>
      <c r="J558">
        <v>-0.59719999999999995</v>
      </c>
      <c r="K558">
        <v>0.67290000000000005</v>
      </c>
      <c r="L558">
        <v>0.60640000000000005</v>
      </c>
      <c r="M558">
        <v>31.003299999999999</v>
      </c>
      <c r="N558">
        <v>-11.016400000000001</v>
      </c>
      <c r="O558">
        <v>-4.5662000000000003</v>
      </c>
      <c r="P558">
        <v>1961.6143</v>
      </c>
      <c r="Q558">
        <v>1870.4757</v>
      </c>
    </row>
    <row r="559" spans="1:17" x14ac:dyDescent="0.3">
      <c r="A559" s="1">
        <v>45201</v>
      </c>
      <c r="B559">
        <v>1830</v>
      </c>
      <c r="C559">
        <v>1845.9</v>
      </c>
      <c r="D559">
        <v>1826.7</v>
      </c>
      <c r="E559">
        <v>1844.1</v>
      </c>
      <c r="F559">
        <v>2309</v>
      </c>
      <c r="G559">
        <v>1886.0714</v>
      </c>
      <c r="H559">
        <v>1913.88</v>
      </c>
      <c r="I559">
        <v>1931.5266999999999</v>
      </c>
      <c r="J559">
        <v>-1.0834999999999999</v>
      </c>
      <c r="K559">
        <v>0.66959999999999997</v>
      </c>
      <c r="L559">
        <v>0.6351</v>
      </c>
      <c r="M559">
        <v>27.7681</v>
      </c>
      <c r="N559">
        <v>-14.758900000000001</v>
      </c>
      <c r="O559">
        <v>-6.6047000000000002</v>
      </c>
      <c r="P559">
        <v>1963.7168999999999</v>
      </c>
      <c r="Q559">
        <v>1857.7831000000001</v>
      </c>
    </row>
    <row r="560" spans="1:17" x14ac:dyDescent="0.3">
      <c r="A560" s="1">
        <v>45202</v>
      </c>
      <c r="B560">
        <v>1824.6</v>
      </c>
      <c r="C560">
        <v>1830.9</v>
      </c>
      <c r="D560">
        <v>1816.8</v>
      </c>
      <c r="E560">
        <v>1825</v>
      </c>
      <c r="F560">
        <v>310</v>
      </c>
      <c r="G560">
        <v>1871.7285999999999</v>
      </c>
      <c r="H560">
        <v>1911.5933</v>
      </c>
      <c r="I560">
        <v>1929.8556000000001</v>
      </c>
      <c r="J560">
        <v>-1.0357000000000001</v>
      </c>
      <c r="K560">
        <v>0.61199999999999999</v>
      </c>
      <c r="L560">
        <v>0.6573</v>
      </c>
      <c r="M560">
        <v>26.4495</v>
      </c>
      <c r="N560">
        <v>-19.046399999999998</v>
      </c>
      <c r="O560">
        <v>-9.0930999999999997</v>
      </c>
      <c r="P560">
        <v>1969.3875</v>
      </c>
      <c r="Q560">
        <v>1841.1724999999999</v>
      </c>
    </row>
    <row r="561" spans="1:17" x14ac:dyDescent="0.3">
      <c r="A561" s="1">
        <v>45203</v>
      </c>
      <c r="B561">
        <v>1818.5</v>
      </c>
      <c r="C561">
        <v>1828.2</v>
      </c>
      <c r="D561">
        <v>1816.4</v>
      </c>
      <c r="E561">
        <v>1821.8</v>
      </c>
      <c r="F561">
        <v>357</v>
      </c>
      <c r="G561">
        <v>1858.1857</v>
      </c>
      <c r="H561">
        <v>1909.1667</v>
      </c>
      <c r="I561">
        <v>1928.5078000000001</v>
      </c>
      <c r="J561">
        <v>-0.17530000000000001</v>
      </c>
      <c r="K561">
        <v>0.64370000000000005</v>
      </c>
      <c r="L561">
        <v>0.65659999999999996</v>
      </c>
      <c r="M561">
        <v>27.062200000000001</v>
      </c>
      <c r="N561">
        <v>-22.443899999999999</v>
      </c>
      <c r="O561">
        <v>-11.763199999999999</v>
      </c>
      <c r="P561">
        <v>1973.5965000000001</v>
      </c>
      <c r="Q561">
        <v>1826.7335</v>
      </c>
    </row>
    <row r="562" spans="1:17" x14ac:dyDescent="0.3">
      <c r="A562" s="1">
        <v>45204</v>
      </c>
      <c r="B562">
        <v>1816.6</v>
      </c>
      <c r="C562">
        <v>1826.3</v>
      </c>
      <c r="D562">
        <v>1815.6</v>
      </c>
      <c r="E562">
        <v>1826.3</v>
      </c>
      <c r="F562">
        <v>393</v>
      </c>
      <c r="G562">
        <v>1846.9429</v>
      </c>
      <c r="H562">
        <v>1906.39</v>
      </c>
      <c r="I562">
        <v>1927.1532999999999</v>
      </c>
      <c r="J562">
        <v>0.247</v>
      </c>
      <c r="K562">
        <v>0.74219999999999997</v>
      </c>
      <c r="L562">
        <v>0.63749999999999996</v>
      </c>
      <c r="M562">
        <v>19.813700000000001</v>
      </c>
      <c r="N562">
        <v>-24.4909</v>
      </c>
      <c r="O562">
        <v>-14.3088</v>
      </c>
      <c r="P562">
        <v>1975.5317</v>
      </c>
      <c r="Q562">
        <v>1815.6683</v>
      </c>
    </row>
    <row r="563" spans="1:17" x14ac:dyDescent="0.3">
      <c r="A563" s="1">
        <v>45205</v>
      </c>
      <c r="B563">
        <v>1830.2</v>
      </c>
      <c r="C563">
        <v>1831.8</v>
      </c>
      <c r="D563">
        <v>1809.4</v>
      </c>
      <c r="E563">
        <v>1819</v>
      </c>
      <c r="F563">
        <v>390</v>
      </c>
      <c r="G563">
        <v>1839.4286</v>
      </c>
      <c r="H563">
        <v>1903.0233000000001</v>
      </c>
      <c r="I563">
        <v>1925.7789</v>
      </c>
      <c r="J563">
        <v>-0.3997</v>
      </c>
      <c r="K563">
        <v>0.53990000000000005</v>
      </c>
      <c r="L563">
        <v>0.62539999999999996</v>
      </c>
      <c r="M563">
        <v>16.626000000000001</v>
      </c>
      <c r="N563">
        <v>-26.398</v>
      </c>
      <c r="O563">
        <v>-16.726600000000001</v>
      </c>
      <c r="P563">
        <v>1976.0151000000001</v>
      </c>
      <c r="Q563">
        <v>1804.6849999999999</v>
      </c>
    </row>
    <row r="564" spans="1:17" x14ac:dyDescent="0.3">
      <c r="A564" s="1">
        <v>45208</v>
      </c>
      <c r="B564">
        <v>1849.5</v>
      </c>
      <c r="C564">
        <v>1861.5</v>
      </c>
      <c r="D564">
        <v>1842.5</v>
      </c>
      <c r="E564">
        <v>1842.5</v>
      </c>
      <c r="F564">
        <v>232</v>
      </c>
      <c r="G564">
        <v>1834.7143000000001</v>
      </c>
      <c r="H564">
        <v>1900.4467</v>
      </c>
      <c r="I564">
        <v>1924.4933000000001</v>
      </c>
      <c r="J564">
        <v>1.2919</v>
      </c>
      <c r="K564">
        <v>0.82509999999999994</v>
      </c>
      <c r="L564">
        <v>0.68020000000000003</v>
      </c>
      <c r="M564">
        <v>24.765599999999999</v>
      </c>
      <c r="N564">
        <v>-25.716699999999999</v>
      </c>
      <c r="O564">
        <v>-18.5246</v>
      </c>
      <c r="P564">
        <v>1973.0884000000001</v>
      </c>
      <c r="Q564">
        <v>1799.5616</v>
      </c>
    </row>
    <row r="565" spans="1:17" x14ac:dyDescent="0.3">
      <c r="A565" s="1">
        <v>45209</v>
      </c>
      <c r="B565">
        <v>1861</v>
      </c>
      <c r="C565">
        <v>1861.4</v>
      </c>
      <c r="D565">
        <v>1852.8</v>
      </c>
      <c r="E565">
        <v>1857</v>
      </c>
      <c r="F565">
        <v>236</v>
      </c>
      <c r="G565">
        <v>1833.6713999999999</v>
      </c>
      <c r="H565">
        <v>1898.4966999999999</v>
      </c>
      <c r="I565">
        <v>1923.3133</v>
      </c>
      <c r="J565">
        <v>0.78700000000000003</v>
      </c>
      <c r="K565">
        <v>0.89139999999999997</v>
      </c>
      <c r="L565">
        <v>0.70040000000000002</v>
      </c>
      <c r="M565">
        <v>25.950099999999999</v>
      </c>
      <c r="N565">
        <v>-23.7331</v>
      </c>
      <c r="O565">
        <v>-19.566299999999998</v>
      </c>
      <c r="P565">
        <v>1969.2503999999999</v>
      </c>
      <c r="Q565">
        <v>1797.0196000000001</v>
      </c>
    </row>
    <row r="566" spans="1:17" x14ac:dyDescent="0.3">
      <c r="A566" s="1">
        <v>45210</v>
      </c>
      <c r="B566">
        <v>1872.8</v>
      </c>
      <c r="C566">
        <v>1874.6</v>
      </c>
      <c r="D566">
        <v>1869.1</v>
      </c>
      <c r="E566">
        <v>1869.5</v>
      </c>
      <c r="F566">
        <v>65</v>
      </c>
      <c r="G566">
        <v>1837.3</v>
      </c>
      <c r="H566">
        <v>1896.8833</v>
      </c>
      <c r="I566">
        <v>1922.1178</v>
      </c>
      <c r="J566">
        <v>0.67310000000000003</v>
      </c>
      <c r="K566">
        <v>0.79479999999999995</v>
      </c>
      <c r="L566">
        <v>0.71350000000000002</v>
      </c>
      <c r="M566">
        <v>34.4375</v>
      </c>
      <c r="N566">
        <v>-20.9114</v>
      </c>
      <c r="O566">
        <v>-19.8353</v>
      </c>
      <c r="P566">
        <v>1966.4304</v>
      </c>
      <c r="Q566">
        <v>1795.7596000000001</v>
      </c>
    </row>
    <row r="567" spans="1:17" x14ac:dyDescent="0.3">
      <c r="A567" s="1">
        <v>45211</v>
      </c>
      <c r="B567">
        <v>1869.3</v>
      </c>
      <c r="C567">
        <v>1881.2</v>
      </c>
      <c r="D567">
        <v>1867</v>
      </c>
      <c r="E567">
        <v>1874.7</v>
      </c>
      <c r="F567">
        <v>46</v>
      </c>
      <c r="G567">
        <v>1844.4</v>
      </c>
      <c r="H567">
        <v>1894.84</v>
      </c>
      <c r="I567">
        <v>1921.3089</v>
      </c>
      <c r="J567">
        <v>0.27810000000000001</v>
      </c>
      <c r="K567">
        <v>0.58130000000000004</v>
      </c>
      <c r="L567">
        <v>0.6905</v>
      </c>
      <c r="M567">
        <v>35.830100000000002</v>
      </c>
      <c r="N567">
        <v>-18.047599999999999</v>
      </c>
      <c r="O567">
        <v>-19.477799999999998</v>
      </c>
      <c r="P567">
        <v>1964.4224999999999</v>
      </c>
      <c r="Q567">
        <v>1794.9375</v>
      </c>
    </row>
    <row r="568" spans="1:17" x14ac:dyDescent="0.3">
      <c r="A568" s="1">
        <v>45212</v>
      </c>
      <c r="B568">
        <v>1927.4</v>
      </c>
      <c r="C568">
        <v>1930.1</v>
      </c>
      <c r="D568">
        <v>1877.5</v>
      </c>
      <c r="E568">
        <v>1877.5</v>
      </c>
      <c r="F568">
        <v>43</v>
      </c>
      <c r="G568">
        <v>1852.3570999999999</v>
      </c>
      <c r="H568">
        <v>1892.61</v>
      </c>
      <c r="I568">
        <v>1920.3833</v>
      </c>
      <c r="J568">
        <v>0.14940000000000001</v>
      </c>
      <c r="K568">
        <v>0.54049999999999998</v>
      </c>
      <c r="L568">
        <v>0.68469999999999998</v>
      </c>
      <c r="M568">
        <v>38.692900000000002</v>
      </c>
      <c r="N568">
        <v>-15.3748</v>
      </c>
      <c r="O568">
        <v>-18.6572</v>
      </c>
      <c r="P568">
        <v>1959.5735</v>
      </c>
      <c r="Q568">
        <v>1795.1865</v>
      </c>
    </row>
    <row r="569" spans="1:17" x14ac:dyDescent="0.3">
      <c r="A569" s="1">
        <v>45215</v>
      </c>
      <c r="B569">
        <v>1921.1</v>
      </c>
      <c r="C569">
        <v>1921.1</v>
      </c>
      <c r="D569">
        <v>1910.3</v>
      </c>
      <c r="E569">
        <v>1910.4</v>
      </c>
      <c r="F569">
        <v>53</v>
      </c>
      <c r="G569">
        <v>1864.3714</v>
      </c>
      <c r="H569">
        <v>1891.29</v>
      </c>
      <c r="I569">
        <v>1919.8433</v>
      </c>
      <c r="J569">
        <v>1.7523</v>
      </c>
      <c r="K569">
        <v>0.72309999999999997</v>
      </c>
      <c r="L569">
        <v>0.76219999999999999</v>
      </c>
      <c r="M569">
        <v>51.390300000000003</v>
      </c>
      <c r="N569">
        <v>-10.481</v>
      </c>
      <c r="O569">
        <v>-17.021999999999998</v>
      </c>
      <c r="P569">
        <v>1956.7286999999999</v>
      </c>
      <c r="Q569">
        <v>1796.2512999999999</v>
      </c>
    </row>
    <row r="570" spans="1:17" x14ac:dyDescent="0.3">
      <c r="A570" s="1">
        <v>45216</v>
      </c>
      <c r="B570">
        <v>1922.7</v>
      </c>
      <c r="C570">
        <v>1925.8</v>
      </c>
      <c r="D570">
        <v>1914.3</v>
      </c>
      <c r="E570">
        <v>1914.3</v>
      </c>
      <c r="F570">
        <v>103</v>
      </c>
      <c r="G570">
        <v>1877.9857</v>
      </c>
      <c r="H570">
        <v>1890.62</v>
      </c>
      <c r="I570">
        <v>1919.5222000000001</v>
      </c>
      <c r="J570">
        <v>0.2041</v>
      </c>
      <c r="K570">
        <v>0.60350000000000004</v>
      </c>
      <c r="L570">
        <v>0.75080000000000002</v>
      </c>
      <c r="M570">
        <v>62.963000000000001</v>
      </c>
      <c r="N570">
        <v>-6.2163000000000004</v>
      </c>
      <c r="O570">
        <v>-14.860799999999999</v>
      </c>
      <c r="P570">
        <v>1953.2149999999999</v>
      </c>
      <c r="Q570">
        <v>1797.7950000000001</v>
      </c>
    </row>
    <row r="571" spans="1:17" x14ac:dyDescent="0.3">
      <c r="A571" s="1">
        <v>45217</v>
      </c>
      <c r="B571">
        <v>1955.3</v>
      </c>
      <c r="C571">
        <v>1957.9</v>
      </c>
      <c r="D571">
        <v>1935</v>
      </c>
      <c r="E571">
        <v>1935</v>
      </c>
      <c r="F571">
        <v>67</v>
      </c>
      <c r="G571">
        <v>1891.2</v>
      </c>
      <c r="H571">
        <v>1890.9833000000001</v>
      </c>
      <c r="I571">
        <v>1919.1877999999999</v>
      </c>
      <c r="J571">
        <v>1.0812999999999999</v>
      </c>
      <c r="K571">
        <v>0.5756</v>
      </c>
      <c r="L571">
        <v>0.77129999999999999</v>
      </c>
      <c r="M571">
        <v>66.391199999999998</v>
      </c>
      <c r="N571">
        <v>-1.1529</v>
      </c>
      <c r="O571">
        <v>-12.119199999999999</v>
      </c>
      <c r="P571">
        <v>1950.7936999999999</v>
      </c>
      <c r="Q571">
        <v>1799.1563000000001</v>
      </c>
    </row>
    <row r="572" spans="1:17" x14ac:dyDescent="0.3">
      <c r="A572" s="1">
        <v>45218</v>
      </c>
      <c r="B572">
        <v>1968.4</v>
      </c>
      <c r="C572">
        <v>1977.7</v>
      </c>
      <c r="D572">
        <v>1945.7</v>
      </c>
      <c r="E572">
        <v>1950.1</v>
      </c>
      <c r="F572">
        <v>1945</v>
      </c>
      <c r="G572">
        <v>1904.5</v>
      </c>
      <c r="H572">
        <v>1892.0667000000001</v>
      </c>
      <c r="I572">
        <v>1919.0811000000001</v>
      </c>
      <c r="J572">
        <v>0.78039999999999998</v>
      </c>
      <c r="K572">
        <v>0.57550000000000001</v>
      </c>
      <c r="L572">
        <v>0.78029999999999999</v>
      </c>
      <c r="M572">
        <v>73.139099999999999</v>
      </c>
      <c r="N572">
        <v>4.0319000000000003</v>
      </c>
      <c r="O572">
        <v>-8.8889999999999993</v>
      </c>
      <c r="P572">
        <v>1956.4266</v>
      </c>
      <c r="Q572">
        <v>1796.1333999999999</v>
      </c>
    </row>
    <row r="573" spans="1:17" x14ac:dyDescent="0.3">
      <c r="A573" s="1">
        <v>45219</v>
      </c>
      <c r="B573">
        <v>1982.5</v>
      </c>
      <c r="C573">
        <v>1988.6</v>
      </c>
      <c r="D573">
        <v>1980.4</v>
      </c>
      <c r="E573">
        <v>1981.1</v>
      </c>
      <c r="F573">
        <v>557</v>
      </c>
      <c r="G573">
        <v>1920.4429</v>
      </c>
      <c r="H573">
        <v>1893.97</v>
      </c>
      <c r="I573">
        <v>1919.3089</v>
      </c>
      <c r="J573">
        <v>1.5896999999999999</v>
      </c>
      <c r="K573">
        <v>0.66490000000000005</v>
      </c>
      <c r="L573">
        <v>0.82779999999999998</v>
      </c>
      <c r="M573">
        <v>84.913399999999996</v>
      </c>
      <c r="N573">
        <v>10.521000000000001</v>
      </c>
      <c r="O573">
        <v>-5.0069999999999997</v>
      </c>
      <c r="P573">
        <v>1969.5965000000001</v>
      </c>
      <c r="Q573">
        <v>1788.5335</v>
      </c>
    </row>
    <row r="574" spans="1:17" x14ac:dyDescent="0.3">
      <c r="A574" s="1">
        <v>45222</v>
      </c>
      <c r="B574">
        <v>1976.3</v>
      </c>
      <c r="C574">
        <v>1978.9</v>
      </c>
      <c r="D574">
        <v>1972.9</v>
      </c>
      <c r="E574">
        <v>1976.2</v>
      </c>
      <c r="F574">
        <v>127</v>
      </c>
      <c r="G574">
        <v>1934.9429</v>
      </c>
      <c r="H574">
        <v>1895.7433000000001</v>
      </c>
      <c r="I574">
        <v>1919.6422</v>
      </c>
      <c r="J574">
        <v>-0.24729999999999999</v>
      </c>
      <c r="K574">
        <v>0.76080000000000003</v>
      </c>
      <c r="L574">
        <v>0.82979999999999998</v>
      </c>
      <c r="M574">
        <v>91.538399999999996</v>
      </c>
      <c r="N574">
        <v>15.0943</v>
      </c>
      <c r="O574">
        <v>-0.98670000000000002</v>
      </c>
      <c r="P574">
        <v>1981.2837</v>
      </c>
      <c r="Q574">
        <v>1782.8063</v>
      </c>
    </row>
    <row r="575" spans="1:17" x14ac:dyDescent="0.3">
      <c r="A575" s="1">
        <v>45223</v>
      </c>
      <c r="B575">
        <v>1975</v>
      </c>
      <c r="C575">
        <v>1975</v>
      </c>
      <c r="D575">
        <v>1970.3</v>
      </c>
      <c r="E575">
        <v>1970.3</v>
      </c>
      <c r="F575">
        <v>10</v>
      </c>
      <c r="G575">
        <v>1948.2</v>
      </c>
      <c r="H575">
        <v>1897.3933</v>
      </c>
      <c r="I575">
        <v>1919.96</v>
      </c>
      <c r="J575">
        <v>-0.29849999999999999</v>
      </c>
      <c r="K575">
        <v>0.83579999999999999</v>
      </c>
      <c r="L575">
        <v>0.83199999999999996</v>
      </c>
      <c r="M575">
        <v>90.200299999999999</v>
      </c>
      <c r="N575">
        <v>18.034700000000001</v>
      </c>
      <c r="O575">
        <v>2.8176000000000001</v>
      </c>
      <c r="P575">
        <v>1991.7632000000001</v>
      </c>
      <c r="Q575">
        <v>1778.8568</v>
      </c>
    </row>
    <row r="576" spans="1:17" x14ac:dyDescent="0.3">
      <c r="A576" s="1">
        <v>45224</v>
      </c>
      <c r="B576">
        <v>1984.1</v>
      </c>
      <c r="C576">
        <v>1985.3</v>
      </c>
      <c r="D576">
        <v>1971.2</v>
      </c>
      <c r="E576">
        <v>1971.2</v>
      </c>
      <c r="F576">
        <v>97</v>
      </c>
      <c r="G576">
        <v>1956.8857</v>
      </c>
      <c r="H576">
        <v>1899.4232999999999</v>
      </c>
      <c r="I576">
        <v>1920.0689</v>
      </c>
      <c r="J576">
        <v>4.5699999999999998E-2</v>
      </c>
      <c r="K576">
        <v>0.71609999999999996</v>
      </c>
      <c r="L576">
        <v>0.82340000000000002</v>
      </c>
      <c r="M576">
        <v>90.005499999999998</v>
      </c>
      <c r="N576">
        <v>20.204699999999999</v>
      </c>
      <c r="O576">
        <v>6.2949999999999999</v>
      </c>
      <c r="P576">
        <v>2003.1676</v>
      </c>
      <c r="Q576">
        <v>1777.4123999999999</v>
      </c>
    </row>
    <row r="577" spans="1:17" x14ac:dyDescent="0.3">
      <c r="A577" s="1">
        <v>45225</v>
      </c>
      <c r="B577">
        <v>1987.2</v>
      </c>
      <c r="C577">
        <v>1988.2</v>
      </c>
      <c r="D577">
        <v>1980.4</v>
      </c>
      <c r="E577">
        <v>1988.2</v>
      </c>
      <c r="F577">
        <v>521</v>
      </c>
      <c r="G577">
        <v>1967.4428</v>
      </c>
      <c r="H577">
        <v>1902.2633000000001</v>
      </c>
      <c r="I577">
        <v>1920.3978</v>
      </c>
      <c r="J577">
        <v>0.86240000000000006</v>
      </c>
      <c r="K577">
        <v>0.72160000000000002</v>
      </c>
      <c r="L577">
        <v>0.82920000000000005</v>
      </c>
      <c r="M577">
        <v>94.339699999999993</v>
      </c>
      <c r="N577">
        <v>23.0307</v>
      </c>
      <c r="O577">
        <v>9.6420999999999992</v>
      </c>
      <c r="P577">
        <v>2016.6718000000001</v>
      </c>
      <c r="Q577">
        <v>1775.1782000000001</v>
      </c>
    </row>
    <row r="578" spans="1:17" x14ac:dyDescent="0.3">
      <c r="A578" s="1">
        <v>45226</v>
      </c>
      <c r="B578">
        <v>1988.6</v>
      </c>
      <c r="C578">
        <v>1988.6</v>
      </c>
      <c r="D578">
        <v>1988.6</v>
      </c>
      <c r="E578">
        <v>1988.6</v>
      </c>
      <c r="F578">
        <v>372</v>
      </c>
      <c r="G578">
        <v>1975.1</v>
      </c>
      <c r="H578">
        <v>1904.4332999999999</v>
      </c>
      <c r="I578">
        <v>1920.9866999999999</v>
      </c>
      <c r="J578">
        <v>2.01E-2</v>
      </c>
      <c r="K578">
        <v>0.70120000000000005</v>
      </c>
      <c r="L578">
        <v>0.81069999999999998</v>
      </c>
      <c r="M578">
        <v>93.56</v>
      </c>
      <c r="N578">
        <v>25.014299999999999</v>
      </c>
      <c r="O578">
        <v>12.7166</v>
      </c>
      <c r="P578">
        <v>2028.6893</v>
      </c>
      <c r="Q578">
        <v>1775.5907</v>
      </c>
    </row>
    <row r="579" spans="1:17" x14ac:dyDescent="0.3">
      <c r="A579" s="1">
        <v>45229</v>
      </c>
      <c r="B579">
        <v>1996.2</v>
      </c>
      <c r="C579">
        <v>2004.1</v>
      </c>
      <c r="D579">
        <v>1992.5</v>
      </c>
      <c r="E579">
        <v>2004.1</v>
      </c>
      <c r="F579">
        <v>157</v>
      </c>
      <c r="G579">
        <v>1982.8143</v>
      </c>
      <c r="H579">
        <v>1906.9632999999999</v>
      </c>
      <c r="I579">
        <v>1921.9211</v>
      </c>
      <c r="J579">
        <v>0.77939999999999998</v>
      </c>
      <c r="K579">
        <v>0.70109999999999995</v>
      </c>
      <c r="L579">
        <v>0.81950000000000001</v>
      </c>
      <c r="M579">
        <v>93.598100000000002</v>
      </c>
      <c r="N579">
        <v>27.5197</v>
      </c>
      <c r="O579">
        <v>15.677199999999999</v>
      </c>
      <c r="P579">
        <v>2041.3828000000001</v>
      </c>
      <c r="Q579">
        <v>1778.8972000000001</v>
      </c>
    </row>
    <row r="580" spans="1:17" x14ac:dyDescent="0.3">
      <c r="A580" s="1">
        <v>45230</v>
      </c>
      <c r="B580">
        <v>1985.2</v>
      </c>
      <c r="C580">
        <v>2001</v>
      </c>
      <c r="D580">
        <v>1983.7</v>
      </c>
      <c r="E580">
        <v>1996.5</v>
      </c>
      <c r="F580">
        <v>84</v>
      </c>
      <c r="G580">
        <v>1985.0143</v>
      </c>
      <c r="H580">
        <v>1909.0467000000001</v>
      </c>
      <c r="I580">
        <v>1922.7855999999999</v>
      </c>
      <c r="J580">
        <v>-0.37919999999999998</v>
      </c>
      <c r="K580">
        <v>0.51</v>
      </c>
      <c r="L580">
        <v>0.82410000000000005</v>
      </c>
      <c r="M580">
        <v>88.766800000000003</v>
      </c>
      <c r="N580">
        <v>28.562799999999999</v>
      </c>
      <c r="O580">
        <v>18.254300000000001</v>
      </c>
      <c r="P580">
        <v>2048.9422</v>
      </c>
      <c r="Q580">
        <v>1788.4878000000001</v>
      </c>
    </row>
    <row r="581" spans="1:17" x14ac:dyDescent="0.3">
      <c r="A581" s="1">
        <v>45231</v>
      </c>
      <c r="B581">
        <v>1978.8</v>
      </c>
      <c r="C581">
        <v>1990.5</v>
      </c>
      <c r="D581">
        <v>1977.8</v>
      </c>
      <c r="E581">
        <v>1990.5</v>
      </c>
      <c r="F581">
        <v>41</v>
      </c>
      <c r="G581">
        <v>1987.0571</v>
      </c>
      <c r="H581">
        <v>1910.5433</v>
      </c>
      <c r="I581">
        <v>1923.5367000000001</v>
      </c>
      <c r="J581">
        <v>-0.30049999999999999</v>
      </c>
      <c r="K581">
        <v>0.51659999999999995</v>
      </c>
      <c r="L581">
        <v>0.82199999999999995</v>
      </c>
      <c r="M581">
        <v>85.176199999999994</v>
      </c>
      <c r="N581">
        <v>28.576000000000001</v>
      </c>
      <c r="O581">
        <v>20.3186</v>
      </c>
      <c r="P581">
        <v>2052.7168000000001</v>
      </c>
      <c r="Q581">
        <v>1801.5832</v>
      </c>
    </row>
    <row r="582" spans="1:17" x14ac:dyDescent="0.3">
      <c r="A582" s="1">
        <v>45232</v>
      </c>
      <c r="B582">
        <v>1985.6</v>
      </c>
      <c r="C582">
        <v>1990.3</v>
      </c>
      <c r="D582">
        <v>1979.5</v>
      </c>
      <c r="E582">
        <v>1989.1</v>
      </c>
      <c r="F582">
        <v>39</v>
      </c>
      <c r="G582">
        <v>1989.7428</v>
      </c>
      <c r="H582">
        <v>1912.7132999999999</v>
      </c>
      <c r="I582">
        <v>1924.2266999999999</v>
      </c>
      <c r="J582">
        <v>-7.0300000000000001E-2</v>
      </c>
      <c r="K582">
        <v>0.49359999999999998</v>
      </c>
      <c r="L582">
        <v>0.79139999999999999</v>
      </c>
      <c r="M582">
        <v>84.191199999999995</v>
      </c>
      <c r="N582">
        <v>28.148900000000001</v>
      </c>
      <c r="O582">
        <v>21.884699999999999</v>
      </c>
      <c r="P582">
        <v>2054.2638999999999</v>
      </c>
      <c r="Q582">
        <v>1816.316</v>
      </c>
    </row>
    <row r="583" spans="1:17" x14ac:dyDescent="0.3">
      <c r="A583" s="1">
        <v>45233</v>
      </c>
      <c r="B583">
        <v>1991.5</v>
      </c>
      <c r="C583">
        <v>1991.5</v>
      </c>
      <c r="D583">
        <v>1989</v>
      </c>
      <c r="E583">
        <v>1989</v>
      </c>
      <c r="F583">
        <v>12</v>
      </c>
      <c r="G583">
        <v>1992.2856999999999</v>
      </c>
      <c r="H583">
        <v>1914.8333</v>
      </c>
      <c r="I583">
        <v>1925.0789</v>
      </c>
      <c r="J583">
        <v>-5.0000000000000001E-3</v>
      </c>
      <c r="K583">
        <v>0.4955</v>
      </c>
      <c r="L583">
        <v>0.79169999999999996</v>
      </c>
      <c r="M583">
        <v>80.138099999999994</v>
      </c>
      <c r="N583">
        <v>27.485499999999998</v>
      </c>
      <c r="O583">
        <v>23.004899999999999</v>
      </c>
      <c r="P583">
        <v>2051.5437999999999</v>
      </c>
      <c r="Q583">
        <v>1836.0362</v>
      </c>
    </row>
    <row r="584" spans="1:17" x14ac:dyDescent="0.3">
      <c r="A584" s="1">
        <v>45236</v>
      </c>
      <c r="B584">
        <v>1981.6</v>
      </c>
      <c r="C584">
        <v>1981.6</v>
      </c>
      <c r="D584">
        <v>1977.4</v>
      </c>
      <c r="E584">
        <v>1981.6</v>
      </c>
      <c r="F584">
        <v>130</v>
      </c>
      <c r="G584">
        <v>1991.3427999999999</v>
      </c>
      <c r="H584">
        <v>1917</v>
      </c>
      <c r="I584">
        <v>1925.8756000000001</v>
      </c>
      <c r="J584">
        <v>-0.372</v>
      </c>
      <c r="K584">
        <v>0.40210000000000001</v>
      </c>
      <c r="L584">
        <v>0.78979999999999995</v>
      </c>
      <c r="M584">
        <v>75.130700000000004</v>
      </c>
      <c r="N584">
        <v>26.0623</v>
      </c>
      <c r="O584">
        <v>23.616299999999999</v>
      </c>
      <c r="P584">
        <v>2048.4600999999998</v>
      </c>
      <c r="Q584">
        <v>1853.0298</v>
      </c>
    </row>
    <row r="585" spans="1:17" x14ac:dyDescent="0.3">
      <c r="A585" s="1">
        <v>45237</v>
      </c>
      <c r="B585">
        <v>1966.8</v>
      </c>
      <c r="C585">
        <v>1966.8</v>
      </c>
      <c r="D585">
        <v>1960.7</v>
      </c>
      <c r="E585">
        <v>1966.5</v>
      </c>
      <c r="F585">
        <v>20</v>
      </c>
      <c r="G585">
        <v>1988.1857</v>
      </c>
      <c r="H585">
        <v>1919.05</v>
      </c>
      <c r="I585">
        <v>1926.5189</v>
      </c>
      <c r="J585">
        <v>-0.76200000000000001</v>
      </c>
      <c r="K585">
        <v>0.48130000000000001</v>
      </c>
      <c r="L585">
        <v>0.79520000000000002</v>
      </c>
      <c r="M585">
        <v>62.2759</v>
      </c>
      <c r="N585">
        <v>23.445599999999999</v>
      </c>
      <c r="O585">
        <v>23.5822</v>
      </c>
      <c r="P585">
        <v>2043.5364999999999</v>
      </c>
      <c r="Q585">
        <v>1868.9034999999999</v>
      </c>
    </row>
    <row r="586" spans="1:17" x14ac:dyDescent="0.3">
      <c r="A586" s="1">
        <v>45238</v>
      </c>
      <c r="B586">
        <v>1951.5</v>
      </c>
      <c r="C586">
        <v>1967.8</v>
      </c>
      <c r="D586">
        <v>1947.7</v>
      </c>
      <c r="E586">
        <v>1967.8</v>
      </c>
      <c r="F586">
        <v>43</v>
      </c>
      <c r="G586">
        <v>1983</v>
      </c>
      <c r="H586">
        <v>1922.2566999999999</v>
      </c>
      <c r="I586">
        <v>1927.0733</v>
      </c>
      <c r="J586">
        <v>6.6100000000000006E-2</v>
      </c>
      <c r="K586">
        <v>0.28510000000000002</v>
      </c>
      <c r="L586">
        <v>0.71340000000000003</v>
      </c>
      <c r="M586">
        <v>57.729300000000002</v>
      </c>
      <c r="N586">
        <v>21.232099999999999</v>
      </c>
      <c r="O586">
        <v>23.112200000000001</v>
      </c>
      <c r="P586">
        <v>2038.3842</v>
      </c>
      <c r="Q586">
        <v>1883.8857</v>
      </c>
    </row>
    <row r="587" spans="1:17" x14ac:dyDescent="0.3">
      <c r="A587" s="1">
        <v>45239</v>
      </c>
      <c r="B587">
        <v>1964.2</v>
      </c>
      <c r="C587">
        <v>1964.2</v>
      </c>
      <c r="D587">
        <v>1945.3</v>
      </c>
      <c r="E587">
        <v>1951.7</v>
      </c>
      <c r="F587">
        <v>10</v>
      </c>
      <c r="G587">
        <v>1976.6</v>
      </c>
      <c r="H587">
        <v>1924.7967000000001</v>
      </c>
      <c r="I587">
        <v>1927.3867</v>
      </c>
      <c r="J587">
        <v>-0.81820000000000004</v>
      </c>
      <c r="K587">
        <v>0.35520000000000002</v>
      </c>
      <c r="L587">
        <v>0.73580000000000001</v>
      </c>
      <c r="M587">
        <v>35.240900000000003</v>
      </c>
      <c r="N587">
        <v>17.971499999999999</v>
      </c>
      <c r="O587">
        <v>22.084</v>
      </c>
      <c r="P587">
        <v>2030.9466</v>
      </c>
      <c r="Q587">
        <v>1899.0234</v>
      </c>
    </row>
    <row r="588" spans="1:17" x14ac:dyDescent="0.3">
      <c r="A588" s="1">
        <v>45240</v>
      </c>
      <c r="B588">
        <v>1932.6</v>
      </c>
      <c r="C588">
        <v>1959.6</v>
      </c>
      <c r="D588">
        <v>1932.6</v>
      </c>
      <c r="E588">
        <v>1959.6</v>
      </c>
      <c r="F588">
        <v>375</v>
      </c>
      <c r="G588">
        <v>1972.1857</v>
      </c>
      <c r="H588">
        <v>1927.9733000000001</v>
      </c>
      <c r="I588">
        <v>1927.9456</v>
      </c>
      <c r="J588">
        <v>0.40479999999999999</v>
      </c>
      <c r="K588">
        <v>0.4501</v>
      </c>
      <c r="L588">
        <v>0.72399999999999998</v>
      </c>
      <c r="M588">
        <v>41.910299999999999</v>
      </c>
      <c r="N588">
        <v>15.8423</v>
      </c>
      <c r="O588">
        <v>20.835699999999999</v>
      </c>
      <c r="P588">
        <v>2020.8083999999999</v>
      </c>
      <c r="Q588">
        <v>1917.3715999999999</v>
      </c>
    </row>
    <row r="589" spans="1:17" x14ac:dyDescent="0.3">
      <c r="A589" s="1">
        <v>45243</v>
      </c>
      <c r="B589">
        <v>1945.5</v>
      </c>
      <c r="C589">
        <v>1947.2</v>
      </c>
      <c r="D589">
        <v>1934</v>
      </c>
      <c r="E589">
        <v>1939.9</v>
      </c>
      <c r="F589">
        <v>191</v>
      </c>
      <c r="G589">
        <v>1965.1570999999999</v>
      </c>
      <c r="H589">
        <v>1931.1667</v>
      </c>
      <c r="I589">
        <v>1928.24</v>
      </c>
      <c r="J589">
        <v>-1.0053000000000001</v>
      </c>
      <c r="K589">
        <v>0.5292</v>
      </c>
      <c r="L589">
        <v>0.71950000000000003</v>
      </c>
      <c r="M589">
        <v>36.941600000000001</v>
      </c>
      <c r="N589">
        <v>12.4221</v>
      </c>
      <c r="O589">
        <v>19.152999999999999</v>
      </c>
      <c r="P589">
        <v>2016.6069</v>
      </c>
      <c r="Q589">
        <v>1924.5231000000001</v>
      </c>
    </row>
    <row r="590" spans="1:17" x14ac:dyDescent="0.3">
      <c r="A590" s="1">
        <v>45244</v>
      </c>
      <c r="B590">
        <v>1961.8</v>
      </c>
      <c r="C590">
        <v>1965.8</v>
      </c>
      <c r="D590">
        <v>1961.8</v>
      </c>
      <c r="E590">
        <v>1965.8</v>
      </c>
      <c r="F590">
        <v>2</v>
      </c>
      <c r="G590">
        <v>1961.8429000000001</v>
      </c>
      <c r="H590">
        <v>1935.86</v>
      </c>
      <c r="I590">
        <v>1928.7089000000001</v>
      </c>
      <c r="J590">
        <v>1.3351</v>
      </c>
      <c r="K590">
        <v>0.8327</v>
      </c>
      <c r="L590">
        <v>0.71250000000000002</v>
      </c>
      <c r="M590">
        <v>48.090600000000002</v>
      </c>
      <c r="N590">
        <v>11.667</v>
      </c>
      <c r="O590">
        <v>17.655799999999999</v>
      </c>
      <c r="P590">
        <v>2010.9585999999999</v>
      </c>
      <c r="Q590">
        <v>1935.3214</v>
      </c>
    </row>
    <row r="591" spans="1:17" x14ac:dyDescent="0.3">
      <c r="A591" s="1">
        <v>45245</v>
      </c>
      <c r="B591">
        <v>1960.1</v>
      </c>
      <c r="C591">
        <v>1962.8</v>
      </c>
      <c r="D591">
        <v>1960</v>
      </c>
      <c r="E591">
        <v>1962.8</v>
      </c>
      <c r="F591">
        <v>6</v>
      </c>
      <c r="G591">
        <v>1959.1572000000001</v>
      </c>
      <c r="H591">
        <v>1940.56</v>
      </c>
      <c r="I591">
        <v>1929.1288999999999</v>
      </c>
      <c r="J591">
        <v>-0.15260000000000001</v>
      </c>
      <c r="K591">
        <v>0.82769999999999999</v>
      </c>
      <c r="L591">
        <v>0.71199999999999997</v>
      </c>
      <c r="M591">
        <v>40.031399999999998</v>
      </c>
      <c r="N591">
        <v>10.703099999999999</v>
      </c>
      <c r="O591">
        <v>16.2652</v>
      </c>
      <c r="P591">
        <v>2008.2698</v>
      </c>
      <c r="Q591">
        <v>1940.7901999999999</v>
      </c>
    </row>
    <row r="592" spans="1:17" x14ac:dyDescent="0.3">
      <c r="A592" s="1">
        <v>45246</v>
      </c>
      <c r="B592">
        <v>1983.9</v>
      </c>
      <c r="C592">
        <v>1983.9</v>
      </c>
      <c r="D592">
        <v>1964.6</v>
      </c>
      <c r="E592">
        <v>1965.3</v>
      </c>
      <c r="F592">
        <v>39</v>
      </c>
      <c r="G592">
        <v>1958.9857</v>
      </c>
      <c r="H592">
        <v>1945.1932999999999</v>
      </c>
      <c r="I592">
        <v>1929.4956</v>
      </c>
      <c r="J592">
        <v>0.12740000000000001</v>
      </c>
      <c r="K592">
        <v>0.78210000000000002</v>
      </c>
      <c r="L592">
        <v>0.71240000000000003</v>
      </c>
      <c r="M592">
        <v>41.003900000000002</v>
      </c>
      <c r="N592">
        <v>10.025399999999999</v>
      </c>
      <c r="O592">
        <v>15.017300000000001</v>
      </c>
      <c r="P592">
        <v>2007.356</v>
      </c>
      <c r="Q592">
        <v>1943.2239999999999</v>
      </c>
    </row>
    <row r="593" spans="1:17" x14ac:dyDescent="0.3">
      <c r="A593" s="1">
        <v>45247</v>
      </c>
      <c r="B593">
        <v>1981.6</v>
      </c>
      <c r="C593">
        <v>1984</v>
      </c>
      <c r="D593">
        <v>1979.8</v>
      </c>
      <c r="E593">
        <v>1982.5</v>
      </c>
      <c r="F593">
        <v>32</v>
      </c>
      <c r="G593">
        <v>1961.0857000000001</v>
      </c>
      <c r="H593">
        <v>1950.6433</v>
      </c>
      <c r="I593">
        <v>1929.7333000000001</v>
      </c>
      <c r="J593">
        <v>0.87519999999999998</v>
      </c>
      <c r="K593">
        <v>0.85129999999999995</v>
      </c>
      <c r="L593">
        <v>0.71050000000000002</v>
      </c>
      <c r="M593">
        <v>41.768300000000004</v>
      </c>
      <c r="N593">
        <v>10.7522</v>
      </c>
      <c r="O593">
        <v>14.164199999999999</v>
      </c>
      <c r="P593">
        <v>2007.4855</v>
      </c>
      <c r="Q593">
        <v>1943.2345</v>
      </c>
    </row>
    <row r="594" spans="1:17" x14ac:dyDescent="0.3">
      <c r="A594" s="1">
        <v>45250</v>
      </c>
      <c r="B594">
        <v>1977.7</v>
      </c>
      <c r="C594">
        <v>1979.4</v>
      </c>
      <c r="D594">
        <v>1969.7</v>
      </c>
      <c r="E594">
        <v>1978.7</v>
      </c>
      <c r="F594">
        <v>182</v>
      </c>
      <c r="G594">
        <v>1964.9429</v>
      </c>
      <c r="H594">
        <v>1955.1832999999999</v>
      </c>
      <c r="I594">
        <v>1929.9589000000001</v>
      </c>
      <c r="J594">
        <v>-0.19170000000000001</v>
      </c>
      <c r="K594">
        <v>0.76619999999999999</v>
      </c>
      <c r="L594">
        <v>0.68959999999999999</v>
      </c>
      <c r="M594">
        <v>43.014099999999999</v>
      </c>
      <c r="N594">
        <v>10.896000000000001</v>
      </c>
      <c r="O594">
        <v>13.5106</v>
      </c>
      <c r="P594">
        <v>2007.6437000000001</v>
      </c>
      <c r="Q594">
        <v>1943.3262999999999</v>
      </c>
    </row>
    <row r="595" spans="1:17" x14ac:dyDescent="0.3">
      <c r="A595" s="1">
        <v>45251</v>
      </c>
      <c r="B595">
        <v>1999.3</v>
      </c>
      <c r="C595">
        <v>2005.5</v>
      </c>
      <c r="D595">
        <v>1988.5</v>
      </c>
      <c r="E595">
        <v>1990.7</v>
      </c>
      <c r="F595">
        <v>16</v>
      </c>
      <c r="G595">
        <v>1969.3857</v>
      </c>
      <c r="H595">
        <v>1959.64</v>
      </c>
      <c r="I595">
        <v>1930.3667</v>
      </c>
      <c r="J595">
        <v>0.60650000000000004</v>
      </c>
      <c r="K595">
        <v>0.77890000000000004</v>
      </c>
      <c r="L595">
        <v>0.6855</v>
      </c>
      <c r="M595">
        <v>50.0749</v>
      </c>
      <c r="N595">
        <v>11.841799999999999</v>
      </c>
      <c r="O595">
        <v>13.1768</v>
      </c>
      <c r="P595">
        <v>2009.2598</v>
      </c>
      <c r="Q595">
        <v>1943.7501999999999</v>
      </c>
    </row>
    <row r="596" spans="1:17" x14ac:dyDescent="0.3">
      <c r="A596" s="1">
        <v>45252</v>
      </c>
      <c r="B596">
        <v>1991.4</v>
      </c>
      <c r="C596">
        <v>1999.4</v>
      </c>
      <c r="D596">
        <v>1991</v>
      </c>
      <c r="E596">
        <v>1999.1</v>
      </c>
      <c r="F596">
        <v>6075</v>
      </c>
      <c r="G596">
        <v>1977.8429000000001</v>
      </c>
      <c r="H596">
        <v>1963.96</v>
      </c>
      <c r="I596">
        <v>1930.7032999999999</v>
      </c>
      <c r="J596">
        <v>0.42199999999999999</v>
      </c>
      <c r="K596">
        <v>0.55769999999999997</v>
      </c>
      <c r="L596">
        <v>0.68149999999999999</v>
      </c>
      <c r="M596">
        <v>53.561199999999999</v>
      </c>
      <c r="N596">
        <v>13.117900000000001</v>
      </c>
      <c r="O596">
        <v>13.164999999999999</v>
      </c>
      <c r="P596">
        <v>2012.0501999999999</v>
      </c>
      <c r="Q596">
        <v>1943.7498000000001</v>
      </c>
    </row>
    <row r="597" spans="1:17" x14ac:dyDescent="0.3">
      <c r="A597" s="1">
        <v>45254</v>
      </c>
      <c r="B597">
        <v>2002.2</v>
      </c>
      <c r="C597">
        <v>2002.2</v>
      </c>
      <c r="D597">
        <v>1991.5</v>
      </c>
      <c r="E597">
        <v>1991.9</v>
      </c>
      <c r="F597">
        <v>63</v>
      </c>
      <c r="G597">
        <v>1981.5714</v>
      </c>
      <c r="H597">
        <v>1967.8667</v>
      </c>
      <c r="I597">
        <v>1930.8688999999999</v>
      </c>
      <c r="J597">
        <v>-0.36020000000000002</v>
      </c>
      <c r="K597">
        <v>0.45939999999999998</v>
      </c>
      <c r="L597">
        <v>0.68969999999999998</v>
      </c>
      <c r="M597">
        <v>50.9831</v>
      </c>
      <c r="N597">
        <v>13.393800000000001</v>
      </c>
      <c r="O597">
        <v>13.210800000000001</v>
      </c>
      <c r="P597">
        <v>2012.5092</v>
      </c>
      <c r="Q597">
        <v>1943.6608000000001</v>
      </c>
    </row>
    <row r="598" spans="1:17" x14ac:dyDescent="0.3">
      <c r="A598" s="1">
        <v>45257</v>
      </c>
      <c r="B598">
        <v>2011.8</v>
      </c>
      <c r="C598">
        <v>2011.8</v>
      </c>
      <c r="D598">
        <v>2011.7</v>
      </c>
      <c r="E598">
        <v>2011.7</v>
      </c>
      <c r="F598">
        <v>228</v>
      </c>
      <c r="G598">
        <v>1988.5571</v>
      </c>
      <c r="H598">
        <v>1972.34</v>
      </c>
      <c r="I598">
        <v>1931.2910999999999</v>
      </c>
      <c r="J598">
        <v>0.99399999999999999</v>
      </c>
      <c r="K598">
        <v>0.51780000000000004</v>
      </c>
      <c r="L598">
        <v>0.70440000000000003</v>
      </c>
      <c r="M598">
        <v>59.412100000000002</v>
      </c>
      <c r="N598">
        <v>15.036899999999999</v>
      </c>
      <c r="O598">
        <v>13.576000000000001</v>
      </c>
      <c r="P598">
        <v>2016.5764999999999</v>
      </c>
      <c r="Q598">
        <v>1941.9034999999999</v>
      </c>
    </row>
    <row r="599" spans="1:17" x14ac:dyDescent="0.3">
      <c r="A599" s="1">
        <v>45258</v>
      </c>
      <c r="B599">
        <v>2039.7</v>
      </c>
      <c r="C599">
        <v>2042.7</v>
      </c>
      <c r="D599">
        <v>2039.7</v>
      </c>
      <c r="E599">
        <v>2040.6</v>
      </c>
      <c r="F599">
        <v>174665</v>
      </c>
      <c r="G599">
        <v>1999.3143</v>
      </c>
      <c r="H599">
        <v>1976.68</v>
      </c>
      <c r="I599">
        <v>1932.1667</v>
      </c>
      <c r="J599">
        <v>1.4366000000000001</v>
      </c>
      <c r="K599">
        <v>0.64370000000000005</v>
      </c>
      <c r="L599">
        <v>0.68300000000000005</v>
      </c>
      <c r="M599">
        <v>71.329899999999995</v>
      </c>
      <c r="N599">
        <v>18.458200000000001</v>
      </c>
      <c r="O599">
        <v>14.5525</v>
      </c>
      <c r="P599">
        <v>2026.2592999999999</v>
      </c>
      <c r="Q599">
        <v>1935.8706999999999</v>
      </c>
    </row>
    <row r="600" spans="1:17" x14ac:dyDescent="0.3">
      <c r="A600" s="1">
        <v>45259</v>
      </c>
      <c r="B600">
        <v>2047.1</v>
      </c>
      <c r="C600">
        <v>2052.1001000000001</v>
      </c>
      <c r="D600">
        <v>2036</v>
      </c>
      <c r="E600">
        <v>2041.7</v>
      </c>
      <c r="F600">
        <v>15290</v>
      </c>
      <c r="G600">
        <v>2007.7714000000001</v>
      </c>
      <c r="H600">
        <v>1980.9267</v>
      </c>
      <c r="I600">
        <v>1933.0155999999999</v>
      </c>
      <c r="J600">
        <v>5.3900000000000003E-2</v>
      </c>
      <c r="K600">
        <v>0.64739999999999998</v>
      </c>
      <c r="L600">
        <v>0.68369999999999997</v>
      </c>
      <c r="M600">
        <v>71.296800000000005</v>
      </c>
      <c r="N600">
        <v>21.016200000000001</v>
      </c>
      <c r="O600">
        <v>15.8452</v>
      </c>
      <c r="P600">
        <v>2035.7166</v>
      </c>
      <c r="Q600">
        <v>1930.9333999999999</v>
      </c>
    </row>
    <row r="601" spans="1:17" x14ac:dyDescent="0.3">
      <c r="A601" s="1">
        <v>45260</v>
      </c>
      <c r="B601">
        <v>2038.1</v>
      </c>
      <c r="C601">
        <v>2047.1</v>
      </c>
      <c r="D601">
        <v>2033.1</v>
      </c>
      <c r="E601">
        <v>2046.1</v>
      </c>
      <c r="F601">
        <v>2506</v>
      </c>
      <c r="G601">
        <v>2017.4</v>
      </c>
      <c r="H601">
        <v>1984.63</v>
      </c>
      <c r="I601">
        <v>1934.05</v>
      </c>
      <c r="J601">
        <v>0.2155</v>
      </c>
      <c r="K601">
        <v>0.59940000000000004</v>
      </c>
      <c r="L601">
        <v>0.66390000000000005</v>
      </c>
      <c r="M601">
        <v>79.171800000000005</v>
      </c>
      <c r="N601">
        <v>23.131799999999998</v>
      </c>
      <c r="O601">
        <v>17.302499999999998</v>
      </c>
      <c r="P601">
        <v>2045.5282999999999</v>
      </c>
      <c r="Q601">
        <v>1926.6817000000001</v>
      </c>
    </row>
    <row r="602" spans="1:17" x14ac:dyDescent="0.3">
      <c r="A602" s="1">
        <v>45261</v>
      </c>
      <c r="B602">
        <v>2071</v>
      </c>
      <c r="C602">
        <v>2073.1999999999998</v>
      </c>
      <c r="D602">
        <v>2036</v>
      </c>
      <c r="E602">
        <v>2038.3</v>
      </c>
      <c r="F602">
        <v>614</v>
      </c>
      <c r="G602">
        <v>2024.2</v>
      </c>
      <c r="H602">
        <v>1987.57</v>
      </c>
      <c r="I602">
        <v>1934.8511000000001</v>
      </c>
      <c r="J602">
        <v>-0.38119999999999998</v>
      </c>
      <c r="K602">
        <v>0.6764</v>
      </c>
      <c r="L602">
        <v>0.66210000000000002</v>
      </c>
      <c r="M602">
        <v>74.3352</v>
      </c>
      <c r="N602">
        <v>23.903400000000001</v>
      </c>
      <c r="O602">
        <v>18.622699999999998</v>
      </c>
      <c r="P602">
        <v>2052.4187000000002</v>
      </c>
      <c r="Q602">
        <v>1924.7112999999999</v>
      </c>
    </row>
    <row r="603" spans="1:17" x14ac:dyDescent="0.3">
      <c r="A603" s="1">
        <v>45264</v>
      </c>
      <c r="B603">
        <v>2024.1</v>
      </c>
      <c r="C603">
        <v>2130.1999999999998</v>
      </c>
      <c r="D603">
        <v>2021</v>
      </c>
      <c r="E603">
        <v>2075.3000000000002</v>
      </c>
      <c r="F603">
        <v>1071</v>
      </c>
      <c r="G603">
        <v>2035.0857000000001</v>
      </c>
      <c r="H603">
        <v>1990.71</v>
      </c>
      <c r="I603">
        <v>1936.2944</v>
      </c>
      <c r="J603">
        <v>1.8151999999999999</v>
      </c>
      <c r="K603">
        <v>0.87909999999999999</v>
      </c>
      <c r="L603">
        <v>0.68</v>
      </c>
      <c r="M603">
        <v>87.821299999999994</v>
      </c>
      <c r="N603">
        <v>27.187200000000001</v>
      </c>
      <c r="O603">
        <v>20.335599999999999</v>
      </c>
      <c r="P603">
        <v>2067.5971</v>
      </c>
      <c r="Q603">
        <v>1918.1629</v>
      </c>
    </row>
    <row r="604" spans="1:17" x14ac:dyDescent="0.3">
      <c r="A604" s="1">
        <v>45265</v>
      </c>
      <c r="B604">
        <v>2018.5</v>
      </c>
      <c r="C604">
        <v>2037</v>
      </c>
      <c r="D604">
        <v>2010.2</v>
      </c>
      <c r="E604">
        <v>2035.1</v>
      </c>
      <c r="F604">
        <v>289</v>
      </c>
      <c r="G604">
        <v>2041.2571</v>
      </c>
      <c r="H604">
        <v>1992.6732999999999</v>
      </c>
      <c r="I604">
        <v>1937.29</v>
      </c>
      <c r="J604">
        <v>-1.9371</v>
      </c>
      <c r="K604">
        <v>1.2652000000000001</v>
      </c>
      <c r="L604">
        <v>0.77769999999999995</v>
      </c>
      <c r="M604">
        <v>67.9255</v>
      </c>
      <c r="N604">
        <v>26.243300000000001</v>
      </c>
      <c r="O604">
        <v>21.517099999999999</v>
      </c>
      <c r="P604">
        <v>2072.373</v>
      </c>
      <c r="Q604">
        <v>1918.7370000000001</v>
      </c>
    </row>
    <row r="605" spans="1:17" x14ac:dyDescent="0.3">
      <c r="A605" s="1">
        <v>45266</v>
      </c>
      <c r="B605">
        <v>2030.5</v>
      </c>
      <c r="C605">
        <v>2035.8</v>
      </c>
      <c r="D605">
        <v>2019</v>
      </c>
      <c r="E605">
        <v>2019.9</v>
      </c>
      <c r="F605">
        <v>417</v>
      </c>
      <c r="G605">
        <v>2042.4286</v>
      </c>
      <c r="H605">
        <v>1994.3267000000001</v>
      </c>
      <c r="I605">
        <v>1937.9644000000001</v>
      </c>
      <c r="J605">
        <v>-0.74690000000000001</v>
      </c>
      <c r="K605">
        <v>1.2802</v>
      </c>
      <c r="L605">
        <v>0.78979999999999995</v>
      </c>
      <c r="M605">
        <v>63.892899999999997</v>
      </c>
      <c r="N605">
        <v>23.992100000000001</v>
      </c>
      <c r="O605">
        <v>22.0121</v>
      </c>
      <c r="P605">
        <v>2074.5010000000002</v>
      </c>
      <c r="Q605">
        <v>1921.9490000000001</v>
      </c>
    </row>
    <row r="606" spans="1:17" x14ac:dyDescent="0.3">
      <c r="A606" s="1">
        <v>45267</v>
      </c>
      <c r="B606">
        <v>2029.9</v>
      </c>
      <c r="C606">
        <v>2034.9</v>
      </c>
      <c r="D606">
        <v>2024</v>
      </c>
      <c r="E606">
        <v>2029.2</v>
      </c>
      <c r="F606">
        <v>67</v>
      </c>
      <c r="G606">
        <v>2040.8</v>
      </c>
      <c r="H606">
        <v>1996.26</v>
      </c>
      <c r="I606">
        <v>1938.6789000000001</v>
      </c>
      <c r="J606">
        <v>0.46039999999999998</v>
      </c>
      <c r="K606">
        <v>1.1528</v>
      </c>
      <c r="L606">
        <v>0.79269999999999996</v>
      </c>
      <c r="M606">
        <v>65.049400000000006</v>
      </c>
      <c r="N606">
        <v>22.696899999999999</v>
      </c>
      <c r="O606">
        <v>22.149100000000001</v>
      </c>
      <c r="P606">
        <v>2077.3571999999999</v>
      </c>
      <c r="Q606">
        <v>1925.2328</v>
      </c>
    </row>
    <row r="607" spans="1:17" x14ac:dyDescent="0.3">
      <c r="A607" s="1">
        <v>45268</v>
      </c>
      <c r="B607">
        <v>1998.3</v>
      </c>
      <c r="C607">
        <v>2033.1</v>
      </c>
      <c r="D607">
        <v>1995</v>
      </c>
      <c r="E607">
        <v>2031.7</v>
      </c>
      <c r="F607">
        <v>449</v>
      </c>
      <c r="G607">
        <v>2039.3714</v>
      </c>
      <c r="H607">
        <v>1997.71</v>
      </c>
      <c r="I607">
        <v>1939.6043999999999</v>
      </c>
      <c r="J607">
        <v>0.1232</v>
      </c>
      <c r="K607">
        <v>1.1543000000000001</v>
      </c>
      <c r="L607">
        <v>0.77959999999999996</v>
      </c>
      <c r="M607">
        <v>62.449399999999997</v>
      </c>
      <c r="N607">
        <v>21.622800000000002</v>
      </c>
      <c r="O607">
        <v>22.043800000000001</v>
      </c>
      <c r="P607">
        <v>2078.7449000000001</v>
      </c>
      <c r="Q607">
        <v>1931.8451</v>
      </c>
    </row>
    <row r="608" spans="1:17" x14ac:dyDescent="0.3">
      <c r="A608" s="1">
        <v>45271</v>
      </c>
      <c r="B608">
        <v>1978</v>
      </c>
      <c r="C608">
        <v>2004.2</v>
      </c>
      <c r="D608">
        <v>1977.2</v>
      </c>
      <c r="E608">
        <v>2004.1</v>
      </c>
      <c r="F608">
        <v>651</v>
      </c>
      <c r="G608">
        <v>2033.3714</v>
      </c>
      <c r="H608">
        <v>1998.2266999999999</v>
      </c>
      <c r="I608">
        <v>1940.3811000000001</v>
      </c>
      <c r="J608">
        <v>-1.3585</v>
      </c>
      <c r="K608">
        <v>1.2407999999999999</v>
      </c>
      <c r="L608">
        <v>0.82240000000000002</v>
      </c>
      <c r="M608">
        <v>55.736199999999997</v>
      </c>
      <c r="N608">
        <v>18.333200000000001</v>
      </c>
      <c r="O608">
        <v>21.3017</v>
      </c>
      <c r="P608">
        <v>2077.7678000000001</v>
      </c>
      <c r="Q608">
        <v>1937.2722000000001</v>
      </c>
    </row>
    <row r="609" spans="1:17" x14ac:dyDescent="0.3">
      <c r="A609" s="1">
        <v>45272</v>
      </c>
      <c r="B609">
        <v>1977.8</v>
      </c>
      <c r="C609">
        <v>1994.2</v>
      </c>
      <c r="D609">
        <v>1977.8</v>
      </c>
      <c r="E609">
        <v>1984.2</v>
      </c>
      <c r="F609">
        <v>95</v>
      </c>
      <c r="G609">
        <v>2025.6428000000001</v>
      </c>
      <c r="H609">
        <v>1997.5633</v>
      </c>
      <c r="I609">
        <v>1940.9289000000001</v>
      </c>
      <c r="J609">
        <v>-0.99299999999999999</v>
      </c>
      <c r="K609">
        <v>1.2696000000000001</v>
      </c>
      <c r="L609">
        <v>0.83030000000000004</v>
      </c>
      <c r="M609">
        <v>48.582599999999999</v>
      </c>
      <c r="N609">
        <v>13.9595</v>
      </c>
      <c r="O609">
        <v>19.833300000000001</v>
      </c>
      <c r="P609">
        <v>2073.4998999999998</v>
      </c>
      <c r="Q609">
        <v>1945.9701</v>
      </c>
    </row>
    <row r="610" spans="1:17" x14ac:dyDescent="0.3">
      <c r="A610" s="1">
        <v>45273</v>
      </c>
      <c r="B610">
        <v>1982.3</v>
      </c>
      <c r="C610">
        <v>2024.8</v>
      </c>
      <c r="D610">
        <v>1975</v>
      </c>
      <c r="E610">
        <v>1978.5</v>
      </c>
      <c r="F610">
        <v>2252</v>
      </c>
      <c r="G610">
        <v>2011.8143</v>
      </c>
      <c r="H610">
        <v>1996.9632999999999</v>
      </c>
      <c r="I610">
        <v>1941.3456000000001</v>
      </c>
      <c r="J610">
        <v>-0.2873</v>
      </c>
      <c r="K610">
        <v>0.84089999999999998</v>
      </c>
      <c r="L610">
        <v>0.82909999999999995</v>
      </c>
      <c r="M610">
        <v>45.454500000000003</v>
      </c>
      <c r="N610">
        <v>9.9191000000000003</v>
      </c>
      <c r="O610">
        <v>17.8504</v>
      </c>
      <c r="P610">
        <v>2072.5252999999998</v>
      </c>
      <c r="Q610">
        <v>1948.2146</v>
      </c>
    </row>
    <row r="611" spans="1:17" x14ac:dyDescent="0.3">
      <c r="A611" s="1">
        <v>45274</v>
      </c>
      <c r="B611">
        <v>2030.2</v>
      </c>
      <c r="C611">
        <v>2040.1</v>
      </c>
      <c r="D611">
        <v>2024.3</v>
      </c>
      <c r="E611">
        <v>2024.7</v>
      </c>
      <c r="F611">
        <v>236</v>
      </c>
      <c r="G611">
        <v>2010.3285000000001</v>
      </c>
      <c r="H611">
        <v>1998.1033</v>
      </c>
      <c r="I611">
        <v>1942.3788999999999</v>
      </c>
      <c r="J611">
        <v>2.3351000000000002</v>
      </c>
      <c r="K611">
        <v>1.2329000000000001</v>
      </c>
      <c r="L611">
        <v>0.93230000000000002</v>
      </c>
      <c r="M611">
        <v>56.174700000000001</v>
      </c>
      <c r="N611">
        <v>10.325900000000001</v>
      </c>
      <c r="O611">
        <v>16.345500000000001</v>
      </c>
      <c r="P611">
        <v>2071.6869000000002</v>
      </c>
      <c r="Q611">
        <v>1955.2430999999999</v>
      </c>
    </row>
    <row r="612" spans="1:17" x14ac:dyDescent="0.3">
      <c r="A612" s="1">
        <v>45275</v>
      </c>
      <c r="B612">
        <v>2021.1</v>
      </c>
      <c r="C612">
        <v>2043.4</v>
      </c>
      <c r="D612">
        <v>2018.3</v>
      </c>
      <c r="E612">
        <v>2032.6</v>
      </c>
      <c r="F612">
        <v>261</v>
      </c>
      <c r="G612">
        <v>2012.1428000000001</v>
      </c>
      <c r="H612">
        <v>1999.5533</v>
      </c>
      <c r="I612">
        <v>1943.57</v>
      </c>
      <c r="J612">
        <v>0.39019999999999999</v>
      </c>
      <c r="K612">
        <v>1.2029000000000001</v>
      </c>
      <c r="L612">
        <v>0.93389999999999995</v>
      </c>
      <c r="M612">
        <v>54.119</v>
      </c>
      <c r="N612">
        <v>11.1571</v>
      </c>
      <c r="O612">
        <v>15.3078</v>
      </c>
      <c r="P612">
        <v>2070.9668999999999</v>
      </c>
      <c r="Q612">
        <v>1962.6931</v>
      </c>
    </row>
    <row r="613" spans="1:17" x14ac:dyDescent="0.3">
      <c r="A613" s="1">
        <v>45278</v>
      </c>
      <c r="B613">
        <v>2026.3</v>
      </c>
      <c r="C613">
        <v>2032.8</v>
      </c>
      <c r="D613">
        <v>2024</v>
      </c>
      <c r="E613">
        <v>2024.3</v>
      </c>
      <c r="F613">
        <v>100</v>
      </c>
      <c r="G613">
        <v>2011.4428</v>
      </c>
      <c r="H613">
        <v>2000.73</v>
      </c>
      <c r="I613">
        <v>1944.7166999999999</v>
      </c>
      <c r="J613">
        <v>-0.4083</v>
      </c>
      <c r="K613">
        <v>1.2038</v>
      </c>
      <c r="L613">
        <v>0.93799999999999994</v>
      </c>
      <c r="M613">
        <v>46.503700000000002</v>
      </c>
      <c r="N613">
        <v>11.0192</v>
      </c>
      <c r="O613">
        <v>14.450100000000001</v>
      </c>
      <c r="P613">
        <v>2070.6505000000002</v>
      </c>
      <c r="Q613">
        <v>1967.1895</v>
      </c>
    </row>
    <row r="614" spans="1:17" x14ac:dyDescent="0.3">
      <c r="A614" s="1">
        <v>45279</v>
      </c>
      <c r="B614">
        <v>2038.4</v>
      </c>
      <c r="C614">
        <v>2042.7</v>
      </c>
      <c r="D614">
        <v>2025.2</v>
      </c>
      <c r="E614">
        <v>2025.2</v>
      </c>
      <c r="F614">
        <v>498</v>
      </c>
      <c r="G614">
        <v>2010.5143</v>
      </c>
      <c r="H614">
        <v>2002.1832999999999</v>
      </c>
      <c r="I614">
        <v>1945.9632999999999</v>
      </c>
      <c r="J614">
        <v>4.4499999999999998E-2</v>
      </c>
      <c r="K614">
        <v>1.2024999999999999</v>
      </c>
      <c r="L614">
        <v>0.93440000000000001</v>
      </c>
      <c r="M614">
        <v>46.457700000000003</v>
      </c>
      <c r="N614">
        <v>10.8573</v>
      </c>
      <c r="O614">
        <v>13.7315</v>
      </c>
      <c r="P614">
        <v>2069.422</v>
      </c>
      <c r="Q614">
        <v>1973.0679</v>
      </c>
    </row>
    <row r="615" spans="1:17" x14ac:dyDescent="0.3">
      <c r="A615" s="1">
        <v>45280</v>
      </c>
      <c r="B615">
        <v>2034.5</v>
      </c>
      <c r="C615">
        <v>2037.1</v>
      </c>
      <c r="D615">
        <v>2030.3</v>
      </c>
      <c r="E615">
        <v>2037.1</v>
      </c>
      <c r="F615">
        <v>258</v>
      </c>
      <c r="G615">
        <v>2015.2285999999999</v>
      </c>
      <c r="H615">
        <v>2004.5367000000001</v>
      </c>
      <c r="I615">
        <v>1947.3833</v>
      </c>
      <c r="J615">
        <v>0.58760000000000001</v>
      </c>
      <c r="K615">
        <v>1.0638000000000001</v>
      </c>
      <c r="L615">
        <v>0.92500000000000004</v>
      </c>
      <c r="M615">
        <v>48.128100000000003</v>
      </c>
      <c r="N615">
        <v>11.555999999999999</v>
      </c>
      <c r="O615">
        <v>13.2964</v>
      </c>
      <c r="P615">
        <v>2069.9854999999998</v>
      </c>
      <c r="Q615">
        <v>1977.1445000000001</v>
      </c>
    </row>
    <row r="616" spans="1:17" x14ac:dyDescent="0.3">
      <c r="A616" s="1">
        <v>45281</v>
      </c>
      <c r="B616">
        <v>2039.1</v>
      </c>
      <c r="C616">
        <v>2044.5</v>
      </c>
      <c r="D616">
        <v>2033</v>
      </c>
      <c r="E616">
        <v>2035.8</v>
      </c>
      <c r="F616">
        <v>228</v>
      </c>
      <c r="G616">
        <v>2022.6</v>
      </c>
      <c r="H616">
        <v>2006.8033</v>
      </c>
      <c r="I616">
        <v>1948.8255999999999</v>
      </c>
      <c r="J616">
        <v>-6.3799999999999996E-2</v>
      </c>
      <c r="K616">
        <v>0.93459999999999999</v>
      </c>
      <c r="L616">
        <v>0.92559999999999998</v>
      </c>
      <c r="M616">
        <v>49.465600000000002</v>
      </c>
      <c r="N616">
        <v>11.868</v>
      </c>
      <c r="O616">
        <v>13.0107</v>
      </c>
      <c r="P616">
        <v>2070.6349</v>
      </c>
      <c r="Q616">
        <v>1980.1650999999999</v>
      </c>
    </row>
    <row r="617" spans="1:17" x14ac:dyDescent="0.3">
      <c r="A617" s="1">
        <v>45282</v>
      </c>
      <c r="B617">
        <v>2057.1001000000001</v>
      </c>
      <c r="C617">
        <v>2068.6999999999998</v>
      </c>
      <c r="D617">
        <v>2052.1999999999998</v>
      </c>
      <c r="E617">
        <v>2055.6999999999998</v>
      </c>
      <c r="F617">
        <v>202</v>
      </c>
      <c r="G617">
        <v>2033.6286</v>
      </c>
      <c r="H617">
        <v>2010.27</v>
      </c>
      <c r="I617">
        <v>1950.5056</v>
      </c>
      <c r="J617">
        <v>0.97750000000000004</v>
      </c>
      <c r="K617">
        <v>0.90800000000000003</v>
      </c>
      <c r="L617">
        <v>0.92110000000000003</v>
      </c>
      <c r="M617">
        <v>45.479700000000001</v>
      </c>
      <c r="N617">
        <v>13.5647</v>
      </c>
      <c r="O617">
        <v>13.121499999999999</v>
      </c>
      <c r="P617">
        <v>2072.866</v>
      </c>
      <c r="Q617">
        <v>1984.3139000000001</v>
      </c>
    </row>
    <row r="618" spans="1:17" x14ac:dyDescent="0.3">
      <c r="A618" s="1">
        <v>45286</v>
      </c>
      <c r="B618">
        <v>2058.1999999999998</v>
      </c>
      <c r="C618">
        <v>2060.8000000000002</v>
      </c>
      <c r="D618">
        <v>2054.1999999999998</v>
      </c>
      <c r="E618">
        <v>2060</v>
      </c>
      <c r="F618">
        <v>64</v>
      </c>
      <c r="G618">
        <v>2038.6713999999999</v>
      </c>
      <c r="H618">
        <v>2013.6167</v>
      </c>
      <c r="I618">
        <v>1952.3533</v>
      </c>
      <c r="J618">
        <v>0.2092</v>
      </c>
      <c r="K618">
        <v>0.45440000000000003</v>
      </c>
      <c r="L618">
        <v>0.92010000000000003</v>
      </c>
      <c r="M618">
        <v>56.882300000000001</v>
      </c>
      <c r="N618">
        <v>15.0825</v>
      </c>
      <c r="O618">
        <v>13.5137</v>
      </c>
      <c r="P618">
        <v>2076.6498999999999</v>
      </c>
      <c r="Q618">
        <v>1985.3601000000001</v>
      </c>
    </row>
    <row r="619" spans="1:17" x14ac:dyDescent="0.3">
      <c r="A619" s="1">
        <v>45287</v>
      </c>
      <c r="B619">
        <v>2081.8998999999999</v>
      </c>
      <c r="C619">
        <v>2081.8998999999999</v>
      </c>
      <c r="D619">
        <v>2064.8000000000002</v>
      </c>
      <c r="E619">
        <v>2067.3000000000002</v>
      </c>
      <c r="F619">
        <v>586</v>
      </c>
      <c r="G619">
        <v>2043.6286</v>
      </c>
      <c r="H619">
        <v>2017.8633</v>
      </c>
      <c r="I619">
        <v>1954.3033</v>
      </c>
      <c r="J619">
        <v>0.35439999999999999</v>
      </c>
      <c r="K619">
        <v>0.45269999999999999</v>
      </c>
      <c r="L619">
        <v>0.89329999999999998</v>
      </c>
      <c r="M619">
        <v>63.6995</v>
      </c>
      <c r="N619">
        <v>16.681999999999999</v>
      </c>
      <c r="O619">
        <v>14.147399999999999</v>
      </c>
      <c r="P619">
        <v>2080.6505000000002</v>
      </c>
      <c r="Q619">
        <v>1984.0295000000001</v>
      </c>
    </row>
    <row r="620" spans="1:17" x14ac:dyDescent="0.3">
      <c r="A620" s="1">
        <v>45288</v>
      </c>
      <c r="B620">
        <v>2073.8998999999999</v>
      </c>
      <c r="C620">
        <v>2087.3000000000002</v>
      </c>
      <c r="D620">
        <v>2066.5</v>
      </c>
      <c r="E620">
        <v>2081.6001000000001</v>
      </c>
      <c r="F620">
        <v>338</v>
      </c>
      <c r="G620">
        <v>2051.8143</v>
      </c>
      <c r="H620">
        <v>2021.7233000000001</v>
      </c>
      <c r="I620">
        <v>1956.3922</v>
      </c>
      <c r="J620">
        <v>0.69169999999999998</v>
      </c>
      <c r="K620">
        <v>0.37280000000000002</v>
      </c>
      <c r="L620">
        <v>0.873</v>
      </c>
      <c r="M620">
        <v>64.719200000000001</v>
      </c>
      <c r="N620">
        <v>18.885899999999999</v>
      </c>
      <c r="O620">
        <v>15.0951</v>
      </c>
      <c r="P620">
        <v>2087.3402000000001</v>
      </c>
      <c r="Q620">
        <v>1981.3298</v>
      </c>
    </row>
    <row r="621" spans="1:17" x14ac:dyDescent="0.3">
      <c r="A621" s="1">
        <v>45289</v>
      </c>
      <c r="B621">
        <v>2062.3998999999999</v>
      </c>
      <c r="C621">
        <v>2068.8998999999999</v>
      </c>
      <c r="D621">
        <v>2062.1001000000001</v>
      </c>
      <c r="E621">
        <v>2068</v>
      </c>
      <c r="F621">
        <v>47</v>
      </c>
      <c r="G621">
        <v>2057.9286000000002</v>
      </c>
      <c r="H621">
        <v>2025.23</v>
      </c>
      <c r="I621">
        <v>1958.3189</v>
      </c>
      <c r="J621">
        <v>-0.65329999999999999</v>
      </c>
      <c r="K621">
        <v>0.53969999999999996</v>
      </c>
      <c r="L621">
        <v>0.88449999999999995</v>
      </c>
      <c r="M621">
        <v>59.598100000000002</v>
      </c>
      <c r="N621">
        <v>19.3125</v>
      </c>
      <c r="O621">
        <v>15.938599999999999</v>
      </c>
      <c r="P621">
        <v>2090.3296</v>
      </c>
      <c r="Q621">
        <v>1980.5304000000001</v>
      </c>
    </row>
    <row r="622" spans="1:17" x14ac:dyDescent="0.3">
      <c r="A622" s="1">
        <v>45293</v>
      </c>
      <c r="B622">
        <v>2064.3998999999999</v>
      </c>
      <c r="C622">
        <v>2073.6999999999998</v>
      </c>
      <c r="D622">
        <v>2057.1001000000001</v>
      </c>
      <c r="E622">
        <v>2063.5</v>
      </c>
      <c r="F622">
        <v>61</v>
      </c>
      <c r="G622">
        <v>2061.6999999999998</v>
      </c>
      <c r="H622">
        <v>2028.5033000000001</v>
      </c>
      <c r="I622">
        <v>1960.0289</v>
      </c>
      <c r="J622">
        <v>-0.21759999999999999</v>
      </c>
      <c r="K622">
        <v>0.55389999999999995</v>
      </c>
      <c r="L622">
        <v>0.88749999999999996</v>
      </c>
      <c r="M622">
        <v>67.891599999999997</v>
      </c>
      <c r="N622">
        <v>19.067599999999999</v>
      </c>
      <c r="O622">
        <v>16.564399999999999</v>
      </c>
      <c r="P622">
        <v>2093.0054</v>
      </c>
      <c r="Q622">
        <v>1980.3746000000001</v>
      </c>
    </row>
    <row r="623" spans="1:17" x14ac:dyDescent="0.3">
      <c r="A623" s="1">
        <v>45294</v>
      </c>
      <c r="B623">
        <v>2034.2</v>
      </c>
      <c r="C623">
        <v>2044</v>
      </c>
      <c r="D623">
        <v>2034.2</v>
      </c>
      <c r="E623">
        <v>2034.2</v>
      </c>
      <c r="F623">
        <v>54</v>
      </c>
      <c r="G623">
        <v>2061.4713999999999</v>
      </c>
      <c r="H623">
        <v>2030.2266999999999</v>
      </c>
      <c r="I623">
        <v>1961.2978000000001</v>
      </c>
      <c r="J623">
        <v>-1.4198999999999999</v>
      </c>
      <c r="K623">
        <v>0.82599999999999996</v>
      </c>
      <c r="L623">
        <v>0.92249999999999999</v>
      </c>
      <c r="M623">
        <v>64.253100000000003</v>
      </c>
      <c r="N623">
        <v>16.321100000000001</v>
      </c>
      <c r="O623">
        <v>16.515699999999999</v>
      </c>
      <c r="P623">
        <v>2087.9369999999999</v>
      </c>
      <c r="Q623">
        <v>1981.3329000000001</v>
      </c>
    </row>
    <row r="624" spans="1:17" x14ac:dyDescent="0.3">
      <c r="A624" s="1">
        <v>45295</v>
      </c>
      <c r="B624">
        <v>2042.3</v>
      </c>
      <c r="C624">
        <v>2044.5</v>
      </c>
      <c r="D624">
        <v>2038</v>
      </c>
      <c r="E624">
        <v>2041.6</v>
      </c>
      <c r="F624">
        <v>88</v>
      </c>
      <c r="G624">
        <v>2059.4571999999998</v>
      </c>
      <c r="H624">
        <v>2032.3233</v>
      </c>
      <c r="I624">
        <v>1962.6511</v>
      </c>
      <c r="J624">
        <v>0.36380000000000001</v>
      </c>
      <c r="K624">
        <v>0.73099999999999998</v>
      </c>
      <c r="L624">
        <v>0.92220000000000002</v>
      </c>
      <c r="M624">
        <v>67.814800000000005</v>
      </c>
      <c r="N624">
        <v>14.573600000000001</v>
      </c>
      <c r="O624">
        <v>16.127300000000002</v>
      </c>
      <c r="P624">
        <v>2088.3532</v>
      </c>
      <c r="Q624">
        <v>1981.5668000000001</v>
      </c>
    </row>
    <row r="625" spans="1:17" x14ac:dyDescent="0.3">
      <c r="A625" s="1">
        <v>45296</v>
      </c>
      <c r="B625">
        <v>2042.4</v>
      </c>
      <c r="C625">
        <v>2048.1001000000001</v>
      </c>
      <c r="D625">
        <v>2042.4</v>
      </c>
      <c r="E625">
        <v>2044.5</v>
      </c>
      <c r="F625">
        <v>12</v>
      </c>
      <c r="G625">
        <v>2057.2429000000002</v>
      </c>
      <c r="H625">
        <v>2034.1167</v>
      </c>
      <c r="I625">
        <v>1964.0844</v>
      </c>
      <c r="J625">
        <v>0.14199999999999999</v>
      </c>
      <c r="K625">
        <v>0.72670000000000001</v>
      </c>
      <c r="L625">
        <v>0.91749999999999998</v>
      </c>
      <c r="M625">
        <v>57.399099999999997</v>
      </c>
      <c r="N625">
        <v>13.2698</v>
      </c>
      <c r="O625">
        <v>15.5558</v>
      </c>
      <c r="P625">
        <v>2089.2548000000002</v>
      </c>
      <c r="Q625">
        <v>1983.1251999999999</v>
      </c>
    </row>
    <row r="626" spans="1:17" x14ac:dyDescent="0.3">
      <c r="A626" s="1">
        <v>45299</v>
      </c>
      <c r="B626">
        <v>2026.6</v>
      </c>
      <c r="C626">
        <v>2033.7</v>
      </c>
      <c r="D626">
        <v>2019.1</v>
      </c>
      <c r="E626">
        <v>2019.1</v>
      </c>
      <c r="F626">
        <v>10</v>
      </c>
      <c r="G626">
        <v>2050.3571000000002</v>
      </c>
      <c r="H626">
        <v>2034.7833000000001</v>
      </c>
      <c r="I626">
        <v>1965.2089000000001</v>
      </c>
      <c r="J626">
        <v>-1.2423999999999999</v>
      </c>
      <c r="K626">
        <v>0.80469999999999997</v>
      </c>
      <c r="L626">
        <v>0.94669999999999999</v>
      </c>
      <c r="M626">
        <v>45.538699999999999</v>
      </c>
      <c r="N626">
        <v>10.0708</v>
      </c>
      <c r="O626">
        <v>14.4588</v>
      </c>
      <c r="P626">
        <v>2089.2199999999998</v>
      </c>
      <c r="Q626">
        <v>1982.1498999999999</v>
      </c>
    </row>
    <row r="627" spans="1:17" x14ac:dyDescent="0.3">
      <c r="A627" s="1">
        <v>45300</v>
      </c>
      <c r="B627">
        <v>2026.4</v>
      </c>
      <c r="C627">
        <v>2035.8</v>
      </c>
      <c r="D627">
        <v>2026.4</v>
      </c>
      <c r="E627">
        <v>2035.8</v>
      </c>
      <c r="F627">
        <v>27</v>
      </c>
      <c r="G627">
        <v>2043.8143</v>
      </c>
      <c r="H627">
        <v>2036.2466999999999</v>
      </c>
      <c r="I627">
        <v>1966.3178</v>
      </c>
      <c r="J627">
        <v>0.82709999999999995</v>
      </c>
      <c r="K627">
        <v>0.83460000000000001</v>
      </c>
      <c r="L627">
        <v>0.95430000000000004</v>
      </c>
      <c r="M627">
        <v>53.600499999999997</v>
      </c>
      <c r="N627">
        <v>8.782</v>
      </c>
      <c r="O627">
        <v>13.323399999999999</v>
      </c>
      <c r="P627">
        <v>2089.3921999999998</v>
      </c>
      <c r="Q627">
        <v>1982.3878</v>
      </c>
    </row>
    <row r="628" spans="1:17" x14ac:dyDescent="0.3">
      <c r="A628" s="1">
        <v>45301</v>
      </c>
      <c r="B628">
        <v>2021.7</v>
      </c>
      <c r="C628">
        <v>2035.6</v>
      </c>
      <c r="D628">
        <v>2021.7</v>
      </c>
      <c r="E628">
        <v>2029</v>
      </c>
      <c r="F628">
        <v>538</v>
      </c>
      <c r="G628">
        <v>2038.2429</v>
      </c>
      <c r="H628">
        <v>2036.8233</v>
      </c>
      <c r="I628">
        <v>1967.2578000000001</v>
      </c>
      <c r="J628">
        <v>-0.33400000000000002</v>
      </c>
      <c r="K628">
        <v>0.8216</v>
      </c>
      <c r="L628">
        <v>0.94099999999999995</v>
      </c>
      <c r="M628">
        <v>51.147399999999998</v>
      </c>
      <c r="N628">
        <v>7.1295999999999999</v>
      </c>
      <c r="O628">
        <v>12.0847</v>
      </c>
      <c r="P628">
        <v>2088.6441</v>
      </c>
      <c r="Q628">
        <v>1985.6259</v>
      </c>
    </row>
    <row r="629" spans="1:17" x14ac:dyDescent="0.3">
      <c r="A629" s="1">
        <v>45302</v>
      </c>
      <c r="B629">
        <v>2014.3</v>
      </c>
      <c r="C629">
        <v>2025.1</v>
      </c>
      <c r="D629">
        <v>2014.3</v>
      </c>
      <c r="E629">
        <v>2025.1</v>
      </c>
      <c r="F629">
        <v>97</v>
      </c>
      <c r="G629">
        <v>2032.7571</v>
      </c>
      <c r="H629">
        <v>2036.3067000000001</v>
      </c>
      <c r="I629">
        <v>1968.0922</v>
      </c>
      <c r="J629">
        <v>-0.19220000000000001</v>
      </c>
      <c r="K629">
        <v>0.82189999999999996</v>
      </c>
      <c r="L629">
        <v>0.90349999999999997</v>
      </c>
      <c r="M629">
        <v>46.192900000000002</v>
      </c>
      <c r="N629">
        <v>5.4427000000000003</v>
      </c>
      <c r="O629">
        <v>10.7563</v>
      </c>
      <c r="P629">
        <v>2084.7449000000001</v>
      </c>
      <c r="Q629">
        <v>1993.6151</v>
      </c>
    </row>
    <row r="630" spans="1:17" x14ac:dyDescent="0.3">
      <c r="A630" s="1">
        <v>45303</v>
      </c>
      <c r="B630">
        <v>2046.7</v>
      </c>
      <c r="C630">
        <v>2057</v>
      </c>
      <c r="D630">
        <v>2031.1</v>
      </c>
      <c r="E630">
        <v>2031.1</v>
      </c>
      <c r="F630">
        <v>390</v>
      </c>
      <c r="G630">
        <v>2032.3143</v>
      </c>
      <c r="H630">
        <v>2035.9532999999999</v>
      </c>
      <c r="I630">
        <v>1969.1667</v>
      </c>
      <c r="J630">
        <v>0.29630000000000001</v>
      </c>
      <c r="K630">
        <v>0.66</v>
      </c>
      <c r="L630">
        <v>0.90529999999999999</v>
      </c>
      <c r="M630">
        <v>48.552</v>
      </c>
      <c r="N630">
        <v>4.5376000000000003</v>
      </c>
      <c r="O630">
        <v>9.5124999999999993</v>
      </c>
      <c r="P630">
        <v>2077.6653999999999</v>
      </c>
      <c r="Q630">
        <v>2005.9546</v>
      </c>
    </row>
    <row r="631" spans="1:17" x14ac:dyDescent="0.3">
      <c r="A631" s="1">
        <v>45307</v>
      </c>
      <c r="B631">
        <v>2026</v>
      </c>
      <c r="C631">
        <v>2054.8000000000002</v>
      </c>
      <c r="D631">
        <v>2026</v>
      </c>
      <c r="E631">
        <v>2051.6999999999998</v>
      </c>
      <c r="F631">
        <v>46</v>
      </c>
      <c r="G631">
        <v>2033.7571</v>
      </c>
      <c r="H631">
        <v>2036.14</v>
      </c>
      <c r="I631">
        <v>1970.5844</v>
      </c>
      <c r="J631">
        <v>1.0142</v>
      </c>
      <c r="K631">
        <v>0.7611</v>
      </c>
      <c r="L631">
        <v>0.92379999999999995</v>
      </c>
      <c r="M631">
        <v>48.773000000000003</v>
      </c>
      <c r="N631">
        <v>5.4200999999999997</v>
      </c>
      <c r="O631">
        <v>8.6941000000000006</v>
      </c>
      <c r="P631">
        <v>2078.3294999999998</v>
      </c>
      <c r="Q631">
        <v>2007.9905000000001</v>
      </c>
    </row>
    <row r="632" spans="1:17" x14ac:dyDescent="0.3">
      <c r="A632" s="1">
        <v>45308</v>
      </c>
      <c r="B632">
        <v>2002.6</v>
      </c>
      <c r="C632">
        <v>2026.5</v>
      </c>
      <c r="D632">
        <v>2002.6</v>
      </c>
      <c r="E632">
        <v>2026.5</v>
      </c>
      <c r="F632">
        <v>764</v>
      </c>
      <c r="G632">
        <v>2031.1857</v>
      </c>
      <c r="H632">
        <v>2035.7466999999999</v>
      </c>
      <c r="I632">
        <v>1971.7944</v>
      </c>
      <c r="J632">
        <v>-1.2282</v>
      </c>
      <c r="K632">
        <v>0.90329999999999999</v>
      </c>
      <c r="L632">
        <v>0.94889999999999997</v>
      </c>
      <c r="M632">
        <v>40.891800000000003</v>
      </c>
      <c r="N632">
        <v>4.0395000000000003</v>
      </c>
      <c r="O632">
        <v>7.7632000000000003</v>
      </c>
      <c r="P632">
        <v>2078.5124999999998</v>
      </c>
      <c r="Q632">
        <v>2007.1975</v>
      </c>
    </row>
    <row r="633" spans="1:17" x14ac:dyDescent="0.3">
      <c r="A633" s="1">
        <v>45309</v>
      </c>
      <c r="B633">
        <v>2018.6</v>
      </c>
      <c r="C633">
        <v>2018.6</v>
      </c>
      <c r="D633">
        <v>2009.5</v>
      </c>
      <c r="E633">
        <v>2012.8</v>
      </c>
      <c r="F633">
        <v>1474</v>
      </c>
      <c r="G633">
        <v>2030.2856999999999</v>
      </c>
      <c r="H633">
        <v>2033.6632999999999</v>
      </c>
      <c r="I633">
        <v>1972.7810999999999</v>
      </c>
      <c r="J633">
        <v>-0.67600000000000005</v>
      </c>
      <c r="K633">
        <v>0.80649999999999999</v>
      </c>
      <c r="L633">
        <v>0.89039999999999997</v>
      </c>
      <c r="M633">
        <v>35.680500000000002</v>
      </c>
      <c r="N633">
        <v>1.8189</v>
      </c>
      <c r="O633">
        <v>6.5743</v>
      </c>
      <c r="P633">
        <v>2079.5324999999998</v>
      </c>
      <c r="Q633">
        <v>2005.0274999999999</v>
      </c>
    </row>
    <row r="634" spans="1:17" x14ac:dyDescent="0.3">
      <c r="A634" s="1">
        <v>45310</v>
      </c>
      <c r="B634">
        <v>2026.5</v>
      </c>
      <c r="C634">
        <v>2036</v>
      </c>
      <c r="D634">
        <v>2019.5</v>
      </c>
      <c r="E634">
        <v>2023.2</v>
      </c>
      <c r="F634">
        <v>50</v>
      </c>
      <c r="G634">
        <v>2028.4857</v>
      </c>
      <c r="H634">
        <v>2033.2666999999999</v>
      </c>
      <c r="I634">
        <v>1973.8943999999999</v>
      </c>
      <c r="J634">
        <v>0.51670000000000005</v>
      </c>
      <c r="K634">
        <v>0.75780000000000003</v>
      </c>
      <c r="L634">
        <v>0.82599999999999996</v>
      </c>
      <c r="M634">
        <v>34.334699999999998</v>
      </c>
      <c r="N634">
        <v>0.8881</v>
      </c>
      <c r="O634">
        <v>5.4371</v>
      </c>
      <c r="P634">
        <v>2079.6358</v>
      </c>
      <c r="Q634">
        <v>2004.7242000000001</v>
      </c>
    </row>
    <row r="635" spans="1:17" x14ac:dyDescent="0.3">
      <c r="A635" s="1">
        <v>45313</v>
      </c>
      <c r="B635">
        <v>2019.8</v>
      </c>
      <c r="C635">
        <v>2021.3</v>
      </c>
      <c r="D635">
        <v>2019.8</v>
      </c>
      <c r="E635">
        <v>2021.3</v>
      </c>
      <c r="F635">
        <v>12</v>
      </c>
      <c r="G635">
        <v>2027.3857</v>
      </c>
      <c r="H635">
        <v>2033.3133</v>
      </c>
      <c r="I635">
        <v>1975.0110999999999</v>
      </c>
      <c r="J635">
        <v>-9.3899999999999997E-2</v>
      </c>
      <c r="K635">
        <v>0.75009999999999999</v>
      </c>
      <c r="L635">
        <v>0.81459999999999999</v>
      </c>
      <c r="M635">
        <v>36.6342</v>
      </c>
      <c r="N635">
        <v>-2.8999999999999998E-3</v>
      </c>
      <c r="O635">
        <v>4.3491</v>
      </c>
      <c r="P635">
        <v>2079.9472000000001</v>
      </c>
      <c r="Q635">
        <v>2002.8327999999999</v>
      </c>
    </row>
    <row r="636" spans="1:17" x14ac:dyDescent="0.3">
      <c r="A636" s="1">
        <v>45314</v>
      </c>
      <c r="B636">
        <v>2023.7</v>
      </c>
      <c r="C636">
        <v>2030.3</v>
      </c>
      <c r="D636">
        <v>2022.5</v>
      </c>
      <c r="E636">
        <v>2030.3</v>
      </c>
      <c r="F636">
        <v>15</v>
      </c>
      <c r="G636">
        <v>2028.1286</v>
      </c>
      <c r="H636">
        <v>2033.35</v>
      </c>
      <c r="I636">
        <v>1976.3444</v>
      </c>
      <c r="J636">
        <v>0.44529999999999997</v>
      </c>
      <c r="K636">
        <v>0.76870000000000005</v>
      </c>
      <c r="L636">
        <v>0.81430000000000002</v>
      </c>
      <c r="M636">
        <v>40.736600000000003</v>
      </c>
      <c r="N636">
        <v>1.7000000000000001E-2</v>
      </c>
      <c r="O636">
        <v>3.4826000000000001</v>
      </c>
      <c r="P636">
        <v>2079.9177</v>
      </c>
      <c r="Q636">
        <v>2002.3123000000001</v>
      </c>
    </row>
    <row r="637" spans="1:17" x14ac:dyDescent="0.3">
      <c r="A637" s="1">
        <v>45315</v>
      </c>
      <c r="B637">
        <v>2013.9</v>
      </c>
      <c r="C637">
        <v>2033.2</v>
      </c>
      <c r="D637">
        <v>2013.9</v>
      </c>
      <c r="E637">
        <v>2023.2</v>
      </c>
      <c r="F637">
        <v>253</v>
      </c>
      <c r="G637">
        <v>2027</v>
      </c>
      <c r="H637">
        <v>2033.0667000000001</v>
      </c>
      <c r="I637">
        <v>1977.68</v>
      </c>
      <c r="J637">
        <v>-0.34970000000000001</v>
      </c>
      <c r="K637">
        <v>0.77149999999999996</v>
      </c>
      <c r="L637">
        <v>0.8165</v>
      </c>
      <c r="M637">
        <v>46.4968</v>
      </c>
      <c r="N637">
        <v>-0.53400000000000003</v>
      </c>
      <c r="O637">
        <v>2.6793</v>
      </c>
      <c r="P637">
        <v>2078.4427999999998</v>
      </c>
      <c r="Q637">
        <v>2000.5372</v>
      </c>
    </row>
    <row r="638" spans="1:17" x14ac:dyDescent="0.3">
      <c r="A638" s="1">
        <v>45316</v>
      </c>
      <c r="B638">
        <v>2016.9</v>
      </c>
      <c r="C638">
        <v>2022.4</v>
      </c>
      <c r="D638">
        <v>2012.1</v>
      </c>
      <c r="E638">
        <v>2012.1</v>
      </c>
      <c r="F638">
        <v>548</v>
      </c>
      <c r="G638">
        <v>2021.3429000000001</v>
      </c>
      <c r="H638">
        <v>2033.3333</v>
      </c>
      <c r="I638">
        <v>1978.6643999999999</v>
      </c>
      <c r="J638">
        <v>-0.54859999999999998</v>
      </c>
      <c r="K638">
        <v>0.62290000000000001</v>
      </c>
      <c r="L638">
        <v>0.78310000000000002</v>
      </c>
      <c r="M638">
        <v>40.821399999999997</v>
      </c>
      <c r="N638">
        <v>-1.8451</v>
      </c>
      <c r="O638">
        <v>1.7744</v>
      </c>
      <c r="P638">
        <v>2076.6241</v>
      </c>
      <c r="Q638">
        <v>1997.5659000000001</v>
      </c>
    </row>
    <row r="639" spans="1:17" x14ac:dyDescent="0.3">
      <c r="A639" s="1">
        <v>45317</v>
      </c>
      <c r="B639">
        <v>2016.8</v>
      </c>
      <c r="C639">
        <v>2022.4</v>
      </c>
      <c r="D639">
        <v>2016.8</v>
      </c>
      <c r="E639">
        <v>2021.7</v>
      </c>
      <c r="F639">
        <v>49</v>
      </c>
      <c r="G639">
        <v>2020.6570999999999</v>
      </c>
      <c r="H639">
        <v>2034.5833</v>
      </c>
      <c r="I639">
        <v>1979.7032999999999</v>
      </c>
      <c r="J639">
        <v>0.47710000000000002</v>
      </c>
      <c r="K639">
        <v>0.51229999999999998</v>
      </c>
      <c r="L639">
        <v>0.76349999999999996</v>
      </c>
      <c r="M639">
        <v>43.189900000000002</v>
      </c>
      <c r="N639">
        <v>-2.0853999999999999</v>
      </c>
      <c r="O639">
        <v>1.0024999999999999</v>
      </c>
      <c r="P639">
        <v>2072.2112999999999</v>
      </c>
      <c r="Q639">
        <v>1997.4186999999999</v>
      </c>
    </row>
    <row r="640" spans="1:17" x14ac:dyDescent="0.3">
      <c r="A640" s="1">
        <v>45320</v>
      </c>
      <c r="B640">
        <v>2025.2</v>
      </c>
      <c r="C640">
        <v>2025.2</v>
      </c>
      <c r="D640">
        <v>2025.2</v>
      </c>
      <c r="E640">
        <v>2025.2</v>
      </c>
      <c r="F640">
        <v>150708</v>
      </c>
      <c r="G640">
        <v>2022.4286</v>
      </c>
      <c r="H640">
        <v>2036.14</v>
      </c>
      <c r="I640">
        <v>1980.7166999999999</v>
      </c>
      <c r="J640">
        <v>0.1731</v>
      </c>
      <c r="K640">
        <v>0.42820000000000003</v>
      </c>
      <c r="L640">
        <v>0.76080000000000003</v>
      </c>
      <c r="M640">
        <v>52.096200000000003</v>
      </c>
      <c r="N640">
        <v>-1.9708000000000001</v>
      </c>
      <c r="O640">
        <v>0.4078</v>
      </c>
      <c r="P640">
        <v>2062.3865999999998</v>
      </c>
      <c r="Q640">
        <v>2001.6033</v>
      </c>
    </row>
    <row r="641" spans="1:17" x14ac:dyDescent="0.3">
      <c r="A641" s="1">
        <v>45321</v>
      </c>
      <c r="B641">
        <v>2031.5</v>
      </c>
      <c r="C641">
        <v>2048.5</v>
      </c>
      <c r="D641">
        <v>2028.1</v>
      </c>
      <c r="E641">
        <v>2032.5</v>
      </c>
      <c r="F641">
        <v>26907</v>
      </c>
      <c r="G641">
        <v>2023.7571</v>
      </c>
      <c r="H641">
        <v>2036.4</v>
      </c>
      <c r="I641">
        <v>1981.6822</v>
      </c>
      <c r="J641">
        <v>0.36049999999999999</v>
      </c>
      <c r="K641">
        <v>0.40560000000000002</v>
      </c>
      <c r="L641">
        <v>0.63390000000000002</v>
      </c>
      <c r="M641">
        <v>48.787599999999998</v>
      </c>
      <c r="N641">
        <v>-1.2761</v>
      </c>
      <c r="O641">
        <v>7.0999999999999994E-2</v>
      </c>
      <c r="P641">
        <v>2055.4692</v>
      </c>
      <c r="Q641">
        <v>2004.9708000000001</v>
      </c>
    </row>
    <row r="642" spans="1:17" x14ac:dyDescent="0.3">
      <c r="A642" s="1">
        <v>45322</v>
      </c>
      <c r="B642">
        <v>2048.3998999999999</v>
      </c>
      <c r="C642">
        <v>2055</v>
      </c>
      <c r="D642">
        <v>2030</v>
      </c>
      <c r="E642">
        <v>2035.4</v>
      </c>
      <c r="F642">
        <v>2007</v>
      </c>
      <c r="G642">
        <v>2025.7714000000001</v>
      </c>
      <c r="H642">
        <v>2036.4933000000001</v>
      </c>
      <c r="I642">
        <v>1982.92</v>
      </c>
      <c r="J642">
        <v>0.14269999999999999</v>
      </c>
      <c r="K642">
        <v>0.39989999999999998</v>
      </c>
      <c r="L642">
        <v>0.63039999999999996</v>
      </c>
      <c r="M642">
        <v>52.4206</v>
      </c>
      <c r="N642">
        <v>-0.48599999999999999</v>
      </c>
      <c r="O642">
        <v>-4.0399999999999998E-2</v>
      </c>
      <c r="P642">
        <v>2048.8571999999999</v>
      </c>
      <c r="Q642">
        <v>2008.7728</v>
      </c>
    </row>
    <row r="643" spans="1:17" x14ac:dyDescent="0.3">
      <c r="A643" s="1">
        <v>45323</v>
      </c>
      <c r="B643">
        <v>2053</v>
      </c>
      <c r="C643">
        <v>2064.5</v>
      </c>
      <c r="D643">
        <v>2029</v>
      </c>
      <c r="E643">
        <v>2040.2</v>
      </c>
      <c r="F643">
        <v>947</v>
      </c>
      <c r="G643">
        <v>2027.1857</v>
      </c>
      <c r="H643">
        <v>2037.0233000000001</v>
      </c>
      <c r="I643">
        <v>1984.1955</v>
      </c>
      <c r="J643">
        <v>0.23580000000000001</v>
      </c>
      <c r="K643">
        <v>0.37690000000000001</v>
      </c>
      <c r="L643">
        <v>0.62680000000000002</v>
      </c>
      <c r="M643">
        <v>55.672400000000003</v>
      </c>
      <c r="N643">
        <v>0.52139999999999997</v>
      </c>
      <c r="O643">
        <v>7.1999999999999995E-2</v>
      </c>
      <c r="P643">
        <v>2049.6696000000002</v>
      </c>
      <c r="Q643">
        <v>2008.5603000000001</v>
      </c>
    </row>
    <row r="644" spans="1:17" x14ac:dyDescent="0.3">
      <c r="A644" s="1">
        <v>45324</v>
      </c>
      <c r="B644">
        <v>2036.1</v>
      </c>
      <c r="C644">
        <v>2055.8998999999999</v>
      </c>
      <c r="D644">
        <v>2027.7</v>
      </c>
      <c r="E644">
        <v>2054.8000000000002</v>
      </c>
      <c r="F644">
        <v>888</v>
      </c>
      <c r="G644">
        <v>2031.7</v>
      </c>
      <c r="H644">
        <v>2038.01</v>
      </c>
      <c r="I644">
        <v>1985.7311</v>
      </c>
      <c r="J644">
        <v>0.71560000000000001</v>
      </c>
      <c r="K644">
        <v>0.39379999999999998</v>
      </c>
      <c r="L644">
        <v>0.63929999999999998</v>
      </c>
      <c r="M644">
        <v>58.3628</v>
      </c>
      <c r="N644">
        <v>2.4695</v>
      </c>
      <c r="O644">
        <v>0.55149999999999999</v>
      </c>
      <c r="P644">
        <v>2052.7256000000002</v>
      </c>
      <c r="Q644">
        <v>2006.8243</v>
      </c>
    </row>
    <row r="645" spans="1:17" x14ac:dyDescent="0.3">
      <c r="A645" s="1">
        <v>45327</v>
      </c>
      <c r="B645">
        <v>2025.7</v>
      </c>
      <c r="C645">
        <v>2040.8</v>
      </c>
      <c r="D645">
        <v>2013.8</v>
      </c>
      <c r="E645">
        <v>2038.9</v>
      </c>
      <c r="F645">
        <v>412</v>
      </c>
      <c r="G645">
        <v>2035.5286000000001</v>
      </c>
      <c r="H645">
        <v>2038.07</v>
      </c>
      <c r="I645">
        <v>1987.2189000000001</v>
      </c>
      <c r="J645">
        <v>-0.77380000000000004</v>
      </c>
      <c r="K645">
        <v>0.46929999999999999</v>
      </c>
      <c r="L645">
        <v>0.64810000000000001</v>
      </c>
      <c r="M645">
        <v>45.328499999999998</v>
      </c>
      <c r="N645">
        <v>2.6991999999999998</v>
      </c>
      <c r="O645">
        <v>0.98099999999999998</v>
      </c>
      <c r="P645">
        <v>2051.8173000000002</v>
      </c>
      <c r="Q645">
        <v>2007.1727000000001</v>
      </c>
    </row>
    <row r="646" spans="1:17" x14ac:dyDescent="0.3">
      <c r="A646" s="1">
        <v>45328</v>
      </c>
      <c r="B646">
        <v>2034.5</v>
      </c>
      <c r="C646">
        <v>2037.3</v>
      </c>
      <c r="D646">
        <v>2025.9</v>
      </c>
      <c r="E646">
        <v>2025.9</v>
      </c>
      <c r="F646">
        <v>249</v>
      </c>
      <c r="G646">
        <v>2036.1286</v>
      </c>
      <c r="H646">
        <v>2037.74</v>
      </c>
      <c r="I646">
        <v>1988.9332999999999</v>
      </c>
      <c r="J646">
        <v>-0.63759999999999994</v>
      </c>
      <c r="K646">
        <v>0.53949999999999998</v>
      </c>
      <c r="L646">
        <v>0.65849999999999997</v>
      </c>
      <c r="M646">
        <v>49.759599999999999</v>
      </c>
      <c r="N646">
        <v>1.8113999999999999</v>
      </c>
      <c r="O646">
        <v>1.1471</v>
      </c>
      <c r="P646">
        <v>2051.6929</v>
      </c>
      <c r="Q646">
        <v>2007.9770000000001</v>
      </c>
    </row>
    <row r="647" spans="1:17" x14ac:dyDescent="0.3">
      <c r="A647" s="1">
        <v>45329</v>
      </c>
      <c r="B647">
        <v>2035.2</v>
      </c>
      <c r="C647">
        <v>2039.5</v>
      </c>
      <c r="D647">
        <v>2032.7</v>
      </c>
      <c r="E647">
        <v>2032.8</v>
      </c>
      <c r="F647">
        <v>71</v>
      </c>
      <c r="G647">
        <v>2037.2143000000001</v>
      </c>
      <c r="H647">
        <v>2036.9766999999999</v>
      </c>
      <c r="I647">
        <v>1990.6811</v>
      </c>
      <c r="J647">
        <v>0.34060000000000001</v>
      </c>
      <c r="K647">
        <v>0.55049999999999999</v>
      </c>
      <c r="L647">
        <v>0.63529999999999998</v>
      </c>
      <c r="M647">
        <v>58.474600000000002</v>
      </c>
      <c r="N647">
        <v>1.6456999999999999</v>
      </c>
      <c r="O647">
        <v>1.2467999999999999</v>
      </c>
      <c r="P647">
        <v>2051.4114</v>
      </c>
      <c r="Q647">
        <v>2007.9585999999999</v>
      </c>
    </row>
    <row r="648" spans="1:17" x14ac:dyDescent="0.3">
      <c r="A648" s="1">
        <v>45330</v>
      </c>
      <c r="B648">
        <v>2032.2</v>
      </c>
      <c r="C648">
        <v>2036.7</v>
      </c>
      <c r="D648">
        <v>2020.3</v>
      </c>
      <c r="E648">
        <v>2028</v>
      </c>
      <c r="F648">
        <v>341</v>
      </c>
      <c r="G648">
        <v>2036.5714</v>
      </c>
      <c r="H648">
        <v>2035.91</v>
      </c>
      <c r="I648">
        <v>1992.5</v>
      </c>
      <c r="J648">
        <v>-0.2361</v>
      </c>
      <c r="K648">
        <v>0.54139999999999999</v>
      </c>
      <c r="L648">
        <v>0.63460000000000005</v>
      </c>
      <c r="M648">
        <v>52.135300000000001</v>
      </c>
      <c r="N648">
        <v>1.1141000000000001</v>
      </c>
      <c r="O648">
        <v>1.2202999999999999</v>
      </c>
      <c r="P648">
        <v>2051.3726000000001</v>
      </c>
      <c r="Q648">
        <v>2007.8974000000001</v>
      </c>
    </row>
    <row r="649" spans="1:17" x14ac:dyDescent="0.3">
      <c r="A649" s="1">
        <v>45331</v>
      </c>
      <c r="B649">
        <v>2023.3</v>
      </c>
      <c r="C649">
        <v>2032</v>
      </c>
      <c r="D649">
        <v>2020</v>
      </c>
      <c r="E649">
        <v>2032</v>
      </c>
      <c r="F649">
        <v>62</v>
      </c>
      <c r="G649">
        <v>2036.0857000000001</v>
      </c>
      <c r="H649">
        <v>2034.7333000000001</v>
      </c>
      <c r="I649">
        <v>1994.5878</v>
      </c>
      <c r="J649">
        <v>0.19719999999999999</v>
      </c>
      <c r="K649">
        <v>0.54469999999999996</v>
      </c>
      <c r="L649">
        <v>0.63180000000000003</v>
      </c>
      <c r="M649">
        <v>54.672499999999999</v>
      </c>
      <c r="N649">
        <v>1.004</v>
      </c>
      <c r="O649">
        <v>1.177</v>
      </c>
      <c r="P649">
        <v>2051.6334000000002</v>
      </c>
      <c r="Q649">
        <v>2008.3266000000001</v>
      </c>
    </row>
    <row r="650" spans="1:17" x14ac:dyDescent="0.3">
      <c r="A650" s="1">
        <v>45334</v>
      </c>
      <c r="B650">
        <v>2018.2</v>
      </c>
      <c r="C650">
        <v>2025.5</v>
      </c>
      <c r="D650">
        <v>2011.6</v>
      </c>
      <c r="E650">
        <v>2025.5</v>
      </c>
      <c r="F650">
        <v>317</v>
      </c>
      <c r="G650">
        <v>2033.9857</v>
      </c>
      <c r="H650">
        <v>2032.8633</v>
      </c>
      <c r="I650">
        <v>1996.8155999999999</v>
      </c>
      <c r="J650">
        <v>-0.31990000000000002</v>
      </c>
      <c r="K650">
        <v>0.54120000000000001</v>
      </c>
      <c r="L650">
        <v>0.61739999999999995</v>
      </c>
      <c r="M650">
        <v>47.857100000000003</v>
      </c>
      <c r="N650">
        <v>0.38790000000000002</v>
      </c>
      <c r="O650">
        <v>1.0192000000000001</v>
      </c>
      <c r="P650">
        <v>2051.4371000000001</v>
      </c>
      <c r="Q650">
        <v>2007.9629</v>
      </c>
    </row>
    <row r="651" spans="1:17" x14ac:dyDescent="0.3">
      <c r="A651" s="1">
        <v>45335</v>
      </c>
      <c r="B651">
        <v>1992.9</v>
      </c>
      <c r="C651">
        <v>2025.8</v>
      </c>
      <c r="D651">
        <v>1990</v>
      </c>
      <c r="E651">
        <v>2025.1</v>
      </c>
      <c r="F651">
        <v>198</v>
      </c>
      <c r="G651">
        <v>2029.7429</v>
      </c>
      <c r="H651">
        <v>2031.4332999999999</v>
      </c>
      <c r="I651">
        <v>1999.0744</v>
      </c>
      <c r="J651">
        <v>-1.9699999999999999E-2</v>
      </c>
      <c r="K651">
        <v>0.41199999999999998</v>
      </c>
      <c r="L651">
        <v>0.60819999999999996</v>
      </c>
      <c r="M651">
        <v>50.902200000000001</v>
      </c>
      <c r="N651">
        <v>-0.1313</v>
      </c>
      <c r="O651">
        <v>0.78910000000000002</v>
      </c>
      <c r="P651">
        <v>2047.5433</v>
      </c>
      <c r="Q651">
        <v>2009.1967</v>
      </c>
    </row>
    <row r="652" spans="1:17" x14ac:dyDescent="0.3">
      <c r="A652" s="1">
        <v>45336</v>
      </c>
      <c r="B652">
        <v>1990.3</v>
      </c>
      <c r="C652">
        <v>1993.5</v>
      </c>
      <c r="D652">
        <v>1984.8</v>
      </c>
      <c r="E652">
        <v>1990.3</v>
      </c>
      <c r="F652">
        <v>1916</v>
      </c>
      <c r="G652">
        <v>2022.8</v>
      </c>
      <c r="H652">
        <v>2028.9933000000001</v>
      </c>
      <c r="I652">
        <v>2000.8967</v>
      </c>
      <c r="J652">
        <v>-1.7183999999999999</v>
      </c>
      <c r="K652">
        <v>0.68969999999999998</v>
      </c>
      <c r="L652">
        <v>0.67859999999999998</v>
      </c>
      <c r="M652">
        <v>41.550400000000003</v>
      </c>
      <c r="N652">
        <v>-3.3125</v>
      </c>
      <c r="O652">
        <v>-3.1199999999999999E-2</v>
      </c>
      <c r="P652">
        <v>2052.2154999999998</v>
      </c>
      <c r="Q652">
        <v>2000.9045000000001</v>
      </c>
    </row>
    <row r="653" spans="1:17" x14ac:dyDescent="0.3">
      <c r="A653" s="1">
        <v>45337</v>
      </c>
      <c r="B653">
        <v>2002.1</v>
      </c>
      <c r="C653">
        <v>2007.2</v>
      </c>
      <c r="D653">
        <v>1993.6</v>
      </c>
      <c r="E653">
        <v>1993.6</v>
      </c>
      <c r="F653">
        <v>286</v>
      </c>
      <c r="G653">
        <v>2018.1857</v>
      </c>
      <c r="H653">
        <v>2027.64</v>
      </c>
      <c r="I653">
        <v>2002.8367000000001</v>
      </c>
      <c r="J653">
        <v>0.1658</v>
      </c>
      <c r="K653">
        <v>0.69910000000000005</v>
      </c>
      <c r="L653">
        <v>0.63400000000000001</v>
      </c>
      <c r="M653">
        <v>38.549300000000002</v>
      </c>
      <c r="N653">
        <v>-5.5039999999999996</v>
      </c>
      <c r="O653">
        <v>-1.1257999999999999</v>
      </c>
      <c r="P653">
        <v>2054.6374000000001</v>
      </c>
      <c r="Q653">
        <v>1996.5626</v>
      </c>
    </row>
    <row r="654" spans="1:17" x14ac:dyDescent="0.3">
      <c r="A654" s="1">
        <v>45338</v>
      </c>
      <c r="B654">
        <v>2011.5</v>
      </c>
      <c r="C654">
        <v>2011.5</v>
      </c>
      <c r="D654">
        <v>1996.5</v>
      </c>
      <c r="E654">
        <v>2005</v>
      </c>
      <c r="F654">
        <v>32</v>
      </c>
      <c r="G654">
        <v>2014.2143000000001</v>
      </c>
      <c r="H654">
        <v>2026.42</v>
      </c>
      <c r="I654">
        <v>2004.6422</v>
      </c>
      <c r="J654">
        <v>0.57179999999999997</v>
      </c>
      <c r="K654">
        <v>0.7349</v>
      </c>
      <c r="L654">
        <v>0.63990000000000002</v>
      </c>
      <c r="M654">
        <v>42.266500000000001</v>
      </c>
      <c r="N654">
        <v>-6.2488000000000001</v>
      </c>
      <c r="O654">
        <v>-2.1503999999999999</v>
      </c>
      <c r="P654">
        <v>2055.15</v>
      </c>
      <c r="Q654">
        <v>1994.23</v>
      </c>
    </row>
    <row r="655" spans="1:17" x14ac:dyDescent="0.3">
      <c r="A655" s="1">
        <v>45342</v>
      </c>
      <c r="B655">
        <v>2027.5</v>
      </c>
      <c r="C655">
        <v>2029</v>
      </c>
      <c r="D655">
        <v>2015.6</v>
      </c>
      <c r="E655">
        <v>2015.6</v>
      </c>
      <c r="F655">
        <v>1326</v>
      </c>
      <c r="G655">
        <v>2012.4429</v>
      </c>
      <c r="H655">
        <v>2025.4567</v>
      </c>
      <c r="I655">
        <v>2006.4043999999999</v>
      </c>
      <c r="J655">
        <v>0.52869999999999995</v>
      </c>
      <c r="K655">
        <v>0.78300000000000003</v>
      </c>
      <c r="L655">
        <v>0.64790000000000003</v>
      </c>
      <c r="M655">
        <v>43.689300000000003</v>
      </c>
      <c r="N655">
        <v>-5.9156000000000004</v>
      </c>
      <c r="O655">
        <v>-2.9034</v>
      </c>
      <c r="P655">
        <v>2055.1043</v>
      </c>
      <c r="Q655">
        <v>1993.7057</v>
      </c>
    </row>
    <row r="656" spans="1:17" x14ac:dyDescent="0.3">
      <c r="A656" s="1">
        <v>45343</v>
      </c>
      <c r="B656">
        <v>2022.3</v>
      </c>
      <c r="C656">
        <v>2028.2</v>
      </c>
      <c r="D656">
        <v>2022.3</v>
      </c>
      <c r="E656">
        <v>2028.2</v>
      </c>
      <c r="F656">
        <v>15</v>
      </c>
      <c r="G656">
        <v>2011.9</v>
      </c>
      <c r="H656">
        <v>2025.76</v>
      </c>
      <c r="I656">
        <v>2008.1677999999999</v>
      </c>
      <c r="J656">
        <v>0.62509999999999999</v>
      </c>
      <c r="K656">
        <v>0.82430000000000003</v>
      </c>
      <c r="L656">
        <v>0.61799999999999999</v>
      </c>
      <c r="M656">
        <v>47.493000000000002</v>
      </c>
      <c r="N656">
        <v>-4.5819000000000001</v>
      </c>
      <c r="O656">
        <v>-3.2391000000000001</v>
      </c>
      <c r="P656">
        <v>2054.9286000000002</v>
      </c>
      <c r="Q656">
        <v>1993.6713</v>
      </c>
    </row>
    <row r="657" spans="1:17" x14ac:dyDescent="0.3">
      <c r="A657" s="1">
        <v>45344</v>
      </c>
      <c r="B657">
        <v>2019.7</v>
      </c>
      <c r="C657">
        <v>2033.2</v>
      </c>
      <c r="D657">
        <v>2019.7</v>
      </c>
      <c r="E657">
        <v>2033.2</v>
      </c>
      <c r="F657">
        <v>964</v>
      </c>
      <c r="G657">
        <v>2013</v>
      </c>
      <c r="H657">
        <v>2025.6732999999999</v>
      </c>
      <c r="I657">
        <v>2009.9289000000001</v>
      </c>
      <c r="J657">
        <v>0.2465</v>
      </c>
      <c r="K657">
        <v>0.81810000000000005</v>
      </c>
      <c r="L657">
        <v>0.60060000000000002</v>
      </c>
      <c r="M657">
        <v>47.566099999999999</v>
      </c>
      <c r="N657">
        <v>-3.0859999999999999</v>
      </c>
      <c r="O657">
        <v>-3.2084999999999999</v>
      </c>
      <c r="P657">
        <v>2055.6785</v>
      </c>
      <c r="Q657">
        <v>1993.9214999999999</v>
      </c>
    </row>
    <row r="658" spans="1:17" x14ac:dyDescent="0.3">
      <c r="A658" s="1">
        <v>45345</v>
      </c>
      <c r="B658">
        <v>2038.6</v>
      </c>
      <c r="C658">
        <v>2038.6</v>
      </c>
      <c r="D658">
        <v>2014.9</v>
      </c>
      <c r="E658">
        <v>2026</v>
      </c>
      <c r="F658">
        <v>22</v>
      </c>
      <c r="G658">
        <v>2013.1286</v>
      </c>
      <c r="H658">
        <v>2025.5733</v>
      </c>
      <c r="I658">
        <v>2011.5789</v>
      </c>
      <c r="J658">
        <v>-0.35410000000000003</v>
      </c>
      <c r="K658">
        <v>0.83299999999999996</v>
      </c>
      <c r="L658">
        <v>0.60099999999999998</v>
      </c>
      <c r="M658">
        <v>39.442799999999998</v>
      </c>
      <c r="N658">
        <v>-2.4531999999999998</v>
      </c>
      <c r="O658">
        <v>-3.0573999999999999</v>
      </c>
      <c r="P658">
        <v>2055.7901000000002</v>
      </c>
      <c r="Q658">
        <v>1995.1998000000001</v>
      </c>
    </row>
    <row r="659" spans="1:17" x14ac:dyDescent="0.3">
      <c r="A659" s="1">
        <v>45348</v>
      </c>
      <c r="B659">
        <v>2028.5</v>
      </c>
      <c r="C659">
        <v>2035.4</v>
      </c>
      <c r="D659">
        <v>2024.8</v>
      </c>
      <c r="E659">
        <v>2034.1</v>
      </c>
      <c r="F659">
        <v>143</v>
      </c>
      <c r="G659">
        <v>2019.3857</v>
      </c>
      <c r="H659">
        <v>2025.8733</v>
      </c>
      <c r="I659">
        <v>2012.9532999999999</v>
      </c>
      <c r="J659">
        <v>0.39979999999999999</v>
      </c>
      <c r="K659">
        <v>0.33900000000000002</v>
      </c>
      <c r="L659">
        <v>0.60429999999999995</v>
      </c>
      <c r="M659">
        <v>48.133699999999997</v>
      </c>
      <c r="N659">
        <v>-1.2831999999999999</v>
      </c>
      <c r="O659">
        <v>-2.7025999999999999</v>
      </c>
      <c r="P659">
        <v>2056.5900999999999</v>
      </c>
      <c r="Q659">
        <v>1995.6398999999999</v>
      </c>
    </row>
    <row r="660" spans="1:17" x14ac:dyDescent="0.3">
      <c r="A660" s="1">
        <v>45349</v>
      </c>
      <c r="B660">
        <v>2034</v>
      </c>
      <c r="C660">
        <v>2035.9</v>
      </c>
      <c r="D660">
        <v>2034</v>
      </c>
      <c r="E660">
        <v>2035.9</v>
      </c>
      <c r="F660">
        <v>964</v>
      </c>
      <c r="G660">
        <v>2025.4286</v>
      </c>
      <c r="H660">
        <v>2026.0333000000001</v>
      </c>
      <c r="I660">
        <v>2014.3044</v>
      </c>
      <c r="J660">
        <v>8.8499999999999995E-2</v>
      </c>
      <c r="K660">
        <v>0.3458</v>
      </c>
      <c r="L660">
        <v>0.60209999999999997</v>
      </c>
      <c r="M660">
        <v>54.258899999999997</v>
      </c>
      <c r="N660">
        <v>-0.2084</v>
      </c>
      <c r="O660">
        <v>-2.2038000000000002</v>
      </c>
      <c r="P660">
        <v>2057.4315999999999</v>
      </c>
      <c r="Q660">
        <v>1995.8684000000001</v>
      </c>
    </row>
    <row r="661" spans="1:17" x14ac:dyDescent="0.3">
      <c r="A661" s="1">
        <v>45350</v>
      </c>
      <c r="B661">
        <v>2033</v>
      </c>
      <c r="C661">
        <v>2037</v>
      </c>
      <c r="D661">
        <v>2024.8</v>
      </c>
      <c r="E661">
        <v>2029.5</v>
      </c>
      <c r="F661">
        <v>581</v>
      </c>
      <c r="G661">
        <v>2028.9286</v>
      </c>
      <c r="H661">
        <v>2025.2933</v>
      </c>
      <c r="I661">
        <v>2015.3543999999999</v>
      </c>
      <c r="J661">
        <v>-0.31440000000000001</v>
      </c>
      <c r="K661">
        <v>0.38950000000000001</v>
      </c>
      <c r="L661">
        <v>0.57389999999999997</v>
      </c>
      <c r="M661">
        <v>48.588500000000003</v>
      </c>
      <c r="N661">
        <v>0.1255</v>
      </c>
      <c r="O661">
        <v>-1.7379</v>
      </c>
      <c r="P661">
        <v>2057.1907000000001</v>
      </c>
      <c r="Q661">
        <v>1995.8092999999999</v>
      </c>
    </row>
    <row r="662" spans="1:17" x14ac:dyDescent="0.3">
      <c r="A662" s="1">
        <v>45351</v>
      </c>
      <c r="B662">
        <v>2045.7</v>
      </c>
      <c r="C662">
        <v>2049.8000000000002</v>
      </c>
      <c r="D662">
        <v>2034.3</v>
      </c>
      <c r="E662">
        <v>2034.3</v>
      </c>
      <c r="F662">
        <v>706</v>
      </c>
      <c r="G662">
        <v>2031.6</v>
      </c>
      <c r="H662">
        <v>2025.5533</v>
      </c>
      <c r="I662">
        <v>2016.29</v>
      </c>
      <c r="J662">
        <v>0.23649999999999999</v>
      </c>
      <c r="K662">
        <v>0.35970000000000002</v>
      </c>
      <c r="L662">
        <v>0.52939999999999998</v>
      </c>
      <c r="M662">
        <v>52.694600000000001</v>
      </c>
      <c r="N662">
        <v>0.76859999999999995</v>
      </c>
      <c r="O662">
        <v>-1.2365999999999999</v>
      </c>
      <c r="P662">
        <v>2057.0724</v>
      </c>
      <c r="Q662">
        <v>1995.8176000000001</v>
      </c>
    </row>
    <row r="663" spans="1:17" x14ac:dyDescent="0.3">
      <c r="A663" s="1">
        <v>45352</v>
      </c>
      <c r="B663">
        <v>2086.8998999999999</v>
      </c>
      <c r="C663">
        <v>2086.8998999999999</v>
      </c>
      <c r="D663">
        <v>2041.8</v>
      </c>
      <c r="E663">
        <v>2043.1</v>
      </c>
      <c r="F663">
        <v>1210</v>
      </c>
      <c r="G663">
        <v>2033.7285999999999</v>
      </c>
      <c r="H663">
        <v>2026.5633</v>
      </c>
      <c r="I663">
        <v>2016.9789000000001</v>
      </c>
      <c r="J663">
        <v>0.43259999999999998</v>
      </c>
      <c r="K663">
        <v>0.3211</v>
      </c>
      <c r="L663">
        <v>0.51819999999999999</v>
      </c>
      <c r="M663">
        <v>54.560400000000001</v>
      </c>
      <c r="N663">
        <v>1.9657</v>
      </c>
      <c r="O663">
        <v>-0.59609999999999996</v>
      </c>
      <c r="P663">
        <v>2057.5176000000001</v>
      </c>
      <c r="Q663">
        <v>1995.6623999999999</v>
      </c>
    </row>
    <row r="664" spans="1:17" x14ac:dyDescent="0.3">
      <c r="A664" s="1">
        <v>45355</v>
      </c>
      <c r="B664">
        <v>2117.6999999999998</v>
      </c>
      <c r="C664">
        <v>2119.8000000000002</v>
      </c>
      <c r="D664">
        <v>2080.6999999999998</v>
      </c>
      <c r="E664">
        <v>2083.6001000000001</v>
      </c>
      <c r="F664">
        <v>805</v>
      </c>
      <c r="G664">
        <v>2040.9286</v>
      </c>
      <c r="H664">
        <v>2028.5767000000001</v>
      </c>
      <c r="I664">
        <v>2018.1722</v>
      </c>
      <c r="J664">
        <v>1.9823</v>
      </c>
      <c r="K664">
        <v>0.78439999999999999</v>
      </c>
      <c r="L664">
        <v>0.62219999999999998</v>
      </c>
      <c r="M664">
        <v>68.657700000000006</v>
      </c>
      <c r="N664">
        <v>6.1120000000000001</v>
      </c>
      <c r="O664">
        <v>0.74550000000000005</v>
      </c>
      <c r="P664">
        <v>2066.2986999999998</v>
      </c>
      <c r="Q664">
        <v>1989.7612999999999</v>
      </c>
    </row>
    <row r="665" spans="1:17" x14ac:dyDescent="0.3">
      <c r="A665" s="1">
        <v>45356</v>
      </c>
      <c r="B665">
        <v>2133.5</v>
      </c>
      <c r="C665">
        <v>2133.5</v>
      </c>
      <c r="D665">
        <v>2111.3998999999999</v>
      </c>
      <c r="E665">
        <v>2114.8998999999999</v>
      </c>
      <c r="F665">
        <v>1287</v>
      </c>
      <c r="G665">
        <v>2053.6286</v>
      </c>
      <c r="H665">
        <v>2031.6967</v>
      </c>
      <c r="I665">
        <v>2019.7789</v>
      </c>
      <c r="J665">
        <v>1.5022</v>
      </c>
      <c r="K665">
        <v>0.81859999999999999</v>
      </c>
      <c r="L665">
        <v>0.6714</v>
      </c>
      <c r="M665">
        <v>74.062200000000004</v>
      </c>
      <c r="N665">
        <v>11.787699999999999</v>
      </c>
      <c r="O665">
        <v>2.9539</v>
      </c>
      <c r="P665">
        <v>2086.3049999999998</v>
      </c>
      <c r="Q665">
        <v>1977.355</v>
      </c>
    </row>
    <row r="666" spans="1:17" x14ac:dyDescent="0.3">
      <c r="A666" s="1">
        <v>45357</v>
      </c>
      <c r="B666">
        <v>2150.3000000000002</v>
      </c>
      <c r="C666">
        <v>2150.3000000000002</v>
      </c>
      <c r="D666">
        <v>2125.5</v>
      </c>
      <c r="E666">
        <v>2125.5</v>
      </c>
      <c r="F666">
        <v>443</v>
      </c>
      <c r="G666">
        <v>2066.6857</v>
      </c>
      <c r="H666">
        <v>2034.87</v>
      </c>
      <c r="I666">
        <v>2021.4933000000001</v>
      </c>
      <c r="J666">
        <v>0.50119999999999998</v>
      </c>
      <c r="K666">
        <v>0.81489999999999996</v>
      </c>
      <c r="L666">
        <v>0.67230000000000001</v>
      </c>
      <c r="M666">
        <v>91.625600000000006</v>
      </c>
      <c r="N666">
        <v>16.945699999999999</v>
      </c>
      <c r="O666">
        <v>5.7523</v>
      </c>
      <c r="P666">
        <v>2105.3874999999998</v>
      </c>
      <c r="Q666">
        <v>1968.2325000000001</v>
      </c>
    </row>
    <row r="667" spans="1:17" x14ac:dyDescent="0.3">
      <c r="A667" s="1">
        <v>45358</v>
      </c>
      <c r="B667">
        <v>2158</v>
      </c>
      <c r="C667">
        <v>2163</v>
      </c>
      <c r="D667">
        <v>2147</v>
      </c>
      <c r="E667">
        <v>2147</v>
      </c>
      <c r="F667">
        <v>152</v>
      </c>
      <c r="G667">
        <v>2082.5571</v>
      </c>
      <c r="H667">
        <v>2038.9966999999999</v>
      </c>
      <c r="I667">
        <v>2023.2578000000001</v>
      </c>
      <c r="J667">
        <v>1.0115000000000001</v>
      </c>
      <c r="K667">
        <v>0.78639999999999999</v>
      </c>
      <c r="L667">
        <v>0.68289999999999995</v>
      </c>
      <c r="M667">
        <v>92.4696</v>
      </c>
      <c r="N667">
        <v>22.508900000000001</v>
      </c>
      <c r="O667">
        <v>9.1036000000000001</v>
      </c>
      <c r="P667">
        <v>2126.8905</v>
      </c>
      <c r="Q667">
        <v>1958.1495</v>
      </c>
    </row>
    <row r="668" spans="1:17" x14ac:dyDescent="0.3">
      <c r="A668" s="1">
        <v>45359</v>
      </c>
      <c r="B668">
        <v>2178.6001000000001</v>
      </c>
      <c r="C668">
        <v>2194.8998999999999</v>
      </c>
      <c r="D668">
        <v>2166.3000000000002</v>
      </c>
      <c r="E668">
        <v>2167.3000000000002</v>
      </c>
      <c r="F668">
        <v>259</v>
      </c>
      <c r="G668">
        <v>2102.2429000000002</v>
      </c>
      <c r="H668">
        <v>2044.17</v>
      </c>
      <c r="I668">
        <v>2025.2433000000001</v>
      </c>
      <c r="J668">
        <v>0.94550000000000001</v>
      </c>
      <c r="K668">
        <v>0.62609999999999999</v>
      </c>
      <c r="L668">
        <v>0.68089999999999995</v>
      </c>
      <c r="M668">
        <v>92.8232</v>
      </c>
      <c r="N668">
        <v>28.230399999999999</v>
      </c>
      <c r="O668">
        <v>12.929</v>
      </c>
      <c r="P668">
        <v>2150.2204999999999</v>
      </c>
      <c r="Q668">
        <v>1948.7494999999999</v>
      </c>
    </row>
    <row r="669" spans="1:17" x14ac:dyDescent="0.3">
      <c r="A669" s="1">
        <v>45362</v>
      </c>
      <c r="B669">
        <v>2182.5</v>
      </c>
      <c r="C669">
        <v>2184</v>
      </c>
      <c r="D669">
        <v>2177.1999999999998</v>
      </c>
      <c r="E669">
        <v>2181</v>
      </c>
      <c r="F669">
        <v>738</v>
      </c>
      <c r="G669">
        <v>2123.1999999999998</v>
      </c>
      <c r="H669">
        <v>2049.48</v>
      </c>
      <c r="I669">
        <v>2027.2089000000001</v>
      </c>
      <c r="J669">
        <v>0.6321</v>
      </c>
      <c r="K669">
        <v>0.56659999999999999</v>
      </c>
      <c r="L669">
        <v>0.68320000000000003</v>
      </c>
      <c r="M669">
        <v>92.938699999999997</v>
      </c>
      <c r="N669">
        <v>33.484200000000001</v>
      </c>
      <c r="O669">
        <v>17.04</v>
      </c>
      <c r="P669">
        <v>2173.0853000000002</v>
      </c>
      <c r="Q669">
        <v>1940.7846999999999</v>
      </c>
    </row>
    <row r="670" spans="1:17" x14ac:dyDescent="0.3">
      <c r="A670" s="1">
        <v>45363</v>
      </c>
      <c r="B670">
        <v>2160.3998999999999</v>
      </c>
      <c r="C670">
        <v>2182.6999999999998</v>
      </c>
      <c r="D670">
        <v>2160.3998999999999</v>
      </c>
      <c r="E670">
        <v>2182.5</v>
      </c>
      <c r="F670">
        <v>550</v>
      </c>
      <c r="G670">
        <v>2143.1143000000002</v>
      </c>
      <c r="H670">
        <v>2054.7233000000001</v>
      </c>
      <c r="I670">
        <v>2029.2755999999999</v>
      </c>
      <c r="J670">
        <v>6.88E-2</v>
      </c>
      <c r="K670">
        <v>0.63939999999999997</v>
      </c>
      <c r="L670">
        <v>0.68389999999999995</v>
      </c>
      <c r="M670">
        <v>92.506900000000002</v>
      </c>
      <c r="N670">
        <v>37.338500000000003</v>
      </c>
      <c r="O670">
        <v>21.099699999999999</v>
      </c>
      <c r="P670">
        <v>2192.6235000000001</v>
      </c>
      <c r="Q670">
        <v>1936.9465</v>
      </c>
    </row>
    <row r="671" spans="1:17" x14ac:dyDescent="0.3">
      <c r="A671" s="1">
        <v>45364</v>
      </c>
      <c r="B671">
        <v>2175.3998999999999</v>
      </c>
      <c r="C671">
        <v>2175.3998999999999</v>
      </c>
      <c r="D671">
        <v>2162.5</v>
      </c>
      <c r="E671">
        <v>2162.5</v>
      </c>
      <c r="F671">
        <v>20</v>
      </c>
      <c r="G671">
        <v>2154.3856999999998</v>
      </c>
      <c r="H671">
        <v>2059.0567000000001</v>
      </c>
      <c r="I671">
        <v>2031.1867</v>
      </c>
      <c r="J671">
        <v>-0.91639999999999999</v>
      </c>
      <c r="K671">
        <v>0.78159999999999996</v>
      </c>
      <c r="L671">
        <v>0.71589999999999998</v>
      </c>
      <c r="M671">
        <v>82.900800000000004</v>
      </c>
      <c r="N671">
        <v>38.337299999999999</v>
      </c>
      <c r="O671">
        <v>24.5472</v>
      </c>
      <c r="P671">
        <v>2205.1561000000002</v>
      </c>
      <c r="Q671">
        <v>1938.1539</v>
      </c>
    </row>
    <row r="672" spans="1:17" x14ac:dyDescent="0.3">
      <c r="A672" s="1">
        <v>45365</v>
      </c>
      <c r="B672">
        <v>2163</v>
      </c>
      <c r="C672">
        <v>2163</v>
      </c>
      <c r="D672">
        <v>2162.3000000000002</v>
      </c>
      <c r="E672">
        <v>2163</v>
      </c>
      <c r="F672">
        <v>515</v>
      </c>
      <c r="G672">
        <v>2161.2570999999998</v>
      </c>
      <c r="H672">
        <v>2063.31</v>
      </c>
      <c r="I672">
        <v>2033.1188999999999</v>
      </c>
      <c r="J672">
        <v>2.3099999999999999E-2</v>
      </c>
      <c r="K672">
        <v>0.66830000000000001</v>
      </c>
      <c r="L672">
        <v>0.71660000000000001</v>
      </c>
      <c r="M672">
        <v>86.090599999999995</v>
      </c>
      <c r="N672">
        <v>38.722799999999999</v>
      </c>
      <c r="O672">
        <v>27.382300000000001</v>
      </c>
      <c r="P672">
        <v>2213.9755</v>
      </c>
      <c r="Q672">
        <v>1946.6044999999999</v>
      </c>
    </row>
    <row r="673" spans="1:17" x14ac:dyDescent="0.3">
      <c r="A673" s="1">
        <v>45366</v>
      </c>
      <c r="B673">
        <v>2157.3000000000002</v>
      </c>
      <c r="C673">
        <v>2161.6999999999998</v>
      </c>
      <c r="D673">
        <v>2157.3000000000002</v>
      </c>
      <c r="E673">
        <v>2161.6999999999998</v>
      </c>
      <c r="F673">
        <v>100</v>
      </c>
      <c r="G673">
        <v>2166.4286000000002</v>
      </c>
      <c r="H673">
        <v>2067.36</v>
      </c>
      <c r="I673">
        <v>2035.0378000000001</v>
      </c>
      <c r="J673">
        <v>-6.0100000000000001E-2</v>
      </c>
      <c r="K673">
        <v>0.67700000000000005</v>
      </c>
      <c r="L673">
        <v>0.71819999999999995</v>
      </c>
      <c r="M673">
        <v>84.863399999999999</v>
      </c>
      <c r="N673">
        <v>38.479900000000001</v>
      </c>
      <c r="O673">
        <v>29.601800000000001</v>
      </c>
      <c r="P673">
        <v>2220.5567000000001</v>
      </c>
      <c r="Q673">
        <v>1956.8333</v>
      </c>
    </row>
    <row r="674" spans="1:17" x14ac:dyDescent="0.3">
      <c r="A674" s="1">
        <v>45369</v>
      </c>
      <c r="B674">
        <v>2160.6999999999998</v>
      </c>
      <c r="C674">
        <v>2160.6999999999998</v>
      </c>
      <c r="D674">
        <v>2146.1999999999998</v>
      </c>
      <c r="E674">
        <v>2146.1999999999998</v>
      </c>
      <c r="F674">
        <v>21</v>
      </c>
      <c r="G674">
        <v>2166.3143</v>
      </c>
      <c r="H674">
        <v>2070.4067</v>
      </c>
      <c r="I674">
        <v>2036.8667</v>
      </c>
      <c r="J674">
        <v>-0.71699999999999997</v>
      </c>
      <c r="K674">
        <v>0.66539999999999999</v>
      </c>
      <c r="L674">
        <v>0.73</v>
      </c>
      <c r="M674">
        <v>78.037599999999998</v>
      </c>
      <c r="N674">
        <v>36.6145</v>
      </c>
      <c r="O674">
        <v>31.0044</v>
      </c>
      <c r="P674">
        <v>2223.8139999999999</v>
      </c>
      <c r="Q674">
        <v>1967.6959999999999</v>
      </c>
    </row>
    <row r="675" spans="1:17" x14ac:dyDescent="0.3">
      <c r="A675" s="1">
        <v>45370</v>
      </c>
      <c r="B675">
        <v>2156.3000000000002</v>
      </c>
      <c r="C675">
        <v>2156.3000000000002</v>
      </c>
      <c r="D675">
        <v>2156.1001000000001</v>
      </c>
      <c r="E675">
        <v>2156.1001000000001</v>
      </c>
      <c r="F675">
        <v>12</v>
      </c>
      <c r="G675">
        <v>2164.7143000000001</v>
      </c>
      <c r="H675">
        <v>2074.3132999999998</v>
      </c>
      <c r="I675">
        <v>2038.9733000000001</v>
      </c>
      <c r="J675">
        <v>0.46129999999999999</v>
      </c>
      <c r="K675">
        <v>0.56840000000000002</v>
      </c>
      <c r="L675">
        <v>0.71079999999999999</v>
      </c>
      <c r="M675">
        <v>81.618399999999994</v>
      </c>
      <c r="N675">
        <v>35.525599999999997</v>
      </c>
      <c r="O675">
        <v>31.9086</v>
      </c>
      <c r="P675">
        <v>2227.7013999999999</v>
      </c>
      <c r="Q675">
        <v>1977.8586</v>
      </c>
    </row>
    <row r="676" spans="1:17" x14ac:dyDescent="0.3">
      <c r="A676" s="1">
        <v>45371</v>
      </c>
      <c r="B676">
        <v>2157.8998999999999</v>
      </c>
      <c r="C676">
        <v>2185.8998999999999</v>
      </c>
      <c r="D676">
        <v>2150.8998999999999</v>
      </c>
      <c r="E676">
        <v>2157.3000000000002</v>
      </c>
      <c r="F676">
        <v>17</v>
      </c>
      <c r="G676">
        <v>2161.3285999999998</v>
      </c>
      <c r="H676">
        <v>2078.6932999999999</v>
      </c>
      <c r="I676">
        <v>2041.0789</v>
      </c>
      <c r="J676">
        <v>5.57E-2</v>
      </c>
      <c r="K676">
        <v>0.4849</v>
      </c>
      <c r="L676">
        <v>0.69410000000000005</v>
      </c>
      <c r="M676">
        <v>81.281800000000004</v>
      </c>
      <c r="N676">
        <v>34.363300000000002</v>
      </c>
      <c r="O676">
        <v>32.3996</v>
      </c>
      <c r="P676">
        <v>2231.2379000000001</v>
      </c>
      <c r="Q676">
        <v>1987.2320999999999</v>
      </c>
    </row>
    <row r="677" spans="1:17" x14ac:dyDescent="0.3">
      <c r="A677" s="1">
        <v>45372</v>
      </c>
      <c r="B677">
        <v>2182.3998999999999</v>
      </c>
      <c r="C677">
        <v>2211.6001000000001</v>
      </c>
      <c r="D677">
        <v>2182.3998999999999</v>
      </c>
      <c r="E677">
        <v>2207</v>
      </c>
      <c r="F677">
        <v>63</v>
      </c>
      <c r="G677">
        <v>2164.8285999999998</v>
      </c>
      <c r="H677">
        <v>2084.5</v>
      </c>
      <c r="I677">
        <v>2043.9156</v>
      </c>
      <c r="J677">
        <v>2.3037999999999998</v>
      </c>
      <c r="K677">
        <v>1.0561</v>
      </c>
      <c r="L677">
        <v>0.79220000000000002</v>
      </c>
      <c r="M677">
        <v>84.505300000000005</v>
      </c>
      <c r="N677">
        <v>37.025799999999997</v>
      </c>
      <c r="O677">
        <v>33.324800000000003</v>
      </c>
      <c r="P677">
        <v>2241.8679000000002</v>
      </c>
      <c r="Q677">
        <v>1993.9821999999999</v>
      </c>
    </row>
    <row r="678" spans="1:17" x14ac:dyDescent="0.3">
      <c r="A678" s="1">
        <v>45373</v>
      </c>
      <c r="B678">
        <v>2158.1001000000001</v>
      </c>
      <c r="C678">
        <v>2179.6001000000001</v>
      </c>
      <c r="D678">
        <v>2157.5</v>
      </c>
      <c r="E678">
        <v>2179.1999999999998</v>
      </c>
      <c r="F678">
        <v>19</v>
      </c>
      <c r="G678">
        <v>2167.2143000000001</v>
      </c>
      <c r="H678">
        <v>2089.54</v>
      </c>
      <c r="I678">
        <v>2046.3556000000001</v>
      </c>
      <c r="J678">
        <v>-1.2596000000000001</v>
      </c>
      <c r="K678">
        <v>1.1207</v>
      </c>
      <c r="L678">
        <v>0.83589999999999998</v>
      </c>
      <c r="M678">
        <v>71.263300000000001</v>
      </c>
      <c r="N678">
        <v>36.472099999999998</v>
      </c>
      <c r="O678">
        <v>33.954300000000003</v>
      </c>
      <c r="P678">
        <v>2244.4387999999999</v>
      </c>
      <c r="Q678">
        <v>2006.7311999999999</v>
      </c>
    </row>
    <row r="679" spans="1:17" x14ac:dyDescent="0.3">
      <c r="A679" s="1">
        <v>45376</v>
      </c>
      <c r="B679">
        <v>2174.8000000000002</v>
      </c>
      <c r="C679">
        <v>2179.3998999999999</v>
      </c>
      <c r="D679">
        <v>2166.1999999999998</v>
      </c>
      <c r="E679">
        <v>2166.1999999999998</v>
      </c>
      <c r="F679">
        <v>79</v>
      </c>
      <c r="G679">
        <v>2167.6714000000002</v>
      </c>
      <c r="H679">
        <v>2094.0133000000001</v>
      </c>
      <c r="I679">
        <v>2048.87</v>
      </c>
      <c r="J679">
        <v>-0.59650000000000003</v>
      </c>
      <c r="K679">
        <v>1.1532</v>
      </c>
      <c r="L679">
        <v>0.84989999999999999</v>
      </c>
      <c r="M679">
        <v>62.421300000000002</v>
      </c>
      <c r="N679">
        <v>34.585700000000003</v>
      </c>
      <c r="O679">
        <v>34.080500000000001</v>
      </c>
      <c r="P679">
        <v>2244.1176999999998</v>
      </c>
      <c r="Q679">
        <v>2020.2623000000001</v>
      </c>
    </row>
    <row r="680" spans="1:17" x14ac:dyDescent="0.3">
      <c r="A680" s="1">
        <v>45377</v>
      </c>
      <c r="B680">
        <v>2175.6001000000001</v>
      </c>
      <c r="C680">
        <v>2182.6999999999998</v>
      </c>
      <c r="D680">
        <v>2175.6001000000001</v>
      </c>
      <c r="E680">
        <v>2182.6999999999998</v>
      </c>
      <c r="F680">
        <v>202373</v>
      </c>
      <c r="G680">
        <v>2170.6714000000002</v>
      </c>
      <c r="H680">
        <v>2099.2532999999999</v>
      </c>
      <c r="I680">
        <v>2051.2800000000002</v>
      </c>
      <c r="J680">
        <v>0.76170000000000004</v>
      </c>
      <c r="K680">
        <v>1.1842999999999999</v>
      </c>
      <c r="L680">
        <v>0.84930000000000005</v>
      </c>
      <c r="M680">
        <v>63.4651</v>
      </c>
      <c r="N680">
        <v>34.029800000000002</v>
      </c>
      <c r="O680">
        <v>34.070399999999999</v>
      </c>
      <c r="P680">
        <v>2243.8665999999998</v>
      </c>
      <c r="Q680">
        <v>2035.1934000000001</v>
      </c>
    </row>
    <row r="681" spans="1:17" x14ac:dyDescent="0.3">
      <c r="A681" s="1">
        <v>45378</v>
      </c>
      <c r="B681">
        <v>2190.6001000000001</v>
      </c>
      <c r="C681">
        <v>2196.1999999999998</v>
      </c>
      <c r="D681">
        <v>2172.1001000000001</v>
      </c>
      <c r="E681">
        <v>2179.3998999999999</v>
      </c>
      <c r="F681">
        <v>31200</v>
      </c>
      <c r="G681">
        <v>2175.4142999999999</v>
      </c>
      <c r="H681">
        <v>2104.3966999999998</v>
      </c>
      <c r="I681">
        <v>2053.6867000000002</v>
      </c>
      <c r="J681">
        <v>-0.1512</v>
      </c>
      <c r="K681">
        <v>1.1338999999999999</v>
      </c>
      <c r="L681">
        <v>0.85109999999999997</v>
      </c>
      <c r="M681">
        <v>58.341900000000003</v>
      </c>
      <c r="N681">
        <v>32.943199999999997</v>
      </c>
      <c r="O681">
        <v>33.844900000000003</v>
      </c>
      <c r="P681">
        <v>2238.87</v>
      </c>
      <c r="Q681">
        <v>2055.1799999999998</v>
      </c>
    </row>
    <row r="682" spans="1:17" x14ac:dyDescent="0.3">
      <c r="A682" s="1">
        <v>45379</v>
      </c>
      <c r="B682">
        <v>2217.3998999999999</v>
      </c>
      <c r="C682">
        <v>2234.1001000000001</v>
      </c>
      <c r="D682">
        <v>2187.1001000000001</v>
      </c>
      <c r="E682">
        <v>2193.6001000000001</v>
      </c>
      <c r="F682">
        <v>2040</v>
      </c>
      <c r="G682">
        <v>2180.7714000000001</v>
      </c>
      <c r="H682">
        <v>2111.1732999999999</v>
      </c>
      <c r="I682">
        <v>2056.2233000000001</v>
      </c>
      <c r="J682">
        <v>0.65159999999999996</v>
      </c>
      <c r="K682">
        <v>1.1428</v>
      </c>
      <c r="L682">
        <v>0.76819999999999999</v>
      </c>
      <c r="M682">
        <v>56.991</v>
      </c>
      <c r="N682">
        <v>32.849200000000003</v>
      </c>
      <c r="O682">
        <v>33.645800000000001</v>
      </c>
      <c r="P682">
        <v>2232.1257000000001</v>
      </c>
      <c r="Q682">
        <v>2077.8543</v>
      </c>
    </row>
    <row r="683" spans="1:17" x14ac:dyDescent="0.3">
      <c r="A683" s="1">
        <v>45383</v>
      </c>
      <c r="B683">
        <v>2236.5</v>
      </c>
      <c r="C683">
        <v>2264.1999999999998</v>
      </c>
      <c r="D683">
        <v>2230</v>
      </c>
      <c r="E683">
        <v>2235.6999999999998</v>
      </c>
      <c r="F683">
        <v>400</v>
      </c>
      <c r="G683">
        <v>2191.9713999999999</v>
      </c>
      <c r="H683">
        <v>2119.2433000000001</v>
      </c>
      <c r="I683">
        <v>2059.0367000000001</v>
      </c>
      <c r="J683">
        <v>1.9192</v>
      </c>
      <c r="K683">
        <v>1.2961</v>
      </c>
      <c r="L683">
        <v>0.82040000000000002</v>
      </c>
      <c r="M683">
        <v>62.632800000000003</v>
      </c>
      <c r="N683">
        <v>35.759700000000002</v>
      </c>
      <c r="O683">
        <v>34.068600000000004</v>
      </c>
      <c r="P683">
        <v>2230.1576</v>
      </c>
      <c r="Q683">
        <v>2099.0823999999998</v>
      </c>
    </row>
    <row r="684" spans="1:17" x14ac:dyDescent="0.3">
      <c r="A684" s="1">
        <v>45384</v>
      </c>
      <c r="B684">
        <v>2261</v>
      </c>
      <c r="C684">
        <v>2279.1999999999998</v>
      </c>
      <c r="D684">
        <v>2247.6001000000001</v>
      </c>
      <c r="E684">
        <v>2252</v>
      </c>
      <c r="F684">
        <v>435</v>
      </c>
      <c r="G684">
        <v>2198.4</v>
      </c>
      <c r="H684">
        <v>2127.4767000000002</v>
      </c>
      <c r="I684">
        <v>2062.0733</v>
      </c>
      <c r="J684">
        <v>0.72909999999999997</v>
      </c>
      <c r="K684">
        <v>1.0474000000000001</v>
      </c>
      <c r="L684">
        <v>0.82210000000000005</v>
      </c>
      <c r="M684">
        <v>65.023799999999994</v>
      </c>
      <c r="N684">
        <v>38.932699999999997</v>
      </c>
      <c r="O684">
        <v>35.041400000000003</v>
      </c>
      <c r="P684">
        <v>2238.0180999999998</v>
      </c>
      <c r="Q684">
        <v>2108.0619000000002</v>
      </c>
    </row>
    <row r="685" spans="1:17" x14ac:dyDescent="0.3">
      <c r="A685" s="1">
        <v>45385</v>
      </c>
      <c r="B685">
        <v>2294.3998999999999</v>
      </c>
      <c r="C685">
        <v>2298.8000000000002</v>
      </c>
      <c r="D685">
        <v>2267.8998999999999</v>
      </c>
      <c r="E685">
        <v>2281.6999999999998</v>
      </c>
      <c r="F685">
        <v>285</v>
      </c>
      <c r="G685">
        <v>2213.0428000000002</v>
      </c>
      <c r="H685">
        <v>2136.3467000000001</v>
      </c>
      <c r="I685">
        <v>2065.3067000000001</v>
      </c>
      <c r="J685">
        <v>1.3188</v>
      </c>
      <c r="K685">
        <v>0.84379999999999999</v>
      </c>
      <c r="L685">
        <v>0.83909999999999996</v>
      </c>
      <c r="M685">
        <v>74.7303</v>
      </c>
      <c r="N685">
        <v>43.344200000000001</v>
      </c>
      <c r="O685">
        <v>36.701999999999998</v>
      </c>
      <c r="P685">
        <v>2256.9004</v>
      </c>
      <c r="Q685">
        <v>2105.8595999999998</v>
      </c>
    </row>
    <row r="686" spans="1:17" x14ac:dyDescent="0.3">
      <c r="A686" s="1">
        <v>45386</v>
      </c>
      <c r="B686">
        <v>2288.8000000000002</v>
      </c>
      <c r="C686">
        <v>2302.8998999999999</v>
      </c>
      <c r="D686">
        <v>2280</v>
      </c>
      <c r="E686">
        <v>2301.6999999999998</v>
      </c>
      <c r="F686">
        <v>251</v>
      </c>
      <c r="G686">
        <v>2232.4</v>
      </c>
      <c r="H686">
        <v>2145.4632999999999</v>
      </c>
      <c r="I686">
        <v>2068.6689000000001</v>
      </c>
      <c r="J686">
        <v>0.87649999999999995</v>
      </c>
      <c r="K686">
        <v>0.63570000000000004</v>
      </c>
      <c r="L686">
        <v>0.84250000000000003</v>
      </c>
      <c r="M686">
        <v>76.621799999999993</v>
      </c>
      <c r="N686">
        <v>47.902099999999997</v>
      </c>
      <c r="O686">
        <v>38.942</v>
      </c>
      <c r="P686">
        <v>2278.3200999999999</v>
      </c>
      <c r="Q686">
        <v>2102.0599000000002</v>
      </c>
    </row>
    <row r="687" spans="1:17" x14ac:dyDescent="0.3">
      <c r="A687" s="1">
        <v>45387</v>
      </c>
      <c r="B687">
        <v>2325.6999999999998</v>
      </c>
      <c r="C687">
        <v>2328.3998999999999</v>
      </c>
      <c r="D687">
        <v>2267.3998999999999</v>
      </c>
      <c r="E687">
        <v>2289.1999999999998</v>
      </c>
      <c r="F687">
        <v>344</v>
      </c>
      <c r="G687">
        <v>2247.6143000000002</v>
      </c>
      <c r="H687">
        <v>2153.9967000000001</v>
      </c>
      <c r="I687">
        <v>2071.9722000000002</v>
      </c>
      <c r="J687">
        <v>-0.54310000000000003</v>
      </c>
      <c r="K687">
        <v>0.83389999999999997</v>
      </c>
      <c r="L687">
        <v>0.86050000000000004</v>
      </c>
      <c r="M687">
        <v>73.463399999999993</v>
      </c>
      <c r="N687">
        <v>49.93</v>
      </c>
      <c r="O687">
        <v>41.139600000000002</v>
      </c>
      <c r="P687">
        <v>2293.3476000000001</v>
      </c>
      <c r="Q687">
        <v>2101.2523999999999</v>
      </c>
    </row>
    <row r="688" spans="1:17" x14ac:dyDescent="0.3">
      <c r="A688" s="1">
        <v>45390</v>
      </c>
      <c r="B688">
        <v>2331.6999999999998</v>
      </c>
      <c r="C688">
        <v>2341.8000000000002</v>
      </c>
      <c r="D688">
        <v>2319</v>
      </c>
      <c r="E688">
        <v>2325.6001000000001</v>
      </c>
      <c r="F688">
        <v>202</v>
      </c>
      <c r="G688">
        <v>2268.5</v>
      </c>
      <c r="H688">
        <v>2163.9832999999999</v>
      </c>
      <c r="I688">
        <v>2075.46</v>
      </c>
      <c r="J688">
        <v>1.5901000000000001</v>
      </c>
      <c r="K688">
        <v>0.80169999999999997</v>
      </c>
      <c r="L688">
        <v>0.87480000000000002</v>
      </c>
      <c r="M688">
        <v>80.656199999999998</v>
      </c>
      <c r="N688">
        <v>53.853499999999997</v>
      </c>
      <c r="O688">
        <v>43.682400000000001</v>
      </c>
      <c r="P688">
        <v>2315.8375000000001</v>
      </c>
      <c r="Q688">
        <v>2094.5925000000002</v>
      </c>
    </row>
    <row r="689" spans="1:17" x14ac:dyDescent="0.3">
      <c r="A689" s="1">
        <v>45391</v>
      </c>
      <c r="B689">
        <v>2343.5</v>
      </c>
      <c r="C689">
        <v>2364.6999999999998</v>
      </c>
      <c r="D689">
        <v>2337.8000000000002</v>
      </c>
      <c r="E689">
        <v>2337.8000000000002</v>
      </c>
      <c r="F689">
        <v>211</v>
      </c>
      <c r="G689">
        <v>2289.1</v>
      </c>
      <c r="H689">
        <v>2174.1066999999998</v>
      </c>
      <c r="I689">
        <v>2078.7622000000001</v>
      </c>
      <c r="J689">
        <v>0.52459999999999996</v>
      </c>
      <c r="K689">
        <v>0.8105</v>
      </c>
      <c r="L689">
        <v>0.87480000000000002</v>
      </c>
      <c r="M689">
        <v>80.807000000000002</v>
      </c>
      <c r="N689">
        <v>57.286999999999999</v>
      </c>
      <c r="O689">
        <v>46.403300000000002</v>
      </c>
      <c r="P689">
        <v>2337.7782999999999</v>
      </c>
      <c r="Q689">
        <v>2088.3317000000002</v>
      </c>
    </row>
    <row r="690" spans="1:17" x14ac:dyDescent="0.3">
      <c r="A690" s="1">
        <v>45392</v>
      </c>
      <c r="B690">
        <v>2329.6001000000001</v>
      </c>
      <c r="C690">
        <v>2358.1001000000001</v>
      </c>
      <c r="D690">
        <v>2327.6999999999998</v>
      </c>
      <c r="E690">
        <v>2346.6001000000001</v>
      </c>
      <c r="F690">
        <v>377</v>
      </c>
      <c r="G690">
        <v>2304.9429</v>
      </c>
      <c r="H690">
        <v>2184.4632999999999</v>
      </c>
      <c r="I690">
        <v>2082.15</v>
      </c>
      <c r="J690">
        <v>0.37640000000000001</v>
      </c>
      <c r="K690">
        <v>0.69379999999999997</v>
      </c>
      <c r="L690">
        <v>0.87209999999999999</v>
      </c>
      <c r="M690">
        <v>81.289199999999994</v>
      </c>
      <c r="N690">
        <v>60.026200000000003</v>
      </c>
      <c r="O690">
        <v>49.127899999999997</v>
      </c>
      <c r="P690">
        <v>2358.4841999999999</v>
      </c>
      <c r="Q690">
        <v>2084.0358000000001</v>
      </c>
    </row>
    <row r="691" spans="1:17" x14ac:dyDescent="0.3">
      <c r="A691" s="1">
        <v>45393</v>
      </c>
      <c r="B691">
        <v>2354.8000000000002</v>
      </c>
      <c r="C691">
        <v>2376.3000000000002</v>
      </c>
      <c r="D691">
        <v>2330.6001000000001</v>
      </c>
      <c r="E691">
        <v>2341.5</v>
      </c>
      <c r="F691">
        <v>283</v>
      </c>
      <c r="G691">
        <v>2317.7285999999999</v>
      </c>
      <c r="H691">
        <v>2194.8633</v>
      </c>
      <c r="I691">
        <v>2085.4322000000002</v>
      </c>
      <c r="J691">
        <v>-0.21729999999999999</v>
      </c>
      <c r="K691">
        <v>0.77390000000000003</v>
      </c>
      <c r="L691">
        <v>0.86919999999999997</v>
      </c>
      <c r="M691">
        <v>76.075999999999993</v>
      </c>
      <c r="N691">
        <v>61.081400000000002</v>
      </c>
      <c r="O691">
        <v>51.518599999999999</v>
      </c>
      <c r="P691">
        <v>2374.4668000000001</v>
      </c>
      <c r="Q691">
        <v>2085.9531999999999</v>
      </c>
    </row>
    <row r="692" spans="1:17" x14ac:dyDescent="0.3">
      <c r="A692" s="1">
        <v>45394</v>
      </c>
      <c r="B692">
        <v>2356.1999999999998</v>
      </c>
      <c r="C692">
        <v>2429</v>
      </c>
      <c r="D692">
        <v>2334.3000000000002</v>
      </c>
      <c r="E692">
        <v>2377.3000000000002</v>
      </c>
      <c r="F692">
        <v>584</v>
      </c>
      <c r="G692">
        <v>2331.3856999999998</v>
      </c>
      <c r="H692">
        <v>2206.2966999999999</v>
      </c>
      <c r="I692">
        <v>2089.1988999999999</v>
      </c>
      <c r="J692">
        <v>1.5288999999999999</v>
      </c>
      <c r="K692">
        <v>0.81130000000000002</v>
      </c>
      <c r="L692">
        <v>0.88849999999999996</v>
      </c>
      <c r="M692">
        <v>87.250799999999998</v>
      </c>
      <c r="N692">
        <v>64.067899999999995</v>
      </c>
      <c r="O692">
        <v>54.028399999999998</v>
      </c>
      <c r="P692">
        <v>2395.6197000000002</v>
      </c>
      <c r="Q692">
        <v>2086.2303000000002</v>
      </c>
    </row>
    <row r="693" spans="1:17" x14ac:dyDescent="0.3">
      <c r="A693" s="1">
        <v>45397</v>
      </c>
      <c r="B693">
        <v>2365.8000000000002</v>
      </c>
      <c r="C693">
        <v>2384.6999999999998</v>
      </c>
      <c r="D693">
        <v>2326</v>
      </c>
      <c r="E693">
        <v>2362.1001000000001</v>
      </c>
      <c r="F693">
        <v>1801</v>
      </c>
      <c r="G693">
        <v>2340.0142999999998</v>
      </c>
      <c r="H693">
        <v>2216.9299999999998</v>
      </c>
      <c r="I693">
        <v>2092.3856000000001</v>
      </c>
      <c r="J693">
        <v>-0.63939999999999997</v>
      </c>
      <c r="K693">
        <v>0.91769999999999996</v>
      </c>
      <c r="L693">
        <v>0.91349999999999998</v>
      </c>
      <c r="M693">
        <v>86.534899999999993</v>
      </c>
      <c r="N693">
        <v>64.465100000000007</v>
      </c>
      <c r="O693">
        <v>56.1158</v>
      </c>
      <c r="P693">
        <v>2409.9342000000001</v>
      </c>
      <c r="Q693">
        <v>2091.9558000000002</v>
      </c>
    </row>
    <row r="694" spans="1:17" x14ac:dyDescent="0.3">
      <c r="A694" s="1">
        <v>45398</v>
      </c>
      <c r="B694">
        <v>2390.8000000000002</v>
      </c>
      <c r="C694">
        <v>2390.8000000000002</v>
      </c>
      <c r="D694">
        <v>2371.3998999999999</v>
      </c>
      <c r="E694">
        <v>2384</v>
      </c>
      <c r="F694">
        <v>41</v>
      </c>
      <c r="G694">
        <v>2353.5572000000002</v>
      </c>
      <c r="H694">
        <v>2226.9432999999999</v>
      </c>
      <c r="I694">
        <v>2096.2622000000001</v>
      </c>
      <c r="J694">
        <v>0.92710000000000004</v>
      </c>
      <c r="K694">
        <v>0.83750000000000002</v>
      </c>
      <c r="L694">
        <v>0.87339999999999995</v>
      </c>
      <c r="M694">
        <v>86.800700000000006</v>
      </c>
      <c r="N694">
        <v>65.788600000000002</v>
      </c>
      <c r="O694">
        <v>58.0503</v>
      </c>
      <c r="P694">
        <v>2424.3887</v>
      </c>
      <c r="Q694">
        <v>2101.2813000000001</v>
      </c>
    </row>
    <row r="695" spans="1:17" x14ac:dyDescent="0.3">
      <c r="A695" s="1">
        <v>45399</v>
      </c>
      <c r="B695">
        <v>2371.6999999999998</v>
      </c>
      <c r="C695">
        <v>2391.3998999999999</v>
      </c>
      <c r="D695">
        <v>2369.3000000000002</v>
      </c>
      <c r="E695">
        <v>2384.1999999999998</v>
      </c>
      <c r="F695">
        <v>37</v>
      </c>
      <c r="G695">
        <v>2361.9286000000002</v>
      </c>
      <c r="H695">
        <v>2235.92</v>
      </c>
      <c r="I695">
        <v>2100.31</v>
      </c>
      <c r="J695">
        <v>8.3999999999999995E-3</v>
      </c>
      <c r="K695">
        <v>0.72699999999999998</v>
      </c>
      <c r="L695">
        <v>0.85399999999999998</v>
      </c>
      <c r="M695">
        <v>87.869799999999998</v>
      </c>
      <c r="N695">
        <v>66.091800000000006</v>
      </c>
      <c r="O695">
        <v>59.6586</v>
      </c>
      <c r="P695">
        <v>2436.2723000000001</v>
      </c>
      <c r="Q695">
        <v>2112.2076999999999</v>
      </c>
    </row>
    <row r="696" spans="1:17" x14ac:dyDescent="0.3">
      <c r="A696" s="1">
        <v>45400</v>
      </c>
      <c r="B696">
        <v>2382.3000000000002</v>
      </c>
      <c r="C696">
        <v>2384.3998999999999</v>
      </c>
      <c r="D696">
        <v>2368.3998999999999</v>
      </c>
      <c r="E696">
        <v>2368.3998999999999</v>
      </c>
      <c r="F696">
        <v>128</v>
      </c>
      <c r="G696">
        <v>2366.3000000000002</v>
      </c>
      <c r="H696">
        <v>2244.0167000000001</v>
      </c>
      <c r="I696">
        <v>2104.0789</v>
      </c>
      <c r="J696">
        <v>-0.66269999999999996</v>
      </c>
      <c r="K696">
        <v>0.81489999999999996</v>
      </c>
      <c r="L696">
        <v>0.87549999999999994</v>
      </c>
      <c r="M696">
        <v>82.132300000000001</v>
      </c>
      <c r="N696">
        <v>64.315700000000007</v>
      </c>
      <c r="O696">
        <v>60.59</v>
      </c>
      <c r="P696">
        <v>2442.1894000000002</v>
      </c>
      <c r="Q696">
        <v>2127.4005999999999</v>
      </c>
    </row>
    <row r="697" spans="1:17" x14ac:dyDescent="0.3">
      <c r="A697" s="1">
        <v>45401</v>
      </c>
      <c r="B697">
        <v>2398.3998999999999</v>
      </c>
      <c r="C697">
        <v>2399.8000000000002</v>
      </c>
      <c r="D697">
        <v>2377.3000000000002</v>
      </c>
      <c r="E697">
        <v>2379.3000000000002</v>
      </c>
      <c r="F697">
        <v>160</v>
      </c>
      <c r="G697">
        <v>2370.9713999999999</v>
      </c>
      <c r="H697">
        <v>2251.7600000000002</v>
      </c>
      <c r="I697">
        <v>2107.9411</v>
      </c>
      <c r="J697">
        <v>0.4602</v>
      </c>
      <c r="K697">
        <v>0.81879999999999997</v>
      </c>
      <c r="L697">
        <v>0.86729999999999996</v>
      </c>
      <c r="M697">
        <v>79.817300000000003</v>
      </c>
      <c r="N697">
        <v>63.0608</v>
      </c>
      <c r="O697">
        <v>61.084200000000003</v>
      </c>
      <c r="P697">
        <v>2451.7345</v>
      </c>
      <c r="Q697">
        <v>2135.0855000000001</v>
      </c>
    </row>
    <row r="698" spans="1:17" x14ac:dyDescent="0.3">
      <c r="A698" s="1">
        <v>45404</v>
      </c>
      <c r="B698">
        <v>2332.1999999999998</v>
      </c>
      <c r="C698">
        <v>2383.3000000000002</v>
      </c>
      <c r="D698">
        <v>2326.8998999999999</v>
      </c>
      <c r="E698">
        <v>2383.3000000000002</v>
      </c>
      <c r="F698">
        <v>53</v>
      </c>
      <c r="G698">
        <v>2376.9429</v>
      </c>
      <c r="H698">
        <v>2258.96</v>
      </c>
      <c r="I698">
        <v>2112.1543999999999</v>
      </c>
      <c r="J698">
        <v>0.1681</v>
      </c>
      <c r="K698">
        <v>0.79869999999999997</v>
      </c>
      <c r="L698">
        <v>0.86029999999999995</v>
      </c>
      <c r="M698">
        <v>78.730800000000002</v>
      </c>
      <c r="N698">
        <v>61.678100000000001</v>
      </c>
      <c r="O698">
        <v>61.203000000000003</v>
      </c>
      <c r="P698">
        <v>2457.1831000000002</v>
      </c>
      <c r="Q698">
        <v>2150.0468999999998</v>
      </c>
    </row>
    <row r="699" spans="1:17" x14ac:dyDescent="0.3">
      <c r="A699" s="1">
        <v>45405</v>
      </c>
      <c r="B699">
        <v>2327.6999999999998</v>
      </c>
      <c r="C699">
        <v>2330.8000000000002</v>
      </c>
      <c r="D699">
        <v>2294.1999999999998</v>
      </c>
      <c r="E699">
        <v>2327.6999999999998</v>
      </c>
      <c r="F699">
        <v>171</v>
      </c>
      <c r="G699">
        <v>2369.8571000000002</v>
      </c>
      <c r="H699">
        <v>2263.85</v>
      </c>
      <c r="I699">
        <v>2115.9711000000002</v>
      </c>
      <c r="J699">
        <v>-2.3329</v>
      </c>
      <c r="K699">
        <v>1.0628</v>
      </c>
      <c r="L699">
        <v>0.98470000000000002</v>
      </c>
      <c r="M699">
        <v>59.040900000000001</v>
      </c>
      <c r="N699">
        <v>55.456499999999998</v>
      </c>
      <c r="O699">
        <v>60.053699999999999</v>
      </c>
      <c r="P699">
        <v>2451.1725000000001</v>
      </c>
      <c r="Q699">
        <v>2172.2075</v>
      </c>
    </row>
    <row r="700" spans="1:17" x14ac:dyDescent="0.3">
      <c r="A700" s="1">
        <v>45406</v>
      </c>
      <c r="B700">
        <v>2324.5</v>
      </c>
      <c r="C700">
        <v>2328.6999999999998</v>
      </c>
      <c r="D700">
        <v>2314.6001000000001</v>
      </c>
      <c r="E700">
        <v>2321.3000000000002</v>
      </c>
      <c r="F700">
        <v>95</v>
      </c>
      <c r="G700">
        <v>2364.0286000000001</v>
      </c>
      <c r="H700">
        <v>2268.4767000000002</v>
      </c>
      <c r="I700">
        <v>2119.7800000000002</v>
      </c>
      <c r="J700">
        <v>-0.27489999999999998</v>
      </c>
      <c r="K700">
        <v>1.052</v>
      </c>
      <c r="L700">
        <v>0.98850000000000005</v>
      </c>
      <c r="M700">
        <v>54.069800000000001</v>
      </c>
      <c r="N700">
        <v>49.439599999999999</v>
      </c>
      <c r="O700">
        <v>57.930900000000001</v>
      </c>
      <c r="P700">
        <v>2444.1977999999999</v>
      </c>
      <c r="Q700">
        <v>2193.0421999999999</v>
      </c>
    </row>
    <row r="701" spans="1:17" x14ac:dyDescent="0.3">
      <c r="A701" s="1">
        <v>45407</v>
      </c>
      <c r="B701">
        <v>2329.8000000000002</v>
      </c>
      <c r="C701">
        <v>2329.8000000000002</v>
      </c>
      <c r="D701">
        <v>2305</v>
      </c>
      <c r="E701">
        <v>2315</v>
      </c>
      <c r="F701">
        <v>1024</v>
      </c>
      <c r="G701">
        <v>2354.1714000000002</v>
      </c>
      <c r="H701">
        <v>2273.56</v>
      </c>
      <c r="I701">
        <v>2123.0056</v>
      </c>
      <c r="J701">
        <v>-0.27139999999999997</v>
      </c>
      <c r="K701">
        <v>0.91879999999999995</v>
      </c>
      <c r="L701">
        <v>0.97</v>
      </c>
      <c r="M701">
        <v>55.498699999999999</v>
      </c>
      <c r="N701">
        <v>43.659399999999998</v>
      </c>
      <c r="O701">
        <v>55.076599999999999</v>
      </c>
      <c r="P701">
        <v>2432.6311000000001</v>
      </c>
      <c r="Q701">
        <v>2218.1689000000001</v>
      </c>
    </row>
    <row r="702" spans="1:17" x14ac:dyDescent="0.3">
      <c r="A702" s="1">
        <v>45408</v>
      </c>
      <c r="B702">
        <v>2334.8000000000002</v>
      </c>
      <c r="C702">
        <v>2347.8998999999999</v>
      </c>
      <c r="D702">
        <v>2332.8000000000002</v>
      </c>
      <c r="E702">
        <v>2347.8998999999999</v>
      </c>
      <c r="F702">
        <v>717</v>
      </c>
      <c r="G702">
        <v>2348.9857000000002</v>
      </c>
      <c r="H702">
        <v>2279.7233000000001</v>
      </c>
      <c r="I702">
        <v>2126.5088999999998</v>
      </c>
      <c r="J702">
        <v>1.4212</v>
      </c>
      <c r="K702">
        <v>1.1527000000000001</v>
      </c>
      <c r="L702">
        <v>0.9929</v>
      </c>
      <c r="M702">
        <v>54.8247</v>
      </c>
      <c r="N702">
        <v>41.257800000000003</v>
      </c>
      <c r="O702">
        <v>52.312800000000003</v>
      </c>
      <c r="P702">
        <v>2420.8497000000002</v>
      </c>
      <c r="Q702">
        <v>2245.3802999999998</v>
      </c>
    </row>
    <row r="703" spans="1:17" x14ac:dyDescent="0.3">
      <c r="A703" s="1">
        <v>45411</v>
      </c>
      <c r="B703">
        <v>2345.3998999999999</v>
      </c>
      <c r="C703">
        <v>2345.5</v>
      </c>
      <c r="D703">
        <v>2327.8998999999999</v>
      </c>
      <c r="E703">
        <v>2334.8000000000002</v>
      </c>
      <c r="F703">
        <v>405</v>
      </c>
      <c r="G703">
        <v>2344.1857</v>
      </c>
      <c r="H703">
        <v>2285.4933000000001</v>
      </c>
      <c r="I703">
        <v>2129.9589000000001</v>
      </c>
      <c r="J703">
        <v>-0.55789999999999995</v>
      </c>
      <c r="K703">
        <v>1.1466000000000001</v>
      </c>
      <c r="L703">
        <v>1.0028999999999999</v>
      </c>
      <c r="M703">
        <v>49.353400000000001</v>
      </c>
      <c r="N703">
        <v>37.860999999999997</v>
      </c>
      <c r="O703">
        <v>49.422499999999999</v>
      </c>
      <c r="P703">
        <v>2412.8816000000002</v>
      </c>
      <c r="Q703">
        <v>2263.2584000000002</v>
      </c>
    </row>
    <row r="704" spans="1:17" x14ac:dyDescent="0.3">
      <c r="A704" s="1">
        <v>45412</v>
      </c>
      <c r="B704">
        <v>2291.3998999999999</v>
      </c>
      <c r="C704">
        <v>2322.5</v>
      </c>
      <c r="D704">
        <v>2291.3998999999999</v>
      </c>
      <c r="E704">
        <v>2322.5</v>
      </c>
      <c r="F704">
        <v>113</v>
      </c>
      <c r="G704">
        <v>2336.0713999999998</v>
      </c>
      <c r="H704">
        <v>2291.37</v>
      </c>
      <c r="I704">
        <v>2133.2622000000001</v>
      </c>
      <c r="J704">
        <v>-0.52680000000000005</v>
      </c>
      <c r="K704">
        <v>1.1123000000000001</v>
      </c>
      <c r="L704">
        <v>0.99709999999999999</v>
      </c>
      <c r="M704">
        <v>44.883200000000002</v>
      </c>
      <c r="N704">
        <v>33.786999999999999</v>
      </c>
      <c r="O704">
        <v>46.295400000000001</v>
      </c>
      <c r="P704">
        <v>2405.1237000000001</v>
      </c>
      <c r="Q704">
        <v>2278.0663</v>
      </c>
    </row>
    <row r="705" spans="1:17" x14ac:dyDescent="0.3">
      <c r="A705" s="1">
        <v>45413</v>
      </c>
      <c r="B705">
        <v>2299.8998999999999</v>
      </c>
      <c r="C705">
        <v>2327.3000000000002</v>
      </c>
      <c r="D705">
        <v>2283.8000000000002</v>
      </c>
      <c r="E705">
        <v>2287.6999999999998</v>
      </c>
      <c r="F705">
        <v>42</v>
      </c>
      <c r="G705">
        <v>2322.4142999999999</v>
      </c>
      <c r="H705">
        <v>2295.7566999999999</v>
      </c>
      <c r="I705">
        <v>2136.0466999999999</v>
      </c>
      <c r="J705">
        <v>-1.4984</v>
      </c>
      <c r="K705">
        <v>1.1628000000000001</v>
      </c>
      <c r="L705">
        <v>1.0468999999999999</v>
      </c>
      <c r="M705">
        <v>39.856699999999996</v>
      </c>
      <c r="N705">
        <v>27.434100000000001</v>
      </c>
      <c r="O705">
        <v>42.523099999999999</v>
      </c>
      <c r="P705">
        <v>2404.2791999999999</v>
      </c>
      <c r="Q705">
        <v>2279.5108</v>
      </c>
    </row>
    <row r="706" spans="1:17" x14ac:dyDescent="0.3">
      <c r="A706" s="1">
        <v>45414</v>
      </c>
      <c r="B706">
        <v>2299.1999999999998</v>
      </c>
      <c r="C706">
        <v>2324.6999999999998</v>
      </c>
      <c r="D706">
        <v>2292.3000000000002</v>
      </c>
      <c r="E706">
        <v>2321.6999999999998</v>
      </c>
      <c r="F706">
        <v>56</v>
      </c>
      <c r="G706">
        <v>2321.5571</v>
      </c>
      <c r="H706">
        <v>2301.2366999999999</v>
      </c>
      <c r="I706">
        <v>2139.2233000000001</v>
      </c>
      <c r="J706">
        <v>1.4862</v>
      </c>
      <c r="K706">
        <v>1.0958000000000001</v>
      </c>
      <c r="L706">
        <v>1.0723</v>
      </c>
      <c r="M706">
        <v>39.445700000000002</v>
      </c>
      <c r="N706">
        <v>24.856300000000001</v>
      </c>
      <c r="O706">
        <v>38.989699999999999</v>
      </c>
      <c r="P706">
        <v>2403.1718999999998</v>
      </c>
      <c r="Q706">
        <v>2282.6181000000001</v>
      </c>
    </row>
    <row r="707" spans="1:17" x14ac:dyDescent="0.3">
      <c r="A707" s="1">
        <v>45415</v>
      </c>
      <c r="B707">
        <v>2299</v>
      </c>
      <c r="C707">
        <v>2301</v>
      </c>
      <c r="D707">
        <v>2277.6001000000001</v>
      </c>
      <c r="E707">
        <v>2300</v>
      </c>
      <c r="F707">
        <v>194</v>
      </c>
      <c r="G707">
        <v>2318.5142999999998</v>
      </c>
      <c r="H707">
        <v>2304.3366999999998</v>
      </c>
      <c r="I707">
        <v>2141.9378000000002</v>
      </c>
      <c r="J707">
        <v>-0.93469999999999998</v>
      </c>
      <c r="K707">
        <v>1.1474</v>
      </c>
      <c r="L707">
        <v>1.0202</v>
      </c>
      <c r="M707">
        <v>38.495699999999999</v>
      </c>
      <c r="N707">
        <v>20.822299999999998</v>
      </c>
      <c r="O707">
        <v>35.356299999999997</v>
      </c>
      <c r="P707">
        <v>2401.8512999999998</v>
      </c>
      <c r="Q707">
        <v>2285.0187999999998</v>
      </c>
    </row>
    <row r="708" spans="1:17" x14ac:dyDescent="0.3">
      <c r="A708" s="1">
        <v>45418</v>
      </c>
      <c r="B708">
        <v>2321.6001000000001</v>
      </c>
      <c r="C708">
        <v>2325.5</v>
      </c>
      <c r="D708">
        <v>2314.1999999999998</v>
      </c>
      <c r="E708">
        <v>2322.8000000000002</v>
      </c>
      <c r="F708">
        <v>9</v>
      </c>
      <c r="G708">
        <v>2319.6286</v>
      </c>
      <c r="H708">
        <v>2309.1233000000002</v>
      </c>
      <c r="I708">
        <v>2144.8578000000002</v>
      </c>
      <c r="J708">
        <v>0.99129999999999996</v>
      </c>
      <c r="K708">
        <v>1.2178</v>
      </c>
      <c r="L708">
        <v>0.996</v>
      </c>
      <c r="M708">
        <v>38.700200000000002</v>
      </c>
      <c r="N708">
        <v>19.243300000000001</v>
      </c>
      <c r="O708">
        <v>32.133699999999997</v>
      </c>
      <c r="P708">
        <v>2401.9043000000001</v>
      </c>
      <c r="Q708">
        <v>2284.6857</v>
      </c>
    </row>
    <row r="709" spans="1:17" x14ac:dyDescent="0.3">
      <c r="A709" s="1">
        <v>45419</v>
      </c>
      <c r="B709">
        <v>2315.1999999999998</v>
      </c>
      <c r="C709">
        <v>2324.3000000000002</v>
      </c>
      <c r="D709">
        <v>2315.1999999999998</v>
      </c>
      <c r="E709">
        <v>2324.3000000000002</v>
      </c>
      <c r="F709">
        <v>25</v>
      </c>
      <c r="G709">
        <v>2316.2570999999998</v>
      </c>
      <c r="H709">
        <v>2314.3933000000002</v>
      </c>
      <c r="I709">
        <v>2147.7132999999999</v>
      </c>
      <c r="J709">
        <v>6.4600000000000005E-2</v>
      </c>
      <c r="K709">
        <v>1.0620000000000001</v>
      </c>
      <c r="L709">
        <v>0.98460000000000003</v>
      </c>
      <c r="M709">
        <v>38.993000000000002</v>
      </c>
      <c r="N709">
        <v>17.906600000000001</v>
      </c>
      <c r="O709">
        <v>29.2883</v>
      </c>
      <c r="P709">
        <v>2401.8038999999999</v>
      </c>
      <c r="Q709">
        <v>2283.4360999999999</v>
      </c>
    </row>
    <row r="710" spans="1:17" x14ac:dyDescent="0.3">
      <c r="A710" s="1">
        <v>45420</v>
      </c>
      <c r="B710">
        <v>2313.6001000000001</v>
      </c>
      <c r="C710">
        <v>2313.6001000000001</v>
      </c>
      <c r="D710">
        <v>2313.6001000000001</v>
      </c>
      <c r="E710">
        <v>2313.6001000000001</v>
      </c>
      <c r="F710">
        <v>4</v>
      </c>
      <c r="G710">
        <v>2313.2285999999999</v>
      </c>
      <c r="H710">
        <v>2318.7566999999999</v>
      </c>
      <c r="I710">
        <v>2150.2910999999999</v>
      </c>
      <c r="J710">
        <v>-0.46039999999999998</v>
      </c>
      <c r="K710">
        <v>1.0562</v>
      </c>
      <c r="L710">
        <v>0.98750000000000004</v>
      </c>
      <c r="M710">
        <v>39.737900000000003</v>
      </c>
      <c r="N710">
        <v>15.8017</v>
      </c>
      <c r="O710">
        <v>26.590900000000001</v>
      </c>
      <c r="P710">
        <v>2401.5111999999999</v>
      </c>
      <c r="Q710">
        <v>2280.4288000000001</v>
      </c>
    </row>
    <row r="711" spans="1:17" x14ac:dyDescent="0.3">
      <c r="A711" s="1">
        <v>45421</v>
      </c>
      <c r="B711">
        <v>2332.1001000000001</v>
      </c>
      <c r="C711">
        <v>2339.5</v>
      </c>
      <c r="D711">
        <v>2310.6999999999998</v>
      </c>
      <c r="E711">
        <v>2310.6999999999998</v>
      </c>
      <c r="F711">
        <v>5</v>
      </c>
      <c r="G711">
        <v>2311.5428999999999</v>
      </c>
      <c r="H711">
        <v>2323.1333</v>
      </c>
      <c r="I711">
        <v>2152.9877999999999</v>
      </c>
      <c r="J711">
        <v>-0.12540000000000001</v>
      </c>
      <c r="K711">
        <v>1.0416000000000001</v>
      </c>
      <c r="L711">
        <v>0.98719999999999997</v>
      </c>
      <c r="M711">
        <v>36.756700000000002</v>
      </c>
      <c r="N711">
        <v>13.741099999999999</v>
      </c>
      <c r="O711">
        <v>24.021000000000001</v>
      </c>
      <c r="P711">
        <v>2401.4630000000002</v>
      </c>
      <c r="Q711">
        <v>2277.3969999999999</v>
      </c>
    </row>
    <row r="712" spans="1:17" x14ac:dyDescent="0.3">
      <c r="A712" s="1">
        <v>45422</v>
      </c>
      <c r="B712">
        <v>2367.3000000000002</v>
      </c>
      <c r="C712">
        <v>2367.3000000000002</v>
      </c>
      <c r="D712">
        <v>2367.3000000000002</v>
      </c>
      <c r="E712">
        <v>2367.3000000000002</v>
      </c>
      <c r="F712">
        <v>126</v>
      </c>
      <c r="G712">
        <v>2322.9142999999999</v>
      </c>
      <c r="H712">
        <v>2328.9232999999999</v>
      </c>
      <c r="I712">
        <v>2156.3633</v>
      </c>
      <c r="J712">
        <v>2.4495</v>
      </c>
      <c r="K712">
        <v>1.1955</v>
      </c>
      <c r="L712">
        <v>1.0669</v>
      </c>
      <c r="M712">
        <v>47.432600000000001</v>
      </c>
      <c r="N712">
        <v>16.485199999999999</v>
      </c>
      <c r="O712">
        <v>22.5138</v>
      </c>
      <c r="P712">
        <v>2399.8285999999998</v>
      </c>
      <c r="Q712">
        <v>2278.0313999999998</v>
      </c>
    </row>
    <row r="713" spans="1:17" x14ac:dyDescent="0.3">
      <c r="A713" s="1">
        <v>45425</v>
      </c>
      <c r="B713">
        <v>2336.1001000000001</v>
      </c>
      <c r="C713">
        <v>2358.3000000000002</v>
      </c>
      <c r="D713">
        <v>2336.1001000000001</v>
      </c>
      <c r="E713">
        <v>2358.3000000000002</v>
      </c>
      <c r="F713">
        <v>14</v>
      </c>
      <c r="G713">
        <v>2328.1428999999998</v>
      </c>
      <c r="H713">
        <v>2333.0100000000002</v>
      </c>
      <c r="I713">
        <v>2159.9643999999998</v>
      </c>
      <c r="J713">
        <v>-0.38019999999999998</v>
      </c>
      <c r="K713">
        <v>1.1449</v>
      </c>
      <c r="L713">
        <v>1.0254000000000001</v>
      </c>
      <c r="M713">
        <v>55.773600000000002</v>
      </c>
      <c r="N713">
        <v>17.729299999999999</v>
      </c>
      <c r="O713">
        <v>21.556899999999999</v>
      </c>
      <c r="P713">
        <v>2399.3573000000001</v>
      </c>
      <c r="Q713">
        <v>2278.1226999999999</v>
      </c>
    </row>
    <row r="714" spans="1:17" x14ac:dyDescent="0.3">
      <c r="A714" s="1">
        <v>45426</v>
      </c>
      <c r="B714">
        <v>2353.3998999999999</v>
      </c>
      <c r="C714">
        <v>2358</v>
      </c>
      <c r="D714">
        <v>2336</v>
      </c>
      <c r="E714">
        <v>2336</v>
      </c>
      <c r="F714">
        <v>6</v>
      </c>
      <c r="G714">
        <v>2333.2856999999999</v>
      </c>
      <c r="H714">
        <v>2335.81</v>
      </c>
      <c r="I714">
        <v>2163.2356</v>
      </c>
      <c r="J714">
        <v>-0.9456</v>
      </c>
      <c r="K714">
        <v>1.1467000000000001</v>
      </c>
      <c r="L714">
        <v>1.0401</v>
      </c>
      <c r="M714">
        <v>52.616599999999998</v>
      </c>
      <c r="N714">
        <v>16.723099999999999</v>
      </c>
      <c r="O714">
        <v>20.590199999999999</v>
      </c>
      <c r="P714">
        <v>2393.0897</v>
      </c>
      <c r="Q714">
        <v>2279.5902999999998</v>
      </c>
    </row>
    <row r="715" spans="1:17" x14ac:dyDescent="0.3">
      <c r="A715" s="1">
        <v>45427</v>
      </c>
      <c r="B715">
        <v>2388.6999999999998</v>
      </c>
      <c r="C715">
        <v>2388.6999999999998</v>
      </c>
      <c r="D715">
        <v>2356</v>
      </c>
      <c r="E715">
        <v>2361.6001000000001</v>
      </c>
      <c r="F715">
        <v>29</v>
      </c>
      <c r="G715">
        <v>2338.8285999999998</v>
      </c>
      <c r="H715">
        <v>2338.4733000000001</v>
      </c>
      <c r="I715">
        <v>2166.7588999999998</v>
      </c>
      <c r="J715">
        <v>1.0959000000000001</v>
      </c>
      <c r="K715">
        <v>1.159</v>
      </c>
      <c r="L715">
        <v>1.0321</v>
      </c>
      <c r="M715">
        <v>57.761499999999998</v>
      </c>
      <c r="N715">
        <v>17.786300000000001</v>
      </c>
      <c r="O715">
        <v>20.029399999999999</v>
      </c>
      <c r="P715">
        <v>2388.7566999999999</v>
      </c>
      <c r="Q715">
        <v>2281.6633000000002</v>
      </c>
    </row>
    <row r="716" spans="1:17" x14ac:dyDescent="0.3">
      <c r="A716" s="1">
        <v>45428</v>
      </c>
      <c r="B716">
        <v>2380</v>
      </c>
      <c r="C716">
        <v>2392.1999999999998</v>
      </c>
      <c r="D716">
        <v>2380</v>
      </c>
      <c r="E716">
        <v>2389.5</v>
      </c>
      <c r="F716">
        <v>7</v>
      </c>
      <c r="G716">
        <v>2348.1428999999998</v>
      </c>
      <c r="H716">
        <v>2341.4</v>
      </c>
      <c r="I716">
        <v>2170.8744000000002</v>
      </c>
      <c r="J716">
        <v>1.1814</v>
      </c>
      <c r="K716">
        <v>1.2062999999999999</v>
      </c>
      <c r="L716">
        <v>1.0412999999999999</v>
      </c>
      <c r="M716">
        <v>57.046100000000003</v>
      </c>
      <c r="N716">
        <v>20.642299999999999</v>
      </c>
      <c r="O716">
        <v>20.152000000000001</v>
      </c>
      <c r="P716">
        <v>2393.2840000000001</v>
      </c>
      <c r="Q716">
        <v>2279.2460000000001</v>
      </c>
    </row>
    <row r="717" spans="1:17" x14ac:dyDescent="0.3">
      <c r="A717" s="1">
        <v>45429</v>
      </c>
      <c r="B717">
        <v>2412.1999999999998</v>
      </c>
      <c r="C717">
        <v>2415.8000000000002</v>
      </c>
      <c r="D717">
        <v>2380.6999999999998</v>
      </c>
      <c r="E717">
        <v>2380.6999999999998</v>
      </c>
      <c r="F717">
        <v>213</v>
      </c>
      <c r="G717">
        <v>2357.7285999999999</v>
      </c>
      <c r="H717">
        <v>2344.4499999999998</v>
      </c>
      <c r="I717">
        <v>2174.7067000000002</v>
      </c>
      <c r="J717">
        <v>-0.36830000000000002</v>
      </c>
      <c r="K717">
        <v>1.1958</v>
      </c>
      <c r="L717">
        <v>1.0378000000000001</v>
      </c>
      <c r="M717">
        <v>57.889299999999999</v>
      </c>
      <c r="N717">
        <v>21.942599999999999</v>
      </c>
      <c r="O717">
        <v>20.510100000000001</v>
      </c>
      <c r="P717">
        <v>2393.5794000000001</v>
      </c>
      <c r="Q717">
        <v>2279.0906</v>
      </c>
    </row>
    <row r="718" spans="1:17" x14ac:dyDescent="0.3">
      <c r="A718" s="1">
        <v>45432</v>
      </c>
      <c r="B718">
        <v>2433.8998999999999</v>
      </c>
      <c r="C718">
        <v>2435.8000000000002</v>
      </c>
      <c r="D718">
        <v>2409.6999999999998</v>
      </c>
      <c r="E718">
        <v>2415.8000000000002</v>
      </c>
      <c r="F718">
        <v>40</v>
      </c>
      <c r="G718">
        <v>2372.7429000000002</v>
      </c>
      <c r="H718">
        <v>2347.4567000000002</v>
      </c>
      <c r="I718">
        <v>2179.0043999999998</v>
      </c>
      <c r="J718">
        <v>1.4743999999999999</v>
      </c>
      <c r="K718">
        <v>1.2276</v>
      </c>
      <c r="L718">
        <v>1.0325</v>
      </c>
      <c r="M718">
        <v>64.870900000000006</v>
      </c>
      <c r="N718">
        <v>25.511399999999998</v>
      </c>
      <c r="O718">
        <v>21.510400000000001</v>
      </c>
      <c r="P718">
        <v>2402.2316999999998</v>
      </c>
      <c r="Q718">
        <v>2273.6882999999998</v>
      </c>
    </row>
    <row r="719" spans="1:17" x14ac:dyDescent="0.3">
      <c r="A719" s="1">
        <v>45433</v>
      </c>
      <c r="B719">
        <v>2421.6999999999998</v>
      </c>
      <c r="C719">
        <v>2429.5</v>
      </c>
      <c r="D719">
        <v>2421</v>
      </c>
      <c r="E719">
        <v>2429.5</v>
      </c>
      <c r="F719">
        <v>6</v>
      </c>
      <c r="G719">
        <v>2381.6286</v>
      </c>
      <c r="H719">
        <v>2350.5133000000001</v>
      </c>
      <c r="I719">
        <v>2183.4978000000001</v>
      </c>
      <c r="J719">
        <v>0.56710000000000005</v>
      </c>
      <c r="K719">
        <v>0.93830000000000002</v>
      </c>
      <c r="L719">
        <v>1.0329999999999999</v>
      </c>
      <c r="M719">
        <v>74.230999999999995</v>
      </c>
      <c r="N719">
        <v>29.109500000000001</v>
      </c>
      <c r="O719">
        <v>23.030200000000001</v>
      </c>
      <c r="P719">
        <v>2418.9692</v>
      </c>
      <c r="Q719">
        <v>2267.1307999999999</v>
      </c>
    </row>
    <row r="720" spans="1:17" x14ac:dyDescent="0.3">
      <c r="A720" s="1">
        <v>45434</v>
      </c>
      <c r="B720">
        <v>2389.1999999999998</v>
      </c>
      <c r="C720">
        <v>2417.6001000000001</v>
      </c>
      <c r="D720">
        <v>2375.8000000000002</v>
      </c>
      <c r="E720">
        <v>2417.5</v>
      </c>
      <c r="F720">
        <v>180</v>
      </c>
      <c r="G720">
        <v>2390.0857000000001</v>
      </c>
      <c r="H720">
        <v>2352.8766999999998</v>
      </c>
      <c r="I720">
        <v>2187.7910999999999</v>
      </c>
      <c r="J720">
        <v>-0.49390000000000001</v>
      </c>
      <c r="K720">
        <v>0.95440000000000003</v>
      </c>
      <c r="L720">
        <v>1.0382</v>
      </c>
      <c r="M720">
        <v>67.701400000000007</v>
      </c>
      <c r="N720">
        <v>30.639600000000002</v>
      </c>
      <c r="O720">
        <v>24.552099999999999</v>
      </c>
      <c r="P720">
        <v>2429.9186</v>
      </c>
      <c r="Q720">
        <v>2265.8013999999998</v>
      </c>
    </row>
    <row r="721" spans="1:17" x14ac:dyDescent="0.3">
      <c r="A721" s="1">
        <v>45435</v>
      </c>
      <c r="B721">
        <v>2335</v>
      </c>
      <c r="C721">
        <v>2371.1999999999998</v>
      </c>
      <c r="D721">
        <v>2335</v>
      </c>
      <c r="E721">
        <v>2371.1999999999998</v>
      </c>
      <c r="F721">
        <v>365</v>
      </c>
      <c r="G721">
        <v>2395.1143000000002</v>
      </c>
      <c r="H721">
        <v>2353.8667</v>
      </c>
      <c r="I721">
        <v>2191.3411000000001</v>
      </c>
      <c r="J721">
        <v>-1.9152</v>
      </c>
      <c r="K721">
        <v>1.2111000000000001</v>
      </c>
      <c r="L721">
        <v>1.1007</v>
      </c>
      <c r="M721">
        <v>62.059600000000003</v>
      </c>
      <c r="N721">
        <v>27.7958</v>
      </c>
      <c r="O721">
        <v>25.200800000000001</v>
      </c>
      <c r="P721">
        <v>2431.8348999999998</v>
      </c>
      <c r="Q721">
        <v>2269.5050999999999</v>
      </c>
    </row>
    <row r="722" spans="1:17" x14ac:dyDescent="0.3">
      <c r="A722" s="1">
        <v>45436</v>
      </c>
      <c r="B722">
        <v>2332.5</v>
      </c>
      <c r="C722">
        <v>2345.3998999999999</v>
      </c>
      <c r="D722">
        <v>2332.5</v>
      </c>
      <c r="E722">
        <v>2342.6001000000001</v>
      </c>
      <c r="F722">
        <v>25</v>
      </c>
      <c r="G722">
        <v>2392.4</v>
      </c>
      <c r="H722">
        <v>2352.71</v>
      </c>
      <c r="I722">
        <v>2194.8533000000002</v>
      </c>
      <c r="J722">
        <v>-1.2060999999999999</v>
      </c>
      <c r="K722">
        <v>1.2457</v>
      </c>
      <c r="L722">
        <v>1.087</v>
      </c>
      <c r="M722">
        <v>53.289000000000001</v>
      </c>
      <c r="N722">
        <v>22.9695</v>
      </c>
      <c r="O722">
        <v>24.7545</v>
      </c>
      <c r="P722">
        <v>2431.6424999999999</v>
      </c>
      <c r="Q722">
        <v>2269.1675</v>
      </c>
    </row>
    <row r="723" spans="1:17" x14ac:dyDescent="0.3">
      <c r="A723" s="1">
        <v>45440</v>
      </c>
      <c r="B723">
        <v>2355.1999999999998</v>
      </c>
      <c r="C723">
        <v>2359.6999999999998</v>
      </c>
      <c r="D723">
        <v>2336.8998999999999</v>
      </c>
      <c r="E723">
        <v>2336.8998999999999</v>
      </c>
      <c r="F723">
        <v>26</v>
      </c>
      <c r="G723">
        <v>2384.8856999999998</v>
      </c>
      <c r="H723">
        <v>2351.87</v>
      </c>
      <c r="I723">
        <v>2198.4544000000001</v>
      </c>
      <c r="J723">
        <v>-0.24329999999999999</v>
      </c>
      <c r="K723">
        <v>1.1086</v>
      </c>
      <c r="L723">
        <v>1.0819000000000001</v>
      </c>
      <c r="M723">
        <v>52.0642</v>
      </c>
      <c r="N723">
        <v>18.471699999999998</v>
      </c>
      <c r="O723">
        <v>23.498000000000001</v>
      </c>
      <c r="P723">
        <v>2431.6680000000001</v>
      </c>
      <c r="Q723">
        <v>2269.3519999999999</v>
      </c>
    </row>
    <row r="724" spans="1:17" x14ac:dyDescent="0.3">
      <c r="A724" s="1">
        <v>45441</v>
      </c>
      <c r="B724">
        <v>2340.3000000000002</v>
      </c>
      <c r="C724">
        <v>2340.3000000000002</v>
      </c>
      <c r="D724">
        <v>2340.3000000000002</v>
      </c>
      <c r="E724">
        <v>2340.3000000000002</v>
      </c>
      <c r="F724">
        <v>119317</v>
      </c>
      <c r="G724">
        <v>2379.1143000000002</v>
      </c>
      <c r="H724">
        <v>2350.4133000000002</v>
      </c>
      <c r="I724">
        <v>2201.9778000000001</v>
      </c>
      <c r="J724">
        <v>0.14549999999999999</v>
      </c>
      <c r="K724">
        <v>1.1213</v>
      </c>
      <c r="L724">
        <v>1.0673999999999999</v>
      </c>
      <c r="M724">
        <v>54.481400000000001</v>
      </c>
      <c r="N724">
        <v>15.0085</v>
      </c>
      <c r="O724">
        <v>21.8001</v>
      </c>
      <c r="P724">
        <v>2431.65</v>
      </c>
      <c r="Q724">
        <v>2271.15</v>
      </c>
    </row>
    <row r="725" spans="1:17" x14ac:dyDescent="0.3">
      <c r="A725" s="1">
        <v>45442</v>
      </c>
      <c r="B725">
        <v>2342.8998999999999</v>
      </c>
      <c r="C725">
        <v>2349.5</v>
      </c>
      <c r="D725">
        <v>2320.8000000000002</v>
      </c>
      <c r="E725">
        <v>2336.8998999999999</v>
      </c>
      <c r="F725">
        <v>32587</v>
      </c>
      <c r="G725">
        <v>2367.8427999999999</v>
      </c>
      <c r="H725">
        <v>2348.8366999999998</v>
      </c>
      <c r="I725">
        <v>2205.4843999999998</v>
      </c>
      <c r="J725">
        <v>-0.14530000000000001</v>
      </c>
      <c r="K725">
        <v>0.84089999999999998</v>
      </c>
      <c r="L725">
        <v>1.0673999999999999</v>
      </c>
      <c r="M725">
        <v>54.390099999999997</v>
      </c>
      <c r="N725">
        <v>11.8529</v>
      </c>
      <c r="O725">
        <v>19.810700000000001</v>
      </c>
      <c r="P725">
        <v>2428.7238000000002</v>
      </c>
      <c r="Q725">
        <v>2278.9962</v>
      </c>
    </row>
    <row r="726" spans="1:17" x14ac:dyDescent="0.3">
      <c r="A726" s="1">
        <v>45443</v>
      </c>
      <c r="B726">
        <v>2322.8998999999999</v>
      </c>
      <c r="C726">
        <v>2354</v>
      </c>
      <c r="D726">
        <v>2319</v>
      </c>
      <c r="E726">
        <v>2344.1001000000001</v>
      </c>
      <c r="F726">
        <v>941</v>
      </c>
      <c r="G726">
        <v>2355.6428999999998</v>
      </c>
      <c r="H726">
        <v>2348.0266999999999</v>
      </c>
      <c r="I726">
        <v>2208.9711000000002</v>
      </c>
      <c r="J726">
        <v>0.30809999999999998</v>
      </c>
      <c r="K726">
        <v>0.79190000000000005</v>
      </c>
      <c r="L726">
        <v>1.0632999999999999</v>
      </c>
      <c r="M726">
        <v>45.3414</v>
      </c>
      <c r="N726">
        <v>9.8199000000000005</v>
      </c>
      <c r="O726">
        <v>17.8125</v>
      </c>
      <c r="P726">
        <v>2428.4757</v>
      </c>
      <c r="Q726">
        <v>2281.4843000000001</v>
      </c>
    </row>
    <row r="727" spans="1:17" x14ac:dyDescent="0.3">
      <c r="A727" s="1">
        <v>45446</v>
      </c>
      <c r="B727">
        <v>2346.6001000000001</v>
      </c>
      <c r="C727">
        <v>2347.5</v>
      </c>
      <c r="D727">
        <v>2312</v>
      </c>
      <c r="E727">
        <v>2322.6001000000001</v>
      </c>
      <c r="F727">
        <v>781</v>
      </c>
      <c r="G727">
        <v>2342.0857000000001</v>
      </c>
      <c r="H727">
        <v>2346.1367</v>
      </c>
      <c r="I727">
        <v>2212.2977999999998</v>
      </c>
      <c r="J727">
        <v>-0.91720000000000002</v>
      </c>
      <c r="K727">
        <v>0.80669999999999997</v>
      </c>
      <c r="L727">
        <v>1.0710999999999999</v>
      </c>
      <c r="M727">
        <v>43.173999999999999</v>
      </c>
      <c r="N727">
        <v>6.4001000000000001</v>
      </c>
      <c r="O727">
        <v>15.53</v>
      </c>
      <c r="P727">
        <v>2426.6833999999999</v>
      </c>
      <c r="Q727">
        <v>2285.5367000000001</v>
      </c>
    </row>
    <row r="728" spans="1:17" x14ac:dyDescent="0.3">
      <c r="A728" s="1">
        <v>45447</v>
      </c>
      <c r="B728">
        <v>2325.5</v>
      </c>
      <c r="C728">
        <v>2347.6999999999998</v>
      </c>
      <c r="D728">
        <v>2313.8998999999999</v>
      </c>
      <c r="E728">
        <v>2347.5</v>
      </c>
      <c r="F728">
        <v>890</v>
      </c>
      <c r="G728">
        <v>2338.6999999999998</v>
      </c>
      <c r="H728">
        <v>2344.9432999999999</v>
      </c>
      <c r="I728">
        <v>2216.0243999999998</v>
      </c>
      <c r="J728">
        <v>1.0721000000000001</v>
      </c>
      <c r="K728">
        <v>0.7641</v>
      </c>
      <c r="L728">
        <v>1.0908</v>
      </c>
      <c r="M728">
        <v>52.177199999999999</v>
      </c>
      <c r="N728">
        <v>5.6341000000000001</v>
      </c>
      <c r="O728">
        <v>13.550800000000001</v>
      </c>
      <c r="P728">
        <v>2426.3101999999999</v>
      </c>
      <c r="Q728">
        <v>2288.3798999999999</v>
      </c>
    </row>
    <row r="729" spans="1:17" x14ac:dyDescent="0.3">
      <c r="A729" s="1">
        <v>45448</v>
      </c>
      <c r="B729">
        <v>2354.1001000000001</v>
      </c>
      <c r="C729">
        <v>2354.3000000000002</v>
      </c>
      <c r="D729">
        <v>2326.1999999999998</v>
      </c>
      <c r="E729">
        <v>2326.3998999999999</v>
      </c>
      <c r="F729">
        <v>295</v>
      </c>
      <c r="G729">
        <v>2336.3856999999998</v>
      </c>
      <c r="H729">
        <v>2344.9</v>
      </c>
      <c r="I729">
        <v>2219.41</v>
      </c>
      <c r="J729">
        <v>-0.89880000000000004</v>
      </c>
      <c r="K729">
        <v>0.69869999999999999</v>
      </c>
      <c r="L729">
        <v>1.0159</v>
      </c>
      <c r="M729">
        <v>43.220300000000002</v>
      </c>
      <c r="N729">
        <v>3.2866</v>
      </c>
      <c r="O729">
        <v>11.497999999999999</v>
      </c>
      <c r="P729">
        <v>2426.2094000000002</v>
      </c>
      <c r="Q729">
        <v>2288.6905999999999</v>
      </c>
    </row>
    <row r="730" spans="1:17" x14ac:dyDescent="0.3">
      <c r="A730" s="1">
        <v>45449</v>
      </c>
      <c r="B730">
        <v>2370.3000000000002</v>
      </c>
      <c r="C730">
        <v>2375.8000000000002</v>
      </c>
      <c r="D730">
        <v>2355</v>
      </c>
      <c r="E730">
        <v>2355</v>
      </c>
      <c r="F730">
        <v>179</v>
      </c>
      <c r="G730">
        <v>2338.9713999999999</v>
      </c>
      <c r="H730">
        <v>2346.0232999999998</v>
      </c>
      <c r="I730">
        <v>2223.0744</v>
      </c>
      <c r="J730">
        <v>1.2294</v>
      </c>
      <c r="K730">
        <v>0.85219999999999996</v>
      </c>
      <c r="L730">
        <v>1.0385</v>
      </c>
      <c r="M730">
        <v>43.373100000000001</v>
      </c>
      <c r="N730">
        <v>3.6913999999999998</v>
      </c>
      <c r="O730">
        <v>9.9367000000000001</v>
      </c>
      <c r="P730">
        <v>2425.1421999999998</v>
      </c>
      <c r="Q730">
        <v>2293.8978000000002</v>
      </c>
    </row>
    <row r="731" spans="1:17" x14ac:dyDescent="0.3">
      <c r="A731" s="1">
        <v>45450</v>
      </c>
      <c r="B731">
        <v>2305.1999999999998</v>
      </c>
      <c r="C731">
        <v>2385.1001000000001</v>
      </c>
      <c r="D731">
        <v>2285.3998999999999</v>
      </c>
      <c r="E731">
        <v>2379.8998999999999</v>
      </c>
      <c r="F731">
        <v>269</v>
      </c>
      <c r="G731">
        <v>2344.6286</v>
      </c>
      <c r="H731">
        <v>2348.1867000000002</v>
      </c>
      <c r="I731">
        <v>2226.9344000000001</v>
      </c>
      <c r="J731">
        <v>1.0572999999999999</v>
      </c>
      <c r="K731">
        <v>0.92449999999999999</v>
      </c>
      <c r="L731">
        <v>1.0525</v>
      </c>
      <c r="M731">
        <v>49.8553</v>
      </c>
      <c r="N731">
        <v>5.9527999999999999</v>
      </c>
      <c r="O731">
        <v>9.1399000000000008</v>
      </c>
      <c r="P731">
        <v>2424.9602</v>
      </c>
      <c r="Q731">
        <v>2300.9998999999998</v>
      </c>
    </row>
    <row r="732" spans="1:17" x14ac:dyDescent="0.3">
      <c r="A732" s="1">
        <v>45453</v>
      </c>
      <c r="B732">
        <v>2307.6999999999998</v>
      </c>
      <c r="C732">
        <v>2309.3000000000002</v>
      </c>
      <c r="D732">
        <v>2290.5</v>
      </c>
      <c r="E732">
        <v>2290.6001000000001</v>
      </c>
      <c r="F732">
        <v>69</v>
      </c>
      <c r="G732">
        <v>2338.0142999999998</v>
      </c>
      <c r="H732">
        <v>2346.2766999999999</v>
      </c>
      <c r="I732">
        <v>2229.77</v>
      </c>
      <c r="J732">
        <v>-3.7523</v>
      </c>
      <c r="K732">
        <v>1.7835000000000001</v>
      </c>
      <c r="L732">
        <v>1.2359</v>
      </c>
      <c r="M732">
        <v>31.064800000000002</v>
      </c>
      <c r="N732">
        <v>0.53310000000000002</v>
      </c>
      <c r="O732">
        <v>7.4184999999999999</v>
      </c>
      <c r="P732">
        <v>2428.9920000000002</v>
      </c>
      <c r="Q732">
        <v>2289.2979999999998</v>
      </c>
    </row>
    <row r="733" spans="1:17" x14ac:dyDescent="0.3">
      <c r="A733" s="1">
        <v>45454</v>
      </c>
      <c r="B733">
        <v>2307.5</v>
      </c>
      <c r="C733">
        <v>2314.1001000000001</v>
      </c>
      <c r="D733">
        <v>2300</v>
      </c>
      <c r="E733">
        <v>2300</v>
      </c>
      <c r="F733">
        <v>871</v>
      </c>
      <c r="G733">
        <v>2331.7143000000001</v>
      </c>
      <c r="H733">
        <v>2345.1167</v>
      </c>
      <c r="I733">
        <v>2232.6567</v>
      </c>
      <c r="J733">
        <v>0.41039999999999999</v>
      </c>
      <c r="K733">
        <v>1.7895000000000001</v>
      </c>
      <c r="L733">
        <v>1.2355</v>
      </c>
      <c r="M733">
        <v>30.156300000000002</v>
      </c>
      <c r="N733">
        <v>-2.9693999999999998</v>
      </c>
      <c r="O733">
        <v>5.3410000000000002</v>
      </c>
      <c r="P733">
        <v>2430.9234999999999</v>
      </c>
      <c r="Q733">
        <v>2281.5365000000002</v>
      </c>
    </row>
    <row r="734" spans="1:17" x14ac:dyDescent="0.3">
      <c r="A734" s="1">
        <v>45455</v>
      </c>
      <c r="B734">
        <v>2336</v>
      </c>
      <c r="C734">
        <v>2338.6999999999998</v>
      </c>
      <c r="D734">
        <v>2310.3000000000002</v>
      </c>
      <c r="E734">
        <v>2314.8998999999999</v>
      </c>
      <c r="F734">
        <v>132</v>
      </c>
      <c r="G734">
        <v>2330.6143000000002</v>
      </c>
      <c r="H734">
        <v>2344.8633</v>
      </c>
      <c r="I734">
        <v>2235.5466999999999</v>
      </c>
      <c r="J734">
        <v>0.64780000000000004</v>
      </c>
      <c r="K734">
        <v>1.7909999999999999</v>
      </c>
      <c r="L734">
        <v>1.2383</v>
      </c>
      <c r="M734">
        <v>34.416800000000002</v>
      </c>
      <c r="N734">
        <v>-4.4909999999999997</v>
      </c>
      <c r="O734">
        <v>3.3746</v>
      </c>
      <c r="P734">
        <v>2431.6464999999998</v>
      </c>
      <c r="Q734">
        <v>2278.7035000000001</v>
      </c>
    </row>
    <row r="735" spans="1:17" x14ac:dyDescent="0.3">
      <c r="A735" s="1">
        <v>45456</v>
      </c>
      <c r="B735">
        <v>2300.1999999999998</v>
      </c>
      <c r="C735">
        <v>2317.6999999999998</v>
      </c>
      <c r="D735">
        <v>2296.1999999999998</v>
      </c>
      <c r="E735">
        <v>2309.3998999999999</v>
      </c>
      <c r="F735">
        <v>298</v>
      </c>
      <c r="G735">
        <v>2325.1714000000002</v>
      </c>
      <c r="H735">
        <v>2345.5866999999998</v>
      </c>
      <c r="I735">
        <v>2238.5522000000001</v>
      </c>
      <c r="J735">
        <v>-0.23760000000000001</v>
      </c>
      <c r="K735">
        <v>1.7234</v>
      </c>
      <c r="L735">
        <v>1.2068000000000001</v>
      </c>
      <c r="M735">
        <v>39.285699999999999</v>
      </c>
      <c r="N735">
        <v>-6.0707000000000004</v>
      </c>
      <c r="O735">
        <v>1.4855</v>
      </c>
      <c r="P735">
        <v>2431.6324</v>
      </c>
      <c r="Q735">
        <v>2273.4976000000001</v>
      </c>
    </row>
    <row r="736" spans="1:17" x14ac:dyDescent="0.3">
      <c r="A736" s="1">
        <v>45457</v>
      </c>
      <c r="B736">
        <v>2331.3998999999999</v>
      </c>
      <c r="C736">
        <v>2331.3998999999999</v>
      </c>
      <c r="D736">
        <v>2305.8000000000002</v>
      </c>
      <c r="E736">
        <v>2307</v>
      </c>
      <c r="F736">
        <v>948</v>
      </c>
      <c r="G736">
        <v>2322.4</v>
      </c>
      <c r="H736">
        <v>2345.0967000000001</v>
      </c>
      <c r="I736">
        <v>2241.6756</v>
      </c>
      <c r="J736">
        <v>-0.10390000000000001</v>
      </c>
      <c r="K736">
        <v>1.6972</v>
      </c>
      <c r="L736">
        <v>1.1755</v>
      </c>
      <c r="M736">
        <v>43.211300000000001</v>
      </c>
      <c r="N736">
        <v>-7.4306999999999999</v>
      </c>
      <c r="O736">
        <v>-0.29770000000000002</v>
      </c>
      <c r="P736">
        <v>2428.0005999999998</v>
      </c>
      <c r="Q736">
        <v>2268.8793999999998</v>
      </c>
    </row>
    <row r="737" spans="1:17" x14ac:dyDescent="0.3">
      <c r="A737" s="1">
        <v>45460</v>
      </c>
      <c r="B737">
        <v>2312.3998999999999</v>
      </c>
      <c r="C737">
        <v>2320.1999999999998</v>
      </c>
      <c r="D737">
        <v>2309.6001000000001</v>
      </c>
      <c r="E737">
        <v>2320.1999999999998</v>
      </c>
      <c r="F737">
        <v>110</v>
      </c>
      <c r="G737">
        <v>2317.4285</v>
      </c>
      <c r="H737">
        <v>2345.77</v>
      </c>
      <c r="I737">
        <v>2244.8688999999999</v>
      </c>
      <c r="J737">
        <v>0.57220000000000004</v>
      </c>
      <c r="K737">
        <v>1.6277999999999999</v>
      </c>
      <c r="L737">
        <v>1.167</v>
      </c>
      <c r="M737">
        <v>46.904000000000003</v>
      </c>
      <c r="N737">
        <v>-7.3585000000000003</v>
      </c>
      <c r="O737">
        <v>-1.7099</v>
      </c>
      <c r="P737">
        <v>2424.4097000000002</v>
      </c>
      <c r="Q737">
        <v>2266.4203000000002</v>
      </c>
    </row>
    <row r="738" spans="1:17" x14ac:dyDescent="0.3">
      <c r="A738" s="1">
        <v>45461</v>
      </c>
      <c r="B738">
        <v>2330.3998999999999</v>
      </c>
      <c r="C738">
        <v>2330.3998999999999</v>
      </c>
      <c r="D738">
        <v>2311.8000000000002</v>
      </c>
      <c r="E738">
        <v>2311.8000000000002</v>
      </c>
      <c r="F738">
        <v>43</v>
      </c>
      <c r="G738">
        <v>2307.6999999999998</v>
      </c>
      <c r="H738">
        <v>2345.4032999999999</v>
      </c>
      <c r="I738">
        <v>2248.0221999999999</v>
      </c>
      <c r="J738">
        <v>-0.36199999999999999</v>
      </c>
      <c r="K738">
        <v>1.5304</v>
      </c>
      <c r="L738">
        <v>1.1549</v>
      </c>
      <c r="M738">
        <v>44.8125</v>
      </c>
      <c r="N738">
        <v>-7.8882000000000003</v>
      </c>
      <c r="O738">
        <v>-2.9455</v>
      </c>
      <c r="P738">
        <v>2413.1617999999999</v>
      </c>
      <c r="Q738">
        <v>2267.2682</v>
      </c>
    </row>
    <row r="739" spans="1:17" x14ac:dyDescent="0.3">
      <c r="A739" s="1">
        <v>45463</v>
      </c>
      <c r="B739">
        <v>2353.8000000000002</v>
      </c>
      <c r="C739">
        <v>2354</v>
      </c>
      <c r="D739">
        <v>2328.3000000000002</v>
      </c>
      <c r="E739">
        <v>2328.8998999999999</v>
      </c>
      <c r="F739">
        <v>183</v>
      </c>
      <c r="G739">
        <v>2313.1714000000002</v>
      </c>
      <c r="H739">
        <v>2345.5567000000001</v>
      </c>
      <c r="I739">
        <v>2251.3211000000001</v>
      </c>
      <c r="J739">
        <v>0.73970000000000002</v>
      </c>
      <c r="K739">
        <v>0.45900000000000002</v>
      </c>
      <c r="L739">
        <v>1.1629</v>
      </c>
      <c r="M739">
        <v>48.613</v>
      </c>
      <c r="N739">
        <v>-6.8491999999999997</v>
      </c>
      <c r="O739">
        <v>-3.7263000000000002</v>
      </c>
      <c r="P739">
        <v>2394.8791000000001</v>
      </c>
      <c r="Q739">
        <v>2275.4908999999998</v>
      </c>
    </row>
    <row r="740" spans="1:17" x14ac:dyDescent="0.3">
      <c r="A740" s="1">
        <v>45464</v>
      </c>
      <c r="B740">
        <v>2316.3998999999999</v>
      </c>
      <c r="C740">
        <v>2331.1999999999998</v>
      </c>
      <c r="D740">
        <v>2316.3998999999999</v>
      </c>
      <c r="E740">
        <v>2331.1999999999998</v>
      </c>
      <c r="F740">
        <v>76</v>
      </c>
      <c r="G740">
        <v>2317.6284999999998</v>
      </c>
      <c r="H740">
        <v>2346.1433000000002</v>
      </c>
      <c r="I740">
        <v>2254.7177999999999</v>
      </c>
      <c r="J740">
        <v>9.8799999999999999E-2</v>
      </c>
      <c r="K740">
        <v>0.4546</v>
      </c>
      <c r="L740">
        <v>1.1596</v>
      </c>
      <c r="M740">
        <v>47.724800000000002</v>
      </c>
      <c r="N740">
        <v>-5.7736000000000001</v>
      </c>
      <c r="O740">
        <v>-4.1356999999999999</v>
      </c>
      <c r="P740">
        <v>2376.2775999999999</v>
      </c>
      <c r="Q740">
        <v>2285.4623000000001</v>
      </c>
    </row>
    <row r="741" spans="1:17" x14ac:dyDescent="0.3">
      <c r="A741" s="1">
        <v>45467</v>
      </c>
      <c r="B741">
        <v>2330</v>
      </c>
      <c r="C741">
        <v>2332.8998999999999</v>
      </c>
      <c r="D741">
        <v>2322.6999999999998</v>
      </c>
      <c r="E741">
        <v>2323.3000000000002</v>
      </c>
      <c r="F741">
        <v>99</v>
      </c>
      <c r="G741">
        <v>2318.8285000000001</v>
      </c>
      <c r="H741">
        <v>2346.5632999999998</v>
      </c>
      <c r="I741">
        <v>2258.0311000000002</v>
      </c>
      <c r="J741">
        <v>-0.33889999999999998</v>
      </c>
      <c r="K741">
        <v>0.44309999999999999</v>
      </c>
      <c r="L741">
        <v>1.1612</v>
      </c>
      <c r="M741">
        <v>50.1297</v>
      </c>
      <c r="N741">
        <v>-5.4953000000000003</v>
      </c>
      <c r="O741">
        <v>-4.4077000000000002</v>
      </c>
      <c r="P741">
        <v>2369.7950000000001</v>
      </c>
      <c r="Q741">
        <v>2287.1550000000002</v>
      </c>
    </row>
    <row r="742" spans="1:17" x14ac:dyDescent="0.3">
      <c r="A742" s="1">
        <v>45468</v>
      </c>
      <c r="B742">
        <v>2316.6001000000001</v>
      </c>
      <c r="C742">
        <v>2333</v>
      </c>
      <c r="D742">
        <v>2316.6001000000001</v>
      </c>
      <c r="E742">
        <v>2324.3998999999999</v>
      </c>
      <c r="F742">
        <v>105</v>
      </c>
      <c r="G742">
        <v>2320.9713999999999</v>
      </c>
      <c r="H742">
        <v>2345.1333</v>
      </c>
      <c r="I742">
        <v>2261.7433000000001</v>
      </c>
      <c r="J742">
        <v>4.7300000000000002E-2</v>
      </c>
      <c r="K742">
        <v>0.42470000000000002</v>
      </c>
      <c r="L742">
        <v>1.0672999999999999</v>
      </c>
      <c r="M742">
        <v>45.306699999999999</v>
      </c>
      <c r="N742">
        <v>-5.1269</v>
      </c>
      <c r="O742">
        <v>-4.5514999999999999</v>
      </c>
      <c r="P742">
        <v>2368.3737000000001</v>
      </c>
      <c r="Q742">
        <v>2286.7563</v>
      </c>
    </row>
    <row r="743" spans="1:17" x14ac:dyDescent="0.3">
      <c r="A743" s="1">
        <v>45469</v>
      </c>
      <c r="B743">
        <v>2299.1999999999998</v>
      </c>
      <c r="C743">
        <v>2314.3998999999999</v>
      </c>
      <c r="D743">
        <v>2298</v>
      </c>
      <c r="E743">
        <v>2307.8998999999999</v>
      </c>
      <c r="F743">
        <v>986</v>
      </c>
      <c r="G743">
        <v>2321.1</v>
      </c>
      <c r="H743">
        <v>2343.4533000000001</v>
      </c>
      <c r="I743">
        <v>2265.2356</v>
      </c>
      <c r="J743">
        <v>-0.70989999999999998</v>
      </c>
      <c r="K743">
        <v>0.5222</v>
      </c>
      <c r="L743">
        <v>1.0724</v>
      </c>
      <c r="M743">
        <v>46.169800000000002</v>
      </c>
      <c r="N743">
        <v>-6.0960999999999999</v>
      </c>
      <c r="O743">
        <v>-4.8604000000000003</v>
      </c>
      <c r="P743">
        <v>2367.5826000000002</v>
      </c>
      <c r="Q743">
        <v>2284.6473000000001</v>
      </c>
    </row>
    <row r="744" spans="1:17" x14ac:dyDescent="0.3">
      <c r="A744" s="1">
        <v>45470</v>
      </c>
      <c r="B744">
        <v>2324.5</v>
      </c>
      <c r="C744">
        <v>2329</v>
      </c>
      <c r="D744">
        <v>2295</v>
      </c>
      <c r="E744">
        <v>2296.8000000000002</v>
      </c>
      <c r="F744">
        <v>1532</v>
      </c>
      <c r="G744">
        <v>2317.7570999999998</v>
      </c>
      <c r="H744">
        <v>2342.1466999999998</v>
      </c>
      <c r="I744">
        <v>2268.4778000000001</v>
      </c>
      <c r="J744">
        <v>-0.48099999999999998</v>
      </c>
      <c r="K744">
        <v>0.48230000000000001</v>
      </c>
      <c r="L744">
        <v>1.0626</v>
      </c>
      <c r="M744">
        <v>37.008899999999997</v>
      </c>
      <c r="N744">
        <v>-7.6714000000000002</v>
      </c>
      <c r="O744">
        <v>-5.4226000000000001</v>
      </c>
      <c r="P744">
        <v>2366.8143</v>
      </c>
      <c r="Q744">
        <v>2281.0657000000001</v>
      </c>
    </row>
    <row r="745" spans="1:17" x14ac:dyDescent="0.3">
      <c r="A745" s="1">
        <v>45471</v>
      </c>
      <c r="B745">
        <v>2327.6999999999998</v>
      </c>
      <c r="C745">
        <v>2338.3000000000002</v>
      </c>
      <c r="D745">
        <v>2319</v>
      </c>
      <c r="E745">
        <v>2325.3998999999999</v>
      </c>
      <c r="F745">
        <v>92</v>
      </c>
      <c r="G745">
        <v>2319.6999999999998</v>
      </c>
      <c r="H745">
        <v>2340.94</v>
      </c>
      <c r="I745">
        <v>2271.92</v>
      </c>
      <c r="J745">
        <v>1.2452000000000001</v>
      </c>
      <c r="K745">
        <v>0.69620000000000004</v>
      </c>
      <c r="L745">
        <v>1.0685</v>
      </c>
      <c r="M745">
        <v>38.032400000000003</v>
      </c>
      <c r="N745">
        <v>-6.5368000000000004</v>
      </c>
      <c r="O745">
        <v>-5.6455000000000002</v>
      </c>
      <c r="P745">
        <v>2365.8137999999999</v>
      </c>
      <c r="Q745">
        <v>2280.9162000000001</v>
      </c>
    </row>
    <row r="746" spans="1:17" x14ac:dyDescent="0.3">
      <c r="A746" s="1">
        <v>45474</v>
      </c>
      <c r="B746">
        <v>2327.6001000000001</v>
      </c>
      <c r="C746">
        <v>2329.6999999999998</v>
      </c>
      <c r="D746">
        <v>2321.6999999999998</v>
      </c>
      <c r="E746">
        <v>2323.8000000000002</v>
      </c>
      <c r="F746">
        <v>237</v>
      </c>
      <c r="G746">
        <v>2318.9713999999999</v>
      </c>
      <c r="H746">
        <v>2338.75</v>
      </c>
      <c r="I746">
        <v>2275.2044000000001</v>
      </c>
      <c r="J746">
        <v>-6.88E-2</v>
      </c>
      <c r="K746">
        <v>0.63390000000000002</v>
      </c>
      <c r="L746">
        <v>1.0429999999999999</v>
      </c>
      <c r="M746">
        <v>61.857199999999999</v>
      </c>
      <c r="N746">
        <v>-5.7008999999999999</v>
      </c>
      <c r="O746">
        <v>-5.6565000000000003</v>
      </c>
      <c r="P746">
        <v>2363.6669000000002</v>
      </c>
      <c r="Q746">
        <v>2281.0329999999999</v>
      </c>
    </row>
    <row r="747" spans="1:17" x14ac:dyDescent="0.3">
      <c r="A747" s="1">
        <v>45475</v>
      </c>
      <c r="B747">
        <v>2323</v>
      </c>
      <c r="C747">
        <v>2334.6001000000001</v>
      </c>
      <c r="D747">
        <v>2323</v>
      </c>
      <c r="E747">
        <v>2330.6999999999998</v>
      </c>
      <c r="F747">
        <v>30</v>
      </c>
      <c r="G747">
        <v>2318.9</v>
      </c>
      <c r="H747">
        <v>2337.0832999999998</v>
      </c>
      <c r="I747">
        <v>2278.5100000000002</v>
      </c>
      <c r="J747">
        <v>0.2969</v>
      </c>
      <c r="K747">
        <v>0.64490000000000003</v>
      </c>
      <c r="L747">
        <v>1.0439000000000001</v>
      </c>
      <c r="M747">
        <v>61.163699999999999</v>
      </c>
      <c r="N747">
        <v>-4.4306999999999999</v>
      </c>
      <c r="O747">
        <v>-5.4114000000000004</v>
      </c>
      <c r="P747">
        <v>2364.2406999999998</v>
      </c>
      <c r="Q747">
        <v>2281.2692999999999</v>
      </c>
    </row>
    <row r="748" spans="1:17" x14ac:dyDescent="0.3">
      <c r="A748" s="1">
        <v>45476</v>
      </c>
      <c r="B748">
        <v>2359.8000000000002</v>
      </c>
      <c r="C748">
        <v>2361.6001000000001</v>
      </c>
      <c r="D748">
        <v>2330.8998999999999</v>
      </c>
      <c r="E748">
        <v>2330.8998999999999</v>
      </c>
      <c r="F748">
        <v>59</v>
      </c>
      <c r="G748">
        <v>2319.9857000000002</v>
      </c>
      <c r="H748">
        <v>2334.2532999999999</v>
      </c>
      <c r="I748">
        <v>2281.8978000000002</v>
      </c>
      <c r="J748">
        <v>8.6E-3</v>
      </c>
      <c r="K748">
        <v>0.62780000000000002</v>
      </c>
      <c r="L748">
        <v>1.0028999999999999</v>
      </c>
      <c r="M748">
        <v>56.514699999999998</v>
      </c>
      <c r="N748">
        <v>-3.3690000000000002</v>
      </c>
      <c r="O748">
        <v>-5.0029000000000003</v>
      </c>
      <c r="P748">
        <v>2361.9652000000001</v>
      </c>
      <c r="Q748">
        <v>2281.8847000000001</v>
      </c>
    </row>
    <row r="749" spans="1:17" x14ac:dyDescent="0.3">
      <c r="A749" s="1">
        <v>45478</v>
      </c>
      <c r="B749">
        <v>2388.5</v>
      </c>
      <c r="C749">
        <v>2388.5</v>
      </c>
      <c r="D749">
        <v>2354.8998999999999</v>
      </c>
      <c r="E749">
        <v>2354.8998999999999</v>
      </c>
      <c r="F749">
        <v>72</v>
      </c>
      <c r="G749">
        <v>2324.3427999999999</v>
      </c>
      <c r="H749">
        <v>2331.7665999999999</v>
      </c>
      <c r="I749">
        <v>2285.4621999999999</v>
      </c>
      <c r="J749">
        <v>1.0296000000000001</v>
      </c>
      <c r="K749">
        <v>0.72909999999999997</v>
      </c>
      <c r="L749">
        <v>1.0172000000000001</v>
      </c>
      <c r="M749">
        <v>66.1006</v>
      </c>
      <c r="N749">
        <v>-0.58430000000000004</v>
      </c>
      <c r="O749">
        <v>-4.1192000000000002</v>
      </c>
      <c r="P749">
        <v>2366.0039999999999</v>
      </c>
      <c r="Q749">
        <v>2280.6959000000002</v>
      </c>
    </row>
    <row r="750" spans="1:17" x14ac:dyDescent="0.3">
      <c r="A750" s="1">
        <v>45481</v>
      </c>
      <c r="B750">
        <v>2355.1999999999998</v>
      </c>
      <c r="C750">
        <v>2383.8000000000002</v>
      </c>
      <c r="D750">
        <v>2352.8000000000002</v>
      </c>
      <c r="E750">
        <v>2381.6999999999998</v>
      </c>
      <c r="F750">
        <v>64</v>
      </c>
      <c r="G750">
        <v>2334.8856999999998</v>
      </c>
      <c r="H750">
        <v>2330.5733</v>
      </c>
      <c r="I750">
        <v>2289.3044</v>
      </c>
      <c r="J750">
        <v>1.1380999999999999</v>
      </c>
      <c r="K750">
        <v>0.68259999999999998</v>
      </c>
      <c r="L750">
        <v>1.0387</v>
      </c>
      <c r="M750">
        <v>72.540899999999993</v>
      </c>
      <c r="N750">
        <v>3.742</v>
      </c>
      <c r="O750">
        <v>-2.5468999999999999</v>
      </c>
      <c r="P750">
        <v>2372.8281000000002</v>
      </c>
      <c r="Q750">
        <v>2276.5418</v>
      </c>
    </row>
    <row r="751" spans="1:17" x14ac:dyDescent="0.3">
      <c r="A751" s="1">
        <v>45482</v>
      </c>
      <c r="B751">
        <v>2360.1001000000001</v>
      </c>
      <c r="C751">
        <v>2363.6999999999998</v>
      </c>
      <c r="D751">
        <v>2360.1001000000001</v>
      </c>
      <c r="E751">
        <v>2363.1001000000001</v>
      </c>
      <c r="F751">
        <v>9</v>
      </c>
      <c r="G751">
        <v>2344.3571000000002</v>
      </c>
      <c r="H751">
        <v>2330.3033</v>
      </c>
      <c r="I751">
        <v>2293.0111000000002</v>
      </c>
      <c r="J751">
        <v>-0.78090000000000004</v>
      </c>
      <c r="K751">
        <v>0.75639999999999996</v>
      </c>
      <c r="L751">
        <v>0.98770000000000002</v>
      </c>
      <c r="M751">
        <v>62.536700000000003</v>
      </c>
      <c r="N751">
        <v>5.6052</v>
      </c>
      <c r="O751">
        <v>-0.91649999999999998</v>
      </c>
      <c r="P751">
        <v>2368.3829999999998</v>
      </c>
      <c r="Q751">
        <v>2279.3069</v>
      </c>
    </row>
    <row r="752" spans="1:17" x14ac:dyDescent="0.3">
      <c r="A752" s="1">
        <v>45483</v>
      </c>
      <c r="B752">
        <v>2372.1999999999998</v>
      </c>
      <c r="C752">
        <v>2377</v>
      </c>
      <c r="D752">
        <v>2365.8000000000002</v>
      </c>
      <c r="E752">
        <v>2366.3000000000002</v>
      </c>
      <c r="F752">
        <v>19</v>
      </c>
      <c r="G752">
        <v>2350.1999999999998</v>
      </c>
      <c r="H752">
        <v>2331.0933</v>
      </c>
      <c r="I752">
        <v>2296.6999999999998</v>
      </c>
      <c r="J752">
        <v>0.13539999999999999</v>
      </c>
      <c r="K752">
        <v>0.66259999999999997</v>
      </c>
      <c r="L752">
        <v>0.96150000000000002</v>
      </c>
      <c r="M752">
        <v>66.425700000000006</v>
      </c>
      <c r="N752">
        <v>7.2563000000000004</v>
      </c>
      <c r="O752">
        <v>0.71809999999999996</v>
      </c>
      <c r="P752">
        <v>2373.1282999999999</v>
      </c>
      <c r="Q752">
        <v>2282.1316000000002</v>
      </c>
    </row>
    <row r="753" spans="1:17" x14ac:dyDescent="0.3">
      <c r="A753" s="1">
        <v>45484</v>
      </c>
      <c r="B753">
        <v>2415</v>
      </c>
      <c r="C753">
        <v>2416.6999999999998</v>
      </c>
      <c r="D753">
        <v>2378.6999999999998</v>
      </c>
      <c r="E753">
        <v>2378.6999999999998</v>
      </c>
      <c r="F753">
        <v>72</v>
      </c>
      <c r="G753">
        <v>2358.0428000000002</v>
      </c>
      <c r="H753">
        <v>2332.4866000000002</v>
      </c>
      <c r="I753">
        <v>2300.4288999999999</v>
      </c>
      <c r="J753">
        <v>0.52400000000000002</v>
      </c>
      <c r="K753">
        <v>0.65269999999999995</v>
      </c>
      <c r="L753">
        <v>0.96399999999999997</v>
      </c>
      <c r="M753">
        <v>65.446799999999996</v>
      </c>
      <c r="N753">
        <v>9.4564000000000004</v>
      </c>
      <c r="O753">
        <v>2.4657</v>
      </c>
      <c r="P753">
        <v>2380.4859999999999</v>
      </c>
      <c r="Q753">
        <v>2282.6439999999998</v>
      </c>
    </row>
    <row r="754" spans="1:17" x14ac:dyDescent="0.3">
      <c r="A754" s="1">
        <v>45485</v>
      </c>
      <c r="B754">
        <v>2414</v>
      </c>
      <c r="C754">
        <v>2414</v>
      </c>
      <c r="D754">
        <v>2391.3000000000002</v>
      </c>
      <c r="E754">
        <v>2399.8000000000002</v>
      </c>
      <c r="F754">
        <v>355</v>
      </c>
      <c r="G754">
        <v>2367.9142999999999</v>
      </c>
      <c r="H754">
        <v>2334.4699999999998</v>
      </c>
      <c r="I754">
        <v>2303.9422</v>
      </c>
      <c r="J754">
        <v>0.88700000000000001</v>
      </c>
      <c r="K754">
        <v>0.68420000000000003</v>
      </c>
      <c r="L754">
        <v>0.97560000000000002</v>
      </c>
      <c r="M754">
        <v>69.055700000000002</v>
      </c>
      <c r="N754">
        <v>12.755599999999999</v>
      </c>
      <c r="O754">
        <v>4.5236999999999998</v>
      </c>
      <c r="P754">
        <v>2392.7233999999999</v>
      </c>
      <c r="Q754">
        <v>2278.8964999999998</v>
      </c>
    </row>
    <row r="755" spans="1:17" x14ac:dyDescent="0.3">
      <c r="A755" s="1">
        <v>45488</v>
      </c>
      <c r="B755">
        <v>2422.8998999999999</v>
      </c>
      <c r="C755">
        <v>2436</v>
      </c>
      <c r="D755">
        <v>2422.8998999999999</v>
      </c>
      <c r="E755">
        <v>2430</v>
      </c>
      <c r="F755">
        <v>540</v>
      </c>
      <c r="G755">
        <v>2382.0713999999998</v>
      </c>
      <c r="H755">
        <v>2337.5733</v>
      </c>
      <c r="I755">
        <v>2307.4432999999999</v>
      </c>
      <c r="J755">
        <v>1.2584</v>
      </c>
      <c r="K755">
        <v>0.72099999999999997</v>
      </c>
      <c r="L755">
        <v>0.99739999999999995</v>
      </c>
      <c r="M755">
        <v>76.371799999999993</v>
      </c>
      <c r="N755">
        <v>17.604099999999999</v>
      </c>
      <c r="O755">
        <v>7.1398000000000001</v>
      </c>
      <c r="P755">
        <v>2411.1720999999998</v>
      </c>
      <c r="Q755">
        <v>2272.5079000000001</v>
      </c>
    </row>
    <row r="756" spans="1:17" x14ac:dyDescent="0.3">
      <c r="A756" s="1">
        <v>45489</v>
      </c>
      <c r="B756">
        <v>2462.3998999999999</v>
      </c>
      <c r="C756">
        <v>2462.3998999999999</v>
      </c>
      <c r="D756">
        <v>2427.3998999999999</v>
      </c>
      <c r="E756">
        <v>2427.3998999999999</v>
      </c>
      <c r="F756">
        <v>93</v>
      </c>
      <c r="G756">
        <v>2392.4286000000002</v>
      </c>
      <c r="H756">
        <v>2340.35</v>
      </c>
      <c r="I756">
        <v>2310.7977999999998</v>
      </c>
      <c r="J756">
        <v>-0.107</v>
      </c>
      <c r="K756">
        <v>0.73560000000000003</v>
      </c>
      <c r="L756">
        <v>0.99780000000000002</v>
      </c>
      <c r="M756">
        <v>75.27</v>
      </c>
      <c r="N756">
        <v>20.994800000000001</v>
      </c>
      <c r="O756">
        <v>9.9108000000000001</v>
      </c>
      <c r="P756">
        <v>2424.9310999999998</v>
      </c>
      <c r="Q756">
        <v>2270.7887999999998</v>
      </c>
    </row>
    <row r="757" spans="1:17" x14ac:dyDescent="0.3">
      <c r="A757" s="1">
        <v>45490</v>
      </c>
      <c r="B757">
        <v>2454.8000000000002</v>
      </c>
      <c r="C757">
        <v>2473.1001000000001</v>
      </c>
      <c r="D757">
        <v>2454.8000000000002</v>
      </c>
      <c r="E757">
        <v>2472.8998999999999</v>
      </c>
      <c r="F757">
        <v>10</v>
      </c>
      <c r="G757">
        <v>2405.4571000000001</v>
      </c>
      <c r="H757">
        <v>2345.36</v>
      </c>
      <c r="I757">
        <v>2314.4189000000001</v>
      </c>
      <c r="J757">
        <v>1.8744000000000001</v>
      </c>
      <c r="K757">
        <v>0.88929999999999998</v>
      </c>
      <c r="L757">
        <v>1.0273000000000001</v>
      </c>
      <c r="M757">
        <v>85.438199999999995</v>
      </c>
      <c r="N757">
        <v>27.041699999999999</v>
      </c>
      <c r="O757">
        <v>13.337</v>
      </c>
      <c r="P757">
        <v>2449.4366</v>
      </c>
      <c r="Q757">
        <v>2261.5533999999998</v>
      </c>
    </row>
    <row r="758" spans="1:17" x14ac:dyDescent="0.3">
      <c r="A758" s="1">
        <v>45491</v>
      </c>
      <c r="B758">
        <v>2451.8000000000002</v>
      </c>
      <c r="C758">
        <v>2466</v>
      </c>
      <c r="D758">
        <v>2451.8000000000002</v>
      </c>
      <c r="E758">
        <v>2466</v>
      </c>
      <c r="F758">
        <v>2</v>
      </c>
      <c r="G758">
        <v>2420.1570999999999</v>
      </c>
      <c r="H758">
        <v>2349.31</v>
      </c>
      <c r="I758">
        <v>2317.7377999999999</v>
      </c>
      <c r="J758">
        <v>-0.27900000000000003</v>
      </c>
      <c r="K758">
        <v>0.77810000000000001</v>
      </c>
      <c r="L758">
        <v>1.018</v>
      </c>
      <c r="M758">
        <v>87.007999999999996</v>
      </c>
      <c r="N758">
        <v>30.9207</v>
      </c>
      <c r="O758">
        <v>16.8537</v>
      </c>
      <c r="P758">
        <v>2466.8562999999999</v>
      </c>
      <c r="Q758">
        <v>2259.5536000000002</v>
      </c>
    </row>
    <row r="759" spans="1:17" x14ac:dyDescent="0.3">
      <c r="A759" s="1">
        <v>45492</v>
      </c>
      <c r="B759">
        <v>2395.5</v>
      </c>
      <c r="C759">
        <v>2419.1999999999998</v>
      </c>
      <c r="D759">
        <v>2395.5</v>
      </c>
      <c r="E759">
        <v>2418.8000000000002</v>
      </c>
      <c r="F759">
        <v>15</v>
      </c>
      <c r="G759">
        <v>2427.6570999999999</v>
      </c>
      <c r="H759">
        <v>2352.39</v>
      </c>
      <c r="I759">
        <v>2320.38</v>
      </c>
      <c r="J759">
        <v>-1.9139999999999999</v>
      </c>
      <c r="K759">
        <v>1.2377</v>
      </c>
      <c r="L759">
        <v>1.0703</v>
      </c>
      <c r="M759">
        <v>68.8917</v>
      </c>
      <c r="N759">
        <v>29.842199999999998</v>
      </c>
      <c r="O759">
        <v>19.4514</v>
      </c>
      <c r="P759">
        <v>2472.8735000000001</v>
      </c>
      <c r="Q759">
        <v>2262.5264999999999</v>
      </c>
    </row>
    <row r="760" spans="1:17" x14ac:dyDescent="0.3">
      <c r="A760" s="1">
        <v>45495</v>
      </c>
      <c r="B760">
        <v>2392</v>
      </c>
      <c r="C760">
        <v>2402.1001000000001</v>
      </c>
      <c r="D760">
        <v>2392</v>
      </c>
      <c r="E760">
        <v>2402.1001000000001</v>
      </c>
      <c r="F760">
        <v>18</v>
      </c>
      <c r="G760">
        <v>2431</v>
      </c>
      <c r="H760">
        <v>2353.96</v>
      </c>
      <c r="I760">
        <v>2322.8200000000002</v>
      </c>
      <c r="J760">
        <v>-0.69040000000000001</v>
      </c>
      <c r="K760">
        <v>1.2885</v>
      </c>
      <c r="L760">
        <v>1.06</v>
      </c>
      <c r="M760">
        <v>64.925700000000006</v>
      </c>
      <c r="N760">
        <v>27.324999999999999</v>
      </c>
      <c r="O760">
        <v>21.0261</v>
      </c>
      <c r="P760">
        <v>2476.0171999999998</v>
      </c>
      <c r="Q760">
        <v>2266.4728</v>
      </c>
    </row>
    <row r="761" spans="1:17" x14ac:dyDescent="0.3">
      <c r="A761" s="1">
        <v>45496</v>
      </c>
      <c r="B761">
        <v>2404.6001000000001</v>
      </c>
      <c r="C761">
        <v>2404.6001000000001</v>
      </c>
      <c r="D761">
        <v>2388.6999999999998</v>
      </c>
      <c r="E761">
        <v>2395.8000000000002</v>
      </c>
      <c r="F761">
        <v>41</v>
      </c>
      <c r="G761">
        <v>2430.4286000000002</v>
      </c>
      <c r="H761">
        <v>2354.4899999999998</v>
      </c>
      <c r="I761">
        <v>2325.4122000000002</v>
      </c>
      <c r="J761">
        <v>-0.26229999999999998</v>
      </c>
      <c r="K761">
        <v>1.2512000000000001</v>
      </c>
      <c r="L761">
        <v>1.0448999999999999</v>
      </c>
      <c r="M761">
        <v>62.437899999999999</v>
      </c>
      <c r="N761">
        <v>24.538799999999998</v>
      </c>
      <c r="O761">
        <v>21.7287</v>
      </c>
      <c r="P761">
        <v>2477.6556</v>
      </c>
      <c r="Q761">
        <v>2272.0844000000002</v>
      </c>
    </row>
    <row r="762" spans="1:17" x14ac:dyDescent="0.3">
      <c r="A762" s="1">
        <v>45497</v>
      </c>
      <c r="B762">
        <v>2413.3000000000002</v>
      </c>
      <c r="C762">
        <v>2421</v>
      </c>
      <c r="D762">
        <v>2411.6001000000001</v>
      </c>
      <c r="E762">
        <v>2421</v>
      </c>
      <c r="F762">
        <v>6</v>
      </c>
      <c r="G762">
        <v>2429.1428999999998</v>
      </c>
      <c r="H762">
        <v>2358.8366000000001</v>
      </c>
      <c r="I762">
        <v>2328.2788999999998</v>
      </c>
      <c r="J762">
        <v>1.0518000000000001</v>
      </c>
      <c r="K762">
        <v>1.2181</v>
      </c>
      <c r="L762">
        <v>0.78029999999999999</v>
      </c>
      <c r="M762">
        <v>65.713300000000004</v>
      </c>
      <c r="N762">
        <v>24.086500000000001</v>
      </c>
      <c r="O762">
        <v>22.200199999999999</v>
      </c>
      <c r="P762">
        <v>2481.5744</v>
      </c>
      <c r="Q762">
        <v>2277.8256000000001</v>
      </c>
    </row>
    <row r="763" spans="1:17" x14ac:dyDescent="0.3">
      <c r="A763" s="1">
        <v>45498</v>
      </c>
      <c r="B763">
        <v>2351.8998999999999</v>
      </c>
      <c r="C763">
        <v>2365.5</v>
      </c>
      <c r="D763">
        <v>2351.8998999999999</v>
      </c>
      <c r="E763">
        <v>2365.5</v>
      </c>
      <c r="F763">
        <v>31</v>
      </c>
      <c r="G763">
        <v>2420.3000000000002</v>
      </c>
      <c r="H763">
        <v>2361.02</v>
      </c>
      <c r="I763">
        <v>2330.5432999999998</v>
      </c>
      <c r="J763">
        <v>-2.2924000000000002</v>
      </c>
      <c r="K763">
        <v>1.4865999999999999</v>
      </c>
      <c r="L763">
        <v>0.90049999999999997</v>
      </c>
      <c r="M763">
        <v>51.665599999999998</v>
      </c>
      <c r="N763">
        <v>19.0303</v>
      </c>
      <c r="O763">
        <v>21.566299999999998</v>
      </c>
      <c r="P763">
        <v>2479.0196000000001</v>
      </c>
      <c r="Q763">
        <v>2286.1404000000002</v>
      </c>
    </row>
    <row r="764" spans="1:17" x14ac:dyDescent="0.3">
      <c r="A764" s="1">
        <v>45499</v>
      </c>
      <c r="B764">
        <v>2380</v>
      </c>
      <c r="C764">
        <v>2386.8998999999999</v>
      </c>
      <c r="D764">
        <v>2368.6999999999998</v>
      </c>
      <c r="E764">
        <v>2368.6999999999998</v>
      </c>
      <c r="F764">
        <v>95</v>
      </c>
      <c r="G764">
        <v>2405.4142999999999</v>
      </c>
      <c r="H764">
        <v>2362.8132999999998</v>
      </c>
      <c r="I764">
        <v>2333.0156000000002</v>
      </c>
      <c r="J764">
        <v>0.1353</v>
      </c>
      <c r="K764">
        <v>1.1608000000000001</v>
      </c>
      <c r="L764">
        <v>0.89449999999999996</v>
      </c>
      <c r="M764">
        <v>47.793599999999998</v>
      </c>
      <c r="N764">
        <v>15.1073</v>
      </c>
      <c r="O764">
        <v>20.2745</v>
      </c>
      <c r="P764">
        <v>2474.1388999999999</v>
      </c>
      <c r="Q764">
        <v>2298.2111</v>
      </c>
    </row>
    <row r="765" spans="1:17" x14ac:dyDescent="0.3">
      <c r="A765" s="1">
        <v>45502</v>
      </c>
      <c r="B765">
        <v>2377.3000000000002</v>
      </c>
      <c r="C765">
        <v>2377.3000000000002</v>
      </c>
      <c r="D765">
        <v>2377.3000000000002</v>
      </c>
      <c r="E765">
        <v>2377.3000000000002</v>
      </c>
      <c r="F765">
        <v>126409</v>
      </c>
      <c r="G765">
        <v>2392.7429000000002</v>
      </c>
      <c r="H765">
        <v>2365.0767000000001</v>
      </c>
      <c r="I765">
        <v>2335.4733000000001</v>
      </c>
      <c r="J765">
        <v>0.36309999999999998</v>
      </c>
      <c r="K765">
        <v>1.2152000000000001</v>
      </c>
      <c r="L765">
        <v>0.89390000000000003</v>
      </c>
      <c r="M765">
        <v>52.494700000000002</v>
      </c>
      <c r="N765">
        <v>12.547599999999999</v>
      </c>
      <c r="O765">
        <v>18.729099999999999</v>
      </c>
      <c r="P765">
        <v>2472.1262999999999</v>
      </c>
      <c r="Q765">
        <v>2305.4137000000001</v>
      </c>
    </row>
    <row r="766" spans="1:17" x14ac:dyDescent="0.3">
      <c r="A766" s="1">
        <v>45503</v>
      </c>
      <c r="B766">
        <v>2405</v>
      </c>
      <c r="C766">
        <v>2409.3000000000002</v>
      </c>
      <c r="D766">
        <v>2373.8000000000002</v>
      </c>
      <c r="E766">
        <v>2380.8998999999999</v>
      </c>
      <c r="F766">
        <v>25944</v>
      </c>
      <c r="G766">
        <v>2387.3285999999998</v>
      </c>
      <c r="H766">
        <v>2367.54</v>
      </c>
      <c r="I766">
        <v>2337.9578000000001</v>
      </c>
      <c r="J766">
        <v>0.15140000000000001</v>
      </c>
      <c r="K766">
        <v>1.0599000000000001</v>
      </c>
      <c r="L766">
        <v>0.8931</v>
      </c>
      <c r="M766">
        <v>52.561399999999999</v>
      </c>
      <c r="N766">
        <v>10.686299999999999</v>
      </c>
      <c r="O766">
        <v>17.1205</v>
      </c>
      <c r="P766">
        <v>2469.3317999999999</v>
      </c>
      <c r="Q766">
        <v>2313.9182000000001</v>
      </c>
    </row>
    <row r="767" spans="1:17" x14ac:dyDescent="0.3">
      <c r="A767" s="1">
        <v>45504</v>
      </c>
      <c r="B767">
        <v>2426.5</v>
      </c>
      <c r="C767">
        <v>2447.6001000000001</v>
      </c>
      <c r="D767">
        <v>2402.8000000000002</v>
      </c>
      <c r="E767">
        <v>2407.1001000000001</v>
      </c>
      <c r="F767">
        <v>1313</v>
      </c>
      <c r="G767">
        <v>2388.0428999999999</v>
      </c>
      <c r="H767">
        <v>2370.4367000000002</v>
      </c>
      <c r="I767">
        <v>2340.1810999999998</v>
      </c>
      <c r="J767">
        <v>1.1004</v>
      </c>
      <c r="K767">
        <v>1.1406000000000001</v>
      </c>
      <c r="L767">
        <v>0.90759999999999996</v>
      </c>
      <c r="M767">
        <v>54.752400000000002</v>
      </c>
      <c r="N767">
        <v>11.196300000000001</v>
      </c>
      <c r="O767">
        <v>15.935700000000001</v>
      </c>
      <c r="P767">
        <v>2467.8733999999999</v>
      </c>
      <c r="Q767">
        <v>2323.0165999999999</v>
      </c>
    </row>
    <row r="768" spans="1:17" x14ac:dyDescent="0.3">
      <c r="A768" s="1">
        <v>45505</v>
      </c>
      <c r="B768">
        <v>2435</v>
      </c>
      <c r="C768">
        <v>2455.1001000000001</v>
      </c>
      <c r="D768">
        <v>2430.3998999999999</v>
      </c>
      <c r="E768">
        <v>2446.6999999999998</v>
      </c>
      <c r="F768">
        <v>690</v>
      </c>
      <c r="G768">
        <v>2395.3143</v>
      </c>
      <c r="H768">
        <v>2374.9333000000001</v>
      </c>
      <c r="I768">
        <v>2343.1532999999999</v>
      </c>
      <c r="J768">
        <v>1.6451</v>
      </c>
      <c r="K768">
        <v>1.2773000000000001</v>
      </c>
      <c r="L768">
        <v>0.94359999999999999</v>
      </c>
      <c r="M768">
        <v>57.390500000000003</v>
      </c>
      <c r="N768">
        <v>14.6273</v>
      </c>
      <c r="O768">
        <v>15.673999999999999</v>
      </c>
      <c r="P768">
        <v>2470.3777</v>
      </c>
      <c r="Q768">
        <v>2332.0922999999998</v>
      </c>
    </row>
    <row r="769" spans="1:17" x14ac:dyDescent="0.3">
      <c r="A769" s="1">
        <v>45506</v>
      </c>
      <c r="B769">
        <v>2425.6999999999998</v>
      </c>
      <c r="C769">
        <v>2477</v>
      </c>
      <c r="D769">
        <v>2416</v>
      </c>
      <c r="E769">
        <v>2444</v>
      </c>
      <c r="F769">
        <v>550</v>
      </c>
      <c r="G769">
        <v>2398.6</v>
      </c>
      <c r="H769">
        <v>2378.77</v>
      </c>
      <c r="I769">
        <v>2346.2399999999998</v>
      </c>
      <c r="J769">
        <v>-0.1104</v>
      </c>
      <c r="K769">
        <v>1.2394000000000001</v>
      </c>
      <c r="L769">
        <v>0.93940000000000001</v>
      </c>
      <c r="M769">
        <v>52.415500000000002</v>
      </c>
      <c r="N769">
        <v>16.933199999999999</v>
      </c>
      <c r="O769">
        <v>15.9259</v>
      </c>
      <c r="P769">
        <v>2473.7354999999998</v>
      </c>
      <c r="Q769">
        <v>2337.6444999999999</v>
      </c>
    </row>
    <row r="770" spans="1:17" x14ac:dyDescent="0.3">
      <c r="A770" s="1">
        <v>45509</v>
      </c>
      <c r="B770">
        <v>2401.6999999999998</v>
      </c>
      <c r="C770">
        <v>2449.8000000000002</v>
      </c>
      <c r="D770">
        <v>2367.3998999999999</v>
      </c>
      <c r="E770">
        <v>2442</v>
      </c>
      <c r="F770">
        <v>334</v>
      </c>
      <c r="G770">
        <v>2409.5286000000001</v>
      </c>
      <c r="H770">
        <v>2382.4632999999999</v>
      </c>
      <c r="I770">
        <v>2349.1210999999998</v>
      </c>
      <c r="J770">
        <v>-8.1799999999999998E-2</v>
      </c>
      <c r="K770">
        <v>0.66379999999999995</v>
      </c>
      <c r="L770">
        <v>0.94040000000000001</v>
      </c>
      <c r="M770">
        <v>52.5242</v>
      </c>
      <c r="N770">
        <v>18.3874</v>
      </c>
      <c r="O770">
        <v>16.418199999999999</v>
      </c>
      <c r="P770">
        <v>2477.6129999999998</v>
      </c>
      <c r="Q770">
        <v>2339.797</v>
      </c>
    </row>
    <row r="771" spans="1:17" x14ac:dyDescent="0.3">
      <c r="A771" s="1">
        <v>45510</v>
      </c>
      <c r="B771">
        <v>2389.1001000000001</v>
      </c>
      <c r="C771">
        <v>2421.8000000000002</v>
      </c>
      <c r="D771">
        <v>2380</v>
      </c>
      <c r="E771">
        <v>2414.5</v>
      </c>
      <c r="F771">
        <v>163</v>
      </c>
      <c r="G771">
        <v>2416.0713999999998</v>
      </c>
      <c r="H771">
        <v>2385.5032999999999</v>
      </c>
      <c r="I771">
        <v>2351.7332999999999</v>
      </c>
      <c r="J771">
        <v>-1.1261000000000001</v>
      </c>
      <c r="K771">
        <v>0.89629999999999999</v>
      </c>
      <c r="L771">
        <v>0.96540000000000004</v>
      </c>
      <c r="M771">
        <v>39.232999999999997</v>
      </c>
      <c r="N771">
        <v>17.1234</v>
      </c>
      <c r="O771">
        <v>16.559200000000001</v>
      </c>
      <c r="P771">
        <v>2476.7709</v>
      </c>
      <c r="Q771">
        <v>2345.7791000000002</v>
      </c>
    </row>
    <row r="772" spans="1:17" x14ac:dyDescent="0.3">
      <c r="A772" s="1">
        <v>45511</v>
      </c>
      <c r="B772">
        <v>2390.5</v>
      </c>
      <c r="C772">
        <v>2401</v>
      </c>
      <c r="D772">
        <v>2384.5</v>
      </c>
      <c r="E772">
        <v>2392.1999999999998</v>
      </c>
      <c r="F772">
        <v>130</v>
      </c>
      <c r="G772">
        <v>2418.1999999999998</v>
      </c>
      <c r="H772">
        <v>2387.7633000000001</v>
      </c>
      <c r="I772">
        <v>2353.94</v>
      </c>
      <c r="J772">
        <v>-0.92359999999999998</v>
      </c>
      <c r="K772">
        <v>1.0016</v>
      </c>
      <c r="L772">
        <v>0.98450000000000004</v>
      </c>
      <c r="M772">
        <v>37.124899999999997</v>
      </c>
      <c r="N772">
        <v>14.1591</v>
      </c>
      <c r="O772">
        <v>16.0792</v>
      </c>
      <c r="P772">
        <v>2475.2869000000001</v>
      </c>
      <c r="Q772">
        <v>2349.8530999999998</v>
      </c>
    </row>
    <row r="773" spans="1:17" x14ac:dyDescent="0.3">
      <c r="A773" s="1">
        <v>45512</v>
      </c>
      <c r="B773">
        <v>2422.1999999999998</v>
      </c>
      <c r="C773">
        <v>2422.8000000000002</v>
      </c>
      <c r="D773">
        <v>2384.3000000000002</v>
      </c>
      <c r="E773">
        <v>2384.3000000000002</v>
      </c>
      <c r="F773">
        <v>201</v>
      </c>
      <c r="G773">
        <v>2418.6857</v>
      </c>
      <c r="H773">
        <v>2390.31</v>
      </c>
      <c r="I773">
        <v>2355.5911000000001</v>
      </c>
      <c r="J773">
        <v>-0.33019999999999999</v>
      </c>
      <c r="K773">
        <v>1.0134000000000001</v>
      </c>
      <c r="L773">
        <v>0.97609999999999997</v>
      </c>
      <c r="M773">
        <v>43.024700000000003</v>
      </c>
      <c r="N773">
        <v>11.045</v>
      </c>
      <c r="O773">
        <v>15.0724</v>
      </c>
      <c r="P773">
        <v>2474.9775</v>
      </c>
      <c r="Q773">
        <v>2350.7224999999999</v>
      </c>
    </row>
    <row r="774" spans="1:17" x14ac:dyDescent="0.3">
      <c r="A774" s="1">
        <v>45513</v>
      </c>
      <c r="B774">
        <v>2432.1001000000001</v>
      </c>
      <c r="C774">
        <v>2432.1001000000001</v>
      </c>
      <c r="D774">
        <v>2418.5</v>
      </c>
      <c r="E774">
        <v>2422.3000000000002</v>
      </c>
      <c r="F774">
        <v>611</v>
      </c>
      <c r="G774">
        <v>2420.8571000000002</v>
      </c>
      <c r="H774">
        <v>2394.4933000000001</v>
      </c>
      <c r="I774">
        <v>2357.4832999999999</v>
      </c>
      <c r="J774">
        <v>1.5938000000000001</v>
      </c>
      <c r="K774">
        <v>1.113</v>
      </c>
      <c r="L774">
        <v>1.0056</v>
      </c>
      <c r="M774">
        <v>53.760199999999998</v>
      </c>
      <c r="N774">
        <v>11.5107</v>
      </c>
      <c r="O774">
        <v>14.36</v>
      </c>
      <c r="P774">
        <v>2475.9220999999998</v>
      </c>
      <c r="Q774">
        <v>2352.0279</v>
      </c>
    </row>
    <row r="775" spans="1:17" x14ac:dyDescent="0.3">
      <c r="A775" s="1">
        <v>45516</v>
      </c>
      <c r="B775">
        <v>2462.3998999999999</v>
      </c>
      <c r="C775">
        <v>2469.8000000000002</v>
      </c>
      <c r="D775">
        <v>2432</v>
      </c>
      <c r="E775">
        <v>2432.6999999999998</v>
      </c>
      <c r="F775">
        <v>566</v>
      </c>
      <c r="G775">
        <v>2418.8571000000002</v>
      </c>
      <c r="H775">
        <v>2398.0700000000002</v>
      </c>
      <c r="I775">
        <v>2359.1610999999998</v>
      </c>
      <c r="J775">
        <v>0.42930000000000001</v>
      </c>
      <c r="K775">
        <v>0.90649999999999997</v>
      </c>
      <c r="L775">
        <v>0.98670000000000002</v>
      </c>
      <c r="M775">
        <v>56.765700000000002</v>
      </c>
      <c r="N775">
        <v>12.574</v>
      </c>
      <c r="O775">
        <v>14.002800000000001</v>
      </c>
      <c r="P775">
        <v>2476.2157000000002</v>
      </c>
      <c r="Q775">
        <v>2352.0043000000001</v>
      </c>
    </row>
    <row r="776" spans="1:17" x14ac:dyDescent="0.3">
      <c r="A776" s="1">
        <v>45517</v>
      </c>
      <c r="B776">
        <v>2466.6999999999998</v>
      </c>
      <c r="C776">
        <v>2470</v>
      </c>
      <c r="D776">
        <v>2456.5</v>
      </c>
      <c r="E776">
        <v>2461</v>
      </c>
      <c r="F776">
        <v>510</v>
      </c>
      <c r="G776">
        <v>2421.2856999999999</v>
      </c>
      <c r="H776">
        <v>2402.6433000000002</v>
      </c>
      <c r="I776">
        <v>2360.9310999999998</v>
      </c>
      <c r="J776">
        <v>1.1633</v>
      </c>
      <c r="K776">
        <v>1.0198</v>
      </c>
      <c r="L776">
        <v>1.0025999999999999</v>
      </c>
      <c r="M776">
        <v>57.251600000000003</v>
      </c>
      <c r="N776">
        <v>15.5213</v>
      </c>
      <c r="O776">
        <v>14.3065</v>
      </c>
      <c r="P776">
        <v>2481.1423</v>
      </c>
      <c r="Q776">
        <v>2350.4376999999999</v>
      </c>
    </row>
    <row r="777" spans="1:17" x14ac:dyDescent="0.3">
      <c r="A777" s="1">
        <v>45518</v>
      </c>
      <c r="B777">
        <v>2439.3998999999999</v>
      </c>
      <c r="C777">
        <v>2472.1001000000001</v>
      </c>
      <c r="D777">
        <v>2439.3998999999999</v>
      </c>
      <c r="E777">
        <v>2468</v>
      </c>
      <c r="F777">
        <v>274</v>
      </c>
      <c r="G777">
        <v>2425</v>
      </c>
      <c r="H777">
        <v>2407.2199999999998</v>
      </c>
      <c r="I777">
        <v>2362.9178000000002</v>
      </c>
      <c r="J777">
        <v>0.28439999999999999</v>
      </c>
      <c r="K777">
        <v>1.0181</v>
      </c>
      <c r="L777">
        <v>1.0025999999999999</v>
      </c>
      <c r="M777">
        <v>72.547300000000007</v>
      </c>
      <c r="N777">
        <v>18.212</v>
      </c>
      <c r="O777">
        <v>15.0876</v>
      </c>
      <c r="P777">
        <v>2480.0268000000001</v>
      </c>
      <c r="Q777">
        <v>2351.0632000000001</v>
      </c>
    </row>
    <row r="778" spans="1:17" x14ac:dyDescent="0.3">
      <c r="A778" s="1">
        <v>45519</v>
      </c>
      <c r="B778">
        <v>2453.1001000000001</v>
      </c>
      <c r="C778">
        <v>2467.6999999999998</v>
      </c>
      <c r="D778">
        <v>2431.1999999999998</v>
      </c>
      <c r="E778">
        <v>2451.8000000000002</v>
      </c>
      <c r="F778">
        <v>285</v>
      </c>
      <c r="G778">
        <v>2430.3285999999998</v>
      </c>
      <c r="H778">
        <v>2411.25</v>
      </c>
      <c r="I778">
        <v>2364.3200000000002</v>
      </c>
      <c r="J778">
        <v>-0.65639999999999998</v>
      </c>
      <c r="K778">
        <v>0.93130000000000002</v>
      </c>
      <c r="L778">
        <v>1.0141</v>
      </c>
      <c r="M778">
        <v>67.290899999999993</v>
      </c>
      <c r="N778">
        <v>18.8203</v>
      </c>
      <c r="O778">
        <v>15.834199999999999</v>
      </c>
      <c r="P778">
        <v>2477.2575000000002</v>
      </c>
      <c r="Q778">
        <v>2352.4124999999999</v>
      </c>
    </row>
    <row r="779" spans="1:17" x14ac:dyDescent="0.3">
      <c r="A779" s="1">
        <v>45520</v>
      </c>
      <c r="B779">
        <v>2498.6001000000001</v>
      </c>
      <c r="C779">
        <v>2508</v>
      </c>
      <c r="D779">
        <v>2451.3998999999999</v>
      </c>
      <c r="E779">
        <v>2453.5</v>
      </c>
      <c r="F779">
        <v>197</v>
      </c>
      <c r="G779">
        <v>2439.0857000000001</v>
      </c>
      <c r="H779">
        <v>2414.5367000000001</v>
      </c>
      <c r="I779">
        <v>2365.6055999999999</v>
      </c>
      <c r="J779">
        <v>6.93E-2</v>
      </c>
      <c r="K779">
        <v>0.79290000000000005</v>
      </c>
      <c r="L779">
        <v>1.0013000000000001</v>
      </c>
      <c r="M779">
        <v>66.323899999999995</v>
      </c>
      <c r="N779">
        <v>19.2179</v>
      </c>
      <c r="O779">
        <v>16.510899999999999</v>
      </c>
      <c r="P779">
        <v>2481.3413</v>
      </c>
      <c r="Q779">
        <v>2351.7988</v>
      </c>
    </row>
    <row r="780" spans="1:17" x14ac:dyDescent="0.3">
      <c r="A780" s="1">
        <v>45523</v>
      </c>
      <c r="B780">
        <v>2501.8000000000002</v>
      </c>
      <c r="C780">
        <v>2508.5</v>
      </c>
      <c r="D780">
        <v>2487.1999999999998</v>
      </c>
      <c r="E780">
        <v>2508.5</v>
      </c>
      <c r="F780">
        <v>88</v>
      </c>
      <c r="G780">
        <v>2456.8285999999998</v>
      </c>
      <c r="H780">
        <v>2418.7633000000001</v>
      </c>
      <c r="I780">
        <v>2367.4043999999999</v>
      </c>
      <c r="J780">
        <v>2.2416999999999998</v>
      </c>
      <c r="K780">
        <v>0.98880000000000001</v>
      </c>
      <c r="L780">
        <v>1.0578000000000001</v>
      </c>
      <c r="M780">
        <v>72.401700000000005</v>
      </c>
      <c r="N780">
        <v>23.698</v>
      </c>
      <c r="O780">
        <v>17.9483</v>
      </c>
      <c r="P780">
        <v>2498.1215999999999</v>
      </c>
      <c r="Q780">
        <v>2345.6583999999998</v>
      </c>
    </row>
    <row r="781" spans="1:17" x14ac:dyDescent="0.3">
      <c r="A781" s="1">
        <v>45524</v>
      </c>
      <c r="B781">
        <v>2511.3000000000002</v>
      </c>
      <c r="C781">
        <v>2527.3000000000002</v>
      </c>
      <c r="D781">
        <v>2500.6999999999998</v>
      </c>
      <c r="E781">
        <v>2503.5</v>
      </c>
      <c r="F781">
        <v>187</v>
      </c>
      <c r="G781">
        <v>2468.4286000000002</v>
      </c>
      <c r="H781">
        <v>2423.4432999999999</v>
      </c>
      <c r="I781">
        <v>2369.2044000000001</v>
      </c>
      <c r="J781">
        <v>-0.1993</v>
      </c>
      <c r="K781">
        <v>0.96030000000000004</v>
      </c>
      <c r="L781">
        <v>1.0448999999999999</v>
      </c>
      <c r="M781">
        <v>68.285300000000007</v>
      </c>
      <c r="N781">
        <v>26.539000000000001</v>
      </c>
      <c r="O781">
        <v>19.666499999999999</v>
      </c>
      <c r="P781">
        <v>2510.6296000000002</v>
      </c>
      <c r="Q781">
        <v>2343.9204</v>
      </c>
    </row>
    <row r="782" spans="1:17" x14ac:dyDescent="0.3">
      <c r="A782" s="1">
        <v>45525</v>
      </c>
      <c r="B782">
        <v>2508.3998999999999</v>
      </c>
      <c r="C782">
        <v>2515.3998999999999</v>
      </c>
      <c r="D782">
        <v>2503.8998999999999</v>
      </c>
      <c r="E782">
        <v>2511</v>
      </c>
      <c r="F782">
        <v>96</v>
      </c>
      <c r="G782">
        <v>2479.6143000000002</v>
      </c>
      <c r="H782">
        <v>2428.2667000000001</v>
      </c>
      <c r="I782">
        <v>2370.69</v>
      </c>
      <c r="J782">
        <v>0.29959999999999998</v>
      </c>
      <c r="K782">
        <v>0.96260000000000001</v>
      </c>
      <c r="L782">
        <v>1.0449999999999999</v>
      </c>
      <c r="M782">
        <v>63.887700000000002</v>
      </c>
      <c r="N782">
        <v>29.0608</v>
      </c>
      <c r="O782">
        <v>21.545300000000001</v>
      </c>
      <c r="P782">
        <v>2523.0450000000001</v>
      </c>
      <c r="Q782">
        <v>2340.5050000000001</v>
      </c>
    </row>
    <row r="783" spans="1:17" x14ac:dyDescent="0.3">
      <c r="A783" s="1">
        <v>45526</v>
      </c>
      <c r="B783">
        <v>2478.8998999999999</v>
      </c>
      <c r="C783">
        <v>2504.1001000000001</v>
      </c>
      <c r="D783">
        <v>2471.1001000000001</v>
      </c>
      <c r="E783">
        <v>2504.1001000000001</v>
      </c>
      <c r="F783">
        <v>210</v>
      </c>
      <c r="G783">
        <v>2485.7714000000001</v>
      </c>
      <c r="H783">
        <v>2432.4467</v>
      </c>
      <c r="I783">
        <v>2372.2678000000001</v>
      </c>
      <c r="J783">
        <v>-0.27479999999999999</v>
      </c>
      <c r="K783">
        <v>0.94</v>
      </c>
      <c r="L783">
        <v>1.0467</v>
      </c>
      <c r="M783">
        <v>62.749299999999998</v>
      </c>
      <c r="N783">
        <v>30.154900000000001</v>
      </c>
      <c r="O783">
        <v>23.267299999999999</v>
      </c>
      <c r="P783">
        <v>2529.8341999999998</v>
      </c>
      <c r="Q783">
        <v>2347.5758000000001</v>
      </c>
    </row>
    <row r="784" spans="1:17" x14ac:dyDescent="0.3">
      <c r="A784" s="1">
        <v>45527</v>
      </c>
      <c r="B784">
        <v>2508.3998999999999</v>
      </c>
      <c r="C784">
        <v>2508.3998999999999</v>
      </c>
      <c r="D784">
        <v>2486.5</v>
      </c>
      <c r="E784">
        <v>2486.5</v>
      </c>
      <c r="F784">
        <v>94</v>
      </c>
      <c r="G784">
        <v>2488.4142999999999</v>
      </c>
      <c r="H784">
        <v>2435.3366999999998</v>
      </c>
      <c r="I784">
        <v>2373.4067</v>
      </c>
      <c r="J784">
        <v>-0.70289999999999997</v>
      </c>
      <c r="K784">
        <v>1.0061</v>
      </c>
      <c r="L784">
        <v>1.0497000000000001</v>
      </c>
      <c r="M784">
        <v>58.853999999999999</v>
      </c>
      <c r="N784">
        <v>29.264500000000002</v>
      </c>
      <c r="O784">
        <v>24.466699999999999</v>
      </c>
      <c r="P784">
        <v>2531.8168999999998</v>
      </c>
      <c r="Q784">
        <v>2357.3732</v>
      </c>
    </row>
    <row r="785" spans="1:17" x14ac:dyDescent="0.3">
      <c r="A785" s="1">
        <v>45530</v>
      </c>
      <c r="B785">
        <v>2517.6999999999998</v>
      </c>
      <c r="C785">
        <v>2523.1001000000001</v>
      </c>
      <c r="D785">
        <v>2509.1001000000001</v>
      </c>
      <c r="E785">
        <v>2509.8998999999999</v>
      </c>
      <c r="F785">
        <v>290</v>
      </c>
      <c r="G785">
        <v>2496.7143000000001</v>
      </c>
      <c r="H785">
        <v>2438</v>
      </c>
      <c r="I785">
        <v>2374.8033</v>
      </c>
      <c r="J785">
        <v>0.94110000000000005</v>
      </c>
      <c r="K785">
        <v>0.98399999999999999</v>
      </c>
      <c r="L785">
        <v>1.0394000000000001</v>
      </c>
      <c r="M785">
        <v>69.296099999999996</v>
      </c>
      <c r="N785">
        <v>30.100100000000001</v>
      </c>
      <c r="O785">
        <v>25.593399999999999</v>
      </c>
      <c r="P785">
        <v>2537.0563000000002</v>
      </c>
      <c r="Q785">
        <v>2365.3937000000001</v>
      </c>
    </row>
    <row r="786" spans="1:17" x14ac:dyDescent="0.3">
      <c r="A786" s="1">
        <v>45531</v>
      </c>
      <c r="B786">
        <v>2516</v>
      </c>
      <c r="C786">
        <v>2523.1001000000001</v>
      </c>
      <c r="D786">
        <v>2506.8998999999999</v>
      </c>
      <c r="E786">
        <v>2515.1999999999998</v>
      </c>
      <c r="F786">
        <v>100</v>
      </c>
      <c r="G786">
        <v>2505.5286000000001</v>
      </c>
      <c r="H786">
        <v>2440.9267</v>
      </c>
      <c r="I786">
        <v>2376.4344000000001</v>
      </c>
      <c r="J786">
        <v>0.2112</v>
      </c>
      <c r="K786">
        <v>0.97889999999999999</v>
      </c>
      <c r="L786">
        <v>1.0387</v>
      </c>
      <c r="M786">
        <v>76.715900000000005</v>
      </c>
      <c r="N786">
        <v>30.834499999999998</v>
      </c>
      <c r="O786">
        <v>26.6416</v>
      </c>
      <c r="P786">
        <v>2541.5916999999999</v>
      </c>
      <c r="Q786">
        <v>2374.2883000000002</v>
      </c>
    </row>
    <row r="787" spans="1:17" x14ac:dyDescent="0.3">
      <c r="A787" s="1">
        <v>45532</v>
      </c>
      <c r="B787">
        <v>2501</v>
      </c>
      <c r="C787">
        <v>2501</v>
      </c>
      <c r="D787">
        <v>2501</v>
      </c>
      <c r="E787">
        <v>2501</v>
      </c>
      <c r="F787">
        <v>2353</v>
      </c>
      <c r="G787">
        <v>2504.4571000000001</v>
      </c>
      <c r="H787">
        <v>2441.8633</v>
      </c>
      <c r="I787">
        <v>2377.7867000000001</v>
      </c>
      <c r="J787">
        <v>-0.56459999999999999</v>
      </c>
      <c r="K787">
        <v>0.56799999999999995</v>
      </c>
      <c r="L787">
        <v>0.99139999999999995</v>
      </c>
      <c r="M787">
        <v>74.672300000000007</v>
      </c>
      <c r="N787">
        <v>29.925699999999999</v>
      </c>
      <c r="O787">
        <v>27.298400000000001</v>
      </c>
      <c r="P787">
        <v>2544.7995000000001</v>
      </c>
      <c r="Q787">
        <v>2380.4704999999999</v>
      </c>
    </row>
    <row r="788" spans="1:17" x14ac:dyDescent="0.3">
      <c r="A788" s="1">
        <v>45533</v>
      </c>
      <c r="B788">
        <v>2525.6999999999998</v>
      </c>
      <c r="C788">
        <v>2525.6999999999998</v>
      </c>
      <c r="D788">
        <v>2503.8998999999999</v>
      </c>
      <c r="E788">
        <v>2504.1001000000001</v>
      </c>
      <c r="F788">
        <v>3966</v>
      </c>
      <c r="G788">
        <v>2504.5428999999999</v>
      </c>
      <c r="H788">
        <v>2443.1333</v>
      </c>
      <c r="I788">
        <v>2379.1289000000002</v>
      </c>
      <c r="J788">
        <v>0.124</v>
      </c>
      <c r="K788">
        <v>0.56620000000000004</v>
      </c>
      <c r="L788">
        <v>0.98960000000000004</v>
      </c>
      <c r="M788">
        <v>70.287700000000001</v>
      </c>
      <c r="N788">
        <v>29.12</v>
      </c>
      <c r="O788">
        <v>27.662700000000001</v>
      </c>
      <c r="P788">
        <v>2549.3193000000001</v>
      </c>
      <c r="Q788">
        <v>2381.6907000000001</v>
      </c>
    </row>
    <row r="789" spans="1:17" x14ac:dyDescent="0.3">
      <c r="A789" s="1">
        <v>45534</v>
      </c>
      <c r="B789">
        <v>2493.8000000000002</v>
      </c>
      <c r="C789">
        <v>2525.3998999999999</v>
      </c>
      <c r="D789">
        <v>2493.8000000000002</v>
      </c>
      <c r="E789">
        <v>2519.5</v>
      </c>
      <c r="F789">
        <v>208</v>
      </c>
      <c r="G789">
        <v>2505.7570999999998</v>
      </c>
      <c r="H789">
        <v>2446.4899999999998</v>
      </c>
      <c r="I789">
        <v>2381.2600000000002</v>
      </c>
      <c r="J789">
        <v>0.61499999999999999</v>
      </c>
      <c r="K789">
        <v>0.6048</v>
      </c>
      <c r="L789">
        <v>0.9214</v>
      </c>
      <c r="M789">
        <v>71.006799999999998</v>
      </c>
      <c r="N789">
        <v>29.385400000000001</v>
      </c>
      <c r="O789">
        <v>28.007300000000001</v>
      </c>
      <c r="P789">
        <v>2555.7741999999998</v>
      </c>
      <c r="Q789">
        <v>2382.7858000000001</v>
      </c>
    </row>
    <row r="790" spans="1:17" x14ac:dyDescent="0.3">
      <c r="A790" s="1">
        <v>45538</v>
      </c>
      <c r="B790">
        <v>2489.8998999999999</v>
      </c>
      <c r="C790">
        <v>2501.8000000000002</v>
      </c>
      <c r="D790">
        <v>2476.3000000000002</v>
      </c>
      <c r="E790">
        <v>2501.6001000000001</v>
      </c>
      <c r="F790">
        <v>206</v>
      </c>
      <c r="G790">
        <v>2505.4</v>
      </c>
      <c r="H790">
        <v>2449.8067000000001</v>
      </c>
      <c r="I790">
        <v>2383.2633000000001</v>
      </c>
      <c r="J790">
        <v>-0.71050000000000002</v>
      </c>
      <c r="K790">
        <v>0.6633</v>
      </c>
      <c r="L790">
        <v>0.92200000000000004</v>
      </c>
      <c r="M790">
        <v>60.346600000000002</v>
      </c>
      <c r="N790">
        <v>27.830500000000001</v>
      </c>
      <c r="O790">
        <v>27.971900000000002</v>
      </c>
      <c r="P790">
        <v>2558.9034999999999</v>
      </c>
      <c r="Q790">
        <v>2385.6165000000001</v>
      </c>
    </row>
    <row r="791" spans="1:17" x14ac:dyDescent="0.3">
      <c r="A791" s="1">
        <v>45539</v>
      </c>
      <c r="B791">
        <v>2493.3998999999999</v>
      </c>
      <c r="C791">
        <v>2493.3998999999999</v>
      </c>
      <c r="D791">
        <v>2483.5</v>
      </c>
      <c r="E791">
        <v>2490.8998999999999</v>
      </c>
      <c r="F791">
        <v>470</v>
      </c>
      <c r="G791">
        <v>2506.0286000000001</v>
      </c>
      <c r="H791">
        <v>2452.9767000000002</v>
      </c>
      <c r="I791">
        <v>2385.2177999999999</v>
      </c>
      <c r="J791">
        <v>-0.42770000000000002</v>
      </c>
      <c r="K791">
        <v>0.62250000000000005</v>
      </c>
      <c r="L791">
        <v>0.92500000000000004</v>
      </c>
      <c r="M791">
        <v>55.727800000000002</v>
      </c>
      <c r="N791">
        <v>25.441500000000001</v>
      </c>
      <c r="O791">
        <v>27.465800000000002</v>
      </c>
      <c r="P791">
        <v>2558.6417999999999</v>
      </c>
      <c r="Q791">
        <v>2393.5182</v>
      </c>
    </row>
    <row r="792" spans="1:17" x14ac:dyDescent="0.3">
      <c r="A792" s="1">
        <v>45540</v>
      </c>
      <c r="B792">
        <v>2511.3998999999999</v>
      </c>
      <c r="C792">
        <v>2513.3000000000002</v>
      </c>
      <c r="D792">
        <v>2493.3998999999999</v>
      </c>
      <c r="E792">
        <v>2493.6999999999998</v>
      </c>
      <c r="F792">
        <v>54</v>
      </c>
      <c r="G792">
        <v>2503.7143000000001</v>
      </c>
      <c r="H792">
        <v>2455.4</v>
      </c>
      <c r="I792">
        <v>2386.8377999999998</v>
      </c>
      <c r="J792">
        <v>0.1124</v>
      </c>
      <c r="K792">
        <v>0.48280000000000001</v>
      </c>
      <c r="L792">
        <v>0.90859999999999996</v>
      </c>
      <c r="M792">
        <v>61.233199999999997</v>
      </c>
      <c r="N792">
        <v>23.503299999999999</v>
      </c>
      <c r="O792">
        <v>26.673300000000001</v>
      </c>
      <c r="P792">
        <v>2553.902</v>
      </c>
      <c r="Q792">
        <v>2408.4079999999999</v>
      </c>
    </row>
    <row r="793" spans="1:17" x14ac:dyDescent="0.3">
      <c r="A793" s="1">
        <v>45541</v>
      </c>
      <c r="B793">
        <v>2493.5</v>
      </c>
      <c r="C793">
        <v>2517.8998999999999</v>
      </c>
      <c r="D793">
        <v>2483.6999999999998</v>
      </c>
      <c r="E793">
        <v>2510.3000000000002</v>
      </c>
      <c r="F793">
        <v>96</v>
      </c>
      <c r="G793">
        <v>2503.0142999999998</v>
      </c>
      <c r="H793">
        <v>2460.2267000000002</v>
      </c>
      <c r="I793">
        <v>2388.7878000000001</v>
      </c>
      <c r="J793">
        <v>0.66569999999999996</v>
      </c>
      <c r="K793">
        <v>0.5554</v>
      </c>
      <c r="L793">
        <v>0.79279999999999995</v>
      </c>
      <c r="M793">
        <v>64.101299999999995</v>
      </c>
      <c r="N793">
        <v>23.0411</v>
      </c>
      <c r="O793">
        <v>25.946899999999999</v>
      </c>
      <c r="P793">
        <v>2545.1518000000001</v>
      </c>
      <c r="Q793">
        <v>2429.7583</v>
      </c>
    </row>
    <row r="794" spans="1:17" x14ac:dyDescent="0.3">
      <c r="A794" s="1">
        <v>45544</v>
      </c>
      <c r="B794">
        <v>2501.8000000000002</v>
      </c>
      <c r="C794">
        <v>2504.6999999999998</v>
      </c>
      <c r="D794">
        <v>2491.3000000000002</v>
      </c>
      <c r="E794">
        <v>2491.3000000000002</v>
      </c>
      <c r="F794">
        <v>96</v>
      </c>
      <c r="G794">
        <v>2501.6286</v>
      </c>
      <c r="H794">
        <v>2464.3132999999998</v>
      </c>
      <c r="I794">
        <v>2390.6633000000002</v>
      </c>
      <c r="J794">
        <v>-0.75690000000000002</v>
      </c>
      <c r="K794">
        <v>0.59009999999999996</v>
      </c>
      <c r="L794">
        <v>0.81189999999999996</v>
      </c>
      <c r="M794">
        <v>44.8005</v>
      </c>
      <c r="N794">
        <v>20.900700000000001</v>
      </c>
      <c r="O794">
        <v>24.9376</v>
      </c>
      <c r="P794">
        <v>2539.7741000000001</v>
      </c>
      <c r="Q794">
        <v>2442.0358999999999</v>
      </c>
    </row>
    <row r="795" spans="1:17" x14ac:dyDescent="0.3">
      <c r="A795" s="1">
        <v>45545</v>
      </c>
      <c r="B795">
        <v>2512.3000000000002</v>
      </c>
      <c r="C795">
        <v>2512.3000000000002</v>
      </c>
      <c r="D795">
        <v>2512.3000000000002</v>
      </c>
      <c r="E795">
        <v>2512.3000000000002</v>
      </c>
      <c r="F795">
        <v>5</v>
      </c>
      <c r="G795">
        <v>2502.8000000000002</v>
      </c>
      <c r="H795">
        <v>2468.8132999999998</v>
      </c>
      <c r="I795">
        <v>2393.1588999999999</v>
      </c>
      <c r="J795">
        <v>0.84289999999999998</v>
      </c>
      <c r="K795">
        <v>0.68169999999999997</v>
      </c>
      <c r="L795">
        <v>0.82050000000000001</v>
      </c>
      <c r="M795">
        <v>52.425600000000003</v>
      </c>
      <c r="N795">
        <v>20.660799999999998</v>
      </c>
      <c r="O795">
        <v>24.0823</v>
      </c>
      <c r="P795">
        <v>2536.1723000000002</v>
      </c>
      <c r="Q795">
        <v>2453.5978</v>
      </c>
    </row>
    <row r="796" spans="1:17" x14ac:dyDescent="0.3">
      <c r="A796" s="1">
        <v>45546</v>
      </c>
      <c r="B796">
        <v>2512.1001000000001</v>
      </c>
      <c r="C796">
        <v>2525.8000000000002</v>
      </c>
      <c r="D796">
        <v>2502.3000000000002</v>
      </c>
      <c r="E796">
        <v>2525.8000000000002</v>
      </c>
      <c r="F796">
        <v>90</v>
      </c>
      <c r="G796">
        <v>2503.6999999999998</v>
      </c>
      <c r="H796">
        <v>2473.6433000000002</v>
      </c>
      <c r="I796">
        <v>2395.4267</v>
      </c>
      <c r="J796">
        <v>0.53739999999999999</v>
      </c>
      <c r="K796">
        <v>0.67149999999999999</v>
      </c>
      <c r="L796">
        <v>0.82289999999999996</v>
      </c>
      <c r="M796">
        <v>53.948799999999999</v>
      </c>
      <c r="N796">
        <v>21.314399999999999</v>
      </c>
      <c r="O796">
        <v>23.528700000000001</v>
      </c>
      <c r="P796">
        <v>2538.3732</v>
      </c>
      <c r="Q796">
        <v>2457.8768</v>
      </c>
    </row>
    <row r="797" spans="1:17" x14ac:dyDescent="0.3">
      <c r="A797" s="1">
        <v>45547</v>
      </c>
      <c r="B797">
        <v>2551.1999999999998</v>
      </c>
      <c r="C797">
        <v>2557</v>
      </c>
      <c r="D797">
        <v>2523.3998999999999</v>
      </c>
      <c r="E797">
        <v>2529.1001000000001</v>
      </c>
      <c r="F797">
        <v>132</v>
      </c>
      <c r="G797">
        <v>2507.6286</v>
      </c>
      <c r="H797">
        <v>2477.71</v>
      </c>
      <c r="I797">
        <v>2397.9722000000002</v>
      </c>
      <c r="J797">
        <v>0.13070000000000001</v>
      </c>
      <c r="K797">
        <v>0.58509999999999995</v>
      </c>
      <c r="L797">
        <v>0.80520000000000003</v>
      </c>
      <c r="M797">
        <v>56.800899999999999</v>
      </c>
      <c r="N797">
        <v>21.846699999999998</v>
      </c>
      <c r="O797">
        <v>23.192299999999999</v>
      </c>
      <c r="P797">
        <v>2541.0743000000002</v>
      </c>
      <c r="Q797">
        <v>2461.2856999999999</v>
      </c>
    </row>
    <row r="798" spans="1:17" x14ac:dyDescent="0.3">
      <c r="A798" s="1">
        <v>45548</v>
      </c>
      <c r="B798">
        <v>2581.3000000000002</v>
      </c>
      <c r="C798">
        <v>2581.8000000000002</v>
      </c>
      <c r="D798">
        <v>2565</v>
      </c>
      <c r="E798">
        <v>2568.8000000000002</v>
      </c>
      <c r="F798">
        <v>31</v>
      </c>
      <c r="G798">
        <v>2518.7572</v>
      </c>
      <c r="H798">
        <v>2481.7800000000002</v>
      </c>
      <c r="I798">
        <v>2400.7055999999998</v>
      </c>
      <c r="J798">
        <v>1.5697000000000001</v>
      </c>
      <c r="K798">
        <v>0.7228</v>
      </c>
      <c r="L798">
        <v>0.80049999999999999</v>
      </c>
      <c r="M798">
        <v>69.985399999999998</v>
      </c>
      <c r="N798">
        <v>25.181799999999999</v>
      </c>
      <c r="O798">
        <v>23.590199999999999</v>
      </c>
      <c r="P798">
        <v>2550.5816</v>
      </c>
      <c r="Q798">
        <v>2463.4784</v>
      </c>
    </row>
    <row r="799" spans="1:17" x14ac:dyDescent="0.3">
      <c r="A799" s="1">
        <v>45551</v>
      </c>
      <c r="B799">
        <v>2580.3998999999999</v>
      </c>
      <c r="C799">
        <v>2580.3998999999999</v>
      </c>
      <c r="D799">
        <v>2580.3998999999999</v>
      </c>
      <c r="E799">
        <v>2580.3998999999999</v>
      </c>
      <c r="F799">
        <v>28</v>
      </c>
      <c r="G799">
        <v>2531.1428999999998</v>
      </c>
      <c r="H799">
        <v>2486.3267000000001</v>
      </c>
      <c r="I799">
        <v>2403.5511000000001</v>
      </c>
      <c r="J799">
        <v>0.4516</v>
      </c>
      <c r="K799">
        <v>0.70809999999999995</v>
      </c>
      <c r="L799">
        <v>0.8004</v>
      </c>
      <c r="M799">
        <v>68.160700000000006</v>
      </c>
      <c r="N799">
        <v>28.4331</v>
      </c>
      <c r="O799">
        <v>24.558800000000002</v>
      </c>
      <c r="P799">
        <v>2560.8856999999998</v>
      </c>
      <c r="Q799">
        <v>2465.8643000000002</v>
      </c>
    </row>
    <row r="800" spans="1:17" x14ac:dyDescent="0.3">
      <c r="A800" s="1">
        <v>45552</v>
      </c>
      <c r="B800">
        <v>2564.3000000000002</v>
      </c>
      <c r="C800">
        <v>2581.8000000000002</v>
      </c>
      <c r="D800">
        <v>2564.3000000000002</v>
      </c>
      <c r="E800">
        <v>2581.1999999999998</v>
      </c>
      <c r="F800">
        <v>22</v>
      </c>
      <c r="G800">
        <v>2541.2714000000001</v>
      </c>
      <c r="H800">
        <v>2490.9666999999999</v>
      </c>
      <c r="I800">
        <v>2406.5243999999998</v>
      </c>
      <c r="J800">
        <v>3.1E-2</v>
      </c>
      <c r="K800">
        <v>0.72260000000000002</v>
      </c>
      <c r="L800">
        <v>0.7994</v>
      </c>
      <c r="M800">
        <v>67.405100000000004</v>
      </c>
      <c r="N800">
        <v>30.720300000000002</v>
      </c>
      <c r="O800">
        <v>25.7911</v>
      </c>
      <c r="P800">
        <v>2573.2692000000002</v>
      </c>
      <c r="Q800">
        <v>2460.7507999999998</v>
      </c>
    </row>
    <row r="801" spans="1:17" x14ac:dyDescent="0.3">
      <c r="A801" s="1">
        <v>45553</v>
      </c>
      <c r="B801">
        <v>2570.6999999999998</v>
      </c>
      <c r="C801">
        <v>2570.6999999999998</v>
      </c>
      <c r="D801">
        <v>2549.1999999999998</v>
      </c>
      <c r="E801">
        <v>2570.6999999999998</v>
      </c>
      <c r="F801">
        <v>25</v>
      </c>
      <c r="G801">
        <v>2552.6143000000002</v>
      </c>
      <c r="H801">
        <v>2496.1732999999999</v>
      </c>
      <c r="I801">
        <v>2409.4133000000002</v>
      </c>
      <c r="J801">
        <v>-0.40679999999999999</v>
      </c>
      <c r="K801">
        <v>0.6361</v>
      </c>
      <c r="L801">
        <v>0.76880000000000004</v>
      </c>
      <c r="M801">
        <v>68.746600000000001</v>
      </c>
      <c r="N801">
        <v>31.3245</v>
      </c>
      <c r="O801">
        <v>26.8978</v>
      </c>
      <c r="P801">
        <v>2581.0825</v>
      </c>
      <c r="Q801">
        <v>2459.6574999999998</v>
      </c>
    </row>
    <row r="802" spans="1:17" x14ac:dyDescent="0.3">
      <c r="A802" s="1">
        <v>45554</v>
      </c>
      <c r="B802">
        <v>2588</v>
      </c>
      <c r="C802">
        <v>2588</v>
      </c>
      <c r="D802">
        <v>2566</v>
      </c>
      <c r="E802">
        <v>2566</v>
      </c>
      <c r="F802">
        <v>99</v>
      </c>
      <c r="G802">
        <v>2560.2856999999999</v>
      </c>
      <c r="H802">
        <v>2501.9666999999999</v>
      </c>
      <c r="I802">
        <v>2411.6210999999998</v>
      </c>
      <c r="J802">
        <v>-0.18279999999999999</v>
      </c>
      <c r="K802">
        <v>0.64870000000000005</v>
      </c>
      <c r="L802">
        <v>0.74250000000000005</v>
      </c>
      <c r="M802">
        <v>66.506600000000006</v>
      </c>
      <c r="N802">
        <v>31.065999999999999</v>
      </c>
      <c r="O802">
        <v>27.731400000000001</v>
      </c>
      <c r="P802">
        <v>2586.9479999999999</v>
      </c>
      <c r="Q802">
        <v>2459.2919999999999</v>
      </c>
    </row>
    <row r="803" spans="1:17" x14ac:dyDescent="0.3">
      <c r="A803" s="1">
        <v>45555</v>
      </c>
      <c r="B803">
        <v>2619.8998999999999</v>
      </c>
      <c r="C803">
        <v>2621.8</v>
      </c>
      <c r="D803">
        <v>2590.3998999999999</v>
      </c>
      <c r="E803">
        <v>2590.3998999999999</v>
      </c>
      <c r="F803">
        <v>17</v>
      </c>
      <c r="G803">
        <v>2569.5142999999998</v>
      </c>
      <c r="H803">
        <v>2508.8366999999998</v>
      </c>
      <c r="I803">
        <v>2414.1999999999998</v>
      </c>
      <c r="J803">
        <v>0.95089999999999997</v>
      </c>
      <c r="K803">
        <v>0.69089999999999996</v>
      </c>
      <c r="L803">
        <v>0.74560000000000004</v>
      </c>
      <c r="M803">
        <v>68.040700000000001</v>
      </c>
      <c r="N803">
        <v>32.4559</v>
      </c>
      <c r="O803">
        <v>28.676300000000001</v>
      </c>
      <c r="P803">
        <v>2597.2377999999999</v>
      </c>
      <c r="Q803">
        <v>2457.6322</v>
      </c>
    </row>
    <row r="804" spans="1:17" x14ac:dyDescent="0.3">
      <c r="A804" s="1">
        <v>45558</v>
      </c>
      <c r="B804">
        <v>2626.5</v>
      </c>
      <c r="C804">
        <v>2626.5</v>
      </c>
      <c r="D804">
        <v>2626.5</v>
      </c>
      <c r="E804">
        <v>2626.5</v>
      </c>
      <c r="F804">
        <v>9</v>
      </c>
      <c r="G804">
        <v>2583.4285</v>
      </c>
      <c r="H804">
        <v>2515.6433000000002</v>
      </c>
      <c r="I804">
        <v>2417.4277999999999</v>
      </c>
      <c r="J804">
        <v>1.3935999999999999</v>
      </c>
      <c r="K804">
        <v>0.77929999999999999</v>
      </c>
      <c r="L804">
        <v>0.73429999999999995</v>
      </c>
      <c r="M804">
        <v>79.087000000000003</v>
      </c>
      <c r="N804">
        <v>36.054699999999997</v>
      </c>
      <c r="O804">
        <v>30.152000000000001</v>
      </c>
      <c r="P804">
        <v>2614.3062</v>
      </c>
      <c r="Q804">
        <v>2454.5637999999999</v>
      </c>
    </row>
    <row r="805" spans="1:17" x14ac:dyDescent="0.3">
      <c r="A805" s="1">
        <v>45559</v>
      </c>
      <c r="B805">
        <v>2651.2</v>
      </c>
      <c r="C805">
        <v>2662.3</v>
      </c>
      <c r="D805">
        <v>2625.5</v>
      </c>
      <c r="E805">
        <v>2636.8</v>
      </c>
      <c r="F805">
        <v>35</v>
      </c>
      <c r="G805">
        <v>2593.1428000000001</v>
      </c>
      <c r="H805">
        <v>2522.4467</v>
      </c>
      <c r="I805">
        <v>2420.4854999999998</v>
      </c>
      <c r="J805">
        <v>0.39219999999999999</v>
      </c>
      <c r="K805">
        <v>0.63460000000000005</v>
      </c>
      <c r="L805">
        <v>0.73399999999999999</v>
      </c>
      <c r="M805">
        <v>84.0411</v>
      </c>
      <c r="N805">
        <v>39.2851</v>
      </c>
      <c r="O805">
        <v>31.9786</v>
      </c>
      <c r="P805">
        <v>2631.8249999999998</v>
      </c>
      <c r="Q805">
        <v>2449.7350000000001</v>
      </c>
    </row>
    <row r="806" spans="1:17" x14ac:dyDescent="0.3">
      <c r="A806" s="1">
        <v>45560</v>
      </c>
      <c r="B806">
        <v>2659.2</v>
      </c>
      <c r="C806">
        <v>2664.2</v>
      </c>
      <c r="D806">
        <v>2649.3</v>
      </c>
      <c r="E806">
        <v>2656.3</v>
      </c>
      <c r="F806">
        <v>175</v>
      </c>
      <c r="G806">
        <v>2603.9857000000002</v>
      </c>
      <c r="H806">
        <v>2528.9567000000002</v>
      </c>
      <c r="I806">
        <v>2423.4499999999998</v>
      </c>
      <c r="J806">
        <v>0.73950000000000005</v>
      </c>
      <c r="K806">
        <v>0.64949999999999997</v>
      </c>
      <c r="L806">
        <v>0.72019999999999995</v>
      </c>
      <c r="M806">
        <v>85.194800000000001</v>
      </c>
      <c r="N806">
        <v>42.923900000000003</v>
      </c>
      <c r="O806">
        <v>34.167700000000004</v>
      </c>
      <c r="P806">
        <v>2651.5236</v>
      </c>
      <c r="Q806">
        <v>2444.1464999999998</v>
      </c>
    </row>
    <row r="807" spans="1:17" x14ac:dyDescent="0.3">
      <c r="A807" s="1">
        <v>45561</v>
      </c>
      <c r="B807">
        <v>2669.8998999999999</v>
      </c>
      <c r="C807">
        <v>2669.8998999999999</v>
      </c>
      <c r="D807">
        <v>2660.8</v>
      </c>
      <c r="E807">
        <v>2662.3</v>
      </c>
      <c r="F807">
        <v>17216</v>
      </c>
      <c r="G807">
        <v>2615.5713999999998</v>
      </c>
      <c r="H807">
        <v>2535.4333000000001</v>
      </c>
      <c r="I807">
        <v>2426.5789</v>
      </c>
      <c r="J807">
        <v>0.22589999999999999</v>
      </c>
      <c r="K807">
        <v>0.63419999999999999</v>
      </c>
      <c r="L807">
        <v>0.72019999999999995</v>
      </c>
      <c r="M807">
        <v>84.482799999999997</v>
      </c>
      <c r="N807">
        <v>45.764200000000002</v>
      </c>
      <c r="O807">
        <v>36.487000000000002</v>
      </c>
      <c r="P807">
        <v>2668.9222</v>
      </c>
      <c r="Q807">
        <v>2442.8778000000002</v>
      </c>
    </row>
    <row r="808" spans="1:17" x14ac:dyDescent="0.3">
      <c r="A808" s="1">
        <v>45562</v>
      </c>
      <c r="B808">
        <v>2644.3</v>
      </c>
      <c r="C808">
        <v>2672.1001000000001</v>
      </c>
      <c r="D808">
        <v>2641.7</v>
      </c>
      <c r="E808">
        <v>2670</v>
      </c>
      <c r="F808">
        <v>4228</v>
      </c>
      <c r="G808">
        <v>2629.7570999999998</v>
      </c>
      <c r="H808">
        <v>2542.7067000000002</v>
      </c>
      <c r="I808">
        <v>2429.4032999999999</v>
      </c>
      <c r="J808">
        <v>0.28920000000000001</v>
      </c>
      <c r="K808">
        <v>0.52329999999999999</v>
      </c>
      <c r="L808">
        <v>0.69940000000000002</v>
      </c>
      <c r="M808">
        <v>92.730800000000002</v>
      </c>
      <c r="N808">
        <v>48.082299999999996</v>
      </c>
      <c r="O808">
        <v>38.805999999999997</v>
      </c>
      <c r="P808">
        <v>2685.2743999999998</v>
      </c>
      <c r="Q808">
        <v>2443.1156000000001</v>
      </c>
    </row>
    <row r="809" spans="1:17" x14ac:dyDescent="0.3">
      <c r="A809" s="1">
        <v>45565</v>
      </c>
      <c r="B809">
        <v>2636.1001000000001</v>
      </c>
      <c r="C809">
        <v>2662.1001000000001</v>
      </c>
      <c r="D809">
        <v>2623.2</v>
      </c>
      <c r="E809">
        <v>2660.8998999999999</v>
      </c>
      <c r="F809">
        <v>973</v>
      </c>
      <c r="G809">
        <v>2643.3143</v>
      </c>
      <c r="H809">
        <v>2549.62</v>
      </c>
      <c r="I809">
        <v>2431.9744000000001</v>
      </c>
      <c r="J809">
        <v>-0.34079999999999999</v>
      </c>
      <c r="K809">
        <v>0.56189999999999996</v>
      </c>
      <c r="L809">
        <v>0.7077</v>
      </c>
      <c r="M809">
        <v>87.677499999999995</v>
      </c>
      <c r="N809">
        <v>48.624600000000001</v>
      </c>
      <c r="O809">
        <v>40.769799999999996</v>
      </c>
      <c r="P809">
        <v>2697.7482</v>
      </c>
      <c r="Q809">
        <v>2444.7818000000002</v>
      </c>
    </row>
    <row r="810" spans="1:17" x14ac:dyDescent="0.3">
      <c r="A810" s="1">
        <v>45566</v>
      </c>
      <c r="B810">
        <v>2667.3</v>
      </c>
      <c r="C810">
        <v>2670.8998999999999</v>
      </c>
      <c r="D810">
        <v>2631.3998999999999</v>
      </c>
      <c r="E810">
        <v>2631.3998999999999</v>
      </c>
      <c r="F810">
        <v>153</v>
      </c>
      <c r="G810">
        <v>2649.1714000000002</v>
      </c>
      <c r="H810">
        <v>2553.7166999999999</v>
      </c>
      <c r="I810">
        <v>2434.3510999999999</v>
      </c>
      <c r="J810">
        <v>-1.1086</v>
      </c>
      <c r="K810">
        <v>0.79169999999999996</v>
      </c>
      <c r="L810">
        <v>0.6482</v>
      </c>
      <c r="M810">
        <v>74.7654</v>
      </c>
      <c r="N810">
        <v>46.142000000000003</v>
      </c>
      <c r="O810">
        <v>41.844200000000001</v>
      </c>
      <c r="P810">
        <v>2702.4956999999999</v>
      </c>
      <c r="Q810">
        <v>2453.0142999999998</v>
      </c>
    </row>
    <row r="811" spans="1:17" x14ac:dyDescent="0.3">
      <c r="A811" s="1">
        <v>45567</v>
      </c>
      <c r="B811">
        <v>2647.1001000000001</v>
      </c>
      <c r="C811">
        <v>2657.2</v>
      </c>
      <c r="D811">
        <v>2640</v>
      </c>
      <c r="E811">
        <v>2650.6001000000001</v>
      </c>
      <c r="F811">
        <v>72</v>
      </c>
      <c r="G811">
        <v>2652.6143000000002</v>
      </c>
      <c r="H811">
        <v>2558.62</v>
      </c>
      <c r="I811">
        <v>2437.4555999999998</v>
      </c>
      <c r="J811">
        <v>0.72970000000000002</v>
      </c>
      <c r="K811">
        <v>0.65700000000000003</v>
      </c>
      <c r="L811">
        <v>0.65259999999999996</v>
      </c>
      <c r="M811">
        <v>76.516800000000003</v>
      </c>
      <c r="N811">
        <v>45.202800000000003</v>
      </c>
      <c r="O811">
        <v>42.515900000000002</v>
      </c>
      <c r="P811">
        <v>2707.4805000000001</v>
      </c>
      <c r="Q811">
        <v>2463.9994999999999</v>
      </c>
    </row>
    <row r="812" spans="1:17" x14ac:dyDescent="0.3">
      <c r="A812" s="1">
        <v>45568</v>
      </c>
      <c r="B812">
        <v>2657.1001000000001</v>
      </c>
      <c r="C812">
        <v>2657.1001000000001</v>
      </c>
      <c r="D812">
        <v>2640</v>
      </c>
      <c r="E812">
        <v>2642.8</v>
      </c>
      <c r="F812">
        <v>354</v>
      </c>
      <c r="G812">
        <v>2653.4713999999999</v>
      </c>
      <c r="H812">
        <v>2563.0133000000001</v>
      </c>
      <c r="I812">
        <v>2440.7910999999999</v>
      </c>
      <c r="J812">
        <v>-0.29430000000000001</v>
      </c>
      <c r="K812">
        <v>0.66300000000000003</v>
      </c>
      <c r="L812">
        <v>0.65820000000000001</v>
      </c>
      <c r="M812">
        <v>68.762699999999995</v>
      </c>
      <c r="N812">
        <v>43.329599999999999</v>
      </c>
      <c r="O812">
        <v>42.678699999999999</v>
      </c>
      <c r="P812">
        <v>2709.3359999999998</v>
      </c>
      <c r="Q812">
        <v>2477.0540000000001</v>
      </c>
    </row>
    <row r="813" spans="1:17" x14ac:dyDescent="0.3">
      <c r="A813" s="1">
        <v>45569</v>
      </c>
      <c r="B813">
        <v>2645.8</v>
      </c>
      <c r="C813">
        <v>2667</v>
      </c>
      <c r="D813">
        <v>2639</v>
      </c>
      <c r="E813">
        <v>2656</v>
      </c>
      <c r="F813">
        <v>114</v>
      </c>
      <c r="G813">
        <v>2653.4286000000002</v>
      </c>
      <c r="H813">
        <v>2568.0767000000001</v>
      </c>
      <c r="I813">
        <v>2444.3366999999998</v>
      </c>
      <c r="J813">
        <v>0.4995</v>
      </c>
      <c r="K813">
        <v>0.62560000000000004</v>
      </c>
      <c r="L813">
        <v>0.6552</v>
      </c>
      <c r="M813">
        <v>69.014099999999999</v>
      </c>
      <c r="N813">
        <v>42.421199999999999</v>
      </c>
      <c r="O813">
        <v>42.627200000000002</v>
      </c>
      <c r="P813">
        <v>2712.9479000000001</v>
      </c>
      <c r="Q813">
        <v>2488.0120999999999</v>
      </c>
    </row>
    <row r="814" spans="1:17" x14ac:dyDescent="0.3">
      <c r="A814" s="1">
        <v>45572</v>
      </c>
      <c r="B814">
        <v>2644.8</v>
      </c>
      <c r="C814">
        <v>2657.3998999999999</v>
      </c>
      <c r="D814">
        <v>2639</v>
      </c>
      <c r="E814">
        <v>2648.7</v>
      </c>
      <c r="F814">
        <v>284</v>
      </c>
      <c r="G814">
        <v>2651.4857000000002</v>
      </c>
      <c r="H814">
        <v>2573.4832999999999</v>
      </c>
      <c r="I814">
        <v>2447.7633000000001</v>
      </c>
      <c r="J814">
        <v>-0.27489999999999998</v>
      </c>
      <c r="K814">
        <v>0.62409999999999999</v>
      </c>
      <c r="L814">
        <v>0.63939999999999997</v>
      </c>
      <c r="M814">
        <v>66.439300000000003</v>
      </c>
      <c r="N814">
        <v>40.643700000000003</v>
      </c>
      <c r="O814">
        <v>42.230499999999999</v>
      </c>
      <c r="P814">
        <v>2710.1745000000001</v>
      </c>
      <c r="Q814">
        <v>2506.5255000000002</v>
      </c>
    </row>
    <row r="815" spans="1:17" x14ac:dyDescent="0.3">
      <c r="A815" s="1">
        <v>45573</v>
      </c>
      <c r="B815">
        <v>2615</v>
      </c>
      <c r="C815">
        <v>2639</v>
      </c>
      <c r="D815">
        <v>2609.3000000000002</v>
      </c>
      <c r="E815">
        <v>2639</v>
      </c>
      <c r="F815">
        <v>687</v>
      </c>
      <c r="G815">
        <v>2647.0571</v>
      </c>
      <c r="H815">
        <v>2577.7867000000001</v>
      </c>
      <c r="I815">
        <v>2451.12</v>
      </c>
      <c r="J815">
        <v>-0.36620000000000003</v>
      </c>
      <c r="K815">
        <v>0.61</v>
      </c>
      <c r="L815">
        <v>0.63249999999999995</v>
      </c>
      <c r="M815">
        <v>66.699299999999994</v>
      </c>
      <c r="N815">
        <v>38.014200000000002</v>
      </c>
      <c r="O815">
        <v>41.3872</v>
      </c>
      <c r="P815">
        <v>2706.6350000000002</v>
      </c>
      <c r="Q815">
        <v>2522.7350000000001</v>
      </c>
    </row>
    <row r="816" spans="1:17" x14ac:dyDescent="0.3">
      <c r="A816" s="1">
        <v>45574</v>
      </c>
      <c r="B816">
        <v>2606</v>
      </c>
      <c r="C816">
        <v>2607.6999999999998</v>
      </c>
      <c r="D816">
        <v>2603</v>
      </c>
      <c r="E816">
        <v>2603</v>
      </c>
      <c r="F816">
        <v>152</v>
      </c>
      <c r="G816">
        <v>2638.7856999999999</v>
      </c>
      <c r="H816">
        <v>2580.7132999999999</v>
      </c>
      <c r="I816">
        <v>2453.9967000000001</v>
      </c>
      <c r="J816">
        <v>-1.3642000000000001</v>
      </c>
      <c r="K816">
        <v>0.76270000000000004</v>
      </c>
      <c r="L816">
        <v>0.69159999999999999</v>
      </c>
      <c r="M816">
        <v>57.845599999999997</v>
      </c>
      <c r="N816">
        <v>32.648899999999998</v>
      </c>
      <c r="O816">
        <v>39.639600000000002</v>
      </c>
      <c r="P816">
        <v>2700.7492000000002</v>
      </c>
      <c r="Q816">
        <v>2536.3407999999999</v>
      </c>
    </row>
    <row r="817" spans="1:17" x14ac:dyDescent="0.3">
      <c r="A817" s="1">
        <v>45575</v>
      </c>
      <c r="B817">
        <v>2620.6001000000001</v>
      </c>
      <c r="C817">
        <v>2628.3</v>
      </c>
      <c r="D817">
        <v>2602.5</v>
      </c>
      <c r="E817">
        <v>2602.5</v>
      </c>
      <c r="F817">
        <v>320</v>
      </c>
      <c r="G817">
        <v>2634.6572000000001</v>
      </c>
      <c r="H817">
        <v>2584.0967000000001</v>
      </c>
      <c r="I817">
        <v>2457.1066999999998</v>
      </c>
      <c r="J817">
        <v>-1.9199999999999998E-2</v>
      </c>
      <c r="K817">
        <v>0.6794</v>
      </c>
      <c r="L817">
        <v>0.68010000000000004</v>
      </c>
      <c r="M817">
        <v>52.8551</v>
      </c>
      <c r="N817">
        <v>28.0335</v>
      </c>
      <c r="O817">
        <v>37.318300000000001</v>
      </c>
      <c r="P817">
        <v>2693.424</v>
      </c>
      <c r="Q817">
        <v>2551.0059000000001</v>
      </c>
    </row>
    <row r="818" spans="1:17" x14ac:dyDescent="0.3">
      <c r="A818" s="1">
        <v>45576</v>
      </c>
      <c r="B818">
        <v>2657.6001000000001</v>
      </c>
      <c r="C818">
        <v>2658.1001000000001</v>
      </c>
      <c r="D818">
        <v>2638.2</v>
      </c>
      <c r="E818">
        <v>2638.3</v>
      </c>
      <c r="F818">
        <v>12</v>
      </c>
      <c r="G818">
        <v>2632.9</v>
      </c>
      <c r="H818">
        <v>2588.5700000000002</v>
      </c>
      <c r="I818">
        <v>2460.3377999999998</v>
      </c>
      <c r="J818">
        <v>1.3755999999999999</v>
      </c>
      <c r="K818">
        <v>0.84370000000000001</v>
      </c>
      <c r="L818">
        <v>0.71679999999999999</v>
      </c>
      <c r="M818">
        <v>52.7883</v>
      </c>
      <c r="N818">
        <v>26.953700000000001</v>
      </c>
      <c r="O818">
        <v>35.245399999999997</v>
      </c>
      <c r="P818">
        <v>2692.5756000000001</v>
      </c>
      <c r="Q818">
        <v>2558.8042999999998</v>
      </c>
    </row>
    <row r="819" spans="1:17" x14ac:dyDescent="0.3">
      <c r="A819" s="1">
        <v>45579</v>
      </c>
      <c r="B819">
        <v>2647.8</v>
      </c>
      <c r="C819">
        <v>2655.3</v>
      </c>
      <c r="D819">
        <v>2647.8</v>
      </c>
      <c r="E819">
        <v>2655</v>
      </c>
      <c r="F819">
        <v>40</v>
      </c>
      <c r="G819">
        <v>2634.6428999999998</v>
      </c>
      <c r="H819">
        <v>2593.0866999999998</v>
      </c>
      <c r="I819">
        <v>2463.9888999999998</v>
      </c>
      <c r="J819">
        <v>0.63300000000000001</v>
      </c>
      <c r="K819">
        <v>0.87370000000000003</v>
      </c>
      <c r="L819">
        <v>0.71719999999999995</v>
      </c>
      <c r="M819">
        <v>54.174300000000002</v>
      </c>
      <c r="N819">
        <v>27.1328</v>
      </c>
      <c r="O819">
        <v>33.622900000000001</v>
      </c>
      <c r="P819">
        <v>2693.9501</v>
      </c>
      <c r="Q819">
        <v>2564.8899000000001</v>
      </c>
    </row>
    <row r="820" spans="1:17" x14ac:dyDescent="0.3">
      <c r="A820" s="1">
        <v>45580</v>
      </c>
      <c r="B820">
        <v>2661.3998999999999</v>
      </c>
      <c r="C820">
        <v>2661.3998999999999</v>
      </c>
      <c r="D820">
        <v>2661.3998999999999</v>
      </c>
      <c r="E820">
        <v>2661.3998999999999</v>
      </c>
      <c r="F820">
        <v>39</v>
      </c>
      <c r="G820">
        <v>2635.4142999999999</v>
      </c>
      <c r="H820">
        <v>2598.4133000000002</v>
      </c>
      <c r="I820">
        <v>2467.3933000000002</v>
      </c>
      <c r="J820">
        <v>0.24110000000000001</v>
      </c>
      <c r="K820">
        <v>0.85780000000000001</v>
      </c>
      <c r="L820">
        <v>0.69740000000000002</v>
      </c>
      <c r="M820">
        <v>51.244500000000002</v>
      </c>
      <c r="N820">
        <v>27.474399999999999</v>
      </c>
      <c r="O820">
        <v>32.3932</v>
      </c>
      <c r="P820">
        <v>2695.2541999999999</v>
      </c>
      <c r="Q820">
        <v>2571.6057999999998</v>
      </c>
    </row>
    <row r="821" spans="1:17" x14ac:dyDescent="0.3">
      <c r="A821" s="1">
        <v>45581</v>
      </c>
      <c r="B821">
        <v>2674</v>
      </c>
      <c r="C821">
        <v>2674</v>
      </c>
      <c r="D821">
        <v>2674</v>
      </c>
      <c r="E821">
        <v>2674</v>
      </c>
      <c r="F821">
        <v>6</v>
      </c>
      <c r="G821">
        <v>2639.0286000000001</v>
      </c>
      <c r="H821">
        <v>2604.5167000000001</v>
      </c>
      <c r="I821">
        <v>2470.6610999999998</v>
      </c>
      <c r="J821">
        <v>0.47339999999999999</v>
      </c>
      <c r="K821">
        <v>0.85980000000000001</v>
      </c>
      <c r="L821">
        <v>0.68830000000000002</v>
      </c>
      <c r="M821">
        <v>52.765900000000002</v>
      </c>
      <c r="N821">
        <v>28.434100000000001</v>
      </c>
      <c r="O821">
        <v>31.601400000000002</v>
      </c>
      <c r="P821">
        <v>2695.4103</v>
      </c>
      <c r="Q821">
        <v>2581.7797</v>
      </c>
    </row>
    <row r="822" spans="1:17" x14ac:dyDescent="0.3">
      <c r="A822" s="1">
        <v>45582</v>
      </c>
      <c r="B822">
        <v>2691</v>
      </c>
      <c r="C822">
        <v>2691.7</v>
      </c>
      <c r="D822">
        <v>2677.2</v>
      </c>
      <c r="E822">
        <v>2677.3998999999999</v>
      </c>
      <c r="F822">
        <v>30</v>
      </c>
      <c r="G822">
        <v>2644.5142999999998</v>
      </c>
      <c r="H822">
        <v>2610.64</v>
      </c>
      <c r="I822">
        <v>2474.9589000000001</v>
      </c>
      <c r="J822">
        <v>0.12709999999999999</v>
      </c>
      <c r="K822">
        <v>0.83120000000000005</v>
      </c>
      <c r="L822">
        <v>0.68830000000000002</v>
      </c>
      <c r="M822">
        <v>51.785699999999999</v>
      </c>
      <c r="N822">
        <v>29.133199999999999</v>
      </c>
      <c r="O822">
        <v>31.107800000000001</v>
      </c>
      <c r="P822">
        <v>2692.1741999999999</v>
      </c>
      <c r="Q822">
        <v>2596.1558</v>
      </c>
    </row>
    <row r="823" spans="1:17" x14ac:dyDescent="0.3">
      <c r="A823" s="1">
        <v>45583</v>
      </c>
      <c r="B823">
        <v>2713.7</v>
      </c>
      <c r="C823">
        <v>2719.6001000000001</v>
      </c>
      <c r="D823">
        <v>2713.7</v>
      </c>
      <c r="E823">
        <v>2713.7</v>
      </c>
      <c r="F823">
        <v>29</v>
      </c>
      <c r="G823">
        <v>2660.3285000000001</v>
      </c>
      <c r="H823">
        <v>2617.42</v>
      </c>
      <c r="I823">
        <v>2479.5554999999999</v>
      </c>
      <c r="J823">
        <v>1.3557999999999999</v>
      </c>
      <c r="K823">
        <v>0.5665</v>
      </c>
      <c r="L823">
        <v>0.71399999999999997</v>
      </c>
      <c r="M823">
        <v>61.262799999999999</v>
      </c>
      <c r="N823">
        <v>32.244700000000002</v>
      </c>
      <c r="O823">
        <v>31.335100000000001</v>
      </c>
      <c r="P823">
        <v>2700.8692000000001</v>
      </c>
      <c r="Q823">
        <v>2599.7908000000002</v>
      </c>
    </row>
    <row r="824" spans="1:17" x14ac:dyDescent="0.3">
      <c r="A824" s="1">
        <v>45586</v>
      </c>
      <c r="B824">
        <v>2723.1001000000001</v>
      </c>
      <c r="C824">
        <v>2738.3998999999999</v>
      </c>
      <c r="D824">
        <v>2719.5</v>
      </c>
      <c r="E824">
        <v>2721.8998999999999</v>
      </c>
      <c r="F824">
        <v>52</v>
      </c>
      <c r="G824">
        <v>2677.3856999999998</v>
      </c>
      <c r="H824">
        <v>2625.1066999999998</v>
      </c>
      <c r="I824">
        <v>2484.0778</v>
      </c>
      <c r="J824">
        <v>0.30220000000000002</v>
      </c>
      <c r="K824">
        <v>0.51919999999999999</v>
      </c>
      <c r="L824">
        <v>0.68759999999999999</v>
      </c>
      <c r="M824">
        <v>71.234200000000001</v>
      </c>
      <c r="N824">
        <v>34.969099999999997</v>
      </c>
      <c r="O824">
        <v>32.061900000000001</v>
      </c>
      <c r="P824">
        <v>2713.5569999999998</v>
      </c>
      <c r="Q824">
        <v>2596.643</v>
      </c>
    </row>
    <row r="825" spans="1:17" x14ac:dyDescent="0.3">
      <c r="A825" s="1">
        <v>45587</v>
      </c>
      <c r="B825">
        <v>2744.2</v>
      </c>
      <c r="C825">
        <v>2746</v>
      </c>
      <c r="D825">
        <v>2728.6001000000001</v>
      </c>
      <c r="E825">
        <v>2731.7</v>
      </c>
      <c r="F825">
        <v>93</v>
      </c>
      <c r="G825">
        <v>2690.7285000000002</v>
      </c>
      <c r="H825">
        <v>2632.42</v>
      </c>
      <c r="I825">
        <v>2488.77</v>
      </c>
      <c r="J825">
        <v>0.36</v>
      </c>
      <c r="K825">
        <v>0.41139999999999999</v>
      </c>
      <c r="L825">
        <v>0.68</v>
      </c>
      <c r="M825">
        <v>69.906700000000001</v>
      </c>
      <c r="N825">
        <v>37.486800000000002</v>
      </c>
      <c r="O825">
        <v>33.146900000000002</v>
      </c>
      <c r="P825">
        <v>2726.8314999999998</v>
      </c>
      <c r="Q825">
        <v>2592.8584000000001</v>
      </c>
    </row>
    <row r="826" spans="1:17" x14ac:dyDescent="0.3">
      <c r="A826" s="1">
        <v>45588</v>
      </c>
      <c r="B826">
        <v>2714.3998999999999</v>
      </c>
      <c r="C826">
        <v>2742.5</v>
      </c>
      <c r="D826">
        <v>2714.2</v>
      </c>
      <c r="E826">
        <v>2742.5</v>
      </c>
      <c r="F826">
        <v>18</v>
      </c>
      <c r="G826">
        <v>2703.2285000000002</v>
      </c>
      <c r="H826">
        <v>2639.6433000000002</v>
      </c>
      <c r="I826">
        <v>2493.6089000000002</v>
      </c>
      <c r="J826">
        <v>0.39539999999999997</v>
      </c>
      <c r="K826">
        <v>0.4083</v>
      </c>
      <c r="L826">
        <v>0.67869999999999997</v>
      </c>
      <c r="M826">
        <v>74.117099999999994</v>
      </c>
      <c r="N826">
        <v>39.893799999999999</v>
      </c>
      <c r="O826">
        <v>34.496299999999998</v>
      </c>
      <c r="P826">
        <v>2740.6051000000002</v>
      </c>
      <c r="Q826">
        <v>2587.7049000000002</v>
      </c>
    </row>
    <row r="827" spans="1:17" x14ac:dyDescent="0.3">
      <c r="A827" s="1">
        <v>45589</v>
      </c>
      <c r="B827">
        <v>2734.8998999999999</v>
      </c>
      <c r="C827">
        <v>2736.1001000000001</v>
      </c>
      <c r="D827">
        <v>2729</v>
      </c>
      <c r="E827">
        <v>2729</v>
      </c>
      <c r="F827">
        <v>27</v>
      </c>
      <c r="G827">
        <v>2712.8856999999998</v>
      </c>
      <c r="H827">
        <v>2646.3065999999999</v>
      </c>
      <c r="I827">
        <v>2498.1511</v>
      </c>
      <c r="J827">
        <v>-0.49230000000000002</v>
      </c>
      <c r="K827">
        <v>0.54610000000000003</v>
      </c>
      <c r="L827">
        <v>0.69269999999999998</v>
      </c>
      <c r="M827">
        <v>67.632900000000006</v>
      </c>
      <c r="N827">
        <v>40.247999999999998</v>
      </c>
      <c r="O827">
        <v>35.646599999999999</v>
      </c>
      <c r="P827">
        <v>2749.2352999999998</v>
      </c>
      <c r="Q827">
        <v>2585.7446</v>
      </c>
    </row>
    <row r="828" spans="1:17" x14ac:dyDescent="0.3">
      <c r="A828" s="1">
        <v>45590</v>
      </c>
      <c r="B828">
        <v>2740.8998999999999</v>
      </c>
      <c r="C828">
        <v>2742.3998999999999</v>
      </c>
      <c r="D828">
        <v>2725.5</v>
      </c>
      <c r="E828">
        <v>2725.5</v>
      </c>
      <c r="F828">
        <v>29</v>
      </c>
      <c r="G828">
        <v>2720.2428</v>
      </c>
      <c r="H828">
        <v>2651.53</v>
      </c>
      <c r="I828">
        <v>2502.7478000000001</v>
      </c>
      <c r="J828">
        <v>-0.1283</v>
      </c>
      <c r="K828">
        <v>0.57210000000000005</v>
      </c>
      <c r="L828">
        <v>0.64970000000000006</v>
      </c>
      <c r="M828">
        <v>68.8977</v>
      </c>
      <c r="N828">
        <v>39.787700000000001</v>
      </c>
      <c r="O828">
        <v>36.474800000000002</v>
      </c>
      <c r="P828">
        <v>2756.038</v>
      </c>
      <c r="Q828">
        <v>2584.4920000000002</v>
      </c>
    </row>
    <row r="829" spans="1:17" x14ac:dyDescent="0.3">
      <c r="A829" s="1">
        <v>45593</v>
      </c>
      <c r="B829">
        <v>2742.8998999999999</v>
      </c>
      <c r="C829">
        <v>2742.8998999999999</v>
      </c>
      <c r="D829">
        <v>2729.5</v>
      </c>
      <c r="E829">
        <v>2736.1001000000001</v>
      </c>
      <c r="F829">
        <v>56</v>
      </c>
      <c r="G829">
        <v>2728.6286</v>
      </c>
      <c r="H829">
        <v>2656.72</v>
      </c>
      <c r="I829">
        <v>2507.2721999999999</v>
      </c>
      <c r="J829">
        <v>0.38890000000000002</v>
      </c>
      <c r="K829">
        <v>0.56940000000000002</v>
      </c>
      <c r="L829">
        <v>0.64890000000000003</v>
      </c>
      <c r="M829">
        <v>73.787400000000005</v>
      </c>
      <c r="N829">
        <v>39.819200000000002</v>
      </c>
      <c r="O829">
        <v>37.143700000000003</v>
      </c>
      <c r="P829">
        <v>2764.5319</v>
      </c>
      <c r="Q829">
        <v>2583.5180999999998</v>
      </c>
    </row>
    <row r="830" spans="1:17" x14ac:dyDescent="0.3">
      <c r="A830" s="1">
        <v>45594</v>
      </c>
      <c r="B830">
        <v>2768.3998999999999</v>
      </c>
      <c r="C830">
        <v>2768.3998999999999</v>
      </c>
      <c r="D830">
        <v>2768.3998999999999</v>
      </c>
      <c r="E830">
        <v>2768.3998999999999</v>
      </c>
      <c r="F830">
        <v>848</v>
      </c>
      <c r="G830">
        <v>2736.4427999999998</v>
      </c>
      <c r="H830">
        <v>2662.96</v>
      </c>
      <c r="I830">
        <v>2512.13</v>
      </c>
      <c r="J830">
        <v>1.1805000000000001</v>
      </c>
      <c r="K830">
        <v>0.51729999999999998</v>
      </c>
      <c r="L830">
        <v>0.67230000000000001</v>
      </c>
      <c r="M830">
        <v>91.267499999999998</v>
      </c>
      <c r="N830">
        <v>41.966700000000003</v>
      </c>
      <c r="O830">
        <v>38.1083</v>
      </c>
      <c r="P830">
        <v>2778.2736</v>
      </c>
      <c r="Q830">
        <v>2583.4762999999998</v>
      </c>
    </row>
    <row r="831" spans="1:17" x14ac:dyDescent="0.3">
      <c r="A831" s="1">
        <v>45595</v>
      </c>
      <c r="B831">
        <v>2788.5</v>
      </c>
      <c r="C831">
        <v>2789</v>
      </c>
      <c r="D831">
        <v>2774.6001000000001</v>
      </c>
      <c r="E831">
        <v>2774.6001000000001</v>
      </c>
      <c r="F831">
        <v>231</v>
      </c>
      <c r="G831">
        <v>2743.9713999999999</v>
      </c>
      <c r="H831">
        <v>2669.7566999999999</v>
      </c>
      <c r="I831">
        <v>2517.1444000000001</v>
      </c>
      <c r="J831">
        <v>0.224</v>
      </c>
      <c r="K831">
        <v>0.51780000000000004</v>
      </c>
      <c r="L831">
        <v>0.6613</v>
      </c>
      <c r="M831">
        <v>91.751599999999996</v>
      </c>
      <c r="N831">
        <v>43.665599999999998</v>
      </c>
      <c r="O831">
        <v>39.219799999999999</v>
      </c>
      <c r="P831">
        <v>2791.8654000000001</v>
      </c>
      <c r="Q831">
        <v>2582.2846</v>
      </c>
    </row>
    <row r="832" spans="1:17" x14ac:dyDescent="0.3">
      <c r="A832" s="1">
        <v>45596</v>
      </c>
      <c r="B832">
        <v>2738.3</v>
      </c>
      <c r="C832">
        <v>2787.5</v>
      </c>
      <c r="D832">
        <v>2733.5</v>
      </c>
      <c r="E832">
        <v>2787.3998999999999</v>
      </c>
      <c r="F832">
        <v>849</v>
      </c>
      <c r="G832">
        <v>2751.9286000000002</v>
      </c>
      <c r="H832">
        <v>2677.1367</v>
      </c>
      <c r="I832">
        <v>2522.2889</v>
      </c>
      <c r="J832">
        <v>0.46129999999999999</v>
      </c>
      <c r="K832">
        <v>0.52190000000000003</v>
      </c>
      <c r="L832">
        <v>0.65690000000000004</v>
      </c>
      <c r="M832">
        <v>90.715400000000002</v>
      </c>
      <c r="N832">
        <v>45.520099999999999</v>
      </c>
      <c r="O832">
        <v>40.479799999999997</v>
      </c>
      <c r="P832">
        <v>2805.9616999999998</v>
      </c>
      <c r="Q832">
        <v>2582.6482999999998</v>
      </c>
    </row>
    <row r="833" spans="1:17" x14ac:dyDescent="0.3">
      <c r="A833" s="1">
        <v>45597</v>
      </c>
      <c r="B833">
        <v>2738.6001000000001</v>
      </c>
      <c r="C833">
        <v>2756</v>
      </c>
      <c r="D833">
        <v>2734.2</v>
      </c>
      <c r="E833">
        <v>2745.5</v>
      </c>
      <c r="F833">
        <v>109</v>
      </c>
      <c r="G833">
        <v>2752.3571000000002</v>
      </c>
      <c r="H833">
        <v>2682.3067000000001</v>
      </c>
      <c r="I833">
        <v>2527.1511</v>
      </c>
      <c r="J833">
        <v>-1.5032000000000001</v>
      </c>
      <c r="K833">
        <v>0.84889999999999999</v>
      </c>
      <c r="L833">
        <v>0.72009999999999996</v>
      </c>
      <c r="M833">
        <v>71.723500000000001</v>
      </c>
      <c r="N833">
        <v>43.111899999999999</v>
      </c>
      <c r="O833">
        <v>41.0062</v>
      </c>
      <c r="P833">
        <v>2811.1444000000001</v>
      </c>
      <c r="Q833">
        <v>2586.4155000000001</v>
      </c>
    </row>
    <row r="834" spans="1:17" x14ac:dyDescent="0.3">
      <c r="A834" s="1">
        <v>45600</v>
      </c>
      <c r="B834">
        <v>2736.1001000000001</v>
      </c>
      <c r="C834">
        <v>2737.1001000000001</v>
      </c>
      <c r="D834">
        <v>2736.1001000000001</v>
      </c>
      <c r="E834">
        <v>2736.5</v>
      </c>
      <c r="F834">
        <v>16</v>
      </c>
      <c r="G834">
        <v>2753.4286000000002</v>
      </c>
      <c r="H834">
        <v>2685.9733000000001</v>
      </c>
      <c r="I834">
        <v>2532.0367000000001</v>
      </c>
      <c r="J834">
        <v>-0.32779999999999998</v>
      </c>
      <c r="K834">
        <v>0.83460000000000001</v>
      </c>
      <c r="L834">
        <v>0.68930000000000002</v>
      </c>
      <c r="M834">
        <v>67.804699999999997</v>
      </c>
      <c r="N834">
        <v>40.015799999999999</v>
      </c>
      <c r="O834">
        <v>40.808199999999999</v>
      </c>
      <c r="P834">
        <v>2814.1482000000001</v>
      </c>
      <c r="Q834">
        <v>2592.1918000000001</v>
      </c>
    </row>
    <row r="835" spans="1:17" x14ac:dyDescent="0.3">
      <c r="A835" s="1">
        <v>45601</v>
      </c>
      <c r="B835">
        <v>2740.3</v>
      </c>
      <c r="C835">
        <v>2743.8998999999999</v>
      </c>
      <c r="D835">
        <v>2740.3</v>
      </c>
      <c r="E835">
        <v>2743</v>
      </c>
      <c r="F835">
        <v>23</v>
      </c>
      <c r="G835">
        <v>2755.9286000000002</v>
      </c>
      <c r="H835">
        <v>2689.5133000000001</v>
      </c>
      <c r="I835">
        <v>2536.6767</v>
      </c>
      <c r="J835">
        <v>0.23749999999999999</v>
      </c>
      <c r="K835">
        <v>0.83350000000000002</v>
      </c>
      <c r="L835">
        <v>0.68789999999999996</v>
      </c>
      <c r="M835">
        <v>66.845699999999994</v>
      </c>
      <c r="N835">
        <v>37.6526</v>
      </c>
      <c r="O835">
        <v>40.177</v>
      </c>
      <c r="P835">
        <v>2816.3948999999998</v>
      </c>
      <c r="Q835">
        <v>2600.3449999999998</v>
      </c>
    </row>
    <row r="836" spans="1:17" x14ac:dyDescent="0.3">
      <c r="A836" s="1">
        <v>45602</v>
      </c>
      <c r="B836">
        <v>2667.6001000000001</v>
      </c>
      <c r="C836">
        <v>2734.5</v>
      </c>
      <c r="D836">
        <v>2659.3998999999999</v>
      </c>
      <c r="E836">
        <v>2734.5</v>
      </c>
      <c r="F836">
        <v>427</v>
      </c>
      <c r="G836">
        <v>2755.7</v>
      </c>
      <c r="H836">
        <v>2692.12</v>
      </c>
      <c r="I836">
        <v>2541.2399999999998</v>
      </c>
      <c r="J836">
        <v>-0.30990000000000001</v>
      </c>
      <c r="K836">
        <v>0.83430000000000004</v>
      </c>
      <c r="L836">
        <v>0.68269999999999997</v>
      </c>
      <c r="M836">
        <v>63.601700000000001</v>
      </c>
      <c r="N836">
        <v>34.694000000000003</v>
      </c>
      <c r="O836">
        <v>39.080399999999997</v>
      </c>
      <c r="P836">
        <v>2811.3487</v>
      </c>
      <c r="Q836">
        <v>2618.5412999999999</v>
      </c>
    </row>
    <row r="837" spans="1:17" x14ac:dyDescent="0.3">
      <c r="A837" s="1">
        <v>45603</v>
      </c>
      <c r="B837">
        <v>2698.3998999999999</v>
      </c>
      <c r="C837">
        <v>2699.1001000000001</v>
      </c>
      <c r="D837">
        <v>2662.5</v>
      </c>
      <c r="E837">
        <v>2662.5</v>
      </c>
      <c r="F837">
        <v>676</v>
      </c>
      <c r="G837">
        <v>2740.5713999999998</v>
      </c>
      <c r="H837">
        <v>2692.1266999999998</v>
      </c>
      <c r="I837">
        <v>2544.9267</v>
      </c>
      <c r="J837">
        <v>-2.633</v>
      </c>
      <c r="K837">
        <v>1.1252</v>
      </c>
      <c r="L837">
        <v>0.84470000000000001</v>
      </c>
      <c r="M837">
        <v>39.576599999999999</v>
      </c>
      <c r="N837">
        <v>26.236999999999998</v>
      </c>
      <c r="O837">
        <v>36.511699999999998</v>
      </c>
      <c r="P837">
        <v>2802.6383000000001</v>
      </c>
      <c r="Q837">
        <v>2633.2516999999998</v>
      </c>
    </row>
    <row r="838" spans="1:17" x14ac:dyDescent="0.3">
      <c r="A838" s="1">
        <v>45604</v>
      </c>
      <c r="B838">
        <v>2687.5</v>
      </c>
      <c r="C838">
        <v>2694.6001000000001</v>
      </c>
      <c r="D838">
        <v>2682.8998999999999</v>
      </c>
      <c r="E838">
        <v>2688.5</v>
      </c>
      <c r="F838">
        <v>1038</v>
      </c>
      <c r="G838">
        <v>2728.2714000000001</v>
      </c>
      <c r="H838">
        <v>2692.7433000000001</v>
      </c>
      <c r="I838">
        <v>2548.9</v>
      </c>
      <c r="J838">
        <v>0.97650000000000003</v>
      </c>
      <c r="K838">
        <v>1.2414000000000001</v>
      </c>
      <c r="L838">
        <v>0.8619</v>
      </c>
      <c r="M838">
        <v>43.659799999999997</v>
      </c>
      <c r="N838">
        <v>21.386199999999999</v>
      </c>
      <c r="O838">
        <v>33.486600000000003</v>
      </c>
      <c r="P838">
        <v>2797.8728000000001</v>
      </c>
      <c r="Q838">
        <v>2643.0372000000002</v>
      </c>
    </row>
    <row r="839" spans="1:17" x14ac:dyDescent="0.3">
      <c r="A839" s="1">
        <v>45607</v>
      </c>
      <c r="B839">
        <v>2611.1999999999998</v>
      </c>
      <c r="C839">
        <v>2671.7</v>
      </c>
      <c r="D839">
        <v>2611.1999999999998</v>
      </c>
      <c r="E839">
        <v>2671.7</v>
      </c>
      <c r="F839">
        <v>20</v>
      </c>
      <c r="G839">
        <v>2711.7429000000002</v>
      </c>
      <c r="H839">
        <v>2693.1033000000002</v>
      </c>
      <c r="I839">
        <v>2552.42</v>
      </c>
      <c r="J839">
        <v>-0.62490000000000001</v>
      </c>
      <c r="K839">
        <v>1.1758</v>
      </c>
      <c r="L839">
        <v>0.86760000000000004</v>
      </c>
      <c r="M839">
        <v>38.905299999999997</v>
      </c>
      <c r="N839">
        <v>16.001899999999999</v>
      </c>
      <c r="O839">
        <v>29.989699999999999</v>
      </c>
      <c r="P839">
        <v>2796.0499</v>
      </c>
      <c r="Q839">
        <v>2646.53</v>
      </c>
    </row>
    <row r="840" spans="1:17" x14ac:dyDescent="0.3">
      <c r="A840" s="1">
        <v>45608</v>
      </c>
      <c r="B840">
        <v>2600</v>
      </c>
      <c r="C840">
        <v>2605.5</v>
      </c>
      <c r="D840">
        <v>2592.8000000000002</v>
      </c>
      <c r="E840">
        <v>2605.5</v>
      </c>
      <c r="F840">
        <v>118</v>
      </c>
      <c r="G840">
        <v>2691.7429000000002</v>
      </c>
      <c r="H840">
        <v>2692.24</v>
      </c>
      <c r="I840">
        <v>2554.9067</v>
      </c>
      <c r="J840">
        <v>-2.4777999999999998</v>
      </c>
      <c r="K840">
        <v>1.3462000000000001</v>
      </c>
      <c r="L840">
        <v>0.96</v>
      </c>
      <c r="M840">
        <v>28.974799999999998</v>
      </c>
      <c r="N840">
        <v>6.3201000000000001</v>
      </c>
      <c r="O840">
        <v>25.255800000000001</v>
      </c>
      <c r="P840">
        <v>2805.8083999999999</v>
      </c>
      <c r="Q840">
        <v>2631.1815999999999</v>
      </c>
    </row>
    <row r="841" spans="1:17" x14ac:dyDescent="0.3">
      <c r="A841" s="1">
        <v>45609</v>
      </c>
      <c r="B841">
        <v>2580.8000000000002</v>
      </c>
      <c r="C841">
        <v>2611.8000000000002</v>
      </c>
      <c r="D841">
        <v>2580.8000000000002</v>
      </c>
      <c r="E841">
        <v>2611.1001000000001</v>
      </c>
      <c r="F841">
        <v>53</v>
      </c>
      <c r="G841">
        <v>2673.8285999999998</v>
      </c>
      <c r="H841">
        <v>2690.9232999999999</v>
      </c>
      <c r="I841">
        <v>2557.6622000000002</v>
      </c>
      <c r="J841">
        <v>0.21490000000000001</v>
      </c>
      <c r="K841">
        <v>1.3887</v>
      </c>
      <c r="L841">
        <v>0.95050000000000001</v>
      </c>
      <c r="M841">
        <v>31.456399999999999</v>
      </c>
      <c r="N841">
        <v>-0.89059999999999995</v>
      </c>
      <c r="O841">
        <v>20.026499999999999</v>
      </c>
      <c r="P841">
        <v>2813.2955000000002</v>
      </c>
      <c r="Q841">
        <v>2617.4045000000001</v>
      </c>
    </row>
    <row r="842" spans="1:17" x14ac:dyDescent="0.3">
      <c r="A842" s="1">
        <v>45610</v>
      </c>
      <c r="B842">
        <v>2568.1999999999998</v>
      </c>
      <c r="C842">
        <v>2576.1999999999998</v>
      </c>
      <c r="D842">
        <v>2554.1999999999998</v>
      </c>
      <c r="E842">
        <v>2555.1001000000001</v>
      </c>
      <c r="F842">
        <v>27</v>
      </c>
      <c r="G842">
        <v>2646.9857000000002</v>
      </c>
      <c r="H842">
        <v>2688</v>
      </c>
      <c r="I842">
        <v>2559.7600000000002</v>
      </c>
      <c r="J842">
        <v>-2.1446999999999998</v>
      </c>
      <c r="K842">
        <v>1.4237</v>
      </c>
      <c r="L842">
        <v>1.0244</v>
      </c>
      <c r="M842">
        <v>26.997800000000002</v>
      </c>
      <c r="N842">
        <v>-10.997199999999999</v>
      </c>
      <c r="O842">
        <v>13.8217</v>
      </c>
      <c r="P842">
        <v>2829.8128000000002</v>
      </c>
      <c r="Q842">
        <v>2588.6572000000001</v>
      </c>
    </row>
    <row r="843" spans="1:17" x14ac:dyDescent="0.3">
      <c r="A843" s="1">
        <v>45611</v>
      </c>
      <c r="B843">
        <v>2565.6999999999998</v>
      </c>
      <c r="C843">
        <v>2565.6999999999998</v>
      </c>
      <c r="D843">
        <v>2565.6999999999998</v>
      </c>
      <c r="E843">
        <v>2565.6999999999998</v>
      </c>
      <c r="F843">
        <v>20</v>
      </c>
      <c r="G843">
        <v>2622.8714</v>
      </c>
      <c r="H843">
        <v>2684.99</v>
      </c>
      <c r="I843">
        <v>2561.8377999999998</v>
      </c>
      <c r="J843">
        <v>0.41489999999999999</v>
      </c>
      <c r="K843">
        <v>1.5062</v>
      </c>
      <c r="L843">
        <v>1.0226999999999999</v>
      </c>
      <c r="M843">
        <v>26.997800000000002</v>
      </c>
      <c r="N843">
        <v>-17.944500000000001</v>
      </c>
      <c r="O843">
        <v>7.4684999999999997</v>
      </c>
      <c r="P843">
        <v>2838.3690999999999</v>
      </c>
      <c r="Q843">
        <v>2565.3009000000002</v>
      </c>
    </row>
    <row r="844" spans="1:17" x14ac:dyDescent="0.3">
      <c r="A844" s="1">
        <v>45614</v>
      </c>
      <c r="B844">
        <v>2610.6001000000001</v>
      </c>
      <c r="C844">
        <v>2610.6999999999998</v>
      </c>
      <c r="D844">
        <v>2589.3998999999999</v>
      </c>
      <c r="E844">
        <v>2591.6999999999998</v>
      </c>
      <c r="F844">
        <v>136</v>
      </c>
      <c r="G844">
        <v>2612.7570999999998</v>
      </c>
      <c r="H844">
        <v>2683.09</v>
      </c>
      <c r="I844">
        <v>2563.9699999999998</v>
      </c>
      <c r="J844">
        <v>1.0134000000000001</v>
      </c>
      <c r="K844">
        <v>1.4341999999999999</v>
      </c>
      <c r="L844">
        <v>1.0424</v>
      </c>
      <c r="M844">
        <v>25.7347</v>
      </c>
      <c r="N844">
        <v>-21.109000000000002</v>
      </c>
      <c r="O844">
        <v>1.7529999999999999</v>
      </c>
      <c r="P844">
        <v>2840.0039000000002</v>
      </c>
      <c r="Q844">
        <v>2550.6460999999999</v>
      </c>
    </row>
    <row r="845" spans="1:17" x14ac:dyDescent="0.3">
      <c r="A845" s="1">
        <v>45615</v>
      </c>
      <c r="B845">
        <v>2627.1001000000001</v>
      </c>
      <c r="C845">
        <v>2627.7</v>
      </c>
      <c r="D845">
        <v>2619.3000000000002</v>
      </c>
      <c r="E845">
        <v>2621.8998999999999</v>
      </c>
      <c r="F845">
        <v>87</v>
      </c>
      <c r="G845">
        <v>2603.2429000000002</v>
      </c>
      <c r="H845">
        <v>2682.52</v>
      </c>
      <c r="I845">
        <v>2566.1021999999998</v>
      </c>
      <c r="J845">
        <v>1.1653</v>
      </c>
      <c r="K845">
        <v>1.4653</v>
      </c>
      <c r="L845">
        <v>1.0646</v>
      </c>
      <c r="M845">
        <v>30.327200000000001</v>
      </c>
      <c r="N845">
        <v>-20.938600000000001</v>
      </c>
      <c r="O845">
        <v>-2.7852999999999999</v>
      </c>
      <c r="P845">
        <v>2837.0135</v>
      </c>
      <c r="Q845">
        <v>2542.6565000000001</v>
      </c>
    </row>
    <row r="846" spans="1:17" x14ac:dyDescent="0.3">
      <c r="A846" s="1">
        <v>45616</v>
      </c>
      <c r="B846">
        <v>2648.2</v>
      </c>
      <c r="C846">
        <v>2648.2</v>
      </c>
      <c r="D846">
        <v>2638.5</v>
      </c>
      <c r="E846">
        <v>2638.5</v>
      </c>
      <c r="F846">
        <v>27</v>
      </c>
      <c r="G846">
        <v>2598.5</v>
      </c>
      <c r="H846">
        <v>2683.7033000000001</v>
      </c>
      <c r="I846">
        <v>2568.4477999999999</v>
      </c>
      <c r="J846">
        <v>0.6331</v>
      </c>
      <c r="K846">
        <v>1.5024</v>
      </c>
      <c r="L846">
        <v>1.0395000000000001</v>
      </c>
      <c r="M846">
        <v>31.002800000000001</v>
      </c>
      <c r="N846">
        <v>-19.2423</v>
      </c>
      <c r="O846">
        <v>-6.0766999999999998</v>
      </c>
      <c r="P846">
        <v>2831.3270000000002</v>
      </c>
      <c r="Q846">
        <v>2537.9430000000002</v>
      </c>
    </row>
    <row r="847" spans="1:17" x14ac:dyDescent="0.3">
      <c r="A847" s="1">
        <v>45617</v>
      </c>
      <c r="B847">
        <v>2672.1001000000001</v>
      </c>
      <c r="C847">
        <v>2672.1001000000001</v>
      </c>
      <c r="D847">
        <v>2655.7</v>
      </c>
      <c r="E847">
        <v>2659.3</v>
      </c>
      <c r="F847">
        <v>33</v>
      </c>
      <c r="G847">
        <v>2606.1857</v>
      </c>
      <c r="H847">
        <v>2685.5967000000001</v>
      </c>
      <c r="I847">
        <v>2570.5189</v>
      </c>
      <c r="J847">
        <v>0.7883</v>
      </c>
      <c r="K847">
        <v>1.1257999999999999</v>
      </c>
      <c r="L847">
        <v>1.0481</v>
      </c>
      <c r="M847">
        <v>38.3765</v>
      </c>
      <c r="N847">
        <v>-16.034700000000001</v>
      </c>
      <c r="O847">
        <v>-8.0683000000000007</v>
      </c>
      <c r="P847">
        <v>2826.7116000000001</v>
      </c>
      <c r="Q847">
        <v>2535.5884000000001</v>
      </c>
    </row>
    <row r="848" spans="1:17" x14ac:dyDescent="0.3">
      <c r="A848" s="1">
        <v>45618</v>
      </c>
      <c r="B848">
        <v>2709.8998999999999</v>
      </c>
      <c r="C848">
        <v>2710.5</v>
      </c>
      <c r="D848">
        <v>2685.6001000000001</v>
      </c>
      <c r="E848">
        <v>2687.5</v>
      </c>
      <c r="F848">
        <v>41</v>
      </c>
      <c r="G848">
        <v>2617.1</v>
      </c>
      <c r="H848">
        <v>2687.2366999999999</v>
      </c>
      <c r="I848">
        <v>2572.98</v>
      </c>
      <c r="J848">
        <v>1.0604</v>
      </c>
      <c r="K848">
        <v>1.1601999999999999</v>
      </c>
      <c r="L848">
        <v>1.0361</v>
      </c>
      <c r="M848">
        <v>43.7179</v>
      </c>
      <c r="N848">
        <v>-11.0893</v>
      </c>
      <c r="O848">
        <v>-8.6724999999999994</v>
      </c>
      <c r="P848">
        <v>2823.3589000000002</v>
      </c>
      <c r="Q848">
        <v>2535.1410999999998</v>
      </c>
    </row>
    <row r="849" spans="1:17" x14ac:dyDescent="0.3">
      <c r="A849" s="1">
        <v>45621</v>
      </c>
      <c r="B849">
        <v>2616.8000000000002</v>
      </c>
      <c r="C849">
        <v>2689.3998999999999</v>
      </c>
      <c r="D849">
        <v>2616.8000000000002</v>
      </c>
      <c r="E849">
        <v>2689.3998999999999</v>
      </c>
      <c r="F849">
        <v>94</v>
      </c>
      <c r="G849">
        <v>2636.2856999999999</v>
      </c>
      <c r="H849">
        <v>2688.3833</v>
      </c>
      <c r="I849">
        <v>2575.9866999999999</v>
      </c>
      <c r="J849">
        <v>7.0699999999999999E-2</v>
      </c>
      <c r="K849">
        <v>0.39279999999999998</v>
      </c>
      <c r="L849">
        <v>1.0306</v>
      </c>
      <c r="M849">
        <v>43.046199999999999</v>
      </c>
      <c r="N849">
        <v>-6.9367999999999999</v>
      </c>
      <c r="O849">
        <v>-8.3254000000000001</v>
      </c>
      <c r="P849">
        <v>2818.6390000000001</v>
      </c>
      <c r="Q849">
        <v>2535.1909999999998</v>
      </c>
    </row>
    <row r="850" spans="1:17" x14ac:dyDescent="0.3">
      <c r="A850" s="1">
        <v>45622</v>
      </c>
      <c r="B850">
        <v>2620.3000000000002</v>
      </c>
      <c r="C850">
        <v>2625.6001000000001</v>
      </c>
      <c r="D850">
        <v>2620.3000000000002</v>
      </c>
      <c r="E850">
        <v>2625.6001000000001</v>
      </c>
      <c r="F850">
        <v>177858</v>
      </c>
      <c r="G850">
        <v>2644.8427999999999</v>
      </c>
      <c r="H850">
        <v>2687.19</v>
      </c>
      <c r="I850">
        <v>2578.4699999999998</v>
      </c>
      <c r="J850">
        <v>-2.3723000000000001</v>
      </c>
      <c r="K850">
        <v>1.2496</v>
      </c>
      <c r="L850">
        <v>1.1203000000000001</v>
      </c>
      <c r="M850">
        <v>37.6447</v>
      </c>
      <c r="N850">
        <v>-8.6937999999999995</v>
      </c>
      <c r="O850">
        <v>-8.3991000000000007</v>
      </c>
      <c r="P850">
        <v>2806.3890999999999</v>
      </c>
      <c r="Q850">
        <v>2533.1608999999999</v>
      </c>
    </row>
    <row r="851" spans="1:17" x14ac:dyDescent="0.3">
      <c r="A851" s="1">
        <v>45623</v>
      </c>
      <c r="B851">
        <v>2639.8998999999999</v>
      </c>
      <c r="C851">
        <v>2657.8998999999999</v>
      </c>
      <c r="D851">
        <v>2627.2</v>
      </c>
      <c r="E851">
        <v>2633.5</v>
      </c>
      <c r="F851">
        <v>61653</v>
      </c>
      <c r="G851">
        <v>2650.8143</v>
      </c>
      <c r="H851">
        <v>2685.84</v>
      </c>
      <c r="I851">
        <v>2581.1111000000001</v>
      </c>
      <c r="J851">
        <v>0.3009</v>
      </c>
      <c r="K851">
        <v>1.2138</v>
      </c>
      <c r="L851">
        <v>1.1180000000000001</v>
      </c>
      <c r="M851">
        <v>46.149799999999999</v>
      </c>
      <c r="N851">
        <v>-9.3411000000000008</v>
      </c>
      <c r="O851">
        <v>-8.5875000000000004</v>
      </c>
      <c r="P851">
        <v>2790.8508999999999</v>
      </c>
      <c r="Q851">
        <v>2534.5891000000001</v>
      </c>
    </row>
    <row r="852" spans="1:17" x14ac:dyDescent="0.3">
      <c r="A852" s="1">
        <v>45625</v>
      </c>
      <c r="B852">
        <v>2657</v>
      </c>
      <c r="C852">
        <v>2664.3</v>
      </c>
      <c r="D852">
        <v>2620.6999999999998</v>
      </c>
      <c r="E852">
        <v>2636.3998999999999</v>
      </c>
      <c r="F852">
        <v>3861</v>
      </c>
      <c r="G852">
        <v>2652.8856999999998</v>
      </c>
      <c r="H852">
        <v>2684.4733000000001</v>
      </c>
      <c r="I852">
        <v>2583.5043999999998</v>
      </c>
      <c r="J852">
        <v>0.1101</v>
      </c>
      <c r="K852">
        <v>1.1425000000000001</v>
      </c>
      <c r="L852">
        <v>1.1178999999999999</v>
      </c>
      <c r="M852">
        <v>42.630800000000001</v>
      </c>
      <c r="N852">
        <v>-9.5105000000000004</v>
      </c>
      <c r="O852">
        <v>-8.7721</v>
      </c>
      <c r="P852">
        <v>2769.4097000000002</v>
      </c>
      <c r="Q852">
        <v>2540.9301999999998</v>
      </c>
    </row>
    <row r="853" spans="1:17" x14ac:dyDescent="0.3">
      <c r="A853" s="1">
        <v>45628</v>
      </c>
      <c r="B853">
        <v>2634.8998999999999</v>
      </c>
      <c r="C853">
        <v>2649.8</v>
      </c>
      <c r="D853">
        <v>2621.7</v>
      </c>
      <c r="E853">
        <v>2649</v>
      </c>
      <c r="F853">
        <v>695</v>
      </c>
      <c r="G853">
        <v>2654.3856999999998</v>
      </c>
      <c r="H853">
        <v>2682.3166999999999</v>
      </c>
      <c r="I853">
        <v>2586.6543999999999</v>
      </c>
      <c r="J853">
        <v>0.47789999999999999</v>
      </c>
      <c r="K853">
        <v>1.1315999999999999</v>
      </c>
      <c r="L853">
        <v>1.0911</v>
      </c>
      <c r="M853">
        <v>46.750599999999999</v>
      </c>
      <c r="N853">
        <v>-8.5297000000000001</v>
      </c>
      <c r="O853">
        <v>-8.7235999999999994</v>
      </c>
      <c r="P853">
        <v>2756.3775999999998</v>
      </c>
      <c r="Q853">
        <v>2544.3123999999998</v>
      </c>
    </row>
    <row r="854" spans="1:17" x14ac:dyDescent="0.3">
      <c r="A854" s="1">
        <v>45629</v>
      </c>
      <c r="B854">
        <v>2644.7</v>
      </c>
      <c r="C854">
        <v>2654.7</v>
      </c>
      <c r="D854">
        <v>2636</v>
      </c>
      <c r="E854">
        <v>2639</v>
      </c>
      <c r="F854">
        <v>1062</v>
      </c>
      <c r="G854">
        <v>2651.4857000000002</v>
      </c>
      <c r="H854">
        <v>2679.5533</v>
      </c>
      <c r="I854">
        <v>2589.6578</v>
      </c>
      <c r="J854">
        <v>-0.3775</v>
      </c>
      <c r="K854">
        <v>1.0920000000000001</v>
      </c>
      <c r="L854">
        <v>1.0901000000000001</v>
      </c>
      <c r="M854">
        <v>55.714799999999997</v>
      </c>
      <c r="N854">
        <v>-8.4617000000000004</v>
      </c>
      <c r="O854">
        <v>-8.6712000000000007</v>
      </c>
      <c r="P854">
        <v>2743.4866999999999</v>
      </c>
      <c r="Q854">
        <v>2547.4533000000001</v>
      </c>
    </row>
    <row r="855" spans="1:17" x14ac:dyDescent="0.3">
      <c r="A855" s="1">
        <v>45630</v>
      </c>
      <c r="B855">
        <v>2653.8</v>
      </c>
      <c r="C855">
        <v>2658.3</v>
      </c>
      <c r="D855">
        <v>2637</v>
      </c>
      <c r="E855">
        <v>2639.2</v>
      </c>
      <c r="F855">
        <v>249</v>
      </c>
      <c r="G855">
        <v>2644.5857000000001</v>
      </c>
      <c r="H855">
        <v>2676.47</v>
      </c>
      <c r="I855">
        <v>2592.5677999999998</v>
      </c>
      <c r="J855">
        <v>7.6E-3</v>
      </c>
      <c r="K855">
        <v>0.97060000000000002</v>
      </c>
      <c r="L855">
        <v>1.0869</v>
      </c>
      <c r="M855">
        <v>54.883499999999998</v>
      </c>
      <c r="N855">
        <v>-8.2960999999999991</v>
      </c>
      <c r="O855">
        <v>-8.5961999999999996</v>
      </c>
      <c r="P855">
        <v>2726.8802000000001</v>
      </c>
      <c r="Q855">
        <v>2553.6797999999999</v>
      </c>
    </row>
    <row r="856" spans="1:17" x14ac:dyDescent="0.3">
      <c r="A856" s="1">
        <v>45631</v>
      </c>
      <c r="B856">
        <v>2626.6001000000001</v>
      </c>
      <c r="C856">
        <v>2655</v>
      </c>
      <c r="D856">
        <v>2625.7</v>
      </c>
      <c r="E856">
        <v>2652.3998999999999</v>
      </c>
      <c r="F856">
        <v>573</v>
      </c>
      <c r="G856">
        <v>2639.3</v>
      </c>
      <c r="H856">
        <v>2673.4666999999999</v>
      </c>
      <c r="I856">
        <v>2595.5844000000002</v>
      </c>
      <c r="J856">
        <v>0.50009999999999999</v>
      </c>
      <c r="K856">
        <v>1.0075000000000001</v>
      </c>
      <c r="L856">
        <v>1.0887</v>
      </c>
      <c r="M856">
        <v>69.865300000000005</v>
      </c>
      <c r="N856">
        <v>-7.0189000000000004</v>
      </c>
      <c r="O856">
        <v>-8.2806999999999995</v>
      </c>
      <c r="P856">
        <v>2710.9456</v>
      </c>
      <c r="Q856">
        <v>2561.4043999999999</v>
      </c>
    </row>
    <row r="857" spans="1:17" x14ac:dyDescent="0.3">
      <c r="A857" s="1">
        <v>45632</v>
      </c>
      <c r="B857">
        <v>2638.6001000000001</v>
      </c>
      <c r="C857">
        <v>2643.1001000000001</v>
      </c>
      <c r="D857">
        <v>2617.5</v>
      </c>
      <c r="E857">
        <v>2620.1999999999998</v>
      </c>
      <c r="F857">
        <v>571</v>
      </c>
      <c r="G857">
        <v>2638.5284999999999</v>
      </c>
      <c r="H857">
        <v>2669.84</v>
      </c>
      <c r="I857">
        <v>2597.9522000000002</v>
      </c>
      <c r="J857">
        <v>-1.214</v>
      </c>
      <c r="K857">
        <v>0.60440000000000005</v>
      </c>
      <c r="L857">
        <v>1.1053999999999999</v>
      </c>
      <c r="M857">
        <v>60.225200000000001</v>
      </c>
      <c r="N857">
        <v>-8.5068000000000001</v>
      </c>
      <c r="O857">
        <v>-8.3260000000000005</v>
      </c>
      <c r="P857">
        <v>2708.0844999999999</v>
      </c>
      <c r="Q857">
        <v>2560.0354000000002</v>
      </c>
    </row>
    <row r="858" spans="1:17" x14ac:dyDescent="0.3">
      <c r="A858" s="1">
        <v>45635</v>
      </c>
      <c r="B858">
        <v>2664.8998999999999</v>
      </c>
      <c r="C858">
        <v>2677.1001000000001</v>
      </c>
      <c r="D858">
        <v>2630.8</v>
      </c>
      <c r="E858">
        <v>2632.1001000000001</v>
      </c>
      <c r="F858">
        <v>935</v>
      </c>
      <c r="G858">
        <v>2638.3285000000001</v>
      </c>
      <c r="H858">
        <v>2666.7267000000002</v>
      </c>
      <c r="I858">
        <v>2600.0122000000001</v>
      </c>
      <c r="J858">
        <v>0.45419999999999999</v>
      </c>
      <c r="K858">
        <v>0.62090000000000001</v>
      </c>
      <c r="L858">
        <v>1.1105</v>
      </c>
      <c r="M858">
        <v>58.0032</v>
      </c>
      <c r="N858">
        <v>-8.6263000000000005</v>
      </c>
      <c r="O858">
        <v>-8.3859999999999992</v>
      </c>
      <c r="P858">
        <v>2700.6880000000001</v>
      </c>
      <c r="Q858">
        <v>2561.7919999999999</v>
      </c>
    </row>
    <row r="859" spans="1:17" x14ac:dyDescent="0.3">
      <c r="A859" s="1">
        <v>45636</v>
      </c>
      <c r="B859">
        <v>2697.6001000000001</v>
      </c>
      <c r="C859">
        <v>2698.2</v>
      </c>
      <c r="D859">
        <v>2661</v>
      </c>
      <c r="E859">
        <v>2662.3</v>
      </c>
      <c r="F859">
        <v>437</v>
      </c>
      <c r="G859">
        <v>2642.0286000000001</v>
      </c>
      <c r="H859">
        <v>2664.2667000000001</v>
      </c>
      <c r="I859">
        <v>2602.4378000000002</v>
      </c>
      <c r="J859">
        <v>1.1474</v>
      </c>
      <c r="K859">
        <v>0.7611</v>
      </c>
      <c r="L859">
        <v>1.1307</v>
      </c>
      <c r="M859">
        <v>58.0032</v>
      </c>
      <c r="N859">
        <v>-6.2126000000000001</v>
      </c>
      <c r="O859">
        <v>-7.9512999999999998</v>
      </c>
      <c r="P859">
        <v>2699.1846</v>
      </c>
      <c r="Q859">
        <v>2562.3553999999999</v>
      </c>
    </row>
    <row r="860" spans="1:17" x14ac:dyDescent="0.3">
      <c r="A860" s="1">
        <v>45637</v>
      </c>
      <c r="B860">
        <v>2733.8</v>
      </c>
      <c r="C860">
        <v>2733.8</v>
      </c>
      <c r="D860">
        <v>2693.1001000000001</v>
      </c>
      <c r="E860">
        <v>2701.8</v>
      </c>
      <c r="F860">
        <v>3387</v>
      </c>
      <c r="G860">
        <v>2649.5713999999998</v>
      </c>
      <c r="H860">
        <v>2662.0466999999999</v>
      </c>
      <c r="I860">
        <v>2605.3244</v>
      </c>
      <c r="J860">
        <v>1.4837</v>
      </c>
      <c r="K860">
        <v>0.91449999999999998</v>
      </c>
      <c r="L860">
        <v>1.1436999999999999</v>
      </c>
      <c r="M860">
        <v>61.496600000000001</v>
      </c>
      <c r="N860">
        <v>-1.0995999999999999</v>
      </c>
      <c r="O860">
        <v>-6.5810000000000004</v>
      </c>
      <c r="P860">
        <v>2709.8188</v>
      </c>
      <c r="Q860">
        <v>2561.3510999999999</v>
      </c>
    </row>
    <row r="861" spans="1:17" x14ac:dyDescent="0.3">
      <c r="A861" s="1">
        <v>45638</v>
      </c>
      <c r="B861">
        <v>2687.5</v>
      </c>
      <c r="C861">
        <v>2725.1001000000001</v>
      </c>
      <c r="D861">
        <v>2677.3998999999999</v>
      </c>
      <c r="E861">
        <v>2725.1001000000001</v>
      </c>
      <c r="F861">
        <v>2365</v>
      </c>
      <c r="G861">
        <v>2661.8714</v>
      </c>
      <c r="H861">
        <v>2660.3966999999998</v>
      </c>
      <c r="I861">
        <v>2608.7755999999999</v>
      </c>
      <c r="J861">
        <v>0.86240000000000006</v>
      </c>
      <c r="K861">
        <v>0.88419999999999999</v>
      </c>
      <c r="L861">
        <v>1.1554</v>
      </c>
      <c r="M861">
        <v>61.8431</v>
      </c>
      <c r="N861">
        <v>4.7774000000000001</v>
      </c>
      <c r="O861">
        <v>-4.3093000000000004</v>
      </c>
      <c r="P861">
        <v>2724.5592000000001</v>
      </c>
      <c r="Q861">
        <v>2558.0108</v>
      </c>
    </row>
    <row r="862" spans="1:17" x14ac:dyDescent="0.3">
      <c r="A862" s="1">
        <v>45639</v>
      </c>
      <c r="B862">
        <v>2656</v>
      </c>
      <c r="C862">
        <v>2689.3</v>
      </c>
      <c r="D862">
        <v>2647.8998999999999</v>
      </c>
      <c r="E862">
        <v>2688.2</v>
      </c>
      <c r="F862">
        <v>1125</v>
      </c>
      <c r="G862">
        <v>2668.8714</v>
      </c>
      <c r="H862">
        <v>2657.09</v>
      </c>
      <c r="I862">
        <v>2612.0644000000002</v>
      </c>
      <c r="J862">
        <v>-1.3541000000000001</v>
      </c>
      <c r="K862">
        <v>1.1195999999999999</v>
      </c>
      <c r="L862">
        <v>1.1748000000000001</v>
      </c>
      <c r="M862">
        <v>50.122199999999999</v>
      </c>
      <c r="N862">
        <v>6.3838999999999997</v>
      </c>
      <c r="O862">
        <v>-2.1707000000000001</v>
      </c>
      <c r="P862">
        <v>2723.0913</v>
      </c>
      <c r="Q862">
        <v>2572.7885999999999</v>
      </c>
    </row>
    <row r="863" spans="1:17" x14ac:dyDescent="0.3">
      <c r="A863" s="1">
        <v>45642</v>
      </c>
      <c r="B863">
        <v>2651.3998999999999</v>
      </c>
      <c r="C863">
        <v>2663.3</v>
      </c>
      <c r="D863">
        <v>2651</v>
      </c>
      <c r="E863">
        <v>2658.3</v>
      </c>
      <c r="F863">
        <v>877</v>
      </c>
      <c r="G863">
        <v>2669.7143000000001</v>
      </c>
      <c r="H863">
        <v>2654.1833000000001</v>
      </c>
      <c r="I863">
        <v>2615.1089000000002</v>
      </c>
      <c r="J863">
        <v>-1.1123000000000001</v>
      </c>
      <c r="K863">
        <v>1.2249000000000001</v>
      </c>
      <c r="L863">
        <v>1.161</v>
      </c>
      <c r="M863">
        <v>45.055700000000002</v>
      </c>
      <c r="N863">
        <v>5.1847000000000003</v>
      </c>
      <c r="O863">
        <v>-0.6996</v>
      </c>
      <c r="P863">
        <v>2717.0383999999999</v>
      </c>
      <c r="Q863">
        <v>2588.1015000000002</v>
      </c>
    </row>
    <row r="864" spans="1:17" x14ac:dyDescent="0.3">
      <c r="A864" s="1">
        <v>45643</v>
      </c>
      <c r="B864">
        <v>2644.3998999999999</v>
      </c>
      <c r="C864">
        <v>2652.3</v>
      </c>
      <c r="D864">
        <v>2632.5</v>
      </c>
      <c r="E864">
        <v>2651.8</v>
      </c>
      <c r="F864">
        <v>705</v>
      </c>
      <c r="G864">
        <v>2674.2285999999999</v>
      </c>
      <c r="H864">
        <v>2651.36</v>
      </c>
      <c r="I864">
        <v>2617.6588999999999</v>
      </c>
      <c r="J864">
        <v>-0.2445</v>
      </c>
      <c r="K864">
        <v>1.109</v>
      </c>
      <c r="L864">
        <v>1.1605000000000001</v>
      </c>
      <c r="M864">
        <v>55.093299999999999</v>
      </c>
      <c r="N864">
        <v>3.6675</v>
      </c>
      <c r="O864">
        <v>0.17380000000000001</v>
      </c>
      <c r="P864">
        <v>2713.3526000000002</v>
      </c>
      <c r="Q864">
        <v>2597.7973999999999</v>
      </c>
    </row>
    <row r="865" spans="1:17" x14ac:dyDescent="0.3">
      <c r="A865" s="1">
        <v>45644</v>
      </c>
      <c r="B865">
        <v>2636.5</v>
      </c>
      <c r="C865">
        <v>2647.1001000000001</v>
      </c>
      <c r="D865">
        <v>2590.1999999999998</v>
      </c>
      <c r="E865">
        <v>2644.3</v>
      </c>
      <c r="F865">
        <v>566</v>
      </c>
      <c r="G865">
        <v>2675.9715000000001</v>
      </c>
      <c r="H865">
        <v>2648.07</v>
      </c>
      <c r="I865">
        <v>2620.0100000000002</v>
      </c>
      <c r="J865">
        <v>-0.2828</v>
      </c>
      <c r="K865">
        <v>1.1133</v>
      </c>
      <c r="L865">
        <v>1.1592</v>
      </c>
      <c r="M865">
        <v>52.102800000000002</v>
      </c>
      <c r="N865">
        <v>1.8387</v>
      </c>
      <c r="O865">
        <v>0.50680000000000003</v>
      </c>
      <c r="P865">
        <v>2712.5608999999999</v>
      </c>
      <c r="Q865">
        <v>2600.8292000000001</v>
      </c>
    </row>
    <row r="866" spans="1:17" x14ac:dyDescent="0.3">
      <c r="A866" s="1">
        <v>45645</v>
      </c>
      <c r="B866">
        <v>2592.1999999999998</v>
      </c>
      <c r="C866">
        <v>2610.3000000000002</v>
      </c>
      <c r="D866">
        <v>2582.1001000000001</v>
      </c>
      <c r="E866">
        <v>2582.1001000000001</v>
      </c>
      <c r="F866">
        <v>238</v>
      </c>
      <c r="G866">
        <v>2664.5142999999998</v>
      </c>
      <c r="H866">
        <v>2642.99</v>
      </c>
      <c r="I866">
        <v>2621.3555999999999</v>
      </c>
      <c r="J866">
        <v>-2.3521999999999998</v>
      </c>
      <c r="K866">
        <v>1.3167</v>
      </c>
      <c r="L866">
        <v>1.2289000000000001</v>
      </c>
      <c r="M866">
        <v>41.411000000000001</v>
      </c>
      <c r="N866">
        <v>-4.5769000000000002</v>
      </c>
      <c r="O866">
        <v>-0.51</v>
      </c>
      <c r="P866">
        <v>2718.5994999999998</v>
      </c>
      <c r="Q866">
        <v>2589.1505000000002</v>
      </c>
    </row>
    <row r="867" spans="1:17" x14ac:dyDescent="0.3">
      <c r="A867" s="1">
        <v>45646</v>
      </c>
      <c r="B867">
        <v>2628.7</v>
      </c>
      <c r="C867">
        <v>2631.6001000000001</v>
      </c>
      <c r="D867">
        <v>2604.8998999999999</v>
      </c>
      <c r="E867">
        <v>2605.3000000000002</v>
      </c>
      <c r="F867">
        <v>592</v>
      </c>
      <c r="G867">
        <v>2650.7285999999999</v>
      </c>
      <c r="H867">
        <v>2641.0832999999998</v>
      </c>
      <c r="I867">
        <v>2622.8811000000001</v>
      </c>
      <c r="J867">
        <v>0.89849999999999997</v>
      </c>
      <c r="K867">
        <v>1.1873</v>
      </c>
      <c r="L867">
        <v>1.153</v>
      </c>
      <c r="M867">
        <v>43.311900000000001</v>
      </c>
      <c r="N867">
        <v>-7.7004999999999999</v>
      </c>
      <c r="O867">
        <v>-1.9480999999999999</v>
      </c>
      <c r="P867">
        <v>2719.3593999999998</v>
      </c>
      <c r="Q867">
        <v>2582.9906000000001</v>
      </c>
    </row>
    <row r="868" spans="1:17" x14ac:dyDescent="0.3">
      <c r="A868" s="1">
        <v>45649</v>
      </c>
      <c r="B868">
        <v>2612.3000000000002</v>
      </c>
      <c r="C868">
        <v>2627.7</v>
      </c>
      <c r="D868">
        <v>2611.1001000000001</v>
      </c>
      <c r="E868">
        <v>2620</v>
      </c>
      <c r="F868">
        <v>451</v>
      </c>
      <c r="G868">
        <v>2635.7143000000001</v>
      </c>
      <c r="H868">
        <v>2638.8</v>
      </c>
      <c r="I868">
        <v>2624.75</v>
      </c>
      <c r="J868">
        <v>0.56420000000000003</v>
      </c>
      <c r="K868">
        <v>1.1338999999999999</v>
      </c>
      <c r="L868">
        <v>1.1425000000000001</v>
      </c>
      <c r="M868">
        <v>47.133400000000002</v>
      </c>
      <c r="N868">
        <v>-8.8872999999999998</v>
      </c>
      <c r="O868">
        <v>-3.3359000000000001</v>
      </c>
      <c r="P868">
        <v>2715.0902000000001</v>
      </c>
      <c r="Q868">
        <v>2580.5097999999998</v>
      </c>
    </row>
    <row r="869" spans="1:17" x14ac:dyDescent="0.3">
      <c r="A869" s="1">
        <v>45650</v>
      </c>
      <c r="B869">
        <v>2620</v>
      </c>
      <c r="C869">
        <v>2620</v>
      </c>
      <c r="D869">
        <v>2609.5</v>
      </c>
      <c r="E869">
        <v>2613</v>
      </c>
      <c r="F869">
        <v>35</v>
      </c>
      <c r="G869">
        <v>2624.9715000000001</v>
      </c>
      <c r="H869">
        <v>2636.8433</v>
      </c>
      <c r="I869">
        <v>2626.5221999999999</v>
      </c>
      <c r="J869">
        <v>-0.26719999999999999</v>
      </c>
      <c r="K869">
        <v>1.0792999999999999</v>
      </c>
      <c r="L869">
        <v>1.1385000000000001</v>
      </c>
      <c r="M869">
        <v>46.126600000000003</v>
      </c>
      <c r="N869">
        <v>-10.2743</v>
      </c>
      <c r="O869">
        <v>-4.7236000000000002</v>
      </c>
      <c r="P869">
        <v>2709.9888000000001</v>
      </c>
      <c r="Q869">
        <v>2577.9712</v>
      </c>
    </row>
    <row r="870" spans="1:17" x14ac:dyDescent="0.3">
      <c r="A870" s="1">
        <v>45652</v>
      </c>
      <c r="B870">
        <v>2638.8</v>
      </c>
      <c r="C870">
        <v>2638.8</v>
      </c>
      <c r="D870">
        <v>2627.8998999999999</v>
      </c>
      <c r="E870">
        <v>2628.5</v>
      </c>
      <c r="F870">
        <v>84</v>
      </c>
      <c r="G870">
        <v>2620.7143000000001</v>
      </c>
      <c r="H870">
        <v>2637.61</v>
      </c>
      <c r="I870">
        <v>2627.8555999999999</v>
      </c>
      <c r="J870">
        <v>0.59319999999999995</v>
      </c>
      <c r="K870">
        <v>1.0841000000000001</v>
      </c>
      <c r="L870">
        <v>1.0488999999999999</v>
      </c>
      <c r="M870">
        <v>46.490499999999997</v>
      </c>
      <c r="N870">
        <v>-10.007400000000001</v>
      </c>
      <c r="O870">
        <v>-5.7804000000000002</v>
      </c>
      <c r="P870">
        <v>2709.9764</v>
      </c>
      <c r="Q870">
        <v>2578.2737000000002</v>
      </c>
    </row>
    <row r="871" spans="1:17" x14ac:dyDescent="0.3">
      <c r="A871" s="1">
        <v>45653</v>
      </c>
      <c r="B871">
        <v>2617.1999999999998</v>
      </c>
      <c r="C871">
        <v>2617.6999999999998</v>
      </c>
      <c r="D871">
        <v>2616.3998999999999</v>
      </c>
      <c r="E871">
        <v>2617.6999999999998</v>
      </c>
      <c r="F871">
        <v>642</v>
      </c>
      <c r="G871">
        <v>2615.8429000000001</v>
      </c>
      <c r="H871">
        <v>2637.83</v>
      </c>
      <c r="I871">
        <v>2629.1244000000002</v>
      </c>
      <c r="J871">
        <v>-0.41089999999999999</v>
      </c>
      <c r="K871">
        <v>1.0882000000000001</v>
      </c>
      <c r="L871">
        <v>1.0513999999999999</v>
      </c>
      <c r="M871">
        <v>49.6083</v>
      </c>
      <c r="N871">
        <v>-10.5458</v>
      </c>
      <c r="O871">
        <v>-6.7335000000000003</v>
      </c>
      <c r="P871">
        <v>2710.0958999999998</v>
      </c>
      <c r="Q871">
        <v>2576.5740999999998</v>
      </c>
    </row>
    <row r="872" spans="1:17" x14ac:dyDescent="0.3">
      <c r="A872" s="1">
        <v>45656</v>
      </c>
      <c r="B872">
        <v>2606.1001000000001</v>
      </c>
      <c r="C872">
        <v>2626.8998999999999</v>
      </c>
      <c r="D872">
        <v>2597</v>
      </c>
      <c r="E872">
        <v>2620.6999999999998</v>
      </c>
      <c r="F872">
        <v>794</v>
      </c>
      <c r="G872">
        <v>2612.4713999999999</v>
      </c>
      <c r="H872">
        <v>2640.0167000000001</v>
      </c>
      <c r="I872">
        <v>2630.3433</v>
      </c>
      <c r="J872">
        <v>0.11459999999999999</v>
      </c>
      <c r="K872">
        <v>1.0923</v>
      </c>
      <c r="L872">
        <v>0.96909999999999996</v>
      </c>
      <c r="M872">
        <v>48.162500000000001</v>
      </c>
      <c r="N872">
        <v>-10.6082</v>
      </c>
      <c r="O872">
        <v>-7.5084</v>
      </c>
      <c r="P872">
        <v>2710.0196999999998</v>
      </c>
      <c r="Q872">
        <v>2575.0803000000001</v>
      </c>
    </row>
    <row r="873" spans="1:17" x14ac:dyDescent="0.3">
      <c r="A873" s="1">
        <v>45657</v>
      </c>
      <c r="B873">
        <v>2629.2</v>
      </c>
      <c r="C873">
        <v>2629.2</v>
      </c>
      <c r="D873">
        <v>2604.8998999999999</v>
      </c>
      <c r="E873">
        <v>2608.3998999999999</v>
      </c>
      <c r="F873">
        <v>401</v>
      </c>
      <c r="G873">
        <v>2616.2285999999999</v>
      </c>
      <c r="H873">
        <v>2641.44</v>
      </c>
      <c r="I873">
        <v>2631.5021999999999</v>
      </c>
      <c r="J873">
        <v>-0.46929999999999999</v>
      </c>
      <c r="K873">
        <v>0.54800000000000004</v>
      </c>
      <c r="L873">
        <v>0.97230000000000005</v>
      </c>
      <c r="M873">
        <v>40.78</v>
      </c>
      <c r="N873">
        <v>-11.517300000000001</v>
      </c>
      <c r="O873">
        <v>-8.3102</v>
      </c>
      <c r="P873">
        <v>2709.5965000000001</v>
      </c>
      <c r="Q873">
        <v>2571.4434999999999</v>
      </c>
    </row>
    <row r="874" spans="1:17" x14ac:dyDescent="0.3">
      <c r="A874" s="1">
        <v>45659</v>
      </c>
      <c r="B874">
        <v>2658.8998999999999</v>
      </c>
      <c r="C874">
        <v>2663.1001000000001</v>
      </c>
      <c r="D874">
        <v>2633</v>
      </c>
      <c r="E874">
        <v>2633</v>
      </c>
      <c r="F874">
        <v>1728</v>
      </c>
      <c r="G874">
        <v>2620.1857</v>
      </c>
      <c r="H874">
        <v>2642.8166999999999</v>
      </c>
      <c r="I874">
        <v>2633.13</v>
      </c>
      <c r="J874">
        <v>0.94310000000000005</v>
      </c>
      <c r="K874">
        <v>0.55830000000000002</v>
      </c>
      <c r="L874">
        <v>0.97</v>
      </c>
      <c r="M874">
        <v>37.5991</v>
      </c>
      <c r="N874">
        <v>-10.135999999999999</v>
      </c>
      <c r="O874">
        <v>-8.6753</v>
      </c>
      <c r="P874">
        <v>2709.3764000000001</v>
      </c>
      <c r="Q874">
        <v>2571.0636</v>
      </c>
    </row>
    <row r="875" spans="1:17" x14ac:dyDescent="0.3">
      <c r="A875" s="1">
        <v>45660</v>
      </c>
      <c r="B875">
        <v>2645</v>
      </c>
      <c r="C875">
        <v>2658.7</v>
      </c>
      <c r="D875">
        <v>2641.8</v>
      </c>
      <c r="E875">
        <v>2658.7</v>
      </c>
      <c r="F875">
        <v>591</v>
      </c>
      <c r="G875">
        <v>2625.7143000000001</v>
      </c>
      <c r="H875">
        <v>2644.0432999999998</v>
      </c>
      <c r="I875">
        <v>2634.7833000000001</v>
      </c>
      <c r="J875">
        <v>0.97609999999999997</v>
      </c>
      <c r="K875">
        <v>0.62649999999999995</v>
      </c>
      <c r="L875">
        <v>0.96319999999999995</v>
      </c>
      <c r="M875">
        <v>38.134399999999999</v>
      </c>
      <c r="N875">
        <v>-6.8880999999999997</v>
      </c>
      <c r="O875">
        <v>-8.3178999999999998</v>
      </c>
      <c r="P875">
        <v>2710.8389999999999</v>
      </c>
      <c r="Q875">
        <v>2571.5509999999999</v>
      </c>
    </row>
    <row r="876" spans="1:17" x14ac:dyDescent="0.3">
      <c r="A876" s="1">
        <v>45663</v>
      </c>
      <c r="B876">
        <v>2638.3998999999999</v>
      </c>
      <c r="C876">
        <v>2647</v>
      </c>
      <c r="D876">
        <v>2617.3000000000002</v>
      </c>
      <c r="E876">
        <v>2645.5</v>
      </c>
      <c r="F876">
        <v>960</v>
      </c>
      <c r="G876">
        <v>2630.3571000000002</v>
      </c>
      <c r="H876">
        <v>2644.2766999999999</v>
      </c>
      <c r="I876">
        <v>2636.2311</v>
      </c>
      <c r="J876">
        <v>-0.4965</v>
      </c>
      <c r="K876">
        <v>0.66069999999999995</v>
      </c>
      <c r="L876">
        <v>0.9617</v>
      </c>
      <c r="M876">
        <v>41.663400000000003</v>
      </c>
      <c r="N876">
        <v>-5.3178999999999998</v>
      </c>
      <c r="O876">
        <v>-7.7179000000000002</v>
      </c>
      <c r="P876">
        <v>2710.3283999999999</v>
      </c>
      <c r="Q876">
        <v>2571.3715999999999</v>
      </c>
    </row>
    <row r="877" spans="1:17" x14ac:dyDescent="0.3">
      <c r="A877" s="1">
        <v>45664</v>
      </c>
      <c r="B877">
        <v>2656.7</v>
      </c>
      <c r="C877">
        <v>2657.5</v>
      </c>
      <c r="D877">
        <v>2653</v>
      </c>
      <c r="E877">
        <v>2653.3998999999999</v>
      </c>
      <c r="F877">
        <v>643</v>
      </c>
      <c r="G877">
        <v>2633.9142000000002</v>
      </c>
      <c r="H877">
        <v>2644.08</v>
      </c>
      <c r="I877">
        <v>2637.9243999999999</v>
      </c>
      <c r="J877">
        <v>0.29859999999999998</v>
      </c>
      <c r="K877">
        <v>0.63900000000000001</v>
      </c>
      <c r="L877">
        <v>0.95220000000000005</v>
      </c>
      <c r="M877">
        <v>48.953400000000002</v>
      </c>
      <c r="N877">
        <v>-3.3969</v>
      </c>
      <c r="O877">
        <v>-6.8536999999999999</v>
      </c>
      <c r="P877">
        <v>2711.4958000000001</v>
      </c>
      <c r="Q877">
        <v>2573.5243</v>
      </c>
    </row>
    <row r="878" spans="1:17" x14ac:dyDescent="0.3">
      <c r="A878" s="1">
        <v>45665</v>
      </c>
      <c r="B878">
        <v>2664.5</v>
      </c>
      <c r="C878">
        <v>2676.8998999999999</v>
      </c>
      <c r="D878">
        <v>2653.5</v>
      </c>
      <c r="E878">
        <v>2655.5</v>
      </c>
      <c r="F878">
        <v>999</v>
      </c>
      <c r="G878">
        <v>2639.3141999999998</v>
      </c>
      <c r="H878">
        <v>2643.0133000000001</v>
      </c>
      <c r="I878">
        <v>2639.6066999999998</v>
      </c>
      <c r="J878">
        <v>7.9100000000000004E-2</v>
      </c>
      <c r="K878">
        <v>0.59430000000000005</v>
      </c>
      <c r="L878">
        <v>0.93100000000000005</v>
      </c>
      <c r="M878">
        <v>50.805399999999999</v>
      </c>
      <c r="N878">
        <v>-1.6856</v>
      </c>
      <c r="O878">
        <v>-5.8201000000000001</v>
      </c>
      <c r="P878">
        <v>2712.7161000000001</v>
      </c>
      <c r="Q878">
        <v>2574.6439</v>
      </c>
    </row>
    <row r="879" spans="1:17" x14ac:dyDescent="0.3">
      <c r="A879" s="1">
        <v>45666</v>
      </c>
      <c r="B879">
        <v>2683.8</v>
      </c>
      <c r="C879">
        <v>2686.3</v>
      </c>
      <c r="D879">
        <v>2667.8998999999999</v>
      </c>
      <c r="E879">
        <v>2669.7</v>
      </c>
      <c r="F879">
        <v>1139</v>
      </c>
      <c r="G879">
        <v>2646.3141999999998</v>
      </c>
      <c r="H879">
        <v>2642.3566999999998</v>
      </c>
      <c r="I879">
        <v>2641.2755999999999</v>
      </c>
      <c r="J879">
        <v>0.53469999999999995</v>
      </c>
      <c r="K879">
        <v>0.60460000000000003</v>
      </c>
      <c r="L879">
        <v>0.93669999999999998</v>
      </c>
      <c r="M879">
        <v>55.372199999999999</v>
      </c>
      <c r="N879">
        <v>0.80710000000000004</v>
      </c>
      <c r="O879">
        <v>-4.4946000000000002</v>
      </c>
      <c r="P879">
        <v>2713.5837999999999</v>
      </c>
      <c r="Q879">
        <v>2574.5162</v>
      </c>
    </row>
    <row r="880" spans="1:17" x14ac:dyDescent="0.3">
      <c r="A880" s="1">
        <v>45667</v>
      </c>
      <c r="B880">
        <v>2708.5</v>
      </c>
      <c r="C880">
        <v>2720.1001000000001</v>
      </c>
      <c r="D880">
        <v>2683.7</v>
      </c>
      <c r="E880">
        <v>2686.1001000000001</v>
      </c>
      <c r="F880">
        <v>403</v>
      </c>
      <c r="G880">
        <v>2657.4142999999999</v>
      </c>
      <c r="H880">
        <v>2644.3733000000002</v>
      </c>
      <c r="I880">
        <v>2643.3256000000001</v>
      </c>
      <c r="J880">
        <v>0.61429999999999996</v>
      </c>
      <c r="K880">
        <v>0.5171</v>
      </c>
      <c r="L880">
        <v>0.83079999999999998</v>
      </c>
      <c r="M880">
        <v>77.282300000000006</v>
      </c>
      <c r="N880">
        <v>4.0591999999999997</v>
      </c>
      <c r="O880">
        <v>-2.7839</v>
      </c>
      <c r="P880">
        <v>2710.3656000000001</v>
      </c>
      <c r="Q880">
        <v>2576.1644000000001</v>
      </c>
    </row>
    <row r="881" spans="1:17" x14ac:dyDescent="0.3">
      <c r="A881" s="1">
        <v>45670</v>
      </c>
      <c r="B881">
        <v>2673.5</v>
      </c>
      <c r="C881">
        <v>2711.2</v>
      </c>
      <c r="D881">
        <v>2673.5</v>
      </c>
      <c r="E881">
        <v>2711.1001000000001</v>
      </c>
      <c r="F881">
        <v>765</v>
      </c>
      <c r="G881">
        <v>2668.5713999999998</v>
      </c>
      <c r="H881">
        <v>2646.96</v>
      </c>
      <c r="I881">
        <v>2645.7721999999999</v>
      </c>
      <c r="J881">
        <v>0.93069999999999997</v>
      </c>
      <c r="K881">
        <v>0.5151</v>
      </c>
      <c r="L881">
        <v>0.84450000000000003</v>
      </c>
      <c r="M881">
        <v>77.494799999999998</v>
      </c>
      <c r="N881">
        <v>8.5550999999999995</v>
      </c>
      <c r="O881">
        <v>-0.5161</v>
      </c>
      <c r="P881">
        <v>2706.2775999999999</v>
      </c>
      <c r="Q881">
        <v>2578.8524000000002</v>
      </c>
    </row>
    <row r="882" spans="1:17" x14ac:dyDescent="0.3">
      <c r="A882" s="1">
        <v>45671</v>
      </c>
      <c r="B882">
        <v>2677.5</v>
      </c>
      <c r="C882">
        <v>2688.3</v>
      </c>
      <c r="D882">
        <v>2670.8</v>
      </c>
      <c r="E882">
        <v>2673.6001000000001</v>
      </c>
      <c r="F882">
        <v>794</v>
      </c>
      <c r="G882">
        <v>2670.7</v>
      </c>
      <c r="H882">
        <v>2648.2</v>
      </c>
      <c r="I882">
        <v>2647.7710999999999</v>
      </c>
      <c r="J882">
        <v>-1.3832</v>
      </c>
      <c r="K882">
        <v>0.78920000000000001</v>
      </c>
      <c r="L882">
        <v>0.88680000000000003</v>
      </c>
      <c r="M882">
        <v>62.453499999999998</v>
      </c>
      <c r="N882">
        <v>8.9885999999999999</v>
      </c>
      <c r="O882">
        <v>1.3849</v>
      </c>
      <c r="P882">
        <v>2703.6523999999999</v>
      </c>
      <c r="Q882">
        <v>2580.0176000000001</v>
      </c>
    </row>
    <row r="883" spans="1:17" x14ac:dyDescent="0.3">
      <c r="A883" s="1">
        <v>45672</v>
      </c>
      <c r="B883">
        <v>2712.5</v>
      </c>
      <c r="C883">
        <v>2712.5</v>
      </c>
      <c r="D883">
        <v>2690.8</v>
      </c>
      <c r="E883">
        <v>2690.8</v>
      </c>
      <c r="F883">
        <v>930</v>
      </c>
      <c r="G883">
        <v>2677.1714999999999</v>
      </c>
      <c r="H883">
        <v>2649.5933</v>
      </c>
      <c r="I883">
        <v>2649.7766999999999</v>
      </c>
      <c r="J883">
        <v>0.64329999999999998</v>
      </c>
      <c r="K883">
        <v>0.7671</v>
      </c>
      <c r="L883">
        <v>0.8901</v>
      </c>
      <c r="M883">
        <v>67.258200000000002</v>
      </c>
      <c r="N883">
        <v>10.597899999999999</v>
      </c>
      <c r="O883">
        <v>3.2275</v>
      </c>
      <c r="P883">
        <v>2708.7130000000002</v>
      </c>
      <c r="Q883">
        <v>2578.2069999999999</v>
      </c>
    </row>
    <row r="884" spans="1:17" x14ac:dyDescent="0.3">
      <c r="A884" s="1">
        <v>45673</v>
      </c>
      <c r="B884">
        <v>2746.3998999999999</v>
      </c>
      <c r="C884">
        <v>2749.8</v>
      </c>
      <c r="D884">
        <v>2731.7</v>
      </c>
      <c r="E884">
        <v>2731.7</v>
      </c>
      <c r="F884">
        <v>1721</v>
      </c>
      <c r="G884">
        <v>2688.3571999999999</v>
      </c>
      <c r="H884">
        <v>2652.6833000000001</v>
      </c>
      <c r="I884">
        <v>2652.4477999999999</v>
      </c>
      <c r="J884">
        <v>1.52</v>
      </c>
      <c r="K884">
        <v>0.9073</v>
      </c>
      <c r="L884">
        <v>0.92500000000000004</v>
      </c>
      <c r="M884">
        <v>70.574100000000001</v>
      </c>
      <c r="N884">
        <v>15.0007</v>
      </c>
      <c r="O884">
        <v>5.5820999999999996</v>
      </c>
      <c r="P884">
        <v>2723.7132999999999</v>
      </c>
      <c r="Q884">
        <v>2571.1967</v>
      </c>
    </row>
    <row r="885" spans="1:17" x14ac:dyDescent="0.3">
      <c r="A885" s="1">
        <v>45674</v>
      </c>
      <c r="B885">
        <v>2744.3</v>
      </c>
      <c r="C885">
        <v>2751.6001000000001</v>
      </c>
      <c r="D885">
        <v>2725.5</v>
      </c>
      <c r="E885">
        <v>2736</v>
      </c>
      <c r="F885">
        <v>1214</v>
      </c>
      <c r="G885">
        <v>2699.8571999999999</v>
      </c>
      <c r="H885">
        <v>2655.91</v>
      </c>
      <c r="I885">
        <v>2654.9333000000001</v>
      </c>
      <c r="J885">
        <v>0.15740000000000001</v>
      </c>
      <c r="K885">
        <v>0.90290000000000004</v>
      </c>
      <c r="L885">
        <v>0.92469999999999997</v>
      </c>
      <c r="M885">
        <v>74.212000000000003</v>
      </c>
      <c r="N885">
        <v>18.622199999999999</v>
      </c>
      <c r="O885">
        <v>8.1900999999999993</v>
      </c>
      <c r="P885">
        <v>2737.9195</v>
      </c>
      <c r="Q885">
        <v>2566.1605</v>
      </c>
    </row>
    <row r="886" spans="1:17" x14ac:dyDescent="0.3">
      <c r="A886" s="1">
        <v>45678</v>
      </c>
      <c r="B886">
        <v>2755</v>
      </c>
      <c r="C886">
        <v>2755</v>
      </c>
      <c r="D886">
        <v>2724.8</v>
      </c>
      <c r="E886">
        <v>2746</v>
      </c>
      <c r="F886">
        <v>1439</v>
      </c>
      <c r="G886">
        <v>2710.7572</v>
      </c>
      <c r="H886">
        <v>2659.03</v>
      </c>
      <c r="I886">
        <v>2657.38</v>
      </c>
      <c r="J886">
        <v>0.36549999999999999</v>
      </c>
      <c r="K886">
        <v>0.90190000000000003</v>
      </c>
      <c r="L886">
        <v>0.92320000000000002</v>
      </c>
      <c r="M886">
        <v>74.930400000000006</v>
      </c>
      <c r="N886">
        <v>22.045100000000001</v>
      </c>
      <c r="O886">
        <v>10.9611</v>
      </c>
      <c r="P886">
        <v>2749.2368999999999</v>
      </c>
      <c r="Q886">
        <v>2571.2330999999999</v>
      </c>
    </row>
    <row r="887" spans="1:17" x14ac:dyDescent="0.3">
      <c r="A887" s="1">
        <v>45679</v>
      </c>
      <c r="B887">
        <v>2767.6001000000001</v>
      </c>
      <c r="C887">
        <v>2768.8</v>
      </c>
      <c r="D887">
        <v>2753.5</v>
      </c>
      <c r="E887">
        <v>2754.5</v>
      </c>
      <c r="F887">
        <v>2079</v>
      </c>
      <c r="G887">
        <v>2720.5286000000001</v>
      </c>
      <c r="H887">
        <v>2663.5066999999999</v>
      </c>
      <c r="I887">
        <v>2659.8843999999999</v>
      </c>
      <c r="J887">
        <v>0.3095</v>
      </c>
      <c r="K887">
        <v>0.89759999999999995</v>
      </c>
      <c r="L887">
        <v>0.88849999999999996</v>
      </c>
      <c r="M887">
        <v>79.515199999999993</v>
      </c>
      <c r="N887">
        <v>25.153600000000001</v>
      </c>
      <c r="O887">
        <v>13.7996</v>
      </c>
      <c r="P887">
        <v>2762.1534000000001</v>
      </c>
      <c r="Q887">
        <v>2573.2366000000002</v>
      </c>
    </row>
    <row r="888" spans="1:17" x14ac:dyDescent="0.3">
      <c r="A888" s="1">
        <v>45680</v>
      </c>
      <c r="B888">
        <v>2763.1001000000001</v>
      </c>
      <c r="C888">
        <v>2765</v>
      </c>
      <c r="D888">
        <v>2745.3998999999999</v>
      </c>
      <c r="E888">
        <v>2760</v>
      </c>
      <c r="F888">
        <v>2201</v>
      </c>
      <c r="G888">
        <v>2727.5142999999998</v>
      </c>
      <c r="H888">
        <v>2667.77</v>
      </c>
      <c r="I888">
        <v>2662.0088999999998</v>
      </c>
      <c r="J888">
        <v>0.19969999999999999</v>
      </c>
      <c r="K888">
        <v>0.86240000000000006</v>
      </c>
      <c r="L888">
        <v>0.88690000000000002</v>
      </c>
      <c r="M888">
        <v>77.802099999999996</v>
      </c>
      <c r="N888">
        <v>27.741199999999999</v>
      </c>
      <c r="O888">
        <v>16.587900000000001</v>
      </c>
      <c r="P888">
        <v>2774.8494000000001</v>
      </c>
      <c r="Q888">
        <v>2574.5405999999998</v>
      </c>
    </row>
    <row r="889" spans="1:17" x14ac:dyDescent="0.3">
      <c r="A889" s="1">
        <v>45681</v>
      </c>
      <c r="B889">
        <v>2777.3</v>
      </c>
      <c r="C889">
        <v>2792</v>
      </c>
      <c r="D889">
        <v>2759.8</v>
      </c>
      <c r="E889">
        <v>2759.8</v>
      </c>
      <c r="F889">
        <v>1593</v>
      </c>
      <c r="G889">
        <v>2739.8285999999998</v>
      </c>
      <c r="H889">
        <v>2671.02</v>
      </c>
      <c r="I889">
        <v>2664.0021999999999</v>
      </c>
      <c r="J889">
        <v>-7.1999999999999998E-3</v>
      </c>
      <c r="K889">
        <v>0.51090000000000002</v>
      </c>
      <c r="L889">
        <v>0.86750000000000005</v>
      </c>
      <c r="M889">
        <v>74.913799999999995</v>
      </c>
      <c r="N889">
        <v>29.436499999999999</v>
      </c>
      <c r="O889">
        <v>19.157599999999999</v>
      </c>
      <c r="P889">
        <v>2784.6388000000002</v>
      </c>
      <c r="Q889">
        <v>2579.4312</v>
      </c>
    </row>
    <row r="890" spans="1:17" x14ac:dyDescent="0.3">
      <c r="A890" s="1">
        <v>45684</v>
      </c>
      <c r="B890">
        <v>2737.5</v>
      </c>
      <c r="C890">
        <v>2762.2</v>
      </c>
      <c r="D890">
        <v>2737.5</v>
      </c>
      <c r="E890">
        <v>2761.1001000000001</v>
      </c>
      <c r="F890">
        <v>984</v>
      </c>
      <c r="G890">
        <v>2749.8714</v>
      </c>
      <c r="H890">
        <v>2672.9967000000001</v>
      </c>
      <c r="I890">
        <v>2666.0011</v>
      </c>
      <c r="J890">
        <v>4.7100000000000003E-2</v>
      </c>
      <c r="K890">
        <v>0.52390000000000003</v>
      </c>
      <c r="L890">
        <v>0.82869999999999999</v>
      </c>
      <c r="M890">
        <v>80.261799999999994</v>
      </c>
      <c r="N890">
        <v>30.532900000000001</v>
      </c>
      <c r="O890">
        <v>21.432700000000001</v>
      </c>
      <c r="P890">
        <v>2793.8085000000001</v>
      </c>
      <c r="Q890">
        <v>2583.5214999999998</v>
      </c>
    </row>
    <row r="891" spans="1:17" x14ac:dyDescent="0.3">
      <c r="A891" s="1">
        <v>45685</v>
      </c>
      <c r="B891">
        <v>2766.8</v>
      </c>
      <c r="C891">
        <v>2766.8</v>
      </c>
      <c r="D891">
        <v>2738</v>
      </c>
      <c r="E891">
        <v>2738</v>
      </c>
      <c r="F891">
        <v>2307</v>
      </c>
      <c r="G891">
        <v>2750.7714000000001</v>
      </c>
      <c r="H891">
        <v>2673.4267</v>
      </c>
      <c r="I891">
        <v>2667.86</v>
      </c>
      <c r="J891">
        <v>-0.83660000000000001</v>
      </c>
      <c r="K891">
        <v>0.40589999999999998</v>
      </c>
      <c r="L891">
        <v>0.83109999999999995</v>
      </c>
      <c r="M891">
        <v>70.514099999999999</v>
      </c>
      <c r="N891">
        <v>29.2012</v>
      </c>
      <c r="O891">
        <v>22.9864</v>
      </c>
      <c r="P891">
        <v>2796.4396000000002</v>
      </c>
      <c r="Q891">
        <v>2592.9204</v>
      </c>
    </row>
    <row r="892" spans="1:17" x14ac:dyDescent="0.3">
      <c r="A892" s="1">
        <v>45686</v>
      </c>
      <c r="B892">
        <v>2769.1001000000001</v>
      </c>
      <c r="C892">
        <v>2769.1001000000001</v>
      </c>
      <c r="D892">
        <v>2769.1001000000001</v>
      </c>
      <c r="E892">
        <v>2769.1001000000001</v>
      </c>
      <c r="F892">
        <v>125692</v>
      </c>
      <c r="G892">
        <v>2755.5</v>
      </c>
      <c r="H892">
        <v>2676.1233000000002</v>
      </c>
      <c r="I892">
        <v>2670.1167</v>
      </c>
      <c r="J892">
        <v>1.1358999999999999</v>
      </c>
      <c r="K892">
        <v>0.5847</v>
      </c>
      <c r="L892">
        <v>0.81340000000000001</v>
      </c>
      <c r="M892">
        <v>74.149699999999996</v>
      </c>
      <c r="N892">
        <v>30.306000000000001</v>
      </c>
      <c r="O892">
        <v>24.450299999999999</v>
      </c>
      <c r="P892">
        <v>2802.7824000000001</v>
      </c>
      <c r="Q892">
        <v>2601.4176000000002</v>
      </c>
    </row>
    <row r="893" spans="1:17" x14ac:dyDescent="0.3">
      <c r="A893" s="1">
        <v>45687</v>
      </c>
      <c r="B893">
        <v>2823</v>
      </c>
      <c r="C893">
        <v>2829.5</v>
      </c>
      <c r="D893">
        <v>2770</v>
      </c>
      <c r="E893">
        <v>2772.5</v>
      </c>
      <c r="F893">
        <v>40141</v>
      </c>
      <c r="G893">
        <v>2759.2856999999999</v>
      </c>
      <c r="H893">
        <v>2679.93</v>
      </c>
      <c r="I893">
        <v>2672.14</v>
      </c>
      <c r="J893">
        <v>0.12280000000000001</v>
      </c>
      <c r="K893">
        <v>0.5786</v>
      </c>
      <c r="L893">
        <v>0.78039999999999998</v>
      </c>
      <c r="M893">
        <v>72.905500000000004</v>
      </c>
      <c r="N893">
        <v>31.0974</v>
      </c>
      <c r="O893">
        <v>25.779699999999998</v>
      </c>
      <c r="P893">
        <v>2805.4286999999999</v>
      </c>
      <c r="Q893">
        <v>2615.1813000000002</v>
      </c>
    </row>
    <row r="894" spans="1:17" x14ac:dyDescent="0.3">
      <c r="A894" s="1">
        <v>45688</v>
      </c>
      <c r="B894">
        <v>2812.5</v>
      </c>
      <c r="C894">
        <v>2838</v>
      </c>
      <c r="D894">
        <v>2804</v>
      </c>
      <c r="E894">
        <v>2829</v>
      </c>
      <c r="F894">
        <v>3443</v>
      </c>
      <c r="G894">
        <v>2769.9286000000002</v>
      </c>
      <c r="H894">
        <v>2685.8366999999998</v>
      </c>
      <c r="I894">
        <v>2674.39</v>
      </c>
      <c r="J894">
        <v>2.0379</v>
      </c>
      <c r="K894">
        <v>0.92730000000000001</v>
      </c>
      <c r="L894">
        <v>0.84950000000000003</v>
      </c>
      <c r="M894">
        <v>77.013199999999998</v>
      </c>
      <c r="N894">
        <v>35.870199999999997</v>
      </c>
      <c r="O894">
        <v>27.797799999999999</v>
      </c>
      <c r="P894">
        <v>2821.8499000000002</v>
      </c>
      <c r="Q894">
        <v>2618.3600999999999</v>
      </c>
    </row>
    <row r="895" spans="1:17" x14ac:dyDescent="0.3">
      <c r="A895" s="1">
        <v>45691</v>
      </c>
      <c r="B895">
        <v>2833.8998999999999</v>
      </c>
      <c r="C895">
        <v>2848.3998999999999</v>
      </c>
      <c r="D895">
        <v>2780.8998999999999</v>
      </c>
      <c r="E895">
        <v>2818.2</v>
      </c>
      <c r="F895">
        <v>2649</v>
      </c>
      <c r="G895">
        <v>2778.2429000000002</v>
      </c>
      <c r="H895">
        <v>2691.6333</v>
      </c>
      <c r="I895">
        <v>2676.4056</v>
      </c>
      <c r="J895">
        <v>-0.38179999999999997</v>
      </c>
      <c r="K895">
        <v>0.97170000000000001</v>
      </c>
      <c r="L895">
        <v>0.85170000000000001</v>
      </c>
      <c r="M895">
        <v>71.394300000000001</v>
      </c>
      <c r="N895">
        <v>38.339300000000001</v>
      </c>
      <c r="O895">
        <v>29.906099999999999</v>
      </c>
      <c r="P895">
        <v>2834.4578000000001</v>
      </c>
      <c r="Q895">
        <v>2621.7022000000002</v>
      </c>
    </row>
    <row r="896" spans="1:17" x14ac:dyDescent="0.3">
      <c r="A896" s="1">
        <v>45692</v>
      </c>
      <c r="B896">
        <v>2853.3</v>
      </c>
      <c r="C896">
        <v>2853.3</v>
      </c>
      <c r="D896">
        <v>2816.1001000000001</v>
      </c>
      <c r="E896">
        <v>2827.6001000000001</v>
      </c>
      <c r="F896">
        <v>2187</v>
      </c>
      <c r="G896">
        <v>2787.9286000000002</v>
      </c>
      <c r="H896">
        <v>2699.8166999999999</v>
      </c>
      <c r="I896">
        <v>2678.3089</v>
      </c>
      <c r="J896">
        <v>0.33360000000000001</v>
      </c>
      <c r="K896">
        <v>0.96209999999999996</v>
      </c>
      <c r="L896">
        <v>0.70009999999999994</v>
      </c>
      <c r="M896">
        <v>84.653400000000005</v>
      </c>
      <c r="N896">
        <v>40.5867</v>
      </c>
      <c r="O896">
        <v>32.042200000000001</v>
      </c>
      <c r="P896">
        <v>2844.9654</v>
      </c>
      <c r="Q896">
        <v>2629.4045999999998</v>
      </c>
    </row>
    <row r="897" spans="1:17" x14ac:dyDescent="0.3">
      <c r="A897" s="1">
        <v>45693</v>
      </c>
      <c r="B897">
        <v>2871.6001000000001</v>
      </c>
      <c r="C897">
        <v>2880.5</v>
      </c>
      <c r="D897">
        <v>2848</v>
      </c>
      <c r="E897">
        <v>2850</v>
      </c>
      <c r="F897">
        <v>4519</v>
      </c>
      <c r="G897">
        <v>2800.6286</v>
      </c>
      <c r="H897">
        <v>2707.9733000000001</v>
      </c>
      <c r="I897">
        <v>2680.3944000000001</v>
      </c>
      <c r="J897">
        <v>0.79220000000000002</v>
      </c>
      <c r="K897">
        <v>0.96399999999999997</v>
      </c>
      <c r="L897">
        <v>0.69720000000000004</v>
      </c>
      <c r="M897">
        <v>85.004400000000004</v>
      </c>
      <c r="N897">
        <v>43.671799999999998</v>
      </c>
      <c r="O897">
        <v>34.368200000000002</v>
      </c>
      <c r="P897">
        <v>2858.4209999999998</v>
      </c>
      <c r="Q897">
        <v>2635.6091000000001</v>
      </c>
    </row>
    <row r="898" spans="1:17" x14ac:dyDescent="0.3">
      <c r="A898" s="1">
        <v>45694</v>
      </c>
      <c r="B898">
        <v>2856</v>
      </c>
      <c r="C898">
        <v>2871.7</v>
      </c>
      <c r="D898">
        <v>2836.3</v>
      </c>
      <c r="E898">
        <v>2865.2</v>
      </c>
      <c r="F898">
        <v>3116</v>
      </c>
      <c r="G898">
        <v>2818.8</v>
      </c>
      <c r="H898">
        <v>2716.1466999999998</v>
      </c>
      <c r="I898">
        <v>2682.5632999999998</v>
      </c>
      <c r="J898">
        <v>0.5333</v>
      </c>
      <c r="K898">
        <v>0.77869999999999995</v>
      </c>
      <c r="L898">
        <v>0.69679999999999997</v>
      </c>
      <c r="M898">
        <v>83.093699999999998</v>
      </c>
      <c r="N898">
        <v>46.803800000000003</v>
      </c>
      <c r="O898">
        <v>36.8553</v>
      </c>
      <c r="P898">
        <v>2872.0679</v>
      </c>
      <c r="Q898">
        <v>2642.9321</v>
      </c>
    </row>
    <row r="899" spans="1:17" x14ac:dyDescent="0.3">
      <c r="A899" s="1">
        <v>45695</v>
      </c>
      <c r="B899">
        <v>2867.3</v>
      </c>
      <c r="C899">
        <v>2889.5</v>
      </c>
      <c r="D899">
        <v>2857.8</v>
      </c>
      <c r="E899">
        <v>2859.8998999999999</v>
      </c>
      <c r="F899">
        <v>1822</v>
      </c>
      <c r="G899">
        <v>2831.7714000000001</v>
      </c>
      <c r="H899">
        <v>2724.3766999999998</v>
      </c>
      <c r="I899">
        <v>2684.7743999999998</v>
      </c>
      <c r="J899">
        <v>-0.185</v>
      </c>
      <c r="K899">
        <v>0.80200000000000005</v>
      </c>
      <c r="L899">
        <v>0.69469999999999998</v>
      </c>
      <c r="M899">
        <v>80.562399999999997</v>
      </c>
      <c r="N899">
        <v>48.301499999999997</v>
      </c>
      <c r="O899">
        <v>39.144500000000001</v>
      </c>
      <c r="P899">
        <v>2882.4639999999999</v>
      </c>
      <c r="Q899">
        <v>2651.5560999999998</v>
      </c>
    </row>
    <row r="900" spans="1:17" x14ac:dyDescent="0.3">
      <c r="A900" s="1">
        <v>45698</v>
      </c>
      <c r="B900">
        <v>2914.3</v>
      </c>
      <c r="C900">
        <v>2916.1001000000001</v>
      </c>
      <c r="D900">
        <v>2863.8</v>
      </c>
      <c r="E900">
        <v>2864.2</v>
      </c>
      <c r="F900">
        <v>2237</v>
      </c>
      <c r="G900">
        <v>2844.8714</v>
      </c>
      <c r="H900">
        <v>2732.2332999999999</v>
      </c>
      <c r="I900">
        <v>2687.3611000000001</v>
      </c>
      <c r="J900">
        <v>0.15040000000000001</v>
      </c>
      <c r="K900">
        <v>0.80010000000000003</v>
      </c>
      <c r="L900">
        <v>0.69299999999999995</v>
      </c>
      <c r="M900">
        <v>80</v>
      </c>
      <c r="N900">
        <v>49.267400000000002</v>
      </c>
      <c r="O900">
        <v>41.1691</v>
      </c>
      <c r="P900">
        <v>2892.5603000000001</v>
      </c>
      <c r="Q900">
        <v>2659.2696999999998</v>
      </c>
    </row>
    <row r="901" spans="1:17" x14ac:dyDescent="0.3">
      <c r="A901" s="1">
        <v>45699</v>
      </c>
      <c r="B901">
        <v>2912.5</v>
      </c>
      <c r="C901">
        <v>2945.3998999999999</v>
      </c>
      <c r="D901">
        <v>2890</v>
      </c>
      <c r="E901">
        <v>2925.5</v>
      </c>
      <c r="F901">
        <v>2554</v>
      </c>
      <c r="G901">
        <v>2858.6570999999999</v>
      </c>
      <c r="H901">
        <v>2742.4933000000001</v>
      </c>
      <c r="I901">
        <v>2690.4155999999998</v>
      </c>
      <c r="J901">
        <v>2.1402000000000001</v>
      </c>
      <c r="K901">
        <v>0.83379999999999999</v>
      </c>
      <c r="L901">
        <v>0.75770000000000004</v>
      </c>
      <c r="M901">
        <v>84.2273</v>
      </c>
      <c r="N901">
        <v>54.352800000000002</v>
      </c>
      <c r="O901">
        <v>43.805900000000001</v>
      </c>
      <c r="P901">
        <v>2916.8215</v>
      </c>
      <c r="Q901">
        <v>2656.4485</v>
      </c>
    </row>
    <row r="902" spans="1:17" x14ac:dyDescent="0.3">
      <c r="A902" s="1">
        <v>45700</v>
      </c>
      <c r="B902">
        <v>2909</v>
      </c>
      <c r="C902">
        <v>2912.3</v>
      </c>
      <c r="D902">
        <v>2868.6001000000001</v>
      </c>
      <c r="E902">
        <v>2902</v>
      </c>
      <c r="F902">
        <v>2504</v>
      </c>
      <c r="G902">
        <v>2870.6286</v>
      </c>
      <c r="H902">
        <v>2751.87</v>
      </c>
      <c r="I902">
        <v>2693.2955999999999</v>
      </c>
      <c r="J902">
        <v>-0.80330000000000001</v>
      </c>
      <c r="K902">
        <v>0.91769999999999996</v>
      </c>
      <c r="L902">
        <v>0.78649999999999998</v>
      </c>
      <c r="M902">
        <v>76.512299999999996</v>
      </c>
      <c r="N902">
        <v>55.8431</v>
      </c>
      <c r="O902">
        <v>46.213299999999997</v>
      </c>
      <c r="P902">
        <v>2926.5518000000002</v>
      </c>
      <c r="Q902">
        <v>2669.5581999999999</v>
      </c>
    </row>
    <row r="903" spans="1:17" x14ac:dyDescent="0.3">
      <c r="A903" s="1">
        <v>45701</v>
      </c>
      <c r="B903">
        <v>2925.8998999999999</v>
      </c>
      <c r="C903">
        <v>2937.7</v>
      </c>
      <c r="D903">
        <v>2910.6001000000001</v>
      </c>
      <c r="E903">
        <v>2911.3</v>
      </c>
      <c r="F903">
        <v>4670</v>
      </c>
      <c r="G903">
        <v>2882.5857000000001</v>
      </c>
      <c r="H903">
        <v>2761.9666999999999</v>
      </c>
      <c r="I903">
        <v>2696.1322</v>
      </c>
      <c r="J903">
        <v>0.32050000000000001</v>
      </c>
      <c r="K903">
        <v>0.91790000000000005</v>
      </c>
      <c r="L903">
        <v>0.77139999999999997</v>
      </c>
      <c r="M903">
        <v>77.356399999999994</v>
      </c>
      <c r="N903">
        <v>57.116100000000003</v>
      </c>
      <c r="O903">
        <v>48.393900000000002</v>
      </c>
      <c r="P903">
        <v>2936.6641</v>
      </c>
      <c r="Q903">
        <v>2681.4958999999999</v>
      </c>
    </row>
    <row r="904" spans="1:17" x14ac:dyDescent="0.3">
      <c r="A904" s="1">
        <v>45702</v>
      </c>
      <c r="B904">
        <v>2883.6001000000001</v>
      </c>
      <c r="C904">
        <v>2944.3998999999999</v>
      </c>
      <c r="D904">
        <v>2874.8</v>
      </c>
      <c r="E904">
        <v>2937.3</v>
      </c>
      <c r="F904">
        <v>1992</v>
      </c>
      <c r="G904">
        <v>2895.0571</v>
      </c>
      <c r="H904">
        <v>2772.11</v>
      </c>
      <c r="I904">
        <v>2699.3389000000002</v>
      </c>
      <c r="J904">
        <v>0.8931</v>
      </c>
      <c r="K904">
        <v>0.92549999999999999</v>
      </c>
      <c r="L904">
        <v>0.7702</v>
      </c>
      <c r="M904">
        <v>79.210800000000006</v>
      </c>
      <c r="N904">
        <v>59.536700000000003</v>
      </c>
      <c r="O904">
        <v>50.622399999999999</v>
      </c>
      <c r="P904">
        <v>2953.6482000000001</v>
      </c>
      <c r="Q904">
        <v>2685.0718000000002</v>
      </c>
    </row>
    <row r="905" spans="1:17" x14ac:dyDescent="0.3">
      <c r="A905" s="1">
        <v>45706</v>
      </c>
      <c r="B905">
        <v>2931.6001000000001</v>
      </c>
      <c r="C905">
        <v>2936.3998999999999</v>
      </c>
      <c r="D905">
        <v>2873.8</v>
      </c>
      <c r="E905">
        <v>2879.2</v>
      </c>
      <c r="F905">
        <v>4010</v>
      </c>
      <c r="G905">
        <v>2897.0571</v>
      </c>
      <c r="H905">
        <v>2779.46</v>
      </c>
      <c r="I905">
        <v>2702.0077999999999</v>
      </c>
      <c r="J905">
        <v>-1.978</v>
      </c>
      <c r="K905">
        <v>1.2945</v>
      </c>
      <c r="L905">
        <v>0.87190000000000001</v>
      </c>
      <c r="M905">
        <v>70.974400000000003</v>
      </c>
      <c r="N905">
        <v>56.119900000000001</v>
      </c>
      <c r="O905">
        <v>51.721899999999998</v>
      </c>
      <c r="P905">
        <v>2957.3191000000002</v>
      </c>
      <c r="Q905">
        <v>2695.7208999999998</v>
      </c>
    </row>
    <row r="906" spans="1:17" x14ac:dyDescent="0.3">
      <c r="A906" s="1">
        <v>45707</v>
      </c>
      <c r="B906">
        <v>2919.3998999999999</v>
      </c>
      <c r="C906">
        <v>2946</v>
      </c>
      <c r="D906">
        <v>2917.1001000000001</v>
      </c>
      <c r="E906">
        <v>2938.7</v>
      </c>
      <c r="F906">
        <v>2630</v>
      </c>
      <c r="G906">
        <v>2908.3143</v>
      </c>
      <c r="H906">
        <v>2789.2332999999999</v>
      </c>
      <c r="I906">
        <v>2705.7377999999999</v>
      </c>
      <c r="J906">
        <v>2.0665</v>
      </c>
      <c r="K906">
        <v>1.4843999999999999</v>
      </c>
      <c r="L906">
        <v>0.91859999999999997</v>
      </c>
      <c r="M906">
        <v>73.232799999999997</v>
      </c>
      <c r="N906">
        <v>57.549900000000001</v>
      </c>
      <c r="O906">
        <v>52.887500000000003</v>
      </c>
      <c r="P906">
        <v>2970.3262</v>
      </c>
      <c r="Q906">
        <v>2701.9838</v>
      </c>
    </row>
    <row r="907" spans="1:17" x14ac:dyDescent="0.3">
      <c r="A907" s="1">
        <v>45708</v>
      </c>
      <c r="B907">
        <v>2940</v>
      </c>
      <c r="C907">
        <v>2955.8</v>
      </c>
      <c r="D907">
        <v>2924.2</v>
      </c>
      <c r="E907">
        <v>2949.1001000000001</v>
      </c>
      <c r="F907">
        <v>656</v>
      </c>
      <c r="G907">
        <v>2920.4429</v>
      </c>
      <c r="H907">
        <v>2799.09</v>
      </c>
      <c r="I907">
        <v>2709.5889000000002</v>
      </c>
      <c r="J907">
        <v>0.35389999999999999</v>
      </c>
      <c r="K907">
        <v>1.4806999999999999</v>
      </c>
      <c r="L907">
        <v>0.91849999999999998</v>
      </c>
      <c r="M907">
        <v>73.736500000000007</v>
      </c>
      <c r="N907">
        <v>58.844000000000001</v>
      </c>
      <c r="O907">
        <v>54.078800000000001</v>
      </c>
      <c r="P907">
        <v>2983.3083999999999</v>
      </c>
      <c r="Q907">
        <v>2708.4616000000001</v>
      </c>
    </row>
    <row r="908" spans="1:17" x14ac:dyDescent="0.3">
      <c r="A908" s="1">
        <v>45709</v>
      </c>
      <c r="B908">
        <v>2937.6001000000001</v>
      </c>
      <c r="C908">
        <v>2940</v>
      </c>
      <c r="D908">
        <v>2917.3</v>
      </c>
      <c r="E908">
        <v>2938.8</v>
      </c>
      <c r="F908">
        <v>570</v>
      </c>
      <c r="G908">
        <v>2922.3429000000001</v>
      </c>
      <c r="H908">
        <v>2808.5333000000001</v>
      </c>
      <c r="I908">
        <v>2712.9277999999999</v>
      </c>
      <c r="J908">
        <v>-0.3493</v>
      </c>
      <c r="K908">
        <v>1.2870999999999999</v>
      </c>
      <c r="L908">
        <v>0.92630000000000001</v>
      </c>
      <c r="M908">
        <v>66.850800000000007</v>
      </c>
      <c r="N908">
        <v>58.365600000000001</v>
      </c>
      <c r="O908">
        <v>54.936199999999999</v>
      </c>
      <c r="P908">
        <v>2991.9866000000002</v>
      </c>
      <c r="Q908">
        <v>2717.6633999999999</v>
      </c>
    </row>
    <row r="909" spans="1:17" x14ac:dyDescent="0.3">
      <c r="A909" s="1">
        <v>45712</v>
      </c>
      <c r="B909">
        <v>2947.8998999999999</v>
      </c>
      <c r="C909">
        <v>2957.8998999999999</v>
      </c>
      <c r="D909">
        <v>2933.1001000000001</v>
      </c>
      <c r="E909">
        <v>2933.1001000000001</v>
      </c>
      <c r="F909">
        <v>415</v>
      </c>
      <c r="G909">
        <v>2926.7856999999999</v>
      </c>
      <c r="H909">
        <v>2817.3134</v>
      </c>
      <c r="I909">
        <v>2716.0178000000001</v>
      </c>
      <c r="J909">
        <v>-0.19400000000000001</v>
      </c>
      <c r="K909">
        <v>1.2377</v>
      </c>
      <c r="L909">
        <v>0.93059999999999998</v>
      </c>
      <c r="M909">
        <v>67.913899999999998</v>
      </c>
      <c r="N909">
        <v>56.871099999999998</v>
      </c>
      <c r="O909">
        <v>55.323099999999997</v>
      </c>
      <c r="P909">
        <v>2997.2287999999999</v>
      </c>
      <c r="Q909">
        <v>2729.7512000000002</v>
      </c>
    </row>
    <row r="910" spans="1:17" x14ac:dyDescent="0.3">
      <c r="A910" s="1">
        <v>45713</v>
      </c>
      <c r="B910">
        <v>2904.5</v>
      </c>
      <c r="C910">
        <v>2943.2</v>
      </c>
      <c r="D910">
        <v>2890</v>
      </c>
      <c r="E910">
        <v>2938.7</v>
      </c>
      <c r="F910">
        <v>1854</v>
      </c>
      <c r="G910">
        <v>2930.7</v>
      </c>
      <c r="H910">
        <v>2825.7332999999999</v>
      </c>
      <c r="I910">
        <v>2719.0989</v>
      </c>
      <c r="J910">
        <v>0.19089999999999999</v>
      </c>
      <c r="K910">
        <v>1.2358</v>
      </c>
      <c r="L910">
        <v>0.92920000000000003</v>
      </c>
      <c r="M910">
        <v>67.529200000000003</v>
      </c>
      <c r="N910">
        <v>55.498699999999999</v>
      </c>
      <c r="O910">
        <v>55.3583</v>
      </c>
      <c r="P910">
        <v>3000.9694</v>
      </c>
      <c r="Q910">
        <v>2743.7705999999998</v>
      </c>
    </row>
    <row r="911" spans="1:17" x14ac:dyDescent="0.3">
      <c r="A911" s="1">
        <v>45714</v>
      </c>
      <c r="B911">
        <v>2916.8</v>
      </c>
      <c r="C911">
        <v>2917</v>
      </c>
      <c r="D911">
        <v>2913</v>
      </c>
      <c r="E911">
        <v>2913.5</v>
      </c>
      <c r="F911">
        <v>2050</v>
      </c>
      <c r="G911">
        <v>2927.3</v>
      </c>
      <c r="H911">
        <v>2832.48</v>
      </c>
      <c r="I911">
        <v>2721.76</v>
      </c>
      <c r="J911">
        <v>-0.85750000000000004</v>
      </c>
      <c r="K911">
        <v>1.2353000000000001</v>
      </c>
      <c r="L911">
        <v>0.94479999999999997</v>
      </c>
      <c r="M911">
        <v>59.931199999999997</v>
      </c>
      <c r="N911">
        <v>51.780700000000003</v>
      </c>
      <c r="O911">
        <v>54.642800000000001</v>
      </c>
      <c r="P911">
        <v>2994.1433000000002</v>
      </c>
      <c r="Q911">
        <v>2768.1466999999998</v>
      </c>
    </row>
    <row r="912" spans="1:17" x14ac:dyDescent="0.3">
      <c r="A912" s="1">
        <v>45715</v>
      </c>
      <c r="B912">
        <v>2883.2</v>
      </c>
      <c r="C912">
        <v>2922.8</v>
      </c>
      <c r="D912">
        <v>2870.3998999999999</v>
      </c>
      <c r="E912">
        <v>2918.5</v>
      </c>
      <c r="F912">
        <v>3215</v>
      </c>
      <c r="G912">
        <v>2932.9142999999999</v>
      </c>
      <c r="H912">
        <v>2840.6433000000002</v>
      </c>
      <c r="I912">
        <v>2724.4389000000001</v>
      </c>
      <c r="J912">
        <v>0.1716</v>
      </c>
      <c r="K912">
        <v>0.92049999999999998</v>
      </c>
      <c r="L912">
        <v>0.89370000000000005</v>
      </c>
      <c r="M912">
        <v>58.610700000000001</v>
      </c>
      <c r="N912">
        <v>48.676600000000001</v>
      </c>
      <c r="O912">
        <v>53.4495</v>
      </c>
      <c r="P912">
        <v>2989.5331000000001</v>
      </c>
      <c r="Q912">
        <v>2787.6968999999999</v>
      </c>
    </row>
    <row r="913" spans="1:17" x14ac:dyDescent="0.3">
      <c r="A913" s="1">
        <v>45716</v>
      </c>
      <c r="B913">
        <v>2836.8</v>
      </c>
      <c r="C913">
        <v>2877.1001000000001</v>
      </c>
      <c r="D913">
        <v>2834.1001000000001</v>
      </c>
      <c r="E913">
        <v>2877.1001000000001</v>
      </c>
      <c r="F913">
        <v>990</v>
      </c>
      <c r="G913">
        <v>2924.1143000000002</v>
      </c>
      <c r="H913">
        <v>2846.8533000000002</v>
      </c>
      <c r="I913">
        <v>2726.2543999999998</v>
      </c>
      <c r="J913">
        <v>-1.4185000000000001</v>
      </c>
      <c r="K913">
        <v>0.64119999999999999</v>
      </c>
      <c r="L913">
        <v>0.94399999999999995</v>
      </c>
      <c r="M913">
        <v>52.488500000000002</v>
      </c>
      <c r="N913">
        <v>42.387300000000003</v>
      </c>
      <c r="O913">
        <v>51.237099999999998</v>
      </c>
      <c r="P913">
        <v>2979.0432999999998</v>
      </c>
      <c r="Q913">
        <v>2808.6466999999998</v>
      </c>
    </row>
    <row r="914" spans="1:17" x14ac:dyDescent="0.3">
      <c r="A914" s="1">
        <v>45719</v>
      </c>
      <c r="B914">
        <v>2890.2</v>
      </c>
      <c r="C914">
        <v>2891.8</v>
      </c>
      <c r="D914">
        <v>2863.3998999999999</v>
      </c>
      <c r="E914">
        <v>2872.7</v>
      </c>
      <c r="F914">
        <v>423</v>
      </c>
      <c r="G914">
        <v>2913.2</v>
      </c>
      <c r="H914">
        <v>2851.5533</v>
      </c>
      <c r="I914">
        <v>2727.93</v>
      </c>
      <c r="J914">
        <v>-0.15290000000000001</v>
      </c>
      <c r="K914">
        <v>0.58069999999999999</v>
      </c>
      <c r="L914">
        <v>0.91400000000000003</v>
      </c>
      <c r="M914">
        <v>51.229399999999998</v>
      </c>
      <c r="N914">
        <v>36.625700000000002</v>
      </c>
      <c r="O914">
        <v>48.314799999999998</v>
      </c>
      <c r="P914">
        <v>2976.3265999999999</v>
      </c>
      <c r="Q914">
        <v>2815.7334000000001</v>
      </c>
    </row>
    <row r="915" spans="1:17" x14ac:dyDescent="0.3">
      <c r="A915" s="1">
        <v>45720</v>
      </c>
      <c r="B915">
        <v>2909.6001000000001</v>
      </c>
      <c r="C915">
        <v>2927.8998999999999</v>
      </c>
      <c r="D915">
        <v>2886.1001000000001</v>
      </c>
      <c r="E915">
        <v>2886.1001000000001</v>
      </c>
      <c r="F915">
        <v>885</v>
      </c>
      <c r="G915">
        <v>2905.6714999999999</v>
      </c>
      <c r="H915">
        <v>2856.5567000000001</v>
      </c>
      <c r="I915">
        <v>2729.6455999999998</v>
      </c>
      <c r="J915">
        <v>0.46650000000000003</v>
      </c>
      <c r="K915">
        <v>0.66239999999999999</v>
      </c>
      <c r="L915">
        <v>0.91549999999999998</v>
      </c>
      <c r="M915">
        <v>43.384799999999998</v>
      </c>
      <c r="N915">
        <v>32.763300000000001</v>
      </c>
      <c r="O915">
        <v>45.204500000000003</v>
      </c>
      <c r="P915">
        <v>2971.1502</v>
      </c>
      <c r="Q915">
        <v>2827.6997999999999</v>
      </c>
    </row>
    <row r="916" spans="1:17" x14ac:dyDescent="0.3">
      <c r="A916" s="1">
        <v>45721</v>
      </c>
      <c r="B916">
        <v>2915.3</v>
      </c>
      <c r="C916">
        <v>2922</v>
      </c>
      <c r="D916">
        <v>2893</v>
      </c>
      <c r="E916">
        <v>2916.7</v>
      </c>
      <c r="F916">
        <v>551</v>
      </c>
      <c r="G916">
        <v>2903.3285999999998</v>
      </c>
      <c r="H916">
        <v>2862.2467000000001</v>
      </c>
      <c r="I916">
        <v>2731.5810999999999</v>
      </c>
      <c r="J916">
        <v>1.0602</v>
      </c>
      <c r="K916">
        <v>0.83040000000000003</v>
      </c>
      <c r="L916">
        <v>0.92900000000000005</v>
      </c>
      <c r="M916">
        <v>52.410600000000002</v>
      </c>
      <c r="N916">
        <v>31.8047</v>
      </c>
      <c r="O916">
        <v>42.5246</v>
      </c>
      <c r="P916">
        <v>2967.4227999999998</v>
      </c>
      <c r="Q916">
        <v>2840.3371999999999</v>
      </c>
    </row>
    <row r="917" spans="1:17" x14ac:dyDescent="0.3">
      <c r="A917" s="1">
        <v>45722</v>
      </c>
      <c r="B917">
        <v>2916.6001000000001</v>
      </c>
      <c r="C917">
        <v>2918.6001000000001</v>
      </c>
      <c r="D917">
        <v>2903.8</v>
      </c>
      <c r="E917">
        <v>2904</v>
      </c>
      <c r="F917">
        <v>870</v>
      </c>
      <c r="G917">
        <v>2898.3714</v>
      </c>
      <c r="H917">
        <v>2867.23</v>
      </c>
      <c r="I917">
        <v>2733.5255999999999</v>
      </c>
      <c r="J917">
        <v>-0.43540000000000001</v>
      </c>
      <c r="K917">
        <v>0.83040000000000003</v>
      </c>
      <c r="L917">
        <v>0.93610000000000004</v>
      </c>
      <c r="M917">
        <v>48.816099999999999</v>
      </c>
      <c r="N917">
        <v>29.6782</v>
      </c>
      <c r="O917">
        <v>39.955300000000001</v>
      </c>
      <c r="P917">
        <v>2964.8537999999999</v>
      </c>
      <c r="Q917">
        <v>2848.3062</v>
      </c>
    </row>
    <row r="918" spans="1:17" x14ac:dyDescent="0.3">
      <c r="A918" s="1">
        <v>45723</v>
      </c>
      <c r="B918">
        <v>2904.7</v>
      </c>
      <c r="C918">
        <v>2927.3</v>
      </c>
      <c r="D918">
        <v>2900.5</v>
      </c>
      <c r="E918">
        <v>2900.8998999999999</v>
      </c>
      <c r="F918">
        <v>531</v>
      </c>
      <c r="G918">
        <v>2896.5713999999998</v>
      </c>
      <c r="H918">
        <v>2871.9267</v>
      </c>
      <c r="I918">
        <v>2735.4744000000001</v>
      </c>
      <c r="J918">
        <v>-0.10680000000000001</v>
      </c>
      <c r="K918">
        <v>0.77280000000000004</v>
      </c>
      <c r="L918">
        <v>0.9375</v>
      </c>
      <c r="M918">
        <v>43.622999999999998</v>
      </c>
      <c r="N918">
        <v>27.426600000000001</v>
      </c>
      <c r="O918">
        <v>37.449599999999997</v>
      </c>
      <c r="P918">
        <v>2963.3987999999999</v>
      </c>
      <c r="Q918">
        <v>2853.3312000000001</v>
      </c>
    </row>
    <row r="919" spans="1:17" x14ac:dyDescent="0.3">
      <c r="A919" s="1">
        <v>45726</v>
      </c>
      <c r="B919">
        <v>2891</v>
      </c>
      <c r="C919">
        <v>2915.1001000000001</v>
      </c>
      <c r="D919">
        <v>2880.2</v>
      </c>
      <c r="E919">
        <v>2910.1001000000001</v>
      </c>
      <c r="F919">
        <v>55</v>
      </c>
      <c r="G919">
        <v>2895.3714</v>
      </c>
      <c r="H919">
        <v>2876.9367000000002</v>
      </c>
      <c r="I919">
        <v>2737.4078</v>
      </c>
      <c r="J919">
        <v>0.31709999999999999</v>
      </c>
      <c r="K919">
        <v>0.78190000000000004</v>
      </c>
      <c r="L919">
        <v>0.93730000000000002</v>
      </c>
      <c r="M919">
        <v>56.532800000000002</v>
      </c>
      <c r="N919">
        <v>26.0839</v>
      </c>
      <c r="O919">
        <v>35.176400000000001</v>
      </c>
      <c r="P919">
        <v>2960.9582</v>
      </c>
      <c r="Q919">
        <v>2860.7918</v>
      </c>
    </row>
    <row r="920" spans="1:17" x14ac:dyDescent="0.3">
      <c r="A920" s="1">
        <v>45727</v>
      </c>
      <c r="B920">
        <v>2912.8998999999999</v>
      </c>
      <c r="C920">
        <v>2916.7</v>
      </c>
      <c r="D920">
        <v>2880.3998999999999</v>
      </c>
      <c r="E920">
        <v>2884.3998999999999</v>
      </c>
      <c r="F920">
        <v>197</v>
      </c>
      <c r="G920">
        <v>2896.4142999999999</v>
      </c>
      <c r="H920">
        <v>2881.0466999999999</v>
      </c>
      <c r="I920">
        <v>2738.6967</v>
      </c>
      <c r="J920">
        <v>-0.8831</v>
      </c>
      <c r="K920">
        <v>0.63729999999999998</v>
      </c>
      <c r="L920">
        <v>0.95699999999999996</v>
      </c>
      <c r="M920">
        <v>36.605800000000002</v>
      </c>
      <c r="N920">
        <v>22.6845</v>
      </c>
      <c r="O920">
        <v>32.678100000000001</v>
      </c>
      <c r="P920">
        <v>2958.7139999999999</v>
      </c>
      <c r="Q920">
        <v>2865.056</v>
      </c>
    </row>
    <row r="921" spans="1:17" x14ac:dyDescent="0.3">
      <c r="A921" s="1">
        <v>45728</v>
      </c>
      <c r="B921">
        <v>2939.1001000000001</v>
      </c>
      <c r="C921">
        <v>2939.1001000000001</v>
      </c>
      <c r="D921">
        <v>2910</v>
      </c>
      <c r="E921">
        <v>2912</v>
      </c>
      <c r="F921">
        <v>213</v>
      </c>
      <c r="G921">
        <v>2902.0286000000001</v>
      </c>
      <c r="H921">
        <v>2886.8467000000001</v>
      </c>
      <c r="I921">
        <v>2740.2233000000001</v>
      </c>
      <c r="J921">
        <v>0.95689999999999997</v>
      </c>
      <c r="K921">
        <v>0.71509999999999996</v>
      </c>
      <c r="L921">
        <v>0.94930000000000003</v>
      </c>
      <c r="M921">
        <v>41.564300000000003</v>
      </c>
      <c r="N921">
        <v>21.964400000000001</v>
      </c>
      <c r="O921">
        <v>30.535299999999999</v>
      </c>
      <c r="P921">
        <v>2957.5998</v>
      </c>
      <c r="Q921">
        <v>2864.8202000000001</v>
      </c>
    </row>
    <row r="922" spans="1:17" x14ac:dyDescent="0.3">
      <c r="A922" s="1">
        <v>45729</v>
      </c>
      <c r="B922">
        <v>2984.3</v>
      </c>
      <c r="C922">
        <v>2988</v>
      </c>
      <c r="D922">
        <v>2935.2</v>
      </c>
      <c r="E922">
        <v>2937.1001000000001</v>
      </c>
      <c r="F922">
        <v>2366</v>
      </c>
      <c r="G922">
        <v>2909.3143</v>
      </c>
      <c r="H922">
        <v>2892.4467</v>
      </c>
      <c r="I922">
        <v>2741.8867</v>
      </c>
      <c r="J922">
        <v>0.86199999999999999</v>
      </c>
      <c r="K922">
        <v>0.75460000000000005</v>
      </c>
      <c r="L922">
        <v>0.94130000000000003</v>
      </c>
      <c r="M922">
        <v>49.637799999999999</v>
      </c>
      <c r="N922">
        <v>23.152200000000001</v>
      </c>
      <c r="O922">
        <v>29.058700000000002</v>
      </c>
      <c r="P922">
        <v>2960.5286999999998</v>
      </c>
      <c r="Q922">
        <v>2865.4013</v>
      </c>
    </row>
    <row r="923" spans="1:17" x14ac:dyDescent="0.3">
      <c r="A923" s="1">
        <v>45730</v>
      </c>
      <c r="B923">
        <v>2994.5</v>
      </c>
      <c r="C923">
        <v>3004.8</v>
      </c>
      <c r="D923">
        <v>2986</v>
      </c>
      <c r="E923">
        <v>2994.3998999999999</v>
      </c>
      <c r="F923">
        <v>1800</v>
      </c>
      <c r="G923">
        <v>2920.4142999999999</v>
      </c>
      <c r="H923">
        <v>2899.8433</v>
      </c>
      <c r="I923">
        <v>2744.6522</v>
      </c>
      <c r="J923">
        <v>1.9509000000000001</v>
      </c>
      <c r="K923">
        <v>0.96040000000000003</v>
      </c>
      <c r="L923">
        <v>0.99380000000000002</v>
      </c>
      <c r="M923">
        <v>60.705500000000001</v>
      </c>
      <c r="N923">
        <v>28.389900000000001</v>
      </c>
      <c r="O923">
        <v>28.924900000000001</v>
      </c>
      <c r="P923">
        <v>2976.9962999999998</v>
      </c>
      <c r="Q923">
        <v>2857.2438000000002</v>
      </c>
    </row>
    <row r="924" spans="1:17" x14ac:dyDescent="0.3">
      <c r="A924" s="1">
        <v>45733</v>
      </c>
      <c r="B924">
        <v>3000</v>
      </c>
      <c r="C924">
        <v>3001.5</v>
      </c>
      <c r="D924">
        <v>2989</v>
      </c>
      <c r="E924">
        <v>2991</v>
      </c>
      <c r="F924">
        <v>214</v>
      </c>
      <c r="G924">
        <v>2932.8427999999999</v>
      </c>
      <c r="H924">
        <v>2905.2433000000001</v>
      </c>
      <c r="I924">
        <v>2747.48</v>
      </c>
      <c r="J924">
        <v>-0.1135</v>
      </c>
      <c r="K924">
        <v>0.92179999999999995</v>
      </c>
      <c r="L924">
        <v>0.93720000000000003</v>
      </c>
      <c r="M924">
        <v>59.204500000000003</v>
      </c>
      <c r="N924">
        <v>31.898700000000002</v>
      </c>
      <c r="O924">
        <v>29.5197</v>
      </c>
      <c r="P924">
        <v>2987.7622000000001</v>
      </c>
      <c r="Q924">
        <v>2851.8478</v>
      </c>
    </row>
    <row r="925" spans="1:17" x14ac:dyDescent="0.3">
      <c r="A925" s="1">
        <v>45734</v>
      </c>
      <c r="B925">
        <v>3035.1001000000001</v>
      </c>
      <c r="C925">
        <v>3039.2</v>
      </c>
      <c r="D925">
        <v>3004.3998999999999</v>
      </c>
      <c r="E925">
        <v>3006.3998999999999</v>
      </c>
      <c r="F925">
        <v>428</v>
      </c>
      <c r="G925">
        <v>2947.9142999999999</v>
      </c>
      <c r="H925">
        <v>2911.5167000000001</v>
      </c>
      <c r="I925">
        <v>2750.4067</v>
      </c>
      <c r="J925">
        <v>0.51490000000000002</v>
      </c>
      <c r="K925">
        <v>0.89129999999999998</v>
      </c>
      <c r="L925">
        <v>0.93269999999999997</v>
      </c>
      <c r="M925">
        <v>66.933999999999997</v>
      </c>
      <c r="N925">
        <v>35.512799999999999</v>
      </c>
      <c r="O925">
        <v>30.718299999999999</v>
      </c>
      <c r="P925">
        <v>3001.527</v>
      </c>
      <c r="Q925">
        <v>2850.8029999999999</v>
      </c>
    </row>
    <row r="926" spans="1:17" x14ac:dyDescent="0.3">
      <c r="A926" s="1">
        <v>45735</v>
      </c>
      <c r="B926">
        <v>3035.8998999999999</v>
      </c>
      <c r="C926">
        <v>3050.8998999999999</v>
      </c>
      <c r="D926">
        <v>3030.8998999999999</v>
      </c>
      <c r="E926">
        <v>3035.2</v>
      </c>
      <c r="F926">
        <v>175</v>
      </c>
      <c r="G926">
        <v>2965.7856999999999</v>
      </c>
      <c r="H926">
        <v>2918.4367000000002</v>
      </c>
      <c r="I926">
        <v>2753.7478000000001</v>
      </c>
      <c r="J926">
        <v>0.95799999999999996</v>
      </c>
      <c r="K926">
        <v>0.90039999999999998</v>
      </c>
      <c r="L926">
        <v>0.94220000000000004</v>
      </c>
      <c r="M926">
        <v>69.573899999999995</v>
      </c>
      <c r="N926">
        <v>40.237000000000002</v>
      </c>
      <c r="O926">
        <v>32.622</v>
      </c>
      <c r="P926">
        <v>3020.7184000000002</v>
      </c>
      <c r="Q926">
        <v>2841.2615999999998</v>
      </c>
    </row>
    <row r="927" spans="1:17" x14ac:dyDescent="0.3">
      <c r="A927" s="1">
        <v>45736</v>
      </c>
      <c r="B927">
        <v>3040</v>
      </c>
      <c r="C927">
        <v>3047.3</v>
      </c>
      <c r="D927">
        <v>3034.3998999999999</v>
      </c>
      <c r="E927">
        <v>3047.3</v>
      </c>
      <c r="F927">
        <v>185</v>
      </c>
      <c r="G927">
        <v>2989.0571</v>
      </c>
      <c r="H927">
        <v>2925.0133000000001</v>
      </c>
      <c r="I927">
        <v>2758.0232999999998</v>
      </c>
      <c r="J927">
        <v>0.3987</v>
      </c>
      <c r="K927">
        <v>0.63959999999999995</v>
      </c>
      <c r="L927">
        <v>0.93700000000000006</v>
      </c>
      <c r="M927">
        <v>81.659199999999998</v>
      </c>
      <c r="N927">
        <v>44.445099999999996</v>
      </c>
      <c r="O927">
        <v>34.986600000000003</v>
      </c>
      <c r="P927">
        <v>3039.4792000000002</v>
      </c>
      <c r="Q927">
        <v>2832.3208</v>
      </c>
    </row>
    <row r="928" spans="1:17" x14ac:dyDescent="0.3">
      <c r="A928" s="1">
        <v>45737</v>
      </c>
      <c r="B928">
        <v>3018.2</v>
      </c>
      <c r="C928">
        <v>3037.5</v>
      </c>
      <c r="D928">
        <v>3000.8998999999999</v>
      </c>
      <c r="E928">
        <v>3034.5</v>
      </c>
      <c r="F928">
        <v>151</v>
      </c>
      <c r="G928">
        <v>3006.5571</v>
      </c>
      <c r="H928">
        <v>2930.6567</v>
      </c>
      <c r="I928">
        <v>2761.8678</v>
      </c>
      <c r="J928">
        <v>-0.42</v>
      </c>
      <c r="K928">
        <v>0.77659999999999996</v>
      </c>
      <c r="L928">
        <v>0.94240000000000002</v>
      </c>
      <c r="M928">
        <v>79.184700000000007</v>
      </c>
      <c r="N928">
        <v>46.214399999999998</v>
      </c>
      <c r="O928">
        <v>37.232199999999999</v>
      </c>
      <c r="P928">
        <v>3053.2781</v>
      </c>
      <c r="Q928">
        <v>2828.0918999999999</v>
      </c>
    </row>
    <row r="929" spans="1:17" x14ac:dyDescent="0.3">
      <c r="A929" s="1">
        <v>45740</v>
      </c>
      <c r="B929">
        <v>3013.1001000000001</v>
      </c>
      <c r="C929">
        <v>3024.3</v>
      </c>
      <c r="D929">
        <v>3006</v>
      </c>
      <c r="E929">
        <v>3024.3</v>
      </c>
      <c r="F929">
        <v>137</v>
      </c>
      <c r="G929">
        <v>3019.0142999999998</v>
      </c>
      <c r="H929">
        <v>2936.1367</v>
      </c>
      <c r="I929">
        <v>2765.7856000000002</v>
      </c>
      <c r="J929">
        <v>-0.33610000000000001</v>
      </c>
      <c r="K929">
        <v>0.83709999999999996</v>
      </c>
      <c r="L929">
        <v>0.94489999999999996</v>
      </c>
      <c r="M929">
        <v>75.218900000000005</v>
      </c>
      <c r="N929">
        <v>46.260300000000001</v>
      </c>
      <c r="O929">
        <v>39.037799999999997</v>
      </c>
      <c r="P929">
        <v>3063.7752999999998</v>
      </c>
      <c r="Q929">
        <v>2826.7147</v>
      </c>
    </row>
    <row r="930" spans="1:17" x14ac:dyDescent="0.3">
      <c r="A930" s="1">
        <v>45741</v>
      </c>
      <c r="B930">
        <v>3023.7</v>
      </c>
      <c r="C930">
        <v>3028.8</v>
      </c>
      <c r="D930">
        <v>3023.7</v>
      </c>
      <c r="E930">
        <v>3026.3998999999999</v>
      </c>
      <c r="F930">
        <v>74</v>
      </c>
      <c r="G930">
        <v>3023.5857000000001</v>
      </c>
      <c r="H930">
        <v>2941.5432999999998</v>
      </c>
      <c r="I930">
        <v>2770.4621999999999</v>
      </c>
      <c r="J930">
        <v>6.9400000000000003E-2</v>
      </c>
      <c r="K930">
        <v>0.4975</v>
      </c>
      <c r="L930">
        <v>0.94520000000000004</v>
      </c>
      <c r="M930">
        <v>72.342100000000002</v>
      </c>
      <c r="N930">
        <v>45.936599999999999</v>
      </c>
      <c r="O930">
        <v>40.4176</v>
      </c>
      <c r="P930">
        <v>3073.5088999999998</v>
      </c>
      <c r="Q930">
        <v>2825.7510000000002</v>
      </c>
    </row>
    <row r="931" spans="1:17" x14ac:dyDescent="0.3">
      <c r="A931" s="1">
        <v>45742</v>
      </c>
      <c r="B931">
        <v>3020.8998999999999</v>
      </c>
      <c r="C931">
        <v>3033.2</v>
      </c>
      <c r="D931">
        <v>3019.5</v>
      </c>
      <c r="E931">
        <v>3033.2</v>
      </c>
      <c r="F931">
        <v>83</v>
      </c>
      <c r="G931">
        <v>3029.6143000000002</v>
      </c>
      <c r="H931">
        <v>2945.1333</v>
      </c>
      <c r="I931">
        <v>2775.1522</v>
      </c>
      <c r="J931">
        <v>0.22470000000000001</v>
      </c>
      <c r="K931">
        <v>0.48349999999999999</v>
      </c>
      <c r="L931">
        <v>0.87050000000000005</v>
      </c>
      <c r="M931">
        <v>76.961600000000004</v>
      </c>
      <c r="N931">
        <v>45.701900000000002</v>
      </c>
      <c r="O931">
        <v>41.474400000000003</v>
      </c>
      <c r="P931">
        <v>3083.6410000000001</v>
      </c>
      <c r="Q931">
        <v>2827.5889999999999</v>
      </c>
    </row>
    <row r="932" spans="1:17" x14ac:dyDescent="0.3">
      <c r="A932" s="1">
        <v>45743</v>
      </c>
      <c r="B932">
        <v>3060.2</v>
      </c>
      <c r="C932">
        <v>3065</v>
      </c>
      <c r="D932">
        <v>3025.5</v>
      </c>
      <c r="E932">
        <v>3025.5</v>
      </c>
      <c r="F932">
        <v>124359</v>
      </c>
      <c r="G932">
        <v>3032.3427999999999</v>
      </c>
      <c r="H932">
        <v>2949.25</v>
      </c>
      <c r="I932">
        <v>2780.3789000000002</v>
      </c>
      <c r="J932">
        <v>-0.25390000000000001</v>
      </c>
      <c r="K932">
        <v>0.48770000000000002</v>
      </c>
      <c r="L932">
        <v>0.85599999999999998</v>
      </c>
      <c r="M932">
        <v>75.511899999999997</v>
      </c>
      <c r="N932">
        <v>44.383000000000003</v>
      </c>
      <c r="O932">
        <v>42.056100000000001</v>
      </c>
      <c r="P932">
        <v>3091.3809999999999</v>
      </c>
      <c r="Q932">
        <v>2830.549</v>
      </c>
    </row>
    <row r="933" spans="1:17" x14ac:dyDescent="0.3">
      <c r="A933" s="1">
        <v>45744</v>
      </c>
      <c r="B933">
        <v>3086.5</v>
      </c>
      <c r="C933">
        <v>3094.8998999999999</v>
      </c>
      <c r="D933">
        <v>3066.8</v>
      </c>
      <c r="E933">
        <v>3069.7</v>
      </c>
      <c r="F933">
        <v>31206</v>
      </c>
      <c r="G933">
        <v>3037.2714000000001</v>
      </c>
      <c r="H933">
        <v>2954.53</v>
      </c>
      <c r="I933">
        <v>2785.9789000000001</v>
      </c>
      <c r="J933">
        <v>1.4609000000000001</v>
      </c>
      <c r="K933">
        <v>0.64749999999999996</v>
      </c>
      <c r="L933">
        <v>0.88880000000000003</v>
      </c>
      <c r="M933">
        <v>78.581599999999995</v>
      </c>
      <c r="N933">
        <v>46.369799999999998</v>
      </c>
      <c r="O933">
        <v>42.918900000000001</v>
      </c>
      <c r="P933">
        <v>3103.3589999999999</v>
      </c>
      <c r="Q933">
        <v>2837.8310000000001</v>
      </c>
    </row>
    <row r="934" spans="1:17" x14ac:dyDescent="0.3">
      <c r="A934" s="1">
        <v>45747</v>
      </c>
      <c r="B934">
        <v>3122.8</v>
      </c>
      <c r="C934">
        <v>3132.5</v>
      </c>
      <c r="D934">
        <v>3086</v>
      </c>
      <c r="E934">
        <v>3091</v>
      </c>
      <c r="F934">
        <v>3438</v>
      </c>
      <c r="G934">
        <v>3043.5142999999998</v>
      </c>
      <c r="H934">
        <v>2959.6532999999999</v>
      </c>
      <c r="I934">
        <v>2791.5266999999999</v>
      </c>
      <c r="J934">
        <v>0.69389999999999996</v>
      </c>
      <c r="K934">
        <v>0.6744</v>
      </c>
      <c r="L934">
        <v>0.88400000000000001</v>
      </c>
      <c r="M934">
        <v>87.590999999999994</v>
      </c>
      <c r="N934">
        <v>49.097099999999998</v>
      </c>
      <c r="O934">
        <v>44.154499999999999</v>
      </c>
      <c r="P934">
        <v>3116.2658999999999</v>
      </c>
      <c r="Q934">
        <v>2846.7541000000001</v>
      </c>
    </row>
    <row r="935" spans="1:17" x14ac:dyDescent="0.3">
      <c r="A935" s="1">
        <v>45748</v>
      </c>
      <c r="B935">
        <v>3118.8998999999999</v>
      </c>
      <c r="C935">
        <v>3149.5</v>
      </c>
      <c r="D935">
        <v>3104</v>
      </c>
      <c r="E935">
        <v>3129.7</v>
      </c>
      <c r="F935">
        <v>1721</v>
      </c>
      <c r="G935">
        <v>3057.1143000000002</v>
      </c>
      <c r="H935">
        <v>2968.0032999999999</v>
      </c>
      <c r="I935">
        <v>2797.1689000000001</v>
      </c>
      <c r="J935">
        <v>1.252</v>
      </c>
      <c r="K935">
        <v>0.71099999999999997</v>
      </c>
      <c r="L935">
        <v>0.80620000000000003</v>
      </c>
      <c r="M935">
        <v>88.072800000000001</v>
      </c>
      <c r="N935">
        <v>53.761600000000001</v>
      </c>
      <c r="O935">
        <v>46.075899999999997</v>
      </c>
      <c r="P935">
        <v>3135.9618999999998</v>
      </c>
      <c r="Q935">
        <v>2851.4180999999999</v>
      </c>
    </row>
    <row r="936" spans="1:17" x14ac:dyDescent="0.3">
      <c r="A936" s="1">
        <v>45749</v>
      </c>
      <c r="B936">
        <v>3139.8998999999999</v>
      </c>
      <c r="C936">
        <v>3168.6001000000001</v>
      </c>
      <c r="D936">
        <v>3117.3998999999999</v>
      </c>
      <c r="E936">
        <v>3120.7</v>
      </c>
      <c r="F936">
        <v>5946</v>
      </c>
      <c r="G936">
        <v>3070.8856999999998</v>
      </c>
      <c r="H936">
        <v>2974.07</v>
      </c>
      <c r="I936">
        <v>2802.5266999999999</v>
      </c>
      <c r="J936">
        <v>-0.28760000000000002</v>
      </c>
      <c r="K936">
        <v>0.70230000000000004</v>
      </c>
      <c r="L936">
        <v>0.73819999999999997</v>
      </c>
      <c r="M936">
        <v>84.025199999999998</v>
      </c>
      <c r="N936">
        <v>56.0854</v>
      </c>
      <c r="O936">
        <v>48.077800000000003</v>
      </c>
      <c r="P936">
        <v>3152.0502000000001</v>
      </c>
      <c r="Q936">
        <v>2855.7296999999999</v>
      </c>
    </row>
    <row r="937" spans="1:17" x14ac:dyDescent="0.3">
      <c r="A937" s="1">
        <v>45750</v>
      </c>
      <c r="B937">
        <v>3097</v>
      </c>
      <c r="C937">
        <v>3166.8998999999999</v>
      </c>
      <c r="D937">
        <v>3052</v>
      </c>
      <c r="E937">
        <v>3150</v>
      </c>
      <c r="F937">
        <v>5516</v>
      </c>
      <c r="G937">
        <v>3088.5428000000002</v>
      </c>
      <c r="H937">
        <v>2980.7667000000001</v>
      </c>
      <c r="I937">
        <v>2807.9789000000001</v>
      </c>
      <c r="J937">
        <v>0.93889999999999996</v>
      </c>
      <c r="K937">
        <v>0.70040000000000002</v>
      </c>
      <c r="L937">
        <v>0.74990000000000001</v>
      </c>
      <c r="M937">
        <v>82.175399999999996</v>
      </c>
      <c r="N937">
        <v>59.604300000000002</v>
      </c>
      <c r="O937">
        <v>50.383099999999999</v>
      </c>
      <c r="P937">
        <v>3170.1644999999999</v>
      </c>
      <c r="Q937">
        <v>2862.2154</v>
      </c>
    </row>
    <row r="938" spans="1:17" x14ac:dyDescent="0.3">
      <c r="A938" s="1">
        <v>45751</v>
      </c>
      <c r="B938">
        <v>3012</v>
      </c>
      <c r="C938">
        <v>3127.7</v>
      </c>
      <c r="D938">
        <v>3011</v>
      </c>
      <c r="E938">
        <v>3110.5</v>
      </c>
      <c r="F938">
        <v>3247</v>
      </c>
      <c r="G938">
        <v>3099.5857000000001</v>
      </c>
      <c r="H938">
        <v>2986.49</v>
      </c>
      <c r="I938">
        <v>2812.6788999999999</v>
      </c>
      <c r="J938">
        <v>-1.254</v>
      </c>
      <c r="K938">
        <v>0.9879</v>
      </c>
      <c r="L938">
        <v>0.79079999999999995</v>
      </c>
      <c r="M938">
        <v>71.500500000000002</v>
      </c>
      <c r="N938">
        <v>58.530999999999999</v>
      </c>
      <c r="O938">
        <v>52.012700000000002</v>
      </c>
      <c r="P938">
        <v>3176.0686000000001</v>
      </c>
      <c r="Q938">
        <v>2877.2714000000001</v>
      </c>
    </row>
    <row r="939" spans="1:17" x14ac:dyDescent="0.3">
      <c r="A939" s="1">
        <v>45754</v>
      </c>
      <c r="B939">
        <v>2951.3</v>
      </c>
      <c r="C939">
        <v>3050.8</v>
      </c>
      <c r="D939">
        <v>2949.7</v>
      </c>
      <c r="E939">
        <v>3016.3998999999999</v>
      </c>
      <c r="F939">
        <v>4424</v>
      </c>
      <c r="G939">
        <v>3098.2856999999999</v>
      </c>
      <c r="H939">
        <v>2989.2667000000001</v>
      </c>
      <c r="I939">
        <v>2816.3121999999998</v>
      </c>
      <c r="J939">
        <v>-3.0251999999999999</v>
      </c>
      <c r="K939">
        <v>1.6261000000000001</v>
      </c>
      <c r="L939">
        <v>0.9839</v>
      </c>
      <c r="M939">
        <v>51.402099999999997</v>
      </c>
      <c r="N939">
        <v>49.516500000000001</v>
      </c>
      <c r="O939">
        <v>51.513500000000001</v>
      </c>
      <c r="P939">
        <v>3171.134</v>
      </c>
      <c r="Q939">
        <v>2892.8359</v>
      </c>
    </row>
    <row r="940" spans="1:17" x14ac:dyDescent="0.3">
      <c r="A940" s="1">
        <v>45755</v>
      </c>
      <c r="B940">
        <v>2968.3998999999999</v>
      </c>
      <c r="C940">
        <v>3014.5</v>
      </c>
      <c r="D940">
        <v>2968.3998999999999</v>
      </c>
      <c r="E940">
        <v>2994</v>
      </c>
      <c r="F940">
        <v>3213</v>
      </c>
      <c r="G940">
        <v>3087.4713999999999</v>
      </c>
      <c r="H940">
        <v>2991.11</v>
      </c>
      <c r="I940">
        <v>2820.4056</v>
      </c>
      <c r="J940">
        <v>-0.74260000000000004</v>
      </c>
      <c r="K940">
        <v>1.4972000000000001</v>
      </c>
      <c r="L940">
        <v>0.99550000000000005</v>
      </c>
      <c r="M940">
        <v>44.117699999999999</v>
      </c>
      <c r="N940">
        <v>40.102699999999999</v>
      </c>
      <c r="O940">
        <v>49.231299999999997</v>
      </c>
      <c r="P940">
        <v>3159.7525000000001</v>
      </c>
      <c r="Q940">
        <v>2915.1774999999998</v>
      </c>
    </row>
    <row r="941" spans="1:17" x14ac:dyDescent="0.3">
      <c r="A941" s="1">
        <v>45756</v>
      </c>
      <c r="B941">
        <v>3056.5</v>
      </c>
      <c r="C941">
        <v>3090.3998999999999</v>
      </c>
      <c r="D941">
        <v>2965.8</v>
      </c>
      <c r="E941">
        <v>2965.8</v>
      </c>
      <c r="F941">
        <v>2175</v>
      </c>
      <c r="G941">
        <v>3069.5857000000001</v>
      </c>
      <c r="H941">
        <v>2992.8533000000002</v>
      </c>
      <c r="I941">
        <v>2824.0978</v>
      </c>
      <c r="J941">
        <v>-0.94189999999999996</v>
      </c>
      <c r="K941">
        <v>1.4340999999999999</v>
      </c>
      <c r="L941">
        <v>0.99829999999999997</v>
      </c>
      <c r="M941">
        <v>38.8752</v>
      </c>
      <c r="N941">
        <v>30.020700000000001</v>
      </c>
      <c r="O941">
        <v>45.389200000000002</v>
      </c>
      <c r="P941">
        <v>3152.8092999999999</v>
      </c>
      <c r="Q941">
        <v>2927.5005999999998</v>
      </c>
    </row>
    <row r="942" spans="1:17" x14ac:dyDescent="0.3">
      <c r="A942" s="1">
        <v>45757</v>
      </c>
      <c r="B942">
        <v>3155.2</v>
      </c>
      <c r="C942">
        <v>3167</v>
      </c>
      <c r="D942">
        <v>3072.1001000000001</v>
      </c>
      <c r="E942">
        <v>3073.8998999999999</v>
      </c>
      <c r="F942">
        <v>3456</v>
      </c>
      <c r="G942">
        <v>3061.6143000000002</v>
      </c>
      <c r="H942">
        <v>2998.0333000000001</v>
      </c>
      <c r="I942">
        <v>2828.9589000000001</v>
      </c>
      <c r="J942">
        <v>3.6448999999999998</v>
      </c>
      <c r="K942">
        <v>2.0823</v>
      </c>
      <c r="L942">
        <v>1.1935</v>
      </c>
      <c r="M942">
        <v>54.267800000000001</v>
      </c>
      <c r="N942">
        <v>30.402799999999999</v>
      </c>
      <c r="O942">
        <v>42.3919</v>
      </c>
      <c r="P942">
        <v>3149.4542000000001</v>
      </c>
      <c r="Q942">
        <v>2944.5358000000001</v>
      </c>
    </row>
    <row r="943" spans="1:17" x14ac:dyDescent="0.3">
      <c r="A943" s="1">
        <v>45758</v>
      </c>
      <c r="B943">
        <v>3222.2</v>
      </c>
      <c r="C943">
        <v>3235</v>
      </c>
      <c r="D943">
        <v>3182.1001000000001</v>
      </c>
      <c r="E943">
        <v>3182.1001000000001</v>
      </c>
      <c r="F943">
        <v>862</v>
      </c>
      <c r="G943">
        <v>3070.3856999999998</v>
      </c>
      <c r="H943">
        <v>3008.2</v>
      </c>
      <c r="I943">
        <v>2834.8822</v>
      </c>
      <c r="J943">
        <v>3.52</v>
      </c>
      <c r="K943">
        <v>2.5188000000000001</v>
      </c>
      <c r="L943">
        <v>1.3011999999999999</v>
      </c>
      <c r="M943">
        <v>64.099400000000003</v>
      </c>
      <c r="N943">
        <v>38.987099999999998</v>
      </c>
      <c r="O943">
        <v>41.710999999999999</v>
      </c>
      <c r="P943">
        <v>3172.0843</v>
      </c>
      <c r="Q943">
        <v>2940.6756999999998</v>
      </c>
    </row>
    <row r="944" spans="1:17" x14ac:dyDescent="0.3">
      <c r="A944" s="1">
        <v>45761</v>
      </c>
      <c r="B944">
        <v>3204.8</v>
      </c>
      <c r="C944">
        <v>3228.8</v>
      </c>
      <c r="D944">
        <v>3194.5</v>
      </c>
      <c r="E944">
        <v>3215.5</v>
      </c>
      <c r="F944">
        <v>263</v>
      </c>
      <c r="G944">
        <v>3079.7429000000002</v>
      </c>
      <c r="H944">
        <v>3019.6266999999998</v>
      </c>
      <c r="I944">
        <v>2841.2878000000001</v>
      </c>
      <c r="J944">
        <v>1.0496000000000001</v>
      </c>
      <c r="K944">
        <v>2.5238</v>
      </c>
      <c r="L944">
        <v>1.3039000000000001</v>
      </c>
      <c r="M944">
        <v>66.001000000000005</v>
      </c>
      <c r="N944">
        <v>47.9328</v>
      </c>
      <c r="O944">
        <v>42.955300000000001</v>
      </c>
      <c r="P944">
        <v>3199.0866000000001</v>
      </c>
      <c r="Q944">
        <v>2936.1233999999999</v>
      </c>
    </row>
    <row r="945" spans="1:17" x14ac:dyDescent="0.3">
      <c r="A945" s="1">
        <v>45762</v>
      </c>
      <c r="B945">
        <v>3218.7</v>
      </c>
      <c r="C945">
        <v>3218.7</v>
      </c>
      <c r="D945">
        <v>3214</v>
      </c>
      <c r="E945">
        <v>3216</v>
      </c>
      <c r="F945">
        <v>390</v>
      </c>
      <c r="G945">
        <v>3094.8143</v>
      </c>
      <c r="H945">
        <v>3030.6233000000002</v>
      </c>
      <c r="I945">
        <v>2847.6967</v>
      </c>
      <c r="J945">
        <v>1.55E-2</v>
      </c>
      <c r="K945">
        <v>2.4358</v>
      </c>
      <c r="L945">
        <v>1.3055000000000001</v>
      </c>
      <c r="M945">
        <v>65.634600000000006</v>
      </c>
      <c r="N945">
        <v>54.435200000000002</v>
      </c>
      <c r="O945">
        <v>45.251300000000001</v>
      </c>
      <c r="P945">
        <v>3221.8638000000001</v>
      </c>
      <c r="Q945">
        <v>2934.3062</v>
      </c>
    </row>
    <row r="946" spans="1:17" x14ac:dyDescent="0.3">
      <c r="A946" s="1">
        <v>45763</v>
      </c>
      <c r="B946">
        <v>3326.6001000000001</v>
      </c>
      <c r="C946">
        <v>3334.8998999999999</v>
      </c>
      <c r="D946">
        <v>3238.3</v>
      </c>
      <c r="E946">
        <v>3238.3</v>
      </c>
      <c r="F946">
        <v>1874</v>
      </c>
      <c r="G946">
        <v>3126.5142999999998</v>
      </c>
      <c r="H946">
        <v>3041.3433</v>
      </c>
      <c r="I946">
        <v>2854.2067000000002</v>
      </c>
      <c r="J946">
        <v>0.69340000000000002</v>
      </c>
      <c r="K946">
        <v>1.8802000000000001</v>
      </c>
      <c r="L946">
        <v>1.3005</v>
      </c>
      <c r="M946">
        <v>67.757000000000005</v>
      </c>
      <c r="N946">
        <v>60.688200000000002</v>
      </c>
      <c r="O946">
        <v>48.338700000000003</v>
      </c>
      <c r="P946">
        <v>3247.1579000000002</v>
      </c>
      <c r="Q946">
        <v>2929.3220000000001</v>
      </c>
    </row>
    <row r="947" spans="1:17" x14ac:dyDescent="0.3">
      <c r="A947" s="1">
        <v>45764</v>
      </c>
      <c r="B947">
        <v>3308.7</v>
      </c>
      <c r="C947">
        <v>3345</v>
      </c>
      <c r="D947">
        <v>3287.8</v>
      </c>
      <c r="E947">
        <v>3345</v>
      </c>
      <c r="F947">
        <v>824</v>
      </c>
      <c r="G947">
        <v>3176.6572000000001</v>
      </c>
      <c r="H947">
        <v>3056.0432999999998</v>
      </c>
      <c r="I947">
        <v>2862.26</v>
      </c>
      <c r="J947">
        <v>3.2949000000000002</v>
      </c>
      <c r="K947">
        <v>1.8634999999999999</v>
      </c>
      <c r="L947">
        <v>1.3968</v>
      </c>
      <c r="M947">
        <v>70.802499999999995</v>
      </c>
      <c r="N947">
        <v>73.407399999999996</v>
      </c>
      <c r="O947">
        <v>53.352400000000003</v>
      </c>
      <c r="P947">
        <v>3297.6713</v>
      </c>
      <c r="Q947">
        <v>2908.5787</v>
      </c>
    </row>
    <row r="948" spans="1:17" x14ac:dyDescent="0.3">
      <c r="A948" s="1">
        <v>45768</v>
      </c>
      <c r="B948">
        <v>3406.2</v>
      </c>
      <c r="C948">
        <v>3418.5</v>
      </c>
      <c r="D948">
        <v>3342.2</v>
      </c>
      <c r="E948">
        <v>3342.2</v>
      </c>
      <c r="F948">
        <v>78</v>
      </c>
      <c r="G948">
        <v>3230.4286000000002</v>
      </c>
      <c r="H948">
        <v>3070.7532999999999</v>
      </c>
      <c r="I948">
        <v>2870.15</v>
      </c>
      <c r="J948">
        <v>-8.3699999999999997E-2</v>
      </c>
      <c r="K948">
        <v>1.6875</v>
      </c>
      <c r="L948">
        <v>1.3965000000000001</v>
      </c>
      <c r="M948">
        <v>69.5274</v>
      </c>
      <c r="N948">
        <v>82.312600000000003</v>
      </c>
      <c r="O948">
        <v>59.144500000000001</v>
      </c>
      <c r="P948">
        <v>3337.3551000000002</v>
      </c>
      <c r="Q948">
        <v>2899.6648</v>
      </c>
    </row>
    <row r="949" spans="1:17" x14ac:dyDescent="0.3">
      <c r="A949" s="1">
        <v>45769</v>
      </c>
      <c r="B949">
        <v>3400.8</v>
      </c>
      <c r="C949">
        <v>3485.6001000000001</v>
      </c>
      <c r="D949">
        <v>3361.7</v>
      </c>
      <c r="E949">
        <v>3422.2</v>
      </c>
      <c r="F949">
        <v>785</v>
      </c>
      <c r="G949">
        <v>3280.1857</v>
      </c>
      <c r="H949">
        <v>3087.8233</v>
      </c>
      <c r="I949">
        <v>2878.5933</v>
      </c>
      <c r="J949">
        <v>2.3936000000000002</v>
      </c>
      <c r="K949">
        <v>1.508</v>
      </c>
      <c r="L949">
        <v>1.4389000000000001</v>
      </c>
      <c r="M949">
        <v>71.366</v>
      </c>
      <c r="N949">
        <v>94.733400000000003</v>
      </c>
      <c r="O949">
        <v>66.262299999999996</v>
      </c>
      <c r="P949">
        <v>3390.9409999999998</v>
      </c>
      <c r="Q949">
        <v>2885.8690000000001</v>
      </c>
    </row>
    <row r="950" spans="1:17" x14ac:dyDescent="0.3">
      <c r="A950" s="1">
        <v>45770</v>
      </c>
      <c r="B950">
        <v>3276.3</v>
      </c>
      <c r="C950">
        <v>3370.3</v>
      </c>
      <c r="D950">
        <v>3256.2</v>
      </c>
      <c r="E950">
        <v>3321.2</v>
      </c>
      <c r="F950">
        <v>331</v>
      </c>
      <c r="G950">
        <v>3300.0571</v>
      </c>
      <c r="H950">
        <v>3102.3833</v>
      </c>
      <c r="I950">
        <v>2885.4756000000002</v>
      </c>
      <c r="J950">
        <v>-2.9512999999999998</v>
      </c>
      <c r="K950">
        <v>2.0044</v>
      </c>
      <c r="L950">
        <v>1.5548</v>
      </c>
      <c r="M950">
        <v>62.910499999999999</v>
      </c>
      <c r="N950">
        <v>95.328199999999995</v>
      </c>
      <c r="O950">
        <v>72.075400000000002</v>
      </c>
      <c r="P950">
        <v>3412.4769000000001</v>
      </c>
      <c r="Q950">
        <v>2893.8130000000001</v>
      </c>
    </row>
    <row r="951" spans="1:17" x14ac:dyDescent="0.3">
      <c r="A951" s="1">
        <v>45771</v>
      </c>
      <c r="B951">
        <v>3332</v>
      </c>
      <c r="C951">
        <v>3353.8998999999999</v>
      </c>
      <c r="D951">
        <v>3304.8998999999999</v>
      </c>
      <c r="E951">
        <v>3305.3998999999999</v>
      </c>
      <c r="F951">
        <v>560</v>
      </c>
      <c r="G951">
        <v>3312.9</v>
      </c>
      <c r="H951">
        <v>3115.4965999999999</v>
      </c>
      <c r="I951">
        <v>2891.9232999999999</v>
      </c>
      <c r="J951">
        <v>-0.47570000000000001</v>
      </c>
      <c r="K951">
        <v>2.0339</v>
      </c>
      <c r="L951">
        <v>1.5618000000000001</v>
      </c>
      <c r="M951">
        <v>60.183500000000002</v>
      </c>
      <c r="N951">
        <v>93.447500000000005</v>
      </c>
      <c r="O951">
        <v>76.349900000000005</v>
      </c>
      <c r="P951">
        <v>3428.1448999999998</v>
      </c>
      <c r="Q951">
        <v>2905.3651</v>
      </c>
    </row>
    <row r="952" spans="1:17" x14ac:dyDescent="0.3">
      <c r="A952" s="1">
        <v>45772</v>
      </c>
      <c r="B952">
        <v>3282.3998999999999</v>
      </c>
      <c r="C952">
        <v>3355.5</v>
      </c>
      <c r="D952">
        <v>3266.1001000000001</v>
      </c>
      <c r="E952">
        <v>3355.5</v>
      </c>
      <c r="F952">
        <v>162</v>
      </c>
      <c r="G952">
        <v>3332.8285000000001</v>
      </c>
      <c r="H952">
        <v>3129.4432999999999</v>
      </c>
      <c r="I952">
        <v>2899.3377999999998</v>
      </c>
      <c r="J952">
        <v>1.5157</v>
      </c>
      <c r="K952">
        <v>2.0638999999999998</v>
      </c>
      <c r="L952">
        <v>1.5724</v>
      </c>
      <c r="M952">
        <v>65.835099999999997</v>
      </c>
      <c r="N952">
        <v>94.905600000000007</v>
      </c>
      <c r="O952">
        <v>80.061000000000007</v>
      </c>
      <c r="P952">
        <v>3448.7312999999999</v>
      </c>
      <c r="Q952">
        <v>2917.7786999999998</v>
      </c>
    </row>
    <row r="953" spans="1:17" x14ac:dyDescent="0.3">
      <c r="A953" s="1">
        <v>45775</v>
      </c>
      <c r="B953">
        <v>3332.5</v>
      </c>
      <c r="C953">
        <v>3332.5</v>
      </c>
      <c r="D953">
        <v>3284.5</v>
      </c>
      <c r="E953">
        <v>3284.5</v>
      </c>
      <c r="F953">
        <v>1300</v>
      </c>
      <c r="G953">
        <v>3339.4285</v>
      </c>
      <c r="H953">
        <v>3139.1133</v>
      </c>
      <c r="I953">
        <v>2906.2955999999999</v>
      </c>
      <c r="J953">
        <v>-2.1158999999999999</v>
      </c>
      <c r="K953">
        <v>2.3075000000000001</v>
      </c>
      <c r="L953">
        <v>1.6140000000000001</v>
      </c>
      <c r="M953">
        <v>67.861400000000003</v>
      </c>
      <c r="N953">
        <v>89.302700000000002</v>
      </c>
      <c r="O953">
        <v>81.909300000000002</v>
      </c>
      <c r="P953">
        <v>3457.5007999999998</v>
      </c>
      <c r="Q953">
        <v>2930.4892</v>
      </c>
    </row>
    <row r="954" spans="1:17" x14ac:dyDescent="0.3">
      <c r="A954" s="1">
        <v>45776</v>
      </c>
      <c r="B954">
        <v>3318.8</v>
      </c>
      <c r="C954">
        <v>3340</v>
      </c>
      <c r="D954">
        <v>3299.8998999999999</v>
      </c>
      <c r="E954">
        <v>3340</v>
      </c>
      <c r="F954">
        <v>1278</v>
      </c>
      <c r="G954">
        <v>3338.7143000000001</v>
      </c>
      <c r="H954">
        <v>3150.7465999999999</v>
      </c>
      <c r="I954">
        <v>2913.9422</v>
      </c>
      <c r="J954">
        <v>1.6898</v>
      </c>
      <c r="K954">
        <v>2.0125999999999999</v>
      </c>
      <c r="L954">
        <v>1.6307</v>
      </c>
      <c r="M954">
        <v>72.077600000000004</v>
      </c>
      <c r="N954">
        <v>88.322599999999994</v>
      </c>
      <c r="O954">
        <v>83.191999999999993</v>
      </c>
      <c r="P954">
        <v>3472.9731999999999</v>
      </c>
      <c r="Q954">
        <v>2939.9167000000002</v>
      </c>
    </row>
    <row r="955" spans="1:17" x14ac:dyDescent="0.3">
      <c r="A955" s="1">
        <v>45777</v>
      </c>
      <c r="B955">
        <v>3305</v>
      </c>
      <c r="C955">
        <v>3318.7</v>
      </c>
      <c r="D955">
        <v>3268</v>
      </c>
      <c r="E955">
        <v>3318.7</v>
      </c>
      <c r="F955">
        <v>207</v>
      </c>
      <c r="G955">
        <v>3335.3571000000002</v>
      </c>
      <c r="H955">
        <v>3161.1565999999998</v>
      </c>
      <c r="I955">
        <v>2921.4355999999998</v>
      </c>
      <c r="J955">
        <v>-0.63770000000000004</v>
      </c>
      <c r="K955">
        <v>2.0270999999999999</v>
      </c>
      <c r="L955">
        <v>1.641</v>
      </c>
      <c r="M955">
        <v>72.7179</v>
      </c>
      <c r="N955">
        <v>84.849000000000004</v>
      </c>
      <c r="O955">
        <v>83.523399999999995</v>
      </c>
      <c r="P955">
        <v>3484.3613999999998</v>
      </c>
      <c r="Q955">
        <v>2947.4286000000002</v>
      </c>
    </row>
    <row r="956" spans="1:17" x14ac:dyDescent="0.3">
      <c r="A956" s="1">
        <v>45778</v>
      </c>
      <c r="B956">
        <v>3210</v>
      </c>
      <c r="C956">
        <v>3275</v>
      </c>
      <c r="D956">
        <v>3198.6001000000001</v>
      </c>
      <c r="E956">
        <v>3272.8998999999999</v>
      </c>
      <c r="F956">
        <v>2131</v>
      </c>
      <c r="G956">
        <v>3314.0284999999999</v>
      </c>
      <c r="H956">
        <v>3169.08</v>
      </c>
      <c r="I956">
        <v>2929.1111000000001</v>
      </c>
      <c r="J956">
        <v>-1.3801000000000001</v>
      </c>
      <c r="K956">
        <v>1.7401</v>
      </c>
      <c r="L956">
        <v>1.6660999999999999</v>
      </c>
      <c r="M956">
        <v>63.927799999999998</v>
      </c>
      <c r="N956">
        <v>77.507000000000005</v>
      </c>
      <c r="O956">
        <v>82.320099999999996</v>
      </c>
      <c r="P956">
        <v>3489.2242000000001</v>
      </c>
      <c r="Q956">
        <v>2957.7858000000001</v>
      </c>
    </row>
    <row r="957" spans="1:17" x14ac:dyDescent="0.3">
      <c r="A957" s="1">
        <v>45779</v>
      </c>
      <c r="B957">
        <v>3231.8998999999999</v>
      </c>
      <c r="C957">
        <v>3257</v>
      </c>
      <c r="D957">
        <v>3225</v>
      </c>
      <c r="E957">
        <v>3239.8998999999999</v>
      </c>
      <c r="F957">
        <v>1349</v>
      </c>
      <c r="G957">
        <v>3302.4142000000002</v>
      </c>
      <c r="H957">
        <v>3175.5</v>
      </c>
      <c r="I957">
        <v>2936.1622000000002</v>
      </c>
      <c r="J957">
        <v>-1.0083</v>
      </c>
      <c r="K957">
        <v>1.4348000000000001</v>
      </c>
      <c r="L957">
        <v>1.6819</v>
      </c>
      <c r="M957">
        <v>54.521299999999997</v>
      </c>
      <c r="N957">
        <v>68.239000000000004</v>
      </c>
      <c r="O957">
        <v>79.503900000000002</v>
      </c>
      <c r="P957">
        <v>3491.5160999999998</v>
      </c>
      <c r="Q957">
        <v>2964.4839000000002</v>
      </c>
    </row>
    <row r="958" spans="1:17" x14ac:dyDescent="0.3">
      <c r="A958" s="1">
        <v>45782</v>
      </c>
      <c r="B958">
        <v>3311.3</v>
      </c>
      <c r="C958">
        <v>3315.7</v>
      </c>
      <c r="D958">
        <v>3239.7</v>
      </c>
      <c r="E958">
        <v>3242.7</v>
      </c>
      <c r="F958">
        <v>244</v>
      </c>
      <c r="G958">
        <v>3293.4571000000001</v>
      </c>
      <c r="H958">
        <v>3182.44</v>
      </c>
      <c r="I958">
        <v>2943.0810999999999</v>
      </c>
      <c r="J958">
        <v>8.6400000000000005E-2</v>
      </c>
      <c r="K958">
        <v>1.4419999999999999</v>
      </c>
      <c r="L958">
        <v>1.6778</v>
      </c>
      <c r="M958">
        <v>52.2346</v>
      </c>
      <c r="N958">
        <v>60.423499999999997</v>
      </c>
      <c r="O958">
        <v>75.687799999999996</v>
      </c>
      <c r="P958">
        <v>3492.2836000000002</v>
      </c>
      <c r="Q958">
        <v>2976.9364</v>
      </c>
    </row>
    <row r="959" spans="1:17" x14ac:dyDescent="0.3">
      <c r="A959" s="1">
        <v>45783</v>
      </c>
      <c r="B959">
        <v>3411.3998999999999</v>
      </c>
      <c r="C959">
        <v>3430.8998999999999</v>
      </c>
      <c r="D959">
        <v>3356.8</v>
      </c>
      <c r="E959">
        <v>3365.5</v>
      </c>
      <c r="F959">
        <v>2357</v>
      </c>
      <c r="G959">
        <v>3294.8856999999998</v>
      </c>
      <c r="H959">
        <v>3193.8132999999998</v>
      </c>
      <c r="I959">
        <v>2951.4422</v>
      </c>
      <c r="J959">
        <v>3.7869999999999999</v>
      </c>
      <c r="K959">
        <v>2.0406</v>
      </c>
      <c r="L959">
        <v>1.7943</v>
      </c>
      <c r="M959">
        <v>60.2271</v>
      </c>
      <c r="N959">
        <v>63.407600000000002</v>
      </c>
      <c r="O959">
        <v>73.231800000000007</v>
      </c>
      <c r="P959">
        <v>3494.3359999999998</v>
      </c>
      <c r="Q959">
        <v>3009.7939000000001</v>
      </c>
    </row>
    <row r="960" spans="1:17" x14ac:dyDescent="0.3">
      <c r="A960" s="1">
        <v>45784</v>
      </c>
      <c r="B960">
        <v>3381.3998999999999</v>
      </c>
      <c r="C960">
        <v>3418.7</v>
      </c>
      <c r="D960">
        <v>3364.7</v>
      </c>
      <c r="E960">
        <v>3418.7</v>
      </c>
      <c r="F960">
        <v>1080</v>
      </c>
      <c r="G960">
        <v>3314.0571</v>
      </c>
      <c r="H960">
        <v>3206.89</v>
      </c>
      <c r="I960">
        <v>2960.2222000000002</v>
      </c>
      <c r="J960">
        <v>1.5807</v>
      </c>
      <c r="K960">
        <v>1.8532999999999999</v>
      </c>
      <c r="L960">
        <v>1.8066</v>
      </c>
      <c r="M960">
        <v>61.840400000000002</v>
      </c>
      <c r="N960">
        <v>69.266900000000007</v>
      </c>
      <c r="O960">
        <v>72.438800000000001</v>
      </c>
      <c r="P960">
        <v>3493.8035</v>
      </c>
      <c r="Q960">
        <v>3052.7964000000002</v>
      </c>
    </row>
    <row r="961" spans="1:17" x14ac:dyDescent="0.3">
      <c r="A961" s="1">
        <v>45785</v>
      </c>
      <c r="B961">
        <v>3296.6001000000001</v>
      </c>
      <c r="C961">
        <v>3390</v>
      </c>
      <c r="D961">
        <v>3288.7</v>
      </c>
      <c r="E961">
        <v>3390</v>
      </c>
      <c r="F961">
        <v>200</v>
      </c>
      <c r="G961">
        <v>3321.2</v>
      </c>
      <c r="H961">
        <v>3218.7833000000001</v>
      </c>
      <c r="I961">
        <v>2968.8033</v>
      </c>
      <c r="J961">
        <v>-0.83950000000000002</v>
      </c>
      <c r="K961">
        <v>1.8492999999999999</v>
      </c>
      <c r="L961">
        <v>1.8210999999999999</v>
      </c>
      <c r="M961">
        <v>53.290399999999998</v>
      </c>
      <c r="N961">
        <v>70.778700000000001</v>
      </c>
      <c r="O961">
        <v>72.106800000000007</v>
      </c>
      <c r="P961">
        <v>3466.8126999999999</v>
      </c>
      <c r="Q961">
        <v>3122.2073</v>
      </c>
    </row>
    <row r="962" spans="1:17" x14ac:dyDescent="0.3">
      <c r="A962" s="1">
        <v>45786</v>
      </c>
      <c r="B962">
        <v>3335.3998999999999</v>
      </c>
      <c r="C962">
        <v>3335.5</v>
      </c>
      <c r="D962">
        <v>3299</v>
      </c>
      <c r="E962">
        <v>3299</v>
      </c>
      <c r="F962">
        <v>216</v>
      </c>
      <c r="G962">
        <v>3318.3856999999998</v>
      </c>
      <c r="H962">
        <v>3227.9</v>
      </c>
      <c r="I962">
        <v>2976.34</v>
      </c>
      <c r="J962">
        <v>-2.6844000000000001</v>
      </c>
      <c r="K962">
        <v>2.1467000000000001</v>
      </c>
      <c r="L962">
        <v>1.9028</v>
      </c>
      <c r="M962">
        <v>47.202100000000002</v>
      </c>
      <c r="N962">
        <v>63.897300000000001</v>
      </c>
      <c r="O962">
        <v>70.4649</v>
      </c>
      <c r="P962">
        <v>3443.2896999999998</v>
      </c>
      <c r="Q962">
        <v>3168.2402999999999</v>
      </c>
    </row>
    <row r="963" spans="1:17" x14ac:dyDescent="0.3">
      <c r="A963" s="1">
        <v>45789</v>
      </c>
      <c r="B963">
        <v>3220</v>
      </c>
      <c r="C963">
        <v>3300.7</v>
      </c>
      <c r="D963">
        <v>3205</v>
      </c>
      <c r="E963">
        <v>3300.7</v>
      </c>
      <c r="F963">
        <v>886</v>
      </c>
      <c r="G963">
        <v>3322.3571000000002</v>
      </c>
      <c r="H963">
        <v>3235.6</v>
      </c>
      <c r="I963">
        <v>2984.0322000000001</v>
      </c>
      <c r="J963">
        <v>5.1499999999999997E-2</v>
      </c>
      <c r="K963">
        <v>2.0672999999999999</v>
      </c>
      <c r="L963">
        <v>1.8907</v>
      </c>
      <c r="M963">
        <v>41.242600000000003</v>
      </c>
      <c r="N963">
        <v>57.9133</v>
      </c>
      <c r="O963">
        <v>67.954599999999999</v>
      </c>
      <c r="P963">
        <v>3436.3978000000002</v>
      </c>
      <c r="Q963">
        <v>3186.9920999999999</v>
      </c>
    </row>
    <row r="964" spans="1:17" x14ac:dyDescent="0.3">
      <c r="A964" s="1">
        <v>45790</v>
      </c>
      <c r="B964">
        <v>3240.3</v>
      </c>
      <c r="C964">
        <v>3251.3998999999999</v>
      </c>
      <c r="D964">
        <v>3223.5</v>
      </c>
      <c r="E964">
        <v>3232</v>
      </c>
      <c r="F964">
        <v>2424</v>
      </c>
      <c r="G964">
        <v>3321.2285999999999</v>
      </c>
      <c r="H964">
        <v>3240.3</v>
      </c>
      <c r="I964">
        <v>2990.6878000000002</v>
      </c>
      <c r="J964">
        <v>-2.0813999999999999</v>
      </c>
      <c r="K964">
        <v>2.2019000000000002</v>
      </c>
      <c r="L964">
        <v>1.9359999999999999</v>
      </c>
      <c r="M964">
        <v>43.256700000000002</v>
      </c>
      <c r="N964">
        <v>47.084699999999998</v>
      </c>
      <c r="O964">
        <v>63.7806</v>
      </c>
      <c r="P964">
        <v>3434.7368000000001</v>
      </c>
      <c r="Q964">
        <v>3190.3031999999998</v>
      </c>
    </row>
    <row r="965" spans="1:17" x14ac:dyDescent="0.3">
      <c r="A965" s="1">
        <v>45791</v>
      </c>
      <c r="B965">
        <v>3181.3998999999999</v>
      </c>
      <c r="C965">
        <v>3233</v>
      </c>
      <c r="D965">
        <v>3171.7</v>
      </c>
      <c r="E965">
        <v>3233</v>
      </c>
      <c r="F965">
        <v>3518</v>
      </c>
      <c r="G965">
        <v>3319.8427999999999</v>
      </c>
      <c r="H965">
        <v>3243.7433000000001</v>
      </c>
      <c r="I965">
        <v>2997.0689000000002</v>
      </c>
      <c r="J965">
        <v>3.09E-2</v>
      </c>
      <c r="K965">
        <v>2.2016</v>
      </c>
      <c r="L965">
        <v>1.9252</v>
      </c>
      <c r="M965">
        <v>44.401499999999999</v>
      </c>
      <c r="N965">
        <v>38.143900000000002</v>
      </c>
      <c r="O965">
        <v>58.653199999999998</v>
      </c>
      <c r="P965">
        <v>3432.9686999999999</v>
      </c>
      <c r="Q965">
        <v>3193.7712000000001</v>
      </c>
    </row>
    <row r="966" spans="1:17" x14ac:dyDescent="0.3">
      <c r="A966" s="1">
        <v>45792</v>
      </c>
      <c r="B966">
        <v>3220.7</v>
      </c>
      <c r="C966">
        <v>3228.1001000000001</v>
      </c>
      <c r="D966">
        <v>3125</v>
      </c>
      <c r="E966">
        <v>3151</v>
      </c>
      <c r="F966">
        <v>652</v>
      </c>
      <c r="G966">
        <v>3289.2</v>
      </c>
      <c r="H966">
        <v>3244.7532999999999</v>
      </c>
      <c r="I966">
        <v>3002.6855</v>
      </c>
      <c r="J966">
        <v>-2.5363000000000002</v>
      </c>
      <c r="K966">
        <v>1.5907</v>
      </c>
      <c r="L966">
        <v>1.9847999999999999</v>
      </c>
      <c r="M966">
        <v>34.93</v>
      </c>
      <c r="N966">
        <v>24.163</v>
      </c>
      <c r="O966">
        <v>51.755200000000002</v>
      </c>
      <c r="P966">
        <v>3445.3411000000001</v>
      </c>
      <c r="Q966">
        <v>3172.6687999999999</v>
      </c>
    </row>
    <row r="967" spans="1:17" x14ac:dyDescent="0.3">
      <c r="A967" s="1">
        <v>45793</v>
      </c>
      <c r="B967">
        <v>3182</v>
      </c>
      <c r="C967">
        <v>3228.1001000000001</v>
      </c>
      <c r="D967">
        <v>3173.8998999999999</v>
      </c>
      <c r="E967">
        <v>3227.7</v>
      </c>
      <c r="F967">
        <v>199</v>
      </c>
      <c r="G967">
        <v>3261.9142999999999</v>
      </c>
      <c r="H967">
        <v>3247.3433</v>
      </c>
      <c r="I967">
        <v>3009.0666999999999</v>
      </c>
      <c r="J967">
        <v>2.4340999999999999</v>
      </c>
      <c r="K967">
        <v>1.8295999999999999</v>
      </c>
      <c r="L967">
        <v>2.0261999999999998</v>
      </c>
      <c r="M967">
        <v>45.849200000000003</v>
      </c>
      <c r="N967">
        <v>19.052499999999998</v>
      </c>
      <c r="O967">
        <v>45.214700000000001</v>
      </c>
      <c r="P967">
        <v>3443.0028000000002</v>
      </c>
      <c r="Q967">
        <v>3163.2770999999998</v>
      </c>
    </row>
    <row r="968" spans="1:17" x14ac:dyDescent="0.3">
      <c r="A968" s="1">
        <v>45796</v>
      </c>
      <c r="B968">
        <v>3228.8998999999999</v>
      </c>
      <c r="C968">
        <v>3241</v>
      </c>
      <c r="D968">
        <v>3228.3</v>
      </c>
      <c r="E968">
        <v>3234.3998999999999</v>
      </c>
      <c r="F968">
        <v>266</v>
      </c>
      <c r="G968">
        <v>3239.6857</v>
      </c>
      <c r="H968">
        <v>3251.4733000000001</v>
      </c>
      <c r="I968">
        <v>3015.4989</v>
      </c>
      <c r="J968">
        <v>0.20760000000000001</v>
      </c>
      <c r="K968">
        <v>1.8686</v>
      </c>
      <c r="L968">
        <v>2.0099999999999998</v>
      </c>
      <c r="M968">
        <v>41.690300000000001</v>
      </c>
      <c r="N968">
        <v>15.3659</v>
      </c>
      <c r="O968">
        <v>39.244900000000001</v>
      </c>
      <c r="P968">
        <v>3439.5698000000002</v>
      </c>
      <c r="Q968">
        <v>3155.9301</v>
      </c>
    </row>
    <row r="969" spans="1:17" x14ac:dyDescent="0.3">
      <c r="A969" s="1">
        <v>45797</v>
      </c>
      <c r="B969">
        <v>3280.3</v>
      </c>
      <c r="C969">
        <v>3293.2</v>
      </c>
      <c r="D969">
        <v>3207.5</v>
      </c>
      <c r="E969">
        <v>3219</v>
      </c>
      <c r="F969">
        <v>356</v>
      </c>
      <c r="G969">
        <v>3228.2570999999998</v>
      </c>
      <c r="H969">
        <v>3258.2266</v>
      </c>
      <c r="I969">
        <v>3021.6021999999998</v>
      </c>
      <c r="J969">
        <v>-0.47610000000000002</v>
      </c>
      <c r="K969">
        <v>1.6412</v>
      </c>
      <c r="L969">
        <v>1.9231</v>
      </c>
      <c r="M969">
        <v>42.081000000000003</v>
      </c>
      <c r="N969">
        <v>11.0739</v>
      </c>
      <c r="O969">
        <v>33.610700000000001</v>
      </c>
      <c r="P969">
        <v>3420.7186999999999</v>
      </c>
      <c r="Q969">
        <v>3154.4612999999999</v>
      </c>
    </row>
    <row r="970" spans="1:17" x14ac:dyDescent="0.3">
      <c r="A970" s="1">
        <v>45798</v>
      </c>
      <c r="B970">
        <v>3309.3</v>
      </c>
      <c r="C970">
        <v>3317.5</v>
      </c>
      <c r="D970">
        <v>3290.2</v>
      </c>
      <c r="E970">
        <v>3293.3998999999999</v>
      </c>
      <c r="F970">
        <v>979</v>
      </c>
      <c r="G970">
        <v>3227.2143000000001</v>
      </c>
      <c r="H970">
        <v>3268.2066</v>
      </c>
      <c r="I970">
        <v>3028.35</v>
      </c>
      <c r="J970">
        <v>2.3113000000000001</v>
      </c>
      <c r="K970">
        <v>1.9278999999999999</v>
      </c>
      <c r="L970">
        <v>1.9501999999999999</v>
      </c>
      <c r="M970">
        <v>51.557499999999997</v>
      </c>
      <c r="N970">
        <v>13.520099999999999</v>
      </c>
      <c r="O970">
        <v>29.592600000000001</v>
      </c>
      <c r="P970">
        <v>3418.4286000000002</v>
      </c>
      <c r="Q970">
        <v>3153.9713999999999</v>
      </c>
    </row>
    <row r="971" spans="1:17" x14ac:dyDescent="0.3">
      <c r="A971" s="1">
        <v>45799</v>
      </c>
      <c r="B971">
        <v>3292.3</v>
      </c>
      <c r="C971">
        <v>3328</v>
      </c>
      <c r="D971">
        <v>3282.7</v>
      </c>
      <c r="E971">
        <v>3327.3</v>
      </c>
      <c r="F971">
        <v>1210</v>
      </c>
      <c r="G971">
        <v>3240.8285000000001</v>
      </c>
      <c r="H971">
        <v>3280.2566000000002</v>
      </c>
      <c r="I971">
        <v>3035.1967</v>
      </c>
      <c r="J971">
        <v>1.0293000000000001</v>
      </c>
      <c r="K971">
        <v>1.7197</v>
      </c>
      <c r="L971">
        <v>1.9389000000000001</v>
      </c>
      <c r="M971">
        <v>56.631300000000003</v>
      </c>
      <c r="N971">
        <v>17.986799999999999</v>
      </c>
      <c r="O971">
        <v>27.2714</v>
      </c>
      <c r="P971">
        <v>3420.5518000000002</v>
      </c>
      <c r="Q971">
        <v>3154.0382</v>
      </c>
    </row>
    <row r="972" spans="1:17" x14ac:dyDescent="0.3">
      <c r="A972" s="1">
        <v>45800</v>
      </c>
      <c r="B972">
        <v>3363.6001000000001</v>
      </c>
      <c r="C972">
        <v>3363.6001000000001</v>
      </c>
      <c r="D972">
        <v>3323.5</v>
      </c>
      <c r="E972">
        <v>3328</v>
      </c>
      <c r="F972">
        <v>47</v>
      </c>
      <c r="G972">
        <v>3254.4</v>
      </c>
      <c r="H972">
        <v>3288.7266</v>
      </c>
      <c r="I972">
        <v>3042.4677999999999</v>
      </c>
      <c r="J972">
        <v>2.1000000000000001E-2</v>
      </c>
      <c r="K972">
        <v>1.7201</v>
      </c>
      <c r="L972">
        <v>1.8402000000000001</v>
      </c>
      <c r="M972">
        <v>56.492600000000003</v>
      </c>
      <c r="N972">
        <v>21.337199999999999</v>
      </c>
      <c r="O972">
        <v>26.084599999999998</v>
      </c>
      <c r="P972">
        <v>3416.7591000000002</v>
      </c>
      <c r="Q972">
        <v>3155.0808000000002</v>
      </c>
    </row>
    <row r="973" spans="1:17" x14ac:dyDescent="0.3">
      <c r="A973" s="1">
        <v>45804</v>
      </c>
      <c r="B973">
        <v>3299.1001000000001</v>
      </c>
      <c r="C973">
        <v>3341</v>
      </c>
      <c r="D973">
        <v>3296.3</v>
      </c>
      <c r="E973">
        <v>3332.5</v>
      </c>
      <c r="F973">
        <v>189</v>
      </c>
      <c r="G973">
        <v>3280.3285000000001</v>
      </c>
      <c r="H973">
        <v>3293.74</v>
      </c>
      <c r="I973">
        <v>3049.5978</v>
      </c>
      <c r="J973">
        <v>0.13519999999999999</v>
      </c>
      <c r="K973">
        <v>1.1572</v>
      </c>
      <c r="L973">
        <v>1.7356</v>
      </c>
      <c r="M973">
        <v>46.936500000000002</v>
      </c>
      <c r="N973">
        <v>24.077999999999999</v>
      </c>
      <c r="O973">
        <v>25.683299999999999</v>
      </c>
      <c r="P973">
        <v>3420.8000999999999</v>
      </c>
      <c r="Q973">
        <v>3155.8398999999999</v>
      </c>
    </row>
    <row r="974" spans="1:17" x14ac:dyDescent="0.3">
      <c r="A974" s="1">
        <v>45805</v>
      </c>
      <c r="B974">
        <v>3293.6001000000001</v>
      </c>
      <c r="C974">
        <v>3293.6001000000001</v>
      </c>
      <c r="D974">
        <v>3293.6001000000001</v>
      </c>
      <c r="E974">
        <v>3293.6001000000001</v>
      </c>
      <c r="F974">
        <v>127758</v>
      </c>
      <c r="G974">
        <v>3289.7429000000002</v>
      </c>
      <c r="H974">
        <v>3296.3433</v>
      </c>
      <c r="I974">
        <v>3055.8411000000001</v>
      </c>
      <c r="J974">
        <v>-1.1673</v>
      </c>
      <c r="K974">
        <v>1.1140000000000001</v>
      </c>
      <c r="L974">
        <v>1.744</v>
      </c>
      <c r="M974">
        <v>38.069800000000001</v>
      </c>
      <c r="N974">
        <v>22.847899999999999</v>
      </c>
      <c r="O974">
        <v>25.116199999999999</v>
      </c>
      <c r="P974">
        <v>3416.2761999999998</v>
      </c>
      <c r="Q974">
        <v>3155.7237</v>
      </c>
    </row>
    <row r="975" spans="1:17" x14ac:dyDescent="0.3">
      <c r="A975" s="1">
        <v>45806</v>
      </c>
      <c r="B975">
        <v>3317.1001000000001</v>
      </c>
      <c r="C975">
        <v>3328.8</v>
      </c>
      <c r="D975">
        <v>3242.3998999999999</v>
      </c>
      <c r="E975">
        <v>3283.7</v>
      </c>
      <c r="F975">
        <v>24370</v>
      </c>
      <c r="G975">
        <v>3296.7856999999999</v>
      </c>
      <c r="H975">
        <v>3298.6</v>
      </c>
      <c r="I975">
        <v>3061.9267</v>
      </c>
      <c r="J975">
        <v>-0.30059999999999998</v>
      </c>
      <c r="K975">
        <v>1.1369</v>
      </c>
      <c r="L975">
        <v>1.7454000000000001</v>
      </c>
      <c r="M975">
        <v>39.485599999999998</v>
      </c>
      <c r="N975">
        <v>20.8339</v>
      </c>
      <c r="O975">
        <v>24.259699999999999</v>
      </c>
      <c r="P975">
        <v>3413.6138999999998</v>
      </c>
      <c r="Q975">
        <v>3154.8861000000002</v>
      </c>
    </row>
    <row r="976" spans="1:17" x14ac:dyDescent="0.3">
      <c r="A976" s="1">
        <v>45807</v>
      </c>
      <c r="B976">
        <v>3288.8998999999999</v>
      </c>
      <c r="C976">
        <v>3318</v>
      </c>
      <c r="D976">
        <v>3270.8998999999999</v>
      </c>
      <c r="E976">
        <v>3315.1001000000001</v>
      </c>
      <c r="F976">
        <v>2213</v>
      </c>
      <c r="G976">
        <v>3310.5142999999998</v>
      </c>
      <c r="H976">
        <v>3301.16</v>
      </c>
      <c r="I976">
        <v>3068.25</v>
      </c>
      <c r="J976">
        <v>0.95620000000000005</v>
      </c>
      <c r="K976">
        <v>1.1191</v>
      </c>
      <c r="L976">
        <v>1.7493000000000001</v>
      </c>
      <c r="M976">
        <v>51.805300000000003</v>
      </c>
      <c r="N976">
        <v>21.523499999999999</v>
      </c>
      <c r="O976">
        <v>23.712499999999999</v>
      </c>
      <c r="P976">
        <v>3416.3195999999998</v>
      </c>
      <c r="Q976">
        <v>3156.4002999999998</v>
      </c>
    </row>
    <row r="977" spans="1:17" x14ac:dyDescent="0.3">
      <c r="A977" s="1">
        <v>45810</v>
      </c>
      <c r="B977">
        <v>3370.6001000000001</v>
      </c>
      <c r="C977">
        <v>3380.8</v>
      </c>
      <c r="D977">
        <v>3296.8998999999999</v>
      </c>
      <c r="E977">
        <v>3296.8998999999999</v>
      </c>
      <c r="F977">
        <v>976</v>
      </c>
      <c r="G977">
        <v>3311.0142999999998</v>
      </c>
      <c r="H977">
        <v>3299.5565999999999</v>
      </c>
      <c r="I977">
        <v>3074.2766999999999</v>
      </c>
      <c r="J977">
        <v>-0.54900000000000004</v>
      </c>
      <c r="K977">
        <v>0.79</v>
      </c>
      <c r="L977">
        <v>1.6443000000000001</v>
      </c>
      <c r="M977">
        <v>49.589100000000002</v>
      </c>
      <c r="N977">
        <v>20.366599999999998</v>
      </c>
      <c r="O977">
        <v>23.043299999999999</v>
      </c>
      <c r="P977">
        <v>3417.3672000000001</v>
      </c>
      <c r="Q977">
        <v>3161.0527999999999</v>
      </c>
    </row>
    <row r="978" spans="1:17" x14ac:dyDescent="0.3">
      <c r="A978" s="1">
        <v>45811</v>
      </c>
      <c r="B978">
        <v>3350.2</v>
      </c>
      <c r="C978">
        <v>3390</v>
      </c>
      <c r="D978">
        <v>3331.3</v>
      </c>
      <c r="E978">
        <v>3385.1001000000001</v>
      </c>
      <c r="F978">
        <v>6410</v>
      </c>
      <c r="G978">
        <v>3319.2714000000001</v>
      </c>
      <c r="H978">
        <v>3300.9866000000002</v>
      </c>
      <c r="I978">
        <v>3081.2222000000002</v>
      </c>
      <c r="J978">
        <v>2.6751999999999998</v>
      </c>
      <c r="K978">
        <v>1.2514000000000001</v>
      </c>
      <c r="L978">
        <v>1.7170000000000001</v>
      </c>
      <c r="M978">
        <v>65.885000000000005</v>
      </c>
      <c r="N978">
        <v>26.263999999999999</v>
      </c>
      <c r="O978">
        <v>23.6875</v>
      </c>
      <c r="P978">
        <v>3429.3382000000001</v>
      </c>
      <c r="Q978">
        <v>3163.3218000000002</v>
      </c>
    </row>
    <row r="979" spans="1:17" x14ac:dyDescent="0.3">
      <c r="A979" s="1">
        <v>45812</v>
      </c>
      <c r="B979">
        <v>3373.5</v>
      </c>
      <c r="C979">
        <v>3380</v>
      </c>
      <c r="D979">
        <v>3344</v>
      </c>
      <c r="E979">
        <v>3355</v>
      </c>
      <c r="F979">
        <v>207</v>
      </c>
      <c r="G979">
        <v>3323.1286</v>
      </c>
      <c r="H979">
        <v>3298.7465999999999</v>
      </c>
      <c r="I979">
        <v>3087.8355000000001</v>
      </c>
      <c r="J979">
        <v>-0.88919999999999999</v>
      </c>
      <c r="K979">
        <v>1.3247</v>
      </c>
      <c r="L979">
        <v>1.6668000000000001</v>
      </c>
      <c r="M979">
        <v>61.937399999999997</v>
      </c>
      <c r="N979">
        <v>28.184000000000001</v>
      </c>
      <c r="O979">
        <v>24.5868</v>
      </c>
      <c r="P979">
        <v>3427.7422000000001</v>
      </c>
      <c r="Q979">
        <v>3163.8678</v>
      </c>
    </row>
    <row r="980" spans="1:17" x14ac:dyDescent="0.3">
      <c r="A980" s="1">
        <v>45813</v>
      </c>
      <c r="B980">
        <v>3350.7</v>
      </c>
      <c r="C980">
        <v>3400</v>
      </c>
      <c r="D980">
        <v>3343.7</v>
      </c>
      <c r="E980">
        <v>3371.5</v>
      </c>
      <c r="F980">
        <v>731</v>
      </c>
      <c r="G980">
        <v>3328.7</v>
      </c>
      <c r="H980">
        <v>3300.4232999999999</v>
      </c>
      <c r="I980">
        <v>3094.6178</v>
      </c>
      <c r="J980">
        <v>0.49180000000000001</v>
      </c>
      <c r="K980">
        <v>1.3321000000000001</v>
      </c>
      <c r="L980">
        <v>1.5764</v>
      </c>
      <c r="M980">
        <v>74.747399999999999</v>
      </c>
      <c r="N980">
        <v>30.683399999999999</v>
      </c>
      <c r="O980">
        <v>25.806100000000001</v>
      </c>
      <c r="P980">
        <v>3417.5844999999999</v>
      </c>
      <c r="Q980">
        <v>3169.3054999999999</v>
      </c>
    </row>
    <row r="981" spans="1:17" x14ac:dyDescent="0.3">
      <c r="A981" s="1">
        <v>45814</v>
      </c>
      <c r="B981">
        <v>3322.7</v>
      </c>
      <c r="C981">
        <v>3364.3</v>
      </c>
      <c r="D981">
        <v>3306</v>
      </c>
      <c r="E981">
        <v>3364.3</v>
      </c>
      <c r="F981">
        <v>81</v>
      </c>
      <c r="G981">
        <v>3338.8</v>
      </c>
      <c r="H981">
        <v>3302.3867</v>
      </c>
      <c r="I981">
        <v>3101.5767000000001</v>
      </c>
      <c r="J981">
        <v>-0.21360000000000001</v>
      </c>
      <c r="K981">
        <v>1.2157</v>
      </c>
      <c r="L981">
        <v>1.5741000000000001</v>
      </c>
      <c r="M981">
        <v>68.164900000000003</v>
      </c>
      <c r="N981">
        <v>31.717600000000001</v>
      </c>
      <c r="O981">
        <v>26.988399999999999</v>
      </c>
      <c r="P981">
        <v>3412.5672</v>
      </c>
      <c r="Q981">
        <v>3171.7528000000002</v>
      </c>
    </row>
    <row r="982" spans="1:17" x14ac:dyDescent="0.3">
      <c r="A982" s="1">
        <v>45817</v>
      </c>
      <c r="B982">
        <v>3332.1001000000001</v>
      </c>
      <c r="C982">
        <v>3334.6001000000001</v>
      </c>
      <c r="D982">
        <v>3290</v>
      </c>
      <c r="E982">
        <v>3315.6001000000001</v>
      </c>
      <c r="F982">
        <v>1887</v>
      </c>
      <c r="G982">
        <v>3343.3571999999999</v>
      </c>
      <c r="H982">
        <v>3301.0567000000001</v>
      </c>
      <c r="I982">
        <v>3107.6489000000001</v>
      </c>
      <c r="J982">
        <v>-1.4476</v>
      </c>
      <c r="K982">
        <v>1.3782000000000001</v>
      </c>
      <c r="L982">
        <v>1.5731999999999999</v>
      </c>
      <c r="M982">
        <v>59.712899999999998</v>
      </c>
      <c r="N982">
        <v>28.281400000000001</v>
      </c>
      <c r="O982">
        <v>27.247</v>
      </c>
      <c r="P982">
        <v>3413.8238000000001</v>
      </c>
      <c r="Q982">
        <v>3172.1561999999999</v>
      </c>
    </row>
    <row r="983" spans="1:17" x14ac:dyDescent="0.3">
      <c r="A983" s="1">
        <v>45818</v>
      </c>
      <c r="B983">
        <v>3320.8998999999999</v>
      </c>
      <c r="C983">
        <v>3344.3</v>
      </c>
      <c r="D983">
        <v>3302</v>
      </c>
      <c r="E983">
        <v>3302</v>
      </c>
      <c r="F983">
        <v>65</v>
      </c>
      <c r="G983">
        <v>3341.4857000000002</v>
      </c>
      <c r="H983">
        <v>3301.64</v>
      </c>
      <c r="I983">
        <v>3113.5322000000001</v>
      </c>
      <c r="J983">
        <v>-0.41020000000000001</v>
      </c>
      <c r="K983">
        <v>1.3406</v>
      </c>
      <c r="L983">
        <v>1.5253000000000001</v>
      </c>
      <c r="M983">
        <v>59.971200000000003</v>
      </c>
      <c r="N983">
        <v>24.182099999999998</v>
      </c>
      <c r="O983">
        <v>26.634</v>
      </c>
      <c r="P983">
        <v>3413.9077000000002</v>
      </c>
      <c r="Q983">
        <v>3172.2022999999999</v>
      </c>
    </row>
    <row r="984" spans="1:17" x14ac:dyDescent="0.3">
      <c r="A984" s="1">
        <v>45819</v>
      </c>
      <c r="B984">
        <v>3321.3</v>
      </c>
      <c r="C984">
        <v>3356</v>
      </c>
      <c r="D984">
        <v>3321.3</v>
      </c>
      <c r="E984">
        <v>3328</v>
      </c>
      <c r="F984">
        <v>2106</v>
      </c>
      <c r="G984">
        <v>3345.9286000000002</v>
      </c>
      <c r="H984">
        <v>3301.24</v>
      </c>
      <c r="I984">
        <v>3119.0767000000001</v>
      </c>
      <c r="J984">
        <v>0.78739999999999999</v>
      </c>
      <c r="K984">
        <v>1.3526</v>
      </c>
      <c r="L984">
        <v>1.5001</v>
      </c>
      <c r="M984">
        <v>54.703600000000002</v>
      </c>
      <c r="N984">
        <v>22.768899999999999</v>
      </c>
      <c r="O984">
        <v>25.861000000000001</v>
      </c>
      <c r="P984">
        <v>3416.0949000000001</v>
      </c>
      <c r="Q984">
        <v>3179.6151</v>
      </c>
    </row>
    <row r="985" spans="1:17" x14ac:dyDescent="0.3">
      <c r="A985" s="1">
        <v>45820</v>
      </c>
      <c r="B985">
        <v>3380.8998999999999</v>
      </c>
      <c r="C985">
        <v>3395.8998999999999</v>
      </c>
      <c r="D985">
        <v>3353.3998999999999</v>
      </c>
      <c r="E985">
        <v>3363</v>
      </c>
      <c r="F985">
        <v>1818</v>
      </c>
      <c r="G985">
        <v>3342.7714000000001</v>
      </c>
      <c r="H985">
        <v>3302.7166999999999</v>
      </c>
      <c r="I985">
        <v>3125.13</v>
      </c>
      <c r="J985">
        <v>1.0517000000000001</v>
      </c>
      <c r="K985">
        <v>0.91390000000000005</v>
      </c>
      <c r="L985">
        <v>1.5071000000000001</v>
      </c>
      <c r="M985">
        <v>54.838700000000003</v>
      </c>
      <c r="N985">
        <v>24.194199999999999</v>
      </c>
      <c r="O985">
        <v>25.5276</v>
      </c>
      <c r="P985">
        <v>3421.8739999999998</v>
      </c>
      <c r="Q985">
        <v>3186.8359999999998</v>
      </c>
    </row>
    <row r="986" spans="1:17" x14ac:dyDescent="0.3">
      <c r="A986" s="1">
        <v>45821</v>
      </c>
      <c r="B986">
        <v>3431.2</v>
      </c>
      <c r="C986">
        <v>3444</v>
      </c>
      <c r="D986">
        <v>3407.3</v>
      </c>
      <c r="E986">
        <v>3407.3</v>
      </c>
      <c r="F986">
        <v>499</v>
      </c>
      <c r="G986">
        <v>3350.2429000000002</v>
      </c>
      <c r="H986">
        <v>3307.1967</v>
      </c>
      <c r="I986">
        <v>3131.5711000000001</v>
      </c>
      <c r="J986">
        <v>1.3172999999999999</v>
      </c>
      <c r="K986">
        <v>0.97099999999999997</v>
      </c>
      <c r="L986">
        <v>1.4988999999999999</v>
      </c>
      <c r="M986">
        <v>59.612099999999998</v>
      </c>
      <c r="N986">
        <v>28.569099999999999</v>
      </c>
      <c r="O986">
        <v>26.135899999999999</v>
      </c>
      <c r="P986">
        <v>3419.1466</v>
      </c>
      <c r="Q986">
        <v>3215.1934000000001</v>
      </c>
    </row>
    <row r="987" spans="1:17" x14ac:dyDescent="0.3">
      <c r="A987" s="1">
        <v>45824</v>
      </c>
      <c r="B987">
        <v>3396.3998999999999</v>
      </c>
      <c r="C987">
        <v>3442</v>
      </c>
      <c r="D987">
        <v>3385.3998999999999</v>
      </c>
      <c r="E987">
        <v>3442</v>
      </c>
      <c r="F987">
        <v>480</v>
      </c>
      <c r="G987">
        <v>3360.3143</v>
      </c>
      <c r="H987">
        <v>3313.9333000000001</v>
      </c>
      <c r="I987">
        <v>3138.1489000000001</v>
      </c>
      <c r="J987">
        <v>1.0184</v>
      </c>
      <c r="K987">
        <v>1.0145</v>
      </c>
      <c r="L987">
        <v>1.4907999999999999</v>
      </c>
      <c r="M987">
        <v>62.3673</v>
      </c>
      <c r="N987">
        <v>34.439300000000003</v>
      </c>
      <c r="O987">
        <v>27.796600000000002</v>
      </c>
      <c r="P987">
        <v>3435.1747999999998</v>
      </c>
      <c r="Q987">
        <v>3220.5952000000002</v>
      </c>
    </row>
    <row r="988" spans="1:17" x14ac:dyDescent="0.3">
      <c r="A988" s="1">
        <v>45825</v>
      </c>
      <c r="B988">
        <v>3386.6001000000001</v>
      </c>
      <c r="C988">
        <v>3398.3</v>
      </c>
      <c r="D988">
        <v>3376.1001000000001</v>
      </c>
      <c r="E988">
        <v>3398.3</v>
      </c>
      <c r="F988">
        <v>1477</v>
      </c>
      <c r="G988">
        <v>3365.1714999999999</v>
      </c>
      <c r="H988">
        <v>3319.12</v>
      </c>
      <c r="I988">
        <v>3144.0722000000001</v>
      </c>
      <c r="J988">
        <v>-1.2696000000000001</v>
      </c>
      <c r="K988">
        <v>1.1702999999999999</v>
      </c>
      <c r="L988">
        <v>1.5150999999999999</v>
      </c>
      <c r="M988">
        <v>61.698300000000003</v>
      </c>
      <c r="N988">
        <v>35.1599</v>
      </c>
      <c r="O988">
        <v>29.269300000000001</v>
      </c>
      <c r="P988">
        <v>3438.2186000000002</v>
      </c>
      <c r="Q988">
        <v>3233.9414999999999</v>
      </c>
    </row>
    <row r="989" spans="1:17" x14ac:dyDescent="0.3">
      <c r="A989" s="1">
        <v>45826</v>
      </c>
      <c r="B989">
        <v>3389.8</v>
      </c>
      <c r="C989">
        <v>3391.8998999999999</v>
      </c>
      <c r="D989">
        <v>3365.1001000000001</v>
      </c>
      <c r="E989">
        <v>3385.3</v>
      </c>
      <c r="F989">
        <v>0</v>
      </c>
      <c r="G989">
        <v>3375.1286</v>
      </c>
      <c r="H989">
        <v>3319.78</v>
      </c>
      <c r="I989">
        <v>3149.91</v>
      </c>
      <c r="J989">
        <v>-0.38250000000000001</v>
      </c>
      <c r="K989">
        <v>0.98209999999999997</v>
      </c>
      <c r="L989">
        <v>1.3543000000000001</v>
      </c>
      <c r="M989">
        <v>61.273899999999998</v>
      </c>
      <c r="N989">
        <v>34.286700000000003</v>
      </c>
      <c r="O989">
        <v>30.2728</v>
      </c>
      <c r="P989">
        <v>3432.5162999999998</v>
      </c>
      <c r="Q989">
        <v>3256.2737000000002</v>
      </c>
    </row>
    <row r="990" spans="1:17" x14ac:dyDescent="0.3">
      <c r="A990" s="1">
        <v>45828</v>
      </c>
      <c r="B990">
        <v>3368.1001000000001</v>
      </c>
      <c r="C990">
        <v>3372.8998999999999</v>
      </c>
      <c r="D990">
        <v>3341</v>
      </c>
      <c r="E990">
        <v>3350</v>
      </c>
      <c r="F990">
        <v>709</v>
      </c>
      <c r="G990">
        <v>3381.9857000000002</v>
      </c>
      <c r="H990">
        <v>3317.49</v>
      </c>
      <c r="I990">
        <v>3155.3078</v>
      </c>
      <c r="J990">
        <v>-1.0427</v>
      </c>
      <c r="K990">
        <v>1.0825</v>
      </c>
      <c r="L990">
        <v>1.3351999999999999</v>
      </c>
      <c r="M990">
        <v>53.839399999999998</v>
      </c>
      <c r="N990">
        <v>30.396000000000001</v>
      </c>
      <c r="O990">
        <v>30.2974</v>
      </c>
      <c r="P990">
        <v>3432.0234999999998</v>
      </c>
      <c r="Q990">
        <v>3262.4265999999998</v>
      </c>
    </row>
    <row r="991" spans="1:17" x14ac:dyDescent="0.3">
      <c r="A991" s="1">
        <v>45831</v>
      </c>
      <c r="B991">
        <v>3377.7</v>
      </c>
      <c r="C991">
        <v>3387.8998999999999</v>
      </c>
      <c r="D991">
        <v>3350</v>
      </c>
      <c r="E991">
        <v>3365.8998999999999</v>
      </c>
      <c r="F991">
        <v>30</v>
      </c>
      <c r="G991">
        <v>3387.4</v>
      </c>
      <c r="H991">
        <v>3316.6867000000002</v>
      </c>
      <c r="I991">
        <v>3160.2011000000002</v>
      </c>
      <c r="J991">
        <v>0.47460000000000002</v>
      </c>
      <c r="K991">
        <v>1.0609999999999999</v>
      </c>
      <c r="L991">
        <v>1.3303</v>
      </c>
      <c r="M991">
        <v>57.629399999999997</v>
      </c>
      <c r="N991">
        <v>28.269600000000001</v>
      </c>
      <c r="O991">
        <v>29.8918</v>
      </c>
      <c r="P991">
        <v>3433.8009999999999</v>
      </c>
      <c r="Q991">
        <v>3264.5091000000002</v>
      </c>
    </row>
    <row r="992" spans="1:17" x14ac:dyDescent="0.3">
      <c r="A992" s="1">
        <v>45832</v>
      </c>
      <c r="B992">
        <v>3317.3998999999999</v>
      </c>
      <c r="C992">
        <v>3358</v>
      </c>
      <c r="D992">
        <v>3301</v>
      </c>
      <c r="E992">
        <v>3358</v>
      </c>
      <c r="F992">
        <v>538</v>
      </c>
      <c r="G992">
        <v>3386.6857</v>
      </c>
      <c r="H992">
        <v>3318.6532999999999</v>
      </c>
      <c r="I992">
        <v>3165.2678000000001</v>
      </c>
      <c r="J992">
        <v>-0.23469999999999999</v>
      </c>
      <c r="K992">
        <v>0.99129999999999996</v>
      </c>
      <c r="L992">
        <v>1.2323999999999999</v>
      </c>
      <c r="M992">
        <v>46.356499999999997</v>
      </c>
      <c r="N992">
        <v>25.651299999999999</v>
      </c>
      <c r="O992">
        <v>29.043700000000001</v>
      </c>
      <c r="P992">
        <v>3434.7842000000001</v>
      </c>
      <c r="Q992">
        <v>3266.5259000000001</v>
      </c>
    </row>
    <row r="993" spans="1:17" x14ac:dyDescent="0.3">
      <c r="A993" s="1">
        <v>45833</v>
      </c>
      <c r="B993">
        <v>3327.1001000000001</v>
      </c>
      <c r="C993">
        <v>3331.2</v>
      </c>
      <c r="D993">
        <v>3310.6001000000001</v>
      </c>
      <c r="E993">
        <v>3321.6001000000001</v>
      </c>
      <c r="F993">
        <v>373</v>
      </c>
      <c r="G993">
        <v>3374.4429</v>
      </c>
      <c r="H993">
        <v>3319.35</v>
      </c>
      <c r="I993">
        <v>3169.8267000000001</v>
      </c>
      <c r="J993">
        <v>-1.0840000000000001</v>
      </c>
      <c r="K993">
        <v>0.85929999999999995</v>
      </c>
      <c r="L993">
        <v>1.2502</v>
      </c>
      <c r="M993">
        <v>45.584400000000002</v>
      </c>
      <c r="N993">
        <v>20.4039</v>
      </c>
      <c r="O993">
        <v>27.315799999999999</v>
      </c>
      <c r="P993">
        <v>3434.8732</v>
      </c>
      <c r="Q993">
        <v>3265.3467999999998</v>
      </c>
    </row>
    <row r="994" spans="1:17" x14ac:dyDescent="0.3">
      <c r="A994" s="1">
        <v>45834</v>
      </c>
      <c r="B994">
        <v>3333.5</v>
      </c>
      <c r="C994">
        <v>3333.5</v>
      </c>
      <c r="D994">
        <v>3332.3998999999999</v>
      </c>
      <c r="E994">
        <v>3332.3998999999999</v>
      </c>
      <c r="F994">
        <v>2058</v>
      </c>
      <c r="G994">
        <v>3358.7856999999999</v>
      </c>
      <c r="H994">
        <v>3322.6967</v>
      </c>
      <c r="I994">
        <v>3174.2166999999999</v>
      </c>
      <c r="J994">
        <v>0.3251</v>
      </c>
      <c r="K994">
        <v>0.69889999999999997</v>
      </c>
      <c r="L994">
        <v>1.1856</v>
      </c>
      <c r="M994">
        <v>44.7517</v>
      </c>
      <c r="N994">
        <v>16.921700000000001</v>
      </c>
      <c r="O994">
        <v>25.236999999999998</v>
      </c>
      <c r="P994">
        <v>3433.0605</v>
      </c>
      <c r="Q994">
        <v>3271.0396000000001</v>
      </c>
    </row>
    <row r="995" spans="1:17" x14ac:dyDescent="0.3">
      <c r="A995" s="1">
        <v>45835</v>
      </c>
      <c r="B995">
        <v>3273.7</v>
      </c>
      <c r="C995">
        <v>3318.7</v>
      </c>
      <c r="D995">
        <v>3253.8</v>
      </c>
      <c r="E995">
        <v>3318.7</v>
      </c>
      <c r="F995">
        <v>284</v>
      </c>
      <c r="G995">
        <v>3347.4142999999999</v>
      </c>
      <c r="H995">
        <v>3325.5533</v>
      </c>
      <c r="I995">
        <v>3179.1</v>
      </c>
      <c r="J995">
        <v>-0.41110000000000002</v>
      </c>
      <c r="K995">
        <v>0.60160000000000002</v>
      </c>
      <c r="L995">
        <v>1.1894</v>
      </c>
      <c r="M995">
        <v>43.984099999999998</v>
      </c>
      <c r="N995">
        <v>12.9078</v>
      </c>
      <c r="O995">
        <v>22.771100000000001</v>
      </c>
      <c r="P995">
        <v>3429.9605999999999</v>
      </c>
      <c r="Q995">
        <v>3277.6395000000002</v>
      </c>
    </row>
    <row r="996" spans="1:17" x14ac:dyDescent="0.3">
      <c r="A996" s="1">
        <v>45838</v>
      </c>
      <c r="B996">
        <v>3294.3998999999999</v>
      </c>
      <c r="C996">
        <v>3306.8998999999999</v>
      </c>
      <c r="D996">
        <v>3262</v>
      </c>
      <c r="E996">
        <v>3265.8998999999999</v>
      </c>
      <c r="F996">
        <v>1242</v>
      </c>
      <c r="G996">
        <v>3330.3571000000002</v>
      </c>
      <c r="H996">
        <v>3329.3833</v>
      </c>
      <c r="I996">
        <v>3182.7354999999998</v>
      </c>
      <c r="J996">
        <v>-1.591</v>
      </c>
      <c r="K996">
        <v>0.76749999999999996</v>
      </c>
      <c r="L996">
        <v>1.1282000000000001</v>
      </c>
      <c r="M996">
        <v>43.513399999999997</v>
      </c>
      <c r="N996">
        <v>5.4039000000000001</v>
      </c>
      <c r="O996">
        <v>19.297699999999999</v>
      </c>
      <c r="P996">
        <v>3435.5198999999998</v>
      </c>
      <c r="Q996">
        <v>3267.1601000000001</v>
      </c>
    </row>
    <row r="997" spans="1:17" x14ac:dyDescent="0.3">
      <c r="A997" s="1">
        <v>45839</v>
      </c>
      <c r="B997">
        <v>3336.7</v>
      </c>
      <c r="C997">
        <v>3354.1001000000001</v>
      </c>
      <c r="D997">
        <v>3310.1001000000001</v>
      </c>
      <c r="E997">
        <v>3310.1001000000001</v>
      </c>
      <c r="F997">
        <v>371</v>
      </c>
      <c r="G997">
        <v>3324.6570999999999</v>
      </c>
      <c r="H997">
        <v>3332.13</v>
      </c>
      <c r="I997">
        <v>3186.7467000000001</v>
      </c>
      <c r="J997">
        <v>1.3533999999999999</v>
      </c>
      <c r="K997">
        <v>0.99150000000000005</v>
      </c>
      <c r="L997">
        <v>1.0676000000000001</v>
      </c>
      <c r="M997">
        <v>50.978999999999999</v>
      </c>
      <c r="N997">
        <v>2.9891000000000001</v>
      </c>
      <c r="O997">
        <v>16.036000000000001</v>
      </c>
      <c r="P997">
        <v>3434.5744</v>
      </c>
      <c r="Q997">
        <v>3269.4256</v>
      </c>
    </row>
    <row r="998" spans="1:17" x14ac:dyDescent="0.3">
      <c r="A998" s="1">
        <v>45840</v>
      </c>
      <c r="B998">
        <v>3348</v>
      </c>
      <c r="C998">
        <v>3357.5</v>
      </c>
      <c r="D998">
        <v>3329</v>
      </c>
      <c r="E998">
        <v>3329</v>
      </c>
      <c r="F998">
        <v>39</v>
      </c>
      <c r="G998">
        <v>3319.3856999999998</v>
      </c>
      <c r="H998">
        <v>3335.2833000000001</v>
      </c>
      <c r="I998">
        <v>3191.0821999999998</v>
      </c>
      <c r="J998">
        <v>0.57099999999999995</v>
      </c>
      <c r="K998">
        <v>1.0024999999999999</v>
      </c>
      <c r="L998">
        <v>1.0710999999999999</v>
      </c>
      <c r="M998">
        <v>50.122999999999998</v>
      </c>
      <c r="N998">
        <v>2.5708000000000002</v>
      </c>
      <c r="O998">
        <v>13.3429</v>
      </c>
      <c r="P998">
        <v>3430.8413</v>
      </c>
      <c r="Q998">
        <v>3267.5486999999998</v>
      </c>
    </row>
    <row r="999" spans="1:17" x14ac:dyDescent="0.3">
      <c r="A999" s="1">
        <v>45841</v>
      </c>
      <c r="B999">
        <v>3331.6001000000001</v>
      </c>
      <c r="C999">
        <v>3362</v>
      </c>
      <c r="D999">
        <v>3322.3</v>
      </c>
      <c r="E999">
        <v>3362</v>
      </c>
      <c r="F999">
        <v>0</v>
      </c>
      <c r="G999">
        <v>3319.9571000000001</v>
      </c>
      <c r="H999">
        <v>3340.05</v>
      </c>
      <c r="I999">
        <v>3195.8478</v>
      </c>
      <c r="J999">
        <v>0.99129999999999996</v>
      </c>
      <c r="K999">
        <v>1.0891999999999999</v>
      </c>
      <c r="L999">
        <v>1.0771999999999999</v>
      </c>
      <c r="M999">
        <v>49.876399999999997</v>
      </c>
      <c r="N999">
        <v>4.8463000000000003</v>
      </c>
      <c r="O999">
        <v>11.643599999999999</v>
      </c>
      <c r="P999">
        <v>3431.3559</v>
      </c>
      <c r="Q999">
        <v>3267.7341000000001</v>
      </c>
    </row>
    <row r="1000" spans="1:17" x14ac:dyDescent="0.3">
      <c r="A1000" s="1">
        <v>45842</v>
      </c>
      <c r="B1000">
        <v>3332.5</v>
      </c>
      <c r="C1000">
        <v>3342</v>
      </c>
      <c r="D1000">
        <v>3332.5</v>
      </c>
      <c r="E1000">
        <v>3342</v>
      </c>
      <c r="F1000">
        <v>0</v>
      </c>
      <c r="G1000">
        <v>3322.8714</v>
      </c>
      <c r="H1000">
        <v>3341.67</v>
      </c>
      <c r="I1000">
        <v>3200.3289</v>
      </c>
      <c r="J1000">
        <v>-0.59489999999999998</v>
      </c>
      <c r="K1000">
        <v>1.0199</v>
      </c>
      <c r="L1000">
        <v>1.0044999999999999</v>
      </c>
      <c r="M1000">
        <v>41.414700000000003</v>
      </c>
      <c r="N1000">
        <v>4.9783999999999997</v>
      </c>
      <c r="O1000">
        <v>10.310600000000001</v>
      </c>
      <c r="P1000">
        <v>3429.2757999999999</v>
      </c>
      <c r="Q1000">
        <v>3266.8643000000002</v>
      </c>
    </row>
    <row r="1001" spans="1:17" x14ac:dyDescent="0.3">
      <c r="A1001" s="1">
        <v>45845</v>
      </c>
      <c r="B1001">
        <v>3332.2</v>
      </c>
      <c r="C1001">
        <v>3333.3</v>
      </c>
      <c r="D1001">
        <v>3299.2</v>
      </c>
      <c r="E1001">
        <v>3305.5</v>
      </c>
      <c r="F1001">
        <v>254</v>
      </c>
      <c r="G1001">
        <v>3319.0286000000001</v>
      </c>
      <c r="H1001">
        <v>3340.9432999999999</v>
      </c>
      <c r="I1001">
        <v>3204.6844000000001</v>
      </c>
      <c r="J1001">
        <v>-1.0922000000000001</v>
      </c>
      <c r="K1001">
        <v>1.1032</v>
      </c>
      <c r="L1001">
        <v>1.0081</v>
      </c>
      <c r="M1001">
        <v>32.138199999999998</v>
      </c>
      <c r="N1001">
        <v>2.1135000000000002</v>
      </c>
      <c r="O1001">
        <v>8.6712000000000007</v>
      </c>
      <c r="P1001">
        <v>3428.1001000000001</v>
      </c>
      <c r="Q1001">
        <v>3262.1599000000001</v>
      </c>
    </row>
    <row r="1002" spans="1:17" x14ac:dyDescent="0.3">
      <c r="A1002" s="1">
        <v>45846</v>
      </c>
      <c r="B1002">
        <v>3307</v>
      </c>
      <c r="C1002">
        <v>3334.5</v>
      </c>
      <c r="D1002">
        <v>3287.6001000000001</v>
      </c>
      <c r="E1002">
        <v>3330.3998999999999</v>
      </c>
      <c r="F1002">
        <v>909</v>
      </c>
      <c r="G1002">
        <v>3320.7</v>
      </c>
      <c r="H1002">
        <v>3341.0232999999998</v>
      </c>
      <c r="I1002">
        <v>3209.2611000000002</v>
      </c>
      <c r="J1002">
        <v>0.75329999999999997</v>
      </c>
      <c r="K1002">
        <v>1.1375</v>
      </c>
      <c r="L1002">
        <v>1.0178</v>
      </c>
      <c r="M1002">
        <v>40.655099999999997</v>
      </c>
      <c r="N1002">
        <v>1.8310999999999999</v>
      </c>
      <c r="O1002">
        <v>7.3030999999999997</v>
      </c>
      <c r="P1002">
        <v>3427.9908</v>
      </c>
      <c r="Q1002">
        <v>3263.7492000000002</v>
      </c>
    </row>
    <row r="1003" spans="1:17" x14ac:dyDescent="0.3">
      <c r="A1003" s="1">
        <v>45847</v>
      </c>
      <c r="B1003">
        <v>3311.6001000000001</v>
      </c>
      <c r="C1003">
        <v>3314</v>
      </c>
      <c r="D1003">
        <v>3282</v>
      </c>
      <c r="E1003">
        <v>3289.3998999999999</v>
      </c>
      <c r="F1003">
        <v>114</v>
      </c>
      <c r="G1003">
        <v>3324.0571</v>
      </c>
      <c r="H1003">
        <v>3339.5866999999998</v>
      </c>
      <c r="I1003">
        <v>3213.8422</v>
      </c>
      <c r="J1003">
        <v>-1.2311000000000001</v>
      </c>
      <c r="K1003">
        <v>1.0559000000000001</v>
      </c>
      <c r="L1003">
        <v>1.0422</v>
      </c>
      <c r="M1003">
        <v>37.745899999999999</v>
      </c>
      <c r="N1003">
        <v>-1.6816</v>
      </c>
      <c r="O1003">
        <v>5.5061999999999998</v>
      </c>
      <c r="P1003">
        <v>3428.9558000000002</v>
      </c>
      <c r="Q1003">
        <v>3261.5241999999998</v>
      </c>
    </row>
    <row r="1004" spans="1:17" x14ac:dyDescent="0.3">
      <c r="A1004" s="1">
        <v>45848</v>
      </c>
      <c r="B1004">
        <v>3317.3998999999999</v>
      </c>
      <c r="C1004">
        <v>3330.5</v>
      </c>
      <c r="D1004">
        <v>3311.6001000000001</v>
      </c>
      <c r="E1004">
        <v>3323.6001000000001</v>
      </c>
      <c r="F1004">
        <v>209</v>
      </c>
      <c r="G1004">
        <v>3325.9857000000002</v>
      </c>
      <c r="H1004">
        <v>3340.5866999999998</v>
      </c>
      <c r="I1004">
        <v>3218.8521999999998</v>
      </c>
      <c r="J1004">
        <v>1.0397000000000001</v>
      </c>
      <c r="K1004">
        <v>0.99929999999999997</v>
      </c>
      <c r="L1004">
        <v>1.0376000000000001</v>
      </c>
      <c r="M1004">
        <v>46.617100000000001</v>
      </c>
      <c r="N1004">
        <v>-1.6863999999999999</v>
      </c>
      <c r="O1004">
        <v>4.0677000000000003</v>
      </c>
      <c r="P1004">
        <v>3428.9494</v>
      </c>
      <c r="Q1004">
        <v>3261.0906</v>
      </c>
    </row>
    <row r="1005" spans="1:17" x14ac:dyDescent="0.3">
      <c r="A1005" s="1">
        <v>45849</v>
      </c>
      <c r="B1005">
        <v>3356</v>
      </c>
      <c r="C1005">
        <v>3370</v>
      </c>
      <c r="D1005">
        <v>3330.5</v>
      </c>
      <c r="E1005">
        <v>3330.5</v>
      </c>
      <c r="F1005">
        <v>776</v>
      </c>
      <c r="G1005">
        <v>3326.2</v>
      </c>
      <c r="H1005">
        <v>3342.1466999999998</v>
      </c>
      <c r="I1005">
        <v>3223.79</v>
      </c>
      <c r="J1005">
        <v>0.20760000000000001</v>
      </c>
      <c r="K1005">
        <v>0.97770000000000001</v>
      </c>
      <c r="L1005">
        <v>1.0361</v>
      </c>
      <c r="M1005">
        <v>45.3568</v>
      </c>
      <c r="N1005">
        <v>-1.1205000000000001</v>
      </c>
      <c r="O1005">
        <v>3.03</v>
      </c>
      <c r="P1005">
        <v>3427.1167999999998</v>
      </c>
      <c r="Q1005">
        <v>3259.6732000000002</v>
      </c>
    </row>
    <row r="1006" spans="1:17" x14ac:dyDescent="0.3">
      <c r="A1006" s="1">
        <v>45852</v>
      </c>
      <c r="B1006">
        <v>3351.5</v>
      </c>
      <c r="C1006">
        <v>3375.5</v>
      </c>
      <c r="D1006">
        <v>3350</v>
      </c>
      <c r="E1006">
        <v>3367</v>
      </c>
      <c r="F1006">
        <v>583</v>
      </c>
      <c r="G1006">
        <v>3326.9142999999999</v>
      </c>
      <c r="H1006">
        <v>3343.8766999999998</v>
      </c>
      <c r="I1006">
        <v>3228.7932999999998</v>
      </c>
      <c r="J1006">
        <v>1.0959000000000001</v>
      </c>
      <c r="K1006">
        <v>0.99590000000000001</v>
      </c>
      <c r="L1006">
        <v>1.0406</v>
      </c>
      <c r="M1006">
        <v>51.098100000000002</v>
      </c>
      <c r="N1006">
        <v>2.2473000000000001</v>
      </c>
      <c r="O1006">
        <v>2.8734999999999999</v>
      </c>
      <c r="P1006">
        <v>3420.4355999999998</v>
      </c>
      <c r="Q1006">
        <v>3262.3243000000002</v>
      </c>
    </row>
    <row r="1007" spans="1:17" x14ac:dyDescent="0.3">
      <c r="A1007" s="1">
        <v>45853</v>
      </c>
      <c r="B1007">
        <v>3329.8</v>
      </c>
      <c r="C1007">
        <v>3341</v>
      </c>
      <c r="D1007">
        <v>3329.8</v>
      </c>
      <c r="E1007">
        <v>3341</v>
      </c>
      <c r="F1007">
        <v>210</v>
      </c>
      <c r="G1007">
        <v>3326.7714000000001</v>
      </c>
      <c r="H1007">
        <v>3345.3467000000001</v>
      </c>
      <c r="I1007">
        <v>3233.6489000000001</v>
      </c>
      <c r="J1007">
        <v>-0.7722</v>
      </c>
      <c r="K1007">
        <v>1.0163</v>
      </c>
      <c r="L1007">
        <v>1.0459000000000001</v>
      </c>
      <c r="M1007">
        <v>52.428600000000003</v>
      </c>
      <c r="N1007">
        <v>2.7863000000000002</v>
      </c>
      <c r="O1007">
        <v>2.8561000000000001</v>
      </c>
      <c r="P1007">
        <v>3399.6624000000002</v>
      </c>
      <c r="Q1007">
        <v>3272.9974999999999</v>
      </c>
    </row>
    <row r="1008" spans="1:17" x14ac:dyDescent="0.3">
      <c r="A1008" s="1">
        <v>45854</v>
      </c>
      <c r="B1008">
        <v>3352.5</v>
      </c>
      <c r="C1008">
        <v>3352.8998999999999</v>
      </c>
      <c r="D1008">
        <v>3329.5</v>
      </c>
      <c r="E1008">
        <v>3341.2</v>
      </c>
      <c r="F1008">
        <v>10</v>
      </c>
      <c r="G1008">
        <v>3331.8714</v>
      </c>
      <c r="H1008">
        <v>3343.8833</v>
      </c>
      <c r="I1008">
        <v>3238.5410999999999</v>
      </c>
      <c r="J1008">
        <v>6.0000000000000001E-3</v>
      </c>
      <c r="K1008">
        <v>0.89739999999999998</v>
      </c>
      <c r="L1008">
        <v>0.92090000000000005</v>
      </c>
      <c r="M1008">
        <v>51.131700000000002</v>
      </c>
      <c r="N1008">
        <v>3.1926999999999999</v>
      </c>
      <c r="O1008">
        <v>2.9234</v>
      </c>
      <c r="P1008">
        <v>3389.8060999999998</v>
      </c>
      <c r="Q1008">
        <v>3277.1439</v>
      </c>
    </row>
    <row r="1009" spans="1:17" x14ac:dyDescent="0.3">
      <c r="A1009" s="1">
        <v>45855</v>
      </c>
      <c r="B1009">
        <v>3340.1001000000001</v>
      </c>
      <c r="C1009">
        <v>3340.8</v>
      </c>
      <c r="D1009">
        <v>3313.8</v>
      </c>
      <c r="E1009">
        <v>3313.8</v>
      </c>
      <c r="F1009">
        <v>667</v>
      </c>
      <c r="G1009">
        <v>3329.5</v>
      </c>
      <c r="H1009">
        <v>3342.51</v>
      </c>
      <c r="I1009">
        <v>3243.0266999999999</v>
      </c>
      <c r="J1009">
        <v>-0.82010000000000005</v>
      </c>
      <c r="K1009">
        <v>0.91990000000000005</v>
      </c>
      <c r="L1009">
        <v>0.91879999999999995</v>
      </c>
      <c r="M1009">
        <v>49.391300000000001</v>
      </c>
      <c r="N1009">
        <v>1.2889999999999999</v>
      </c>
      <c r="O1009">
        <v>2.5964999999999998</v>
      </c>
      <c r="P1009">
        <v>3381.2365</v>
      </c>
      <c r="Q1009">
        <v>3278.5635000000002</v>
      </c>
    </row>
    <row r="1010" spans="1:17" x14ac:dyDescent="0.3">
      <c r="A1010" s="1">
        <v>45856</v>
      </c>
      <c r="B1010">
        <v>3353</v>
      </c>
      <c r="C1010">
        <v>3353</v>
      </c>
      <c r="D1010">
        <v>3338.2</v>
      </c>
      <c r="E1010">
        <v>3338.2</v>
      </c>
      <c r="F1010">
        <v>602</v>
      </c>
      <c r="G1010">
        <v>3336.4713999999999</v>
      </c>
      <c r="H1010">
        <v>3341.4</v>
      </c>
      <c r="I1010">
        <v>3248.0689000000002</v>
      </c>
      <c r="J1010">
        <v>0.73629999999999995</v>
      </c>
      <c r="K1010">
        <v>0.79769999999999996</v>
      </c>
      <c r="L1010">
        <v>0.92469999999999997</v>
      </c>
      <c r="M1010">
        <v>59.663200000000003</v>
      </c>
      <c r="N1010">
        <v>1.7292000000000001</v>
      </c>
      <c r="O1010">
        <v>2.4230999999999998</v>
      </c>
      <c r="P1010">
        <v>3379.9402</v>
      </c>
      <c r="Q1010">
        <v>3278.6797999999999</v>
      </c>
    </row>
    <row r="1011" spans="1:17" x14ac:dyDescent="0.3">
      <c r="A1011" s="1">
        <v>45859</v>
      </c>
      <c r="B1011">
        <v>3401.8998999999999</v>
      </c>
      <c r="C1011">
        <v>3411.7</v>
      </c>
      <c r="D1011">
        <v>3350.3</v>
      </c>
      <c r="E1011">
        <v>3350.3</v>
      </c>
      <c r="F1011">
        <v>53</v>
      </c>
      <c r="G1011">
        <v>3340.2856999999999</v>
      </c>
      <c r="H1011">
        <v>3340.9333000000001</v>
      </c>
      <c r="I1011">
        <v>3252.9389000000001</v>
      </c>
      <c r="J1011">
        <v>0.36249999999999999</v>
      </c>
      <c r="K1011">
        <v>0.71779999999999999</v>
      </c>
      <c r="L1011">
        <v>0.92669999999999997</v>
      </c>
      <c r="M1011">
        <v>55.877200000000002</v>
      </c>
      <c r="N1011">
        <v>3.0196999999999998</v>
      </c>
      <c r="O1011">
        <v>2.5424000000000002</v>
      </c>
      <c r="P1011">
        <v>3377.2305999999999</v>
      </c>
      <c r="Q1011">
        <v>3279.8294000000001</v>
      </c>
    </row>
    <row r="1012" spans="1:17" x14ac:dyDescent="0.3">
      <c r="A1012" s="1">
        <v>45860</v>
      </c>
      <c r="B1012">
        <v>3439.2</v>
      </c>
      <c r="C1012">
        <v>3441</v>
      </c>
      <c r="D1012">
        <v>3395.6001000000001</v>
      </c>
      <c r="E1012">
        <v>3411</v>
      </c>
      <c r="F1012">
        <v>39</v>
      </c>
      <c r="G1012">
        <v>3351.7856999999999</v>
      </c>
      <c r="H1012">
        <v>3344.1133</v>
      </c>
      <c r="I1012">
        <v>3258.2044000000001</v>
      </c>
      <c r="J1012">
        <v>1.8118000000000001</v>
      </c>
      <c r="K1012">
        <v>0.96519999999999995</v>
      </c>
      <c r="L1012">
        <v>0.94320000000000004</v>
      </c>
      <c r="M1012">
        <v>60.682699999999997</v>
      </c>
      <c r="N1012">
        <v>8.8384999999999998</v>
      </c>
      <c r="O1012">
        <v>3.8016000000000001</v>
      </c>
      <c r="P1012">
        <v>3391.1066000000001</v>
      </c>
      <c r="Q1012">
        <v>3271.2534000000001</v>
      </c>
    </row>
    <row r="1013" spans="1:17" x14ac:dyDescent="0.3">
      <c r="A1013" s="1">
        <v>45861</v>
      </c>
      <c r="B1013">
        <v>3394.1001000000001</v>
      </c>
      <c r="C1013">
        <v>3433.8998999999999</v>
      </c>
      <c r="D1013">
        <v>3388.1001000000001</v>
      </c>
      <c r="E1013">
        <v>3430.3</v>
      </c>
      <c r="F1013">
        <v>63</v>
      </c>
      <c r="G1013">
        <v>3360.8285999999998</v>
      </c>
      <c r="H1013">
        <v>3348.39</v>
      </c>
      <c r="I1013">
        <v>3263.0477999999998</v>
      </c>
      <c r="J1013">
        <v>0.56579999999999997</v>
      </c>
      <c r="K1013">
        <v>0.91600000000000004</v>
      </c>
      <c r="L1013">
        <v>0.94189999999999996</v>
      </c>
      <c r="M1013">
        <v>59.227200000000003</v>
      </c>
      <c r="N1013">
        <v>14.8362</v>
      </c>
      <c r="O1013">
        <v>6.0084999999999997</v>
      </c>
      <c r="P1013">
        <v>3410.8838999999998</v>
      </c>
      <c r="Q1013">
        <v>3262.346</v>
      </c>
    </row>
    <row r="1014" spans="1:17" x14ac:dyDescent="0.3">
      <c r="A1014" s="1">
        <v>45862</v>
      </c>
      <c r="B1014">
        <v>3371</v>
      </c>
      <c r="C1014">
        <v>3371</v>
      </c>
      <c r="D1014">
        <v>3367</v>
      </c>
      <c r="E1014">
        <v>3367</v>
      </c>
      <c r="F1014">
        <v>1175</v>
      </c>
      <c r="G1014">
        <v>3364.5428999999999</v>
      </c>
      <c r="H1014">
        <v>3349.69</v>
      </c>
      <c r="I1014">
        <v>3267.2255</v>
      </c>
      <c r="J1014">
        <v>-1.8452999999999999</v>
      </c>
      <c r="K1014">
        <v>1.1732</v>
      </c>
      <c r="L1014">
        <v>0.99950000000000006</v>
      </c>
      <c r="M1014">
        <v>53.023699999999998</v>
      </c>
      <c r="N1014">
        <v>14.316700000000001</v>
      </c>
      <c r="O1014">
        <v>7.6702000000000004</v>
      </c>
      <c r="P1014">
        <v>3413.8029000000001</v>
      </c>
      <c r="Q1014">
        <v>3262.8870000000002</v>
      </c>
    </row>
    <row r="1015" spans="1:17" x14ac:dyDescent="0.3">
      <c r="A1015" s="1">
        <v>45863</v>
      </c>
      <c r="B1015">
        <v>3334</v>
      </c>
      <c r="C1015">
        <v>3345</v>
      </c>
      <c r="D1015">
        <v>3326.5</v>
      </c>
      <c r="E1015">
        <v>3344</v>
      </c>
      <c r="F1015">
        <v>67</v>
      </c>
      <c r="G1015">
        <v>3364.9429</v>
      </c>
      <c r="H1015">
        <v>3349.0567000000001</v>
      </c>
      <c r="I1015">
        <v>3270.9767000000002</v>
      </c>
      <c r="J1015">
        <v>-0.68310000000000004</v>
      </c>
      <c r="K1015">
        <v>1.2122999999999999</v>
      </c>
      <c r="L1015">
        <v>0.98929999999999996</v>
      </c>
      <c r="M1015">
        <v>54.813699999999997</v>
      </c>
      <c r="N1015">
        <v>11.9117</v>
      </c>
      <c r="O1015">
        <v>8.5184999999999995</v>
      </c>
      <c r="P1015">
        <v>3414.5275999999999</v>
      </c>
      <c r="Q1015">
        <v>3264.6923999999999</v>
      </c>
    </row>
    <row r="1016" spans="1:17" x14ac:dyDescent="0.3">
      <c r="A1016" s="1">
        <v>45866</v>
      </c>
      <c r="B1016">
        <v>3309.1001000000001</v>
      </c>
      <c r="C1016">
        <v>3326.8</v>
      </c>
      <c r="D1016">
        <v>3309.1001000000001</v>
      </c>
      <c r="E1016">
        <v>3326.6001000000001</v>
      </c>
      <c r="F1016">
        <v>533</v>
      </c>
      <c r="G1016">
        <v>3366.7714000000001</v>
      </c>
      <c r="H1016">
        <v>3346.3667</v>
      </c>
      <c r="I1016">
        <v>3274.2143999999998</v>
      </c>
      <c r="J1016">
        <v>-0.52029999999999998</v>
      </c>
      <c r="K1016">
        <v>1.1827000000000001</v>
      </c>
      <c r="L1016">
        <v>0.96050000000000002</v>
      </c>
      <c r="M1016">
        <v>49.515799999999999</v>
      </c>
      <c r="N1016">
        <v>8.5037000000000003</v>
      </c>
      <c r="O1016">
        <v>8.5154999999999994</v>
      </c>
      <c r="P1016">
        <v>3409.4706999999999</v>
      </c>
      <c r="Q1016">
        <v>3275.8193000000001</v>
      </c>
    </row>
    <row r="1017" spans="1:17" x14ac:dyDescent="0.3">
      <c r="A1017" s="1">
        <v>45867</v>
      </c>
      <c r="B1017">
        <v>3323.3998999999999</v>
      </c>
      <c r="C1017">
        <v>3323.3998999999999</v>
      </c>
      <c r="D1017">
        <v>3323.3998999999999</v>
      </c>
      <c r="E1017">
        <v>3323.3998999999999</v>
      </c>
      <c r="F1017">
        <v>113144</v>
      </c>
      <c r="G1017">
        <v>3364.6572000000001</v>
      </c>
      <c r="H1017">
        <v>3342.4133000000002</v>
      </c>
      <c r="I1017">
        <v>3277.2822000000001</v>
      </c>
      <c r="J1017">
        <v>-9.6199999999999994E-2</v>
      </c>
      <c r="K1017">
        <v>1.1447000000000001</v>
      </c>
      <c r="L1017">
        <v>0.93810000000000004</v>
      </c>
      <c r="M1017">
        <v>54.7941</v>
      </c>
      <c r="N1017">
        <v>5.4813999999999998</v>
      </c>
      <c r="O1017">
        <v>7.9086999999999996</v>
      </c>
      <c r="P1017">
        <v>3409.0275999999999</v>
      </c>
      <c r="Q1017">
        <v>3277.5924</v>
      </c>
    </row>
    <row r="1018" spans="1:17" x14ac:dyDescent="0.3">
      <c r="A1018" s="1">
        <v>45868</v>
      </c>
      <c r="B1018">
        <v>3295.8</v>
      </c>
      <c r="C1018">
        <v>3331.8</v>
      </c>
      <c r="D1018">
        <v>3263.8998999999999</v>
      </c>
      <c r="E1018">
        <v>3325.8</v>
      </c>
      <c r="F1018">
        <v>19252</v>
      </c>
      <c r="G1018">
        <v>3361.1572000000001</v>
      </c>
      <c r="H1018">
        <v>3339.9967000000001</v>
      </c>
      <c r="I1018">
        <v>3280.5189</v>
      </c>
      <c r="J1018">
        <v>7.22E-2</v>
      </c>
      <c r="K1018">
        <v>1.1322000000000001</v>
      </c>
      <c r="L1018">
        <v>0.91259999999999997</v>
      </c>
      <c r="M1018">
        <v>50.340800000000002</v>
      </c>
      <c r="N1018">
        <v>3.2425999999999999</v>
      </c>
      <c r="O1018">
        <v>6.9755000000000003</v>
      </c>
      <c r="P1018">
        <v>3409.0295999999998</v>
      </c>
      <c r="Q1018">
        <v>3277.2703999999999</v>
      </c>
    </row>
    <row r="1019" spans="1:17" x14ac:dyDescent="0.3">
      <c r="A1019" s="1">
        <v>45869</v>
      </c>
      <c r="B1019">
        <v>3293.2</v>
      </c>
      <c r="C1019">
        <v>3312</v>
      </c>
      <c r="D1019">
        <v>3272.8998999999999</v>
      </c>
      <c r="E1019">
        <v>3272.8998999999999</v>
      </c>
      <c r="F1019">
        <v>3704</v>
      </c>
      <c r="G1019">
        <v>3341.4286000000002</v>
      </c>
      <c r="H1019">
        <v>3336.25</v>
      </c>
      <c r="I1019">
        <v>3283.2811000000002</v>
      </c>
      <c r="J1019">
        <v>-1.5906</v>
      </c>
      <c r="K1019">
        <v>0.87639999999999996</v>
      </c>
      <c r="L1019">
        <v>0.95279999999999998</v>
      </c>
      <c r="M1019">
        <v>42.190899999999999</v>
      </c>
      <c r="N1019">
        <v>-2.7685</v>
      </c>
      <c r="O1019">
        <v>5.0266999999999999</v>
      </c>
      <c r="P1019">
        <v>3410.9495000000002</v>
      </c>
      <c r="Q1019">
        <v>3266.4404</v>
      </c>
    </row>
    <row r="1020" spans="1:17" x14ac:dyDescent="0.3">
      <c r="A1020" s="1">
        <v>45870</v>
      </c>
      <c r="B1020">
        <v>3347.7</v>
      </c>
      <c r="C1020">
        <v>3360.6001000000001</v>
      </c>
      <c r="D1020">
        <v>3281</v>
      </c>
      <c r="E1020">
        <v>3286.2</v>
      </c>
      <c r="F1020">
        <v>3420</v>
      </c>
      <c r="G1020">
        <v>3320.8427999999999</v>
      </c>
      <c r="H1020">
        <v>3334.1233000000002</v>
      </c>
      <c r="I1020">
        <v>3286.1678000000002</v>
      </c>
      <c r="J1020">
        <v>0.40639999999999998</v>
      </c>
      <c r="K1020">
        <v>0.84289999999999998</v>
      </c>
      <c r="L1020">
        <v>0.94040000000000001</v>
      </c>
      <c r="M1020">
        <v>38.310200000000002</v>
      </c>
      <c r="N1020">
        <v>-6.3853999999999997</v>
      </c>
      <c r="O1020">
        <v>2.7443</v>
      </c>
      <c r="P1020">
        <v>3411.8377999999998</v>
      </c>
      <c r="Q1020">
        <v>3259.9721</v>
      </c>
    </row>
    <row r="1021" spans="1:17" x14ac:dyDescent="0.3">
      <c r="A1021" s="1">
        <v>45873</v>
      </c>
      <c r="B1021">
        <v>3374.3998999999999</v>
      </c>
      <c r="C1021">
        <v>3386.5</v>
      </c>
      <c r="D1021">
        <v>3347.3998999999999</v>
      </c>
      <c r="E1021">
        <v>3367.6001000000001</v>
      </c>
      <c r="F1021">
        <v>351</v>
      </c>
      <c r="G1021">
        <v>3320.9286000000002</v>
      </c>
      <c r="H1021">
        <v>3334.18</v>
      </c>
      <c r="I1021">
        <v>3289.8833</v>
      </c>
      <c r="J1021">
        <v>2.4769999999999999</v>
      </c>
      <c r="K1021">
        <v>1.2637</v>
      </c>
      <c r="L1021">
        <v>1.0448999999999999</v>
      </c>
      <c r="M1021">
        <v>53.316699999999997</v>
      </c>
      <c r="N1021">
        <v>-2.653</v>
      </c>
      <c r="O1021">
        <v>1.6648000000000001</v>
      </c>
      <c r="P1021">
        <v>3414.7865000000002</v>
      </c>
      <c r="Q1021">
        <v>3263.2334999999998</v>
      </c>
    </row>
    <row r="1022" spans="1:17" x14ac:dyDescent="0.3">
      <c r="A1022" s="1">
        <v>45874</v>
      </c>
      <c r="B1022">
        <v>3381.8998999999999</v>
      </c>
      <c r="C1022">
        <v>3387.2</v>
      </c>
      <c r="D1022">
        <v>3351.2</v>
      </c>
      <c r="E1022">
        <v>3378.5</v>
      </c>
      <c r="F1022">
        <v>915</v>
      </c>
      <c r="G1022">
        <v>3325.8571000000002</v>
      </c>
      <c r="H1022">
        <v>3334.8633</v>
      </c>
      <c r="I1022">
        <v>3293.8054999999999</v>
      </c>
      <c r="J1022">
        <v>0.32369999999999999</v>
      </c>
      <c r="K1022">
        <v>1.2285999999999999</v>
      </c>
      <c r="L1022">
        <v>1.0454000000000001</v>
      </c>
      <c r="M1022">
        <v>54.53</v>
      </c>
      <c r="N1022">
        <v>1.171</v>
      </c>
      <c r="O1022">
        <v>1.5660000000000001</v>
      </c>
      <c r="P1022">
        <v>3419.0708</v>
      </c>
      <c r="Q1022">
        <v>3263.7592</v>
      </c>
    </row>
    <row r="1023" spans="1:17" x14ac:dyDescent="0.3">
      <c r="A1023" s="1">
        <v>45875</v>
      </c>
      <c r="B1023">
        <v>3380</v>
      </c>
      <c r="C1023">
        <v>3383.3</v>
      </c>
      <c r="D1023">
        <v>3361.3</v>
      </c>
      <c r="E1023">
        <v>3380.7</v>
      </c>
      <c r="F1023">
        <v>1492</v>
      </c>
      <c r="G1023">
        <v>3333.5857000000001</v>
      </c>
      <c r="H1023">
        <v>3336.8332999999998</v>
      </c>
      <c r="I1023">
        <v>3297.2611000000002</v>
      </c>
      <c r="J1023">
        <v>6.5100000000000005E-2</v>
      </c>
      <c r="K1023">
        <v>1.1946000000000001</v>
      </c>
      <c r="L1023">
        <v>1.0242</v>
      </c>
      <c r="M1023">
        <v>58.654600000000002</v>
      </c>
      <c r="N1023">
        <v>4.3292000000000002</v>
      </c>
      <c r="O1023">
        <v>2.1187</v>
      </c>
      <c r="P1023">
        <v>3421.4650000000001</v>
      </c>
      <c r="Q1023">
        <v>3270.4949999999999</v>
      </c>
    </row>
    <row r="1024" spans="1:17" x14ac:dyDescent="0.3">
      <c r="A1024" s="1">
        <v>45876</v>
      </c>
      <c r="B1024">
        <v>3400.3</v>
      </c>
      <c r="C1024">
        <v>3422.8998999999999</v>
      </c>
      <c r="D1024">
        <v>3384.8998999999999</v>
      </c>
      <c r="E1024">
        <v>3384.8998999999999</v>
      </c>
      <c r="F1024">
        <v>5464</v>
      </c>
      <c r="G1024">
        <v>3342.3714</v>
      </c>
      <c r="H1024">
        <v>3338.5832999999998</v>
      </c>
      <c r="I1024">
        <v>3300.5266999999999</v>
      </c>
      <c r="J1024">
        <v>0.1242</v>
      </c>
      <c r="K1024">
        <v>1.1872</v>
      </c>
      <c r="L1024">
        <v>1.0230999999999999</v>
      </c>
      <c r="M1024">
        <v>56.374499999999998</v>
      </c>
      <c r="N1024">
        <v>7.0891999999999999</v>
      </c>
      <c r="O1024">
        <v>3.1128</v>
      </c>
      <c r="P1024">
        <v>3425.6732000000002</v>
      </c>
      <c r="Q1024">
        <v>3272.4168</v>
      </c>
    </row>
    <row r="1025" spans="1:17" x14ac:dyDescent="0.3">
      <c r="A1025" s="1">
        <v>45877</v>
      </c>
      <c r="B1025">
        <v>3439.1001000000001</v>
      </c>
      <c r="C1025">
        <v>3477</v>
      </c>
      <c r="D1025">
        <v>3402.5</v>
      </c>
      <c r="E1025">
        <v>3438.8</v>
      </c>
      <c r="F1025">
        <v>7657</v>
      </c>
      <c r="G1025">
        <v>3358.5142999999998</v>
      </c>
      <c r="H1025">
        <v>3342.5866999999998</v>
      </c>
      <c r="I1025">
        <v>3303.9611</v>
      </c>
      <c r="J1025">
        <v>1.5924</v>
      </c>
      <c r="K1025">
        <v>1.2806999999999999</v>
      </c>
      <c r="L1025">
        <v>1.0563</v>
      </c>
      <c r="M1025">
        <v>60.8429</v>
      </c>
      <c r="N1025">
        <v>13.470599999999999</v>
      </c>
      <c r="O1025">
        <v>5.1843000000000004</v>
      </c>
      <c r="P1025">
        <v>3440.3204000000001</v>
      </c>
      <c r="Q1025">
        <v>3268.5996</v>
      </c>
    </row>
    <row r="1026" spans="1:17" x14ac:dyDescent="0.3">
      <c r="A1026" s="1">
        <v>45880</v>
      </c>
      <c r="B1026">
        <v>3353.1001000000001</v>
      </c>
      <c r="C1026">
        <v>3383.8998999999999</v>
      </c>
      <c r="D1026">
        <v>3349.2</v>
      </c>
      <c r="E1026">
        <v>3383.8998999999999</v>
      </c>
      <c r="F1026">
        <v>1488</v>
      </c>
      <c r="G1026">
        <v>3374.3714</v>
      </c>
      <c r="H1026">
        <v>3346.52</v>
      </c>
      <c r="I1026">
        <v>3306.8854999999999</v>
      </c>
      <c r="J1026">
        <v>-1.5965</v>
      </c>
      <c r="K1026">
        <v>1.2823</v>
      </c>
      <c r="L1026">
        <v>1.0566</v>
      </c>
      <c r="M1026">
        <v>46.631900000000002</v>
      </c>
      <c r="N1026">
        <v>13.937200000000001</v>
      </c>
      <c r="O1026">
        <v>6.9348999999999998</v>
      </c>
      <c r="P1026">
        <v>3442.0135</v>
      </c>
      <c r="Q1026">
        <v>3268.5965000000001</v>
      </c>
    </row>
    <row r="1027" spans="1:17" x14ac:dyDescent="0.3">
      <c r="A1027" s="1">
        <v>45881</v>
      </c>
      <c r="B1027">
        <v>3348.8998999999999</v>
      </c>
      <c r="C1027">
        <v>3356.2</v>
      </c>
      <c r="D1027">
        <v>3330.1001000000001</v>
      </c>
      <c r="E1027">
        <v>3356.2</v>
      </c>
      <c r="F1027">
        <v>1611</v>
      </c>
      <c r="G1027">
        <v>3384.3714</v>
      </c>
      <c r="H1027">
        <v>3348.0567000000001</v>
      </c>
      <c r="I1027">
        <v>3309.1767</v>
      </c>
      <c r="J1027">
        <v>-0.81859999999999999</v>
      </c>
      <c r="K1027">
        <v>1.375</v>
      </c>
      <c r="L1027">
        <v>1.0438000000000001</v>
      </c>
      <c r="M1027">
        <v>40.9788</v>
      </c>
      <c r="N1027">
        <v>11.9343</v>
      </c>
      <c r="O1027">
        <v>7.9348000000000001</v>
      </c>
      <c r="P1027">
        <v>3442.5115999999998</v>
      </c>
      <c r="Q1027">
        <v>3269.6183999999998</v>
      </c>
    </row>
    <row r="1028" spans="1:17" x14ac:dyDescent="0.3">
      <c r="A1028" s="1">
        <v>45882</v>
      </c>
      <c r="B1028">
        <v>3358.7</v>
      </c>
      <c r="C1028">
        <v>3363.3998999999999</v>
      </c>
      <c r="D1028">
        <v>3358.7</v>
      </c>
      <c r="E1028">
        <v>3358.8</v>
      </c>
      <c r="F1028">
        <v>1011</v>
      </c>
      <c r="G1028">
        <v>3383.1143000000002</v>
      </c>
      <c r="H1028">
        <v>3349.05</v>
      </c>
      <c r="I1028">
        <v>3311.9355</v>
      </c>
      <c r="J1028">
        <v>7.7499999999999999E-2</v>
      </c>
      <c r="K1028">
        <v>0.98970000000000002</v>
      </c>
      <c r="L1028">
        <v>1.0391999999999999</v>
      </c>
      <c r="M1028">
        <v>48.828600000000002</v>
      </c>
      <c r="N1028">
        <v>10.436500000000001</v>
      </c>
      <c r="O1028">
        <v>8.4351000000000003</v>
      </c>
      <c r="P1028">
        <v>3443.1124</v>
      </c>
      <c r="Q1028">
        <v>3270.7775999999999</v>
      </c>
    </row>
    <row r="1029" spans="1:17" x14ac:dyDescent="0.3">
      <c r="A1029" s="1">
        <v>45883</v>
      </c>
      <c r="B1029">
        <v>3335.2</v>
      </c>
      <c r="C1029">
        <v>3356</v>
      </c>
      <c r="D1029">
        <v>3328.8998999999999</v>
      </c>
      <c r="E1029">
        <v>3346.8</v>
      </c>
      <c r="F1029">
        <v>592</v>
      </c>
      <c r="G1029">
        <v>3378.5857000000001</v>
      </c>
      <c r="H1029">
        <v>3348.5432999999998</v>
      </c>
      <c r="I1029">
        <v>3315.6066999999998</v>
      </c>
      <c r="J1029">
        <v>-0.35730000000000001</v>
      </c>
      <c r="K1029">
        <v>0.98219999999999996</v>
      </c>
      <c r="L1029">
        <v>1.0255000000000001</v>
      </c>
      <c r="M1029">
        <v>50.412999999999997</v>
      </c>
      <c r="N1029">
        <v>8.1867999999999999</v>
      </c>
      <c r="O1029">
        <v>8.3855000000000004</v>
      </c>
      <c r="P1029">
        <v>3442.5183000000002</v>
      </c>
      <c r="Q1029">
        <v>3274.6716999999999</v>
      </c>
    </row>
    <row r="1030" spans="1:17" x14ac:dyDescent="0.3">
      <c r="A1030" s="1">
        <v>45884</v>
      </c>
      <c r="B1030">
        <v>3336</v>
      </c>
      <c r="C1030">
        <v>3346.8</v>
      </c>
      <c r="D1030">
        <v>3335.8998999999999</v>
      </c>
      <c r="E1030">
        <v>3346.8</v>
      </c>
      <c r="F1030">
        <v>1185</v>
      </c>
      <c r="G1030">
        <v>3373.7429000000002</v>
      </c>
      <c r="H1030">
        <v>3348.7033000000001</v>
      </c>
      <c r="I1030">
        <v>3319.5266999999999</v>
      </c>
      <c r="J1030">
        <v>0</v>
      </c>
      <c r="K1030">
        <v>0.98040000000000005</v>
      </c>
      <c r="L1030">
        <v>1.0195000000000001</v>
      </c>
      <c r="M1030">
        <v>53.140500000000003</v>
      </c>
      <c r="N1030">
        <v>6.3308999999999997</v>
      </c>
      <c r="O1030">
        <v>7.9744999999999999</v>
      </c>
      <c r="P1030">
        <v>3442.5956999999999</v>
      </c>
      <c r="Q1030">
        <v>3275.4542999999999</v>
      </c>
    </row>
    <row r="1031" spans="1:17" x14ac:dyDescent="0.3">
      <c r="A1031" s="1">
        <v>45887</v>
      </c>
      <c r="B1031">
        <v>3331.7</v>
      </c>
      <c r="C1031">
        <v>3347.8</v>
      </c>
      <c r="D1031">
        <v>3331.7</v>
      </c>
      <c r="E1031">
        <v>3333.5</v>
      </c>
      <c r="F1031">
        <v>646</v>
      </c>
      <c r="G1031">
        <v>3366.4</v>
      </c>
      <c r="H1031">
        <v>3349.6367</v>
      </c>
      <c r="I1031">
        <v>3323.6122</v>
      </c>
      <c r="J1031">
        <v>-0.39739999999999998</v>
      </c>
      <c r="K1031">
        <v>0.9768</v>
      </c>
      <c r="L1031">
        <v>1.0014000000000001</v>
      </c>
      <c r="M1031">
        <v>51.522500000000001</v>
      </c>
      <c r="N1031">
        <v>3.7437</v>
      </c>
      <c r="O1031">
        <v>7.1284000000000001</v>
      </c>
      <c r="P1031">
        <v>3442.4596999999999</v>
      </c>
      <c r="Q1031">
        <v>3273.9101999999998</v>
      </c>
    </row>
    <row r="1032" spans="1:17" x14ac:dyDescent="0.3">
      <c r="A1032" s="1">
        <v>45888</v>
      </c>
      <c r="B1032">
        <v>3313.3998999999999</v>
      </c>
      <c r="C1032">
        <v>3343.5</v>
      </c>
      <c r="D1032">
        <v>3313.3998999999999</v>
      </c>
      <c r="E1032">
        <v>3330.2</v>
      </c>
      <c r="F1032">
        <v>1655</v>
      </c>
      <c r="G1032">
        <v>3350.8856999999998</v>
      </c>
      <c r="H1032">
        <v>3349.63</v>
      </c>
      <c r="I1032">
        <v>3326.46</v>
      </c>
      <c r="J1032">
        <v>-9.9000000000000005E-2</v>
      </c>
      <c r="K1032">
        <v>0.5867</v>
      </c>
      <c r="L1032">
        <v>0.99229999999999996</v>
      </c>
      <c r="M1032">
        <v>50.6614</v>
      </c>
      <c r="N1032">
        <v>1.4108000000000001</v>
      </c>
      <c r="O1032">
        <v>5.9848999999999997</v>
      </c>
      <c r="P1032">
        <v>3435.4539</v>
      </c>
      <c r="Q1032">
        <v>3272.8361</v>
      </c>
    </row>
    <row r="1033" spans="1:17" x14ac:dyDescent="0.3">
      <c r="A1033" s="1">
        <v>45889</v>
      </c>
      <c r="B1033">
        <v>3343.3998999999999</v>
      </c>
      <c r="C1033">
        <v>3343.5</v>
      </c>
      <c r="D1033">
        <v>3310.1001000000001</v>
      </c>
      <c r="E1033">
        <v>3310.6001000000001</v>
      </c>
      <c r="F1033">
        <v>1213</v>
      </c>
      <c r="G1033">
        <v>3340.4142999999999</v>
      </c>
      <c r="H1033">
        <v>3350.3366999999998</v>
      </c>
      <c r="I1033">
        <v>3327.8878</v>
      </c>
      <c r="J1033">
        <v>-0.58850000000000002</v>
      </c>
      <c r="K1033">
        <v>0.32579999999999998</v>
      </c>
      <c r="L1033">
        <v>0.97140000000000004</v>
      </c>
      <c r="M1033">
        <v>56.298099999999998</v>
      </c>
      <c r="N1033">
        <v>-1.9964999999999999</v>
      </c>
      <c r="O1033">
        <v>4.3886000000000003</v>
      </c>
      <c r="P1033">
        <v>3423.2501999999999</v>
      </c>
      <c r="Q1033">
        <v>3273.0698000000002</v>
      </c>
    </row>
    <row r="1034" spans="1:17" x14ac:dyDescent="0.3">
      <c r="A1034" s="1">
        <v>45890</v>
      </c>
      <c r="B1034">
        <v>3336.8998999999999</v>
      </c>
      <c r="C1034">
        <v>3349.3998999999999</v>
      </c>
      <c r="D1034">
        <v>3326.5</v>
      </c>
      <c r="E1034">
        <v>3349.3998999999999</v>
      </c>
      <c r="F1034">
        <v>142</v>
      </c>
      <c r="G1034">
        <v>3339.4429</v>
      </c>
      <c r="H1034">
        <v>3351.1967</v>
      </c>
      <c r="I1034">
        <v>3329.3755000000001</v>
      </c>
      <c r="J1034">
        <v>1.1719999999999999</v>
      </c>
      <c r="K1034">
        <v>0.57969999999999999</v>
      </c>
      <c r="L1034">
        <v>0.97640000000000005</v>
      </c>
      <c r="M1034">
        <v>59.729100000000003</v>
      </c>
      <c r="N1034">
        <v>-1.5482</v>
      </c>
      <c r="O1034">
        <v>3.2012</v>
      </c>
      <c r="P1034">
        <v>3421.8512999999998</v>
      </c>
      <c r="Q1034">
        <v>3272.7087000000001</v>
      </c>
    </row>
    <row r="1035" spans="1:17" x14ac:dyDescent="0.3">
      <c r="A1035" s="1">
        <v>45891</v>
      </c>
      <c r="B1035">
        <v>3374.3998999999999</v>
      </c>
      <c r="C1035">
        <v>3377.7</v>
      </c>
      <c r="D1035">
        <v>3349.3998999999999</v>
      </c>
      <c r="E1035">
        <v>3349.3998999999999</v>
      </c>
      <c r="F1035">
        <v>1240</v>
      </c>
      <c r="G1035">
        <v>3338.1</v>
      </c>
      <c r="H1035">
        <v>3351.8267000000001</v>
      </c>
      <c r="I1035">
        <v>3330.8578000000002</v>
      </c>
      <c r="J1035">
        <v>0</v>
      </c>
      <c r="K1035">
        <v>0.57809999999999995</v>
      </c>
      <c r="L1035">
        <v>0.97589999999999999</v>
      </c>
      <c r="M1035">
        <v>46.261299999999999</v>
      </c>
      <c r="N1035">
        <v>-1.1793</v>
      </c>
      <c r="O1035">
        <v>2.3250999999999999</v>
      </c>
      <c r="P1035">
        <v>3422.1104</v>
      </c>
      <c r="Q1035">
        <v>3272.9895999999999</v>
      </c>
    </row>
    <row r="1036" spans="1:17" x14ac:dyDescent="0.3">
      <c r="A1036" s="1">
        <v>45894</v>
      </c>
      <c r="B1036">
        <v>3373.8</v>
      </c>
      <c r="C1036">
        <v>3378</v>
      </c>
      <c r="D1036">
        <v>3366</v>
      </c>
      <c r="E1036">
        <v>3366</v>
      </c>
      <c r="F1036">
        <v>1044</v>
      </c>
      <c r="G1036">
        <v>3340.8427999999999</v>
      </c>
      <c r="H1036">
        <v>3351.7932999999998</v>
      </c>
      <c r="I1036">
        <v>3332.2766999999999</v>
      </c>
      <c r="J1036">
        <v>0.49559999999999998</v>
      </c>
      <c r="K1036">
        <v>0.58950000000000002</v>
      </c>
      <c r="L1036">
        <v>0.95909999999999995</v>
      </c>
      <c r="M1036">
        <v>47.491</v>
      </c>
      <c r="N1036">
        <v>0.44729999999999998</v>
      </c>
      <c r="O1036">
        <v>1.9496</v>
      </c>
      <c r="P1036">
        <v>3423.8312999999998</v>
      </c>
      <c r="Q1036">
        <v>3275.2085999999999</v>
      </c>
    </row>
    <row r="1037" spans="1:17" x14ac:dyDescent="0.3">
      <c r="A1037" s="1">
        <v>45895</v>
      </c>
      <c r="B1037">
        <v>3388.6001000000001</v>
      </c>
      <c r="C1037">
        <v>3396.5</v>
      </c>
      <c r="D1037">
        <v>3371.1001000000001</v>
      </c>
      <c r="E1037">
        <v>3378.8998999999999</v>
      </c>
      <c r="F1037">
        <v>905</v>
      </c>
      <c r="G1037">
        <v>3345.4285</v>
      </c>
      <c r="H1037">
        <v>3353.0567000000001</v>
      </c>
      <c r="I1037">
        <v>3332.6532999999999</v>
      </c>
      <c r="J1037">
        <v>0.38319999999999999</v>
      </c>
      <c r="K1037">
        <v>0.59819999999999995</v>
      </c>
      <c r="L1037">
        <v>0.95009999999999994</v>
      </c>
      <c r="M1037">
        <v>49.653599999999997</v>
      </c>
      <c r="N1037">
        <v>2.7456999999999998</v>
      </c>
      <c r="O1037">
        <v>2.1088</v>
      </c>
      <c r="P1037">
        <v>3426.6444000000001</v>
      </c>
      <c r="Q1037">
        <v>3277.9454999999998</v>
      </c>
    </row>
    <row r="1038" spans="1:17" x14ac:dyDescent="0.3">
      <c r="A1038" s="1">
        <v>45896</v>
      </c>
      <c r="B1038">
        <v>3404.6001000000001</v>
      </c>
      <c r="C1038">
        <v>3404.6001000000001</v>
      </c>
      <c r="D1038">
        <v>3382</v>
      </c>
      <c r="E1038">
        <v>3397</v>
      </c>
      <c r="F1038">
        <v>3222</v>
      </c>
      <c r="G1038">
        <v>3354.5</v>
      </c>
      <c r="H1038">
        <v>3354.9167000000002</v>
      </c>
      <c r="I1038">
        <v>3333.2622000000001</v>
      </c>
      <c r="J1038">
        <v>0.53569999999999995</v>
      </c>
      <c r="K1038">
        <v>0.56179999999999997</v>
      </c>
      <c r="L1038">
        <v>0.95430000000000004</v>
      </c>
      <c r="M1038">
        <v>52.210500000000003</v>
      </c>
      <c r="N1038">
        <v>5.9591000000000003</v>
      </c>
      <c r="O1038">
        <v>2.8788999999999998</v>
      </c>
      <c r="P1038">
        <v>3431.6669000000002</v>
      </c>
      <c r="Q1038">
        <v>3280.0430999999999</v>
      </c>
    </row>
    <row r="1039" spans="1:17" x14ac:dyDescent="0.3">
      <c r="A1039" s="1">
        <v>45897</v>
      </c>
      <c r="B1039">
        <v>3431.8</v>
      </c>
      <c r="C1039">
        <v>3434.6001000000001</v>
      </c>
      <c r="D1039">
        <v>3400</v>
      </c>
      <c r="E1039">
        <v>3409</v>
      </c>
      <c r="F1039">
        <v>1035</v>
      </c>
      <c r="G1039">
        <v>3365.7570999999998</v>
      </c>
      <c r="H1039">
        <v>3358.09</v>
      </c>
      <c r="I1039">
        <v>3333.1154999999999</v>
      </c>
      <c r="J1039">
        <v>0.3533</v>
      </c>
      <c r="K1039">
        <v>0.53769999999999996</v>
      </c>
      <c r="L1039">
        <v>0.94089999999999996</v>
      </c>
      <c r="M1039">
        <v>43.572000000000003</v>
      </c>
      <c r="N1039">
        <v>9.3659999999999997</v>
      </c>
      <c r="O1039">
        <v>4.1763000000000003</v>
      </c>
      <c r="P1039">
        <v>3431.2042999999999</v>
      </c>
      <c r="Q1039">
        <v>3294.1156999999998</v>
      </c>
    </row>
    <row r="1040" spans="1:17" x14ac:dyDescent="0.3">
      <c r="A1040" s="1">
        <v>45898</v>
      </c>
      <c r="B1040">
        <v>3473.7</v>
      </c>
      <c r="C1040">
        <v>3475.6001000000001</v>
      </c>
      <c r="D1040">
        <v>3426.6001000000001</v>
      </c>
      <c r="E1040">
        <v>3432.5</v>
      </c>
      <c r="F1040">
        <v>0</v>
      </c>
      <c r="G1040">
        <v>3383.1714000000002</v>
      </c>
      <c r="H1040">
        <v>3361.2332999999999</v>
      </c>
      <c r="I1040">
        <v>3334.3521999999998</v>
      </c>
      <c r="J1040">
        <v>0.68940000000000001</v>
      </c>
      <c r="K1040">
        <v>0.35859999999999997</v>
      </c>
      <c r="L1040">
        <v>0.93989999999999996</v>
      </c>
      <c r="M1040">
        <v>62.125799999999998</v>
      </c>
      <c r="N1040">
        <v>13.8032</v>
      </c>
      <c r="O1040">
        <v>6.1017000000000001</v>
      </c>
      <c r="P1040">
        <v>3435.3135000000002</v>
      </c>
      <c r="Q1040">
        <v>3304.6365000000001</v>
      </c>
    </row>
    <row r="1041" spans="1:17" x14ac:dyDescent="0.3">
      <c r="A1041" s="1">
        <v>45902</v>
      </c>
      <c r="B1041">
        <v>3549.3998999999999</v>
      </c>
      <c r="C1041">
        <v>3559.2</v>
      </c>
      <c r="D1041">
        <v>3485.7</v>
      </c>
      <c r="E1041">
        <v>3485.7</v>
      </c>
      <c r="F1041">
        <v>658</v>
      </c>
      <c r="G1041">
        <v>3402.6428000000001</v>
      </c>
      <c r="H1041">
        <v>3365.7467000000001</v>
      </c>
      <c r="I1041">
        <v>3336.3555000000001</v>
      </c>
      <c r="J1041">
        <v>1.5499000000000001</v>
      </c>
      <c r="K1041">
        <v>0.48089999999999999</v>
      </c>
      <c r="L1041">
        <v>0.9758</v>
      </c>
      <c r="M1041">
        <v>78.6631</v>
      </c>
      <c r="N1041">
        <v>21.366099999999999</v>
      </c>
      <c r="O1041">
        <v>9.1546000000000003</v>
      </c>
      <c r="P1041">
        <v>3459.1898999999999</v>
      </c>
      <c r="Q1041">
        <v>3292.5700999999999</v>
      </c>
    </row>
    <row r="1042" spans="1:17" x14ac:dyDescent="0.3">
      <c r="A1042" s="1">
        <v>45903</v>
      </c>
      <c r="B1042">
        <v>3593.2</v>
      </c>
      <c r="C1042">
        <v>3593.7</v>
      </c>
      <c r="D1042">
        <v>3553.2</v>
      </c>
      <c r="E1042">
        <v>3554.8</v>
      </c>
      <c r="F1042">
        <v>72</v>
      </c>
      <c r="G1042">
        <v>3431.9857000000002</v>
      </c>
      <c r="H1042">
        <v>3370.54</v>
      </c>
      <c r="I1042">
        <v>3338.57</v>
      </c>
      <c r="J1042">
        <v>1.9823999999999999</v>
      </c>
      <c r="K1042">
        <v>0.64380000000000004</v>
      </c>
      <c r="L1042">
        <v>0.98629999999999995</v>
      </c>
      <c r="M1042">
        <v>83.515699999999995</v>
      </c>
      <c r="N1042">
        <v>32.560299999999998</v>
      </c>
      <c r="O1042">
        <v>13.835699999999999</v>
      </c>
      <c r="P1042">
        <v>3500.2431000000001</v>
      </c>
      <c r="Q1042">
        <v>3269.1468</v>
      </c>
    </row>
    <row r="1043" spans="1:17" x14ac:dyDescent="0.3">
      <c r="A1043" s="1">
        <v>45904</v>
      </c>
      <c r="B1043">
        <v>3565.8</v>
      </c>
      <c r="C1043">
        <v>3573.6001000000001</v>
      </c>
      <c r="D1043">
        <v>3549.8998999999999</v>
      </c>
      <c r="E1043">
        <v>3549.8998999999999</v>
      </c>
      <c r="F1043">
        <v>237</v>
      </c>
      <c r="G1043">
        <v>3458.2570999999998</v>
      </c>
      <c r="H1043">
        <v>3374.5266999999999</v>
      </c>
      <c r="I1043">
        <v>3341.5189</v>
      </c>
      <c r="J1043">
        <v>-0.13780000000000001</v>
      </c>
      <c r="K1043">
        <v>0.74009999999999998</v>
      </c>
      <c r="L1043">
        <v>0.98429999999999995</v>
      </c>
      <c r="M1043">
        <v>85.594099999999997</v>
      </c>
      <c r="N1043">
        <v>40.5687</v>
      </c>
      <c r="O1043">
        <v>19.182300000000001</v>
      </c>
      <c r="P1043">
        <v>3530.2406999999998</v>
      </c>
      <c r="Q1043">
        <v>3256.0693000000001</v>
      </c>
    </row>
    <row r="1044" spans="1:17" x14ac:dyDescent="0.3">
      <c r="A1044" s="1">
        <v>45905</v>
      </c>
      <c r="B1044">
        <v>3613.2</v>
      </c>
      <c r="C1044">
        <v>3613.2</v>
      </c>
      <c r="D1044">
        <v>3567.8</v>
      </c>
      <c r="E1044">
        <v>3567.8</v>
      </c>
      <c r="F1044">
        <v>925</v>
      </c>
      <c r="G1044">
        <v>3485.2429000000002</v>
      </c>
      <c r="H1044">
        <v>3381.22</v>
      </c>
      <c r="I1044">
        <v>3344.05</v>
      </c>
      <c r="J1044">
        <v>0.50419999999999998</v>
      </c>
      <c r="K1044">
        <v>0.73109999999999997</v>
      </c>
      <c r="L1044">
        <v>0.91349999999999998</v>
      </c>
      <c r="M1044">
        <v>86.444599999999994</v>
      </c>
      <c r="N1044">
        <v>47.808700000000002</v>
      </c>
      <c r="O1044">
        <v>24.907599999999999</v>
      </c>
      <c r="P1044">
        <v>3559.9301</v>
      </c>
      <c r="Q1044">
        <v>3244.6698999999999</v>
      </c>
    </row>
    <row r="1045" spans="1:17" x14ac:dyDescent="0.3">
      <c r="A1045" s="1">
        <v>45908</v>
      </c>
      <c r="B1045">
        <v>3638.1001000000001</v>
      </c>
      <c r="C1045">
        <v>3641</v>
      </c>
      <c r="D1045">
        <v>3590</v>
      </c>
      <c r="E1045">
        <v>3594.5</v>
      </c>
      <c r="F1045">
        <v>97</v>
      </c>
      <c r="G1045">
        <v>3513.4571000000001</v>
      </c>
      <c r="H1045">
        <v>3389.57</v>
      </c>
      <c r="I1045">
        <v>3347.1143999999999</v>
      </c>
      <c r="J1045">
        <v>0.74839999999999995</v>
      </c>
      <c r="K1045">
        <v>0.72350000000000003</v>
      </c>
      <c r="L1045">
        <v>0.90329999999999999</v>
      </c>
      <c r="M1045">
        <v>91.219200000000001</v>
      </c>
      <c r="N1045">
        <v>55.066200000000002</v>
      </c>
      <c r="O1045">
        <v>30.939299999999999</v>
      </c>
      <c r="P1045">
        <v>3589.2179000000001</v>
      </c>
      <c r="Q1045">
        <v>3230.9520000000002</v>
      </c>
    </row>
    <row r="1046" spans="1:17" x14ac:dyDescent="0.3">
      <c r="A1046" s="1">
        <v>45909</v>
      </c>
      <c r="B1046">
        <v>3643.3</v>
      </c>
      <c r="C1046">
        <v>3670.3998999999999</v>
      </c>
      <c r="D1046">
        <v>3627.8</v>
      </c>
      <c r="E1046">
        <v>3647.1001000000001</v>
      </c>
      <c r="F1046">
        <v>535</v>
      </c>
      <c r="G1046">
        <v>3547.4713999999999</v>
      </c>
      <c r="H1046">
        <v>3400.2532999999999</v>
      </c>
      <c r="I1046">
        <v>3351.2721999999999</v>
      </c>
      <c r="J1046">
        <v>1.4633</v>
      </c>
      <c r="K1046">
        <v>0.72760000000000002</v>
      </c>
      <c r="L1046">
        <v>0.91779999999999995</v>
      </c>
      <c r="M1046">
        <v>93.304199999999994</v>
      </c>
      <c r="N1046">
        <v>64.320700000000002</v>
      </c>
      <c r="O1046">
        <v>37.615600000000001</v>
      </c>
      <c r="P1046">
        <v>3630.7096999999999</v>
      </c>
      <c r="Q1046">
        <v>3215.7802999999999</v>
      </c>
    </row>
    <row r="1047" spans="1:17" x14ac:dyDescent="0.3">
      <c r="A1047" s="1">
        <v>45910</v>
      </c>
      <c r="B1047">
        <v>3643.6001000000001</v>
      </c>
      <c r="C1047">
        <v>3655.3998999999999</v>
      </c>
      <c r="D1047">
        <v>3620.8</v>
      </c>
      <c r="E1047">
        <v>3625</v>
      </c>
      <c r="F1047">
        <v>136</v>
      </c>
      <c r="G1047">
        <v>3574.9713999999999</v>
      </c>
      <c r="H1047">
        <v>3410.3067000000001</v>
      </c>
      <c r="I1047">
        <v>3355.5511000000001</v>
      </c>
      <c r="J1047">
        <v>-0.60599999999999998</v>
      </c>
      <c r="K1047">
        <v>0.94389999999999996</v>
      </c>
      <c r="L1047">
        <v>0.93020000000000003</v>
      </c>
      <c r="M1047">
        <v>92.671000000000006</v>
      </c>
      <c r="N1047">
        <v>69.075400000000002</v>
      </c>
      <c r="O1047">
        <v>43.907600000000002</v>
      </c>
      <c r="P1047">
        <v>3660.0774999999999</v>
      </c>
      <c r="Q1047">
        <v>3213.2925</v>
      </c>
    </row>
    <row r="1048" spans="1:17" x14ac:dyDescent="0.3">
      <c r="A1048" s="1">
        <v>45911</v>
      </c>
      <c r="B1048">
        <v>3636.8998999999999</v>
      </c>
      <c r="C1048">
        <v>3636.8998999999999</v>
      </c>
      <c r="D1048">
        <v>3618.3998999999999</v>
      </c>
      <c r="E1048">
        <v>3632.8998999999999</v>
      </c>
      <c r="F1048">
        <v>307</v>
      </c>
      <c r="G1048">
        <v>3596</v>
      </c>
      <c r="H1048">
        <v>3420.5432999999998</v>
      </c>
      <c r="I1048">
        <v>3359.8867</v>
      </c>
      <c r="J1048">
        <v>0.21790000000000001</v>
      </c>
      <c r="K1048">
        <v>0.89739999999999998</v>
      </c>
      <c r="L1048">
        <v>0.9294</v>
      </c>
      <c r="M1048">
        <v>91.999899999999997</v>
      </c>
      <c r="N1048">
        <v>72.643699999999995</v>
      </c>
      <c r="O1048">
        <v>49.654800000000002</v>
      </c>
      <c r="P1048">
        <v>3686.9097999999999</v>
      </c>
      <c r="Q1048">
        <v>3213.8701999999998</v>
      </c>
    </row>
    <row r="1049" spans="1:17" x14ac:dyDescent="0.3">
      <c r="A1049" s="1">
        <v>45912</v>
      </c>
      <c r="B1049">
        <v>3649.3998999999999</v>
      </c>
      <c r="C1049">
        <v>3656.8</v>
      </c>
      <c r="D1049">
        <v>3643</v>
      </c>
      <c r="E1049">
        <v>3655.5</v>
      </c>
      <c r="F1049">
        <v>1300</v>
      </c>
      <c r="G1049">
        <v>3610.3856999999998</v>
      </c>
      <c r="H1049">
        <v>3433.2966999999999</v>
      </c>
      <c r="I1049">
        <v>3363.1089000000002</v>
      </c>
      <c r="J1049">
        <v>0.62209999999999999</v>
      </c>
      <c r="K1049">
        <v>0.66420000000000001</v>
      </c>
      <c r="L1049">
        <v>0.85940000000000005</v>
      </c>
      <c r="M1049">
        <v>92.501999999999995</v>
      </c>
      <c r="N1049">
        <v>76.414299999999997</v>
      </c>
      <c r="O1049">
        <v>55.006700000000002</v>
      </c>
      <c r="P1049">
        <v>3713.89</v>
      </c>
      <c r="Q1049">
        <v>3217.76</v>
      </c>
    </row>
    <row r="1050" spans="1:17" x14ac:dyDescent="0.3">
      <c r="A1050" s="1">
        <v>45915</v>
      </c>
      <c r="B1050">
        <v>3682.2</v>
      </c>
      <c r="C1050">
        <v>3686.3998999999999</v>
      </c>
      <c r="D1050">
        <v>3635.1001000000001</v>
      </c>
      <c r="E1050">
        <v>3640</v>
      </c>
      <c r="F1050">
        <v>210</v>
      </c>
      <c r="G1050">
        <v>3623.2570999999998</v>
      </c>
      <c r="H1050">
        <v>3445.09</v>
      </c>
      <c r="I1050">
        <v>3365.5677999999998</v>
      </c>
      <c r="J1050">
        <v>-0.42399999999999999</v>
      </c>
      <c r="K1050">
        <v>0.71009999999999995</v>
      </c>
      <c r="L1050">
        <v>0.87160000000000004</v>
      </c>
      <c r="M1050">
        <v>88.161500000000004</v>
      </c>
      <c r="N1050">
        <v>77.261200000000002</v>
      </c>
      <c r="O1050">
        <v>59.457599999999999</v>
      </c>
      <c r="P1050">
        <v>3733.5374999999999</v>
      </c>
      <c r="Q1050">
        <v>3227.4324999999999</v>
      </c>
    </row>
    <row r="1051" spans="1:17" x14ac:dyDescent="0.3">
      <c r="A1051" s="1">
        <v>45916</v>
      </c>
      <c r="B1051">
        <v>3688.8998999999999</v>
      </c>
      <c r="C1051">
        <v>3698.6001000000001</v>
      </c>
      <c r="D1051">
        <v>3681.3998999999999</v>
      </c>
      <c r="E1051">
        <v>3681.3998999999999</v>
      </c>
      <c r="F1051">
        <v>373</v>
      </c>
      <c r="G1051">
        <v>3639.4857000000002</v>
      </c>
      <c r="H1051">
        <v>3455.55</v>
      </c>
      <c r="I1051">
        <v>3368.8056000000001</v>
      </c>
      <c r="J1051">
        <v>1.1374</v>
      </c>
      <c r="K1051">
        <v>0.76929999999999998</v>
      </c>
      <c r="L1051">
        <v>0.78900000000000003</v>
      </c>
      <c r="M1051">
        <v>89.032200000000003</v>
      </c>
      <c r="N1051">
        <v>80.346800000000002</v>
      </c>
      <c r="O1051">
        <v>63.635399999999997</v>
      </c>
      <c r="P1051">
        <v>3756.1655999999998</v>
      </c>
      <c r="Q1051">
        <v>3239.5944</v>
      </c>
    </row>
    <row r="1052" spans="1:17" x14ac:dyDescent="0.3">
      <c r="A1052" s="1">
        <v>45917</v>
      </c>
      <c r="B1052">
        <v>3681.8</v>
      </c>
      <c r="C1052">
        <v>3685.2</v>
      </c>
      <c r="D1052">
        <v>3661.6001000000001</v>
      </c>
      <c r="E1052">
        <v>3669</v>
      </c>
      <c r="F1052">
        <v>183</v>
      </c>
      <c r="G1052">
        <v>3650.1286</v>
      </c>
      <c r="H1052">
        <v>3465.2332999999999</v>
      </c>
      <c r="I1052">
        <v>3372.9167000000002</v>
      </c>
      <c r="J1052">
        <v>-0.33679999999999999</v>
      </c>
      <c r="K1052">
        <v>0.80779999999999996</v>
      </c>
      <c r="L1052">
        <v>0.79749999999999999</v>
      </c>
      <c r="M1052">
        <v>85.620699999999999</v>
      </c>
      <c r="N1052">
        <v>80.859499999999997</v>
      </c>
      <c r="O1052">
        <v>67.080299999999994</v>
      </c>
      <c r="P1052">
        <v>3771.2348000000002</v>
      </c>
      <c r="Q1052">
        <v>3258.4052000000001</v>
      </c>
    </row>
    <row r="1053" spans="1:17" x14ac:dyDescent="0.3">
      <c r="A1053" s="1">
        <v>45918</v>
      </c>
      <c r="B1053">
        <v>3643.7</v>
      </c>
      <c r="C1053">
        <v>3667.3998999999999</v>
      </c>
      <c r="D1053">
        <v>3637</v>
      </c>
      <c r="E1053">
        <v>3654.6001000000001</v>
      </c>
      <c r="F1053">
        <v>80</v>
      </c>
      <c r="G1053">
        <v>3651.2</v>
      </c>
      <c r="H1053">
        <v>3474.3633</v>
      </c>
      <c r="I1053">
        <v>3376.8489</v>
      </c>
      <c r="J1053">
        <v>-0.39250000000000002</v>
      </c>
      <c r="K1053">
        <v>0.65010000000000001</v>
      </c>
      <c r="L1053">
        <v>0.80610000000000004</v>
      </c>
      <c r="M1053">
        <v>81.962500000000006</v>
      </c>
      <c r="N1053">
        <v>79.191000000000003</v>
      </c>
      <c r="O1053">
        <v>69.502399999999994</v>
      </c>
      <c r="P1053">
        <v>3776.6342</v>
      </c>
      <c r="Q1053">
        <v>3287.4058</v>
      </c>
    </row>
    <row r="1054" spans="1:17" x14ac:dyDescent="0.3">
      <c r="A1054" s="1">
        <v>45919</v>
      </c>
      <c r="B1054">
        <v>3671.5</v>
      </c>
      <c r="C1054">
        <v>3685.8998999999999</v>
      </c>
      <c r="D1054">
        <v>3658.2</v>
      </c>
      <c r="E1054">
        <v>3659</v>
      </c>
      <c r="F1054">
        <v>211</v>
      </c>
      <c r="G1054">
        <v>3656.0571</v>
      </c>
      <c r="H1054">
        <v>3483.5</v>
      </c>
      <c r="I1054">
        <v>3381.5933</v>
      </c>
      <c r="J1054">
        <v>0.12039999999999999</v>
      </c>
      <c r="K1054">
        <v>0.58630000000000004</v>
      </c>
      <c r="L1054">
        <v>0.80610000000000004</v>
      </c>
      <c r="M1054">
        <v>81.018900000000002</v>
      </c>
      <c r="N1054">
        <v>77.332300000000004</v>
      </c>
      <c r="O1054">
        <v>71.068399999999997</v>
      </c>
      <c r="P1054">
        <v>3782.4479999999999</v>
      </c>
      <c r="Q1054">
        <v>3312.5520000000001</v>
      </c>
    </row>
    <row r="1055" spans="1:17" x14ac:dyDescent="0.3">
      <c r="A1055" s="1">
        <v>45922</v>
      </c>
      <c r="B1055">
        <v>3740.7</v>
      </c>
      <c r="C1055">
        <v>3748.2</v>
      </c>
      <c r="D1055">
        <v>3688</v>
      </c>
      <c r="E1055">
        <v>3688.2</v>
      </c>
      <c r="F1055">
        <v>410</v>
      </c>
      <c r="G1055">
        <v>3663.9571000000001</v>
      </c>
      <c r="H1055">
        <v>3491.8132999999998</v>
      </c>
      <c r="I1055">
        <v>3386.6511</v>
      </c>
      <c r="J1055">
        <v>0.79800000000000004</v>
      </c>
      <c r="K1055">
        <v>0.63859999999999995</v>
      </c>
      <c r="L1055">
        <v>0.77329999999999999</v>
      </c>
      <c r="M1055">
        <v>79.683400000000006</v>
      </c>
      <c r="N1055">
        <v>77.324100000000001</v>
      </c>
      <c r="O1055">
        <v>72.319500000000005</v>
      </c>
      <c r="P1055">
        <v>3787.819</v>
      </c>
      <c r="Q1055">
        <v>3341.0610000000001</v>
      </c>
    </row>
    <row r="1056" spans="1:17" x14ac:dyDescent="0.3">
      <c r="A1056" s="1">
        <v>45923</v>
      </c>
      <c r="B1056">
        <v>3780.6001000000001</v>
      </c>
      <c r="C1056">
        <v>3786</v>
      </c>
      <c r="D1056">
        <v>3740</v>
      </c>
      <c r="E1056">
        <v>3747</v>
      </c>
      <c r="F1056">
        <v>627</v>
      </c>
      <c r="G1056">
        <v>3677.0286000000001</v>
      </c>
      <c r="H1056">
        <v>3503.9167000000002</v>
      </c>
      <c r="I1056">
        <v>3393.2732999999998</v>
      </c>
      <c r="J1056">
        <v>1.5943000000000001</v>
      </c>
      <c r="K1056">
        <v>0.82089999999999996</v>
      </c>
      <c r="L1056">
        <v>0.73070000000000002</v>
      </c>
      <c r="M1056">
        <v>79.050799999999995</v>
      </c>
      <c r="N1056">
        <v>81.127099999999999</v>
      </c>
      <c r="O1056">
        <v>74.081100000000006</v>
      </c>
      <c r="P1056">
        <v>3800.5070999999998</v>
      </c>
      <c r="Q1056">
        <v>3366.4729000000002</v>
      </c>
    </row>
    <row r="1057" spans="1:17" x14ac:dyDescent="0.3">
      <c r="A1057" s="1">
        <v>45924</v>
      </c>
      <c r="B1057">
        <v>3732.1001000000001</v>
      </c>
      <c r="C1057">
        <v>3772.5</v>
      </c>
      <c r="D1057">
        <v>3732.1001000000001</v>
      </c>
      <c r="E1057">
        <v>3769.8</v>
      </c>
      <c r="F1057">
        <v>588</v>
      </c>
      <c r="G1057">
        <v>3695.5713999999998</v>
      </c>
      <c r="H1057">
        <v>3517.7033000000001</v>
      </c>
      <c r="I1057">
        <v>3399.2966999999999</v>
      </c>
      <c r="J1057">
        <v>0.60850000000000004</v>
      </c>
      <c r="K1057">
        <v>0.74670000000000003</v>
      </c>
      <c r="L1057">
        <v>0.69830000000000003</v>
      </c>
      <c r="M1057">
        <v>81.531400000000005</v>
      </c>
      <c r="N1057">
        <v>85.001000000000005</v>
      </c>
      <c r="O1057">
        <v>76.265000000000001</v>
      </c>
      <c r="P1057">
        <v>3812.7577000000001</v>
      </c>
      <c r="Q1057">
        <v>3393.3123000000001</v>
      </c>
    </row>
    <row r="1058" spans="1:17" x14ac:dyDescent="0.3">
      <c r="A1058" s="1">
        <v>45925</v>
      </c>
      <c r="B1058">
        <v>3736.8998999999999</v>
      </c>
      <c r="C1058">
        <v>3756</v>
      </c>
      <c r="D1058">
        <v>3724.7</v>
      </c>
      <c r="E1058">
        <v>3742.8</v>
      </c>
      <c r="F1058">
        <v>1899</v>
      </c>
      <c r="G1058">
        <v>3704.3429000000001</v>
      </c>
      <c r="H1058">
        <v>3530.5032999999999</v>
      </c>
      <c r="I1058">
        <v>3404.9456</v>
      </c>
      <c r="J1058">
        <v>-0.71619999999999995</v>
      </c>
      <c r="K1058">
        <v>0.81059999999999999</v>
      </c>
      <c r="L1058">
        <v>0.72499999999999998</v>
      </c>
      <c r="M1058">
        <v>74.454999999999998</v>
      </c>
      <c r="N1058">
        <v>84.913499999999999</v>
      </c>
      <c r="O1058">
        <v>77.994699999999995</v>
      </c>
      <c r="P1058">
        <v>3815.0054</v>
      </c>
      <c r="Q1058">
        <v>3425.6446000000001</v>
      </c>
    </row>
    <row r="1059" spans="1:17" x14ac:dyDescent="0.3">
      <c r="A1059" s="1">
        <v>45926</v>
      </c>
      <c r="B1059">
        <v>3775.3</v>
      </c>
      <c r="C1059">
        <v>3775.3</v>
      </c>
      <c r="D1059">
        <v>3775.3</v>
      </c>
      <c r="E1059">
        <v>3775.3</v>
      </c>
      <c r="F1059">
        <v>19308</v>
      </c>
      <c r="G1059">
        <v>3719.5286000000001</v>
      </c>
      <c r="H1059">
        <v>3544.7867000000001</v>
      </c>
      <c r="I1059">
        <v>3411.1266999999998</v>
      </c>
      <c r="J1059">
        <v>0.86829999999999996</v>
      </c>
      <c r="K1059">
        <v>0.79569999999999996</v>
      </c>
      <c r="L1059">
        <v>0.71750000000000003</v>
      </c>
      <c r="M1059">
        <v>74.862499999999997</v>
      </c>
      <c r="N1059">
        <v>86.469899999999996</v>
      </c>
      <c r="O1059">
        <v>79.689800000000005</v>
      </c>
      <c r="P1059">
        <v>3817.9236000000001</v>
      </c>
      <c r="Q1059">
        <v>3459.3564000000001</v>
      </c>
    </row>
    <row r="1060" spans="1:17" x14ac:dyDescent="0.3">
      <c r="A1060" s="1">
        <v>45929</v>
      </c>
      <c r="B1060">
        <v>3820.8998999999999</v>
      </c>
      <c r="C1060">
        <v>3827.6001000000001</v>
      </c>
      <c r="D1060">
        <v>3754.8</v>
      </c>
      <c r="E1060">
        <v>3754.8</v>
      </c>
      <c r="F1060">
        <v>8860</v>
      </c>
      <c r="G1060">
        <v>3733.8429000000001</v>
      </c>
      <c r="H1060">
        <v>3558.3867</v>
      </c>
      <c r="I1060">
        <v>3416.2532999999999</v>
      </c>
      <c r="J1060">
        <v>-0.54300000000000004</v>
      </c>
      <c r="K1060">
        <v>0.8226</v>
      </c>
      <c r="L1060">
        <v>0.73470000000000002</v>
      </c>
      <c r="M1060">
        <v>66.244299999999996</v>
      </c>
      <c r="N1060">
        <v>85.068600000000004</v>
      </c>
      <c r="O1060">
        <v>80.765500000000003</v>
      </c>
      <c r="P1060">
        <v>3812.6909999999998</v>
      </c>
      <c r="Q1060">
        <v>3496.819</v>
      </c>
    </row>
    <row r="1061" spans="1:17" x14ac:dyDescent="0.3">
      <c r="A1061" s="1">
        <v>45930</v>
      </c>
      <c r="B1061">
        <v>3840.8</v>
      </c>
      <c r="C1061">
        <v>3865.5</v>
      </c>
      <c r="D1061">
        <v>3793.3998999999999</v>
      </c>
      <c r="E1061">
        <v>3827.5</v>
      </c>
      <c r="F1061">
        <v>1611</v>
      </c>
      <c r="G1061">
        <v>3757.9142999999999</v>
      </c>
      <c r="H1061">
        <v>3574.8533000000002</v>
      </c>
      <c r="I1061">
        <v>3421.8110999999999</v>
      </c>
      <c r="J1061">
        <v>1.9361999999999999</v>
      </c>
      <c r="K1061">
        <v>0.99219999999999997</v>
      </c>
      <c r="L1061">
        <v>0.77139999999999997</v>
      </c>
      <c r="M1061">
        <v>76.4983</v>
      </c>
      <c r="N1061">
        <v>88.800700000000006</v>
      </c>
      <c r="O1061">
        <v>82.372600000000006</v>
      </c>
      <c r="P1061">
        <v>3826.6983</v>
      </c>
      <c r="Q1061">
        <v>3516.9917</v>
      </c>
    </row>
    <row r="1062" spans="1:17" x14ac:dyDescent="0.3">
      <c r="A1062" s="1">
        <v>45931</v>
      </c>
      <c r="B1062">
        <v>3867.5</v>
      </c>
      <c r="C1062">
        <v>3891.8998999999999</v>
      </c>
      <c r="D1062">
        <v>3853.3</v>
      </c>
      <c r="E1062">
        <v>3863.5</v>
      </c>
      <c r="F1062">
        <v>1778</v>
      </c>
      <c r="G1062">
        <v>3782.9571999999998</v>
      </c>
      <c r="H1062">
        <v>3592.63</v>
      </c>
      <c r="I1062">
        <v>3427.7611000000002</v>
      </c>
      <c r="J1062">
        <v>0.94059999999999999</v>
      </c>
      <c r="K1062">
        <v>0.99719999999999998</v>
      </c>
      <c r="L1062">
        <v>0.76859999999999995</v>
      </c>
      <c r="M1062">
        <v>78.1083</v>
      </c>
      <c r="N1062">
        <v>93.584500000000006</v>
      </c>
      <c r="O1062">
        <v>84.614900000000006</v>
      </c>
      <c r="P1062">
        <v>3854.0891000000001</v>
      </c>
      <c r="Q1062">
        <v>3520.4708999999998</v>
      </c>
    </row>
    <row r="1063" spans="1:17" x14ac:dyDescent="0.3">
      <c r="A1063" s="1">
        <v>45932</v>
      </c>
      <c r="B1063">
        <v>3839.7</v>
      </c>
      <c r="C1063">
        <v>3888.6001000000001</v>
      </c>
      <c r="D1063">
        <v>3823.7</v>
      </c>
      <c r="E1063">
        <v>3856.2</v>
      </c>
      <c r="F1063">
        <v>3418</v>
      </c>
      <c r="G1063">
        <v>3798.5572000000002</v>
      </c>
      <c r="H1063">
        <v>3610.8166999999999</v>
      </c>
      <c r="I1063">
        <v>3433.58</v>
      </c>
      <c r="J1063">
        <v>-0.18890000000000001</v>
      </c>
      <c r="K1063">
        <v>0.94830000000000003</v>
      </c>
      <c r="L1063">
        <v>0.75239999999999996</v>
      </c>
      <c r="M1063">
        <v>75.411500000000004</v>
      </c>
      <c r="N1063">
        <v>95.683599999999998</v>
      </c>
      <c r="O1063">
        <v>86.828699999999998</v>
      </c>
      <c r="P1063">
        <v>3872.5113000000001</v>
      </c>
      <c r="Q1063">
        <v>3532.6788000000001</v>
      </c>
    </row>
    <row r="1064" spans="1:17" x14ac:dyDescent="0.3">
      <c r="A1064" s="1">
        <v>45933</v>
      </c>
      <c r="B1064">
        <v>3880.8</v>
      </c>
      <c r="C1064">
        <v>3886.8</v>
      </c>
      <c r="D1064">
        <v>3853.7</v>
      </c>
      <c r="E1064">
        <v>3855.2</v>
      </c>
      <c r="F1064">
        <v>392</v>
      </c>
      <c r="G1064">
        <v>3810.7570999999998</v>
      </c>
      <c r="H1064">
        <v>3627.6767</v>
      </c>
      <c r="I1064">
        <v>3439.82</v>
      </c>
      <c r="J1064">
        <v>-2.5899999999999999E-2</v>
      </c>
      <c r="K1064">
        <v>0.95699999999999996</v>
      </c>
      <c r="L1064">
        <v>0.74790000000000001</v>
      </c>
      <c r="M1064">
        <v>78.286000000000001</v>
      </c>
      <c r="N1064">
        <v>96.158100000000005</v>
      </c>
      <c r="O1064">
        <v>88.694599999999994</v>
      </c>
      <c r="P1064">
        <v>3887.4926</v>
      </c>
      <c r="Q1064">
        <v>3546.4373999999998</v>
      </c>
    </row>
    <row r="1065" spans="1:17" x14ac:dyDescent="0.3">
      <c r="A1065" s="1">
        <v>45936</v>
      </c>
      <c r="B1065">
        <v>3948.5</v>
      </c>
      <c r="C1065">
        <v>3960</v>
      </c>
      <c r="D1065">
        <v>3926.8</v>
      </c>
      <c r="E1065">
        <v>3931.3</v>
      </c>
      <c r="F1065">
        <v>1267</v>
      </c>
      <c r="G1065">
        <v>3837.6857</v>
      </c>
      <c r="H1065">
        <v>3647.0733</v>
      </c>
      <c r="I1065">
        <v>3447.0156000000002</v>
      </c>
      <c r="J1065">
        <v>1.974</v>
      </c>
      <c r="K1065">
        <v>1.0082</v>
      </c>
      <c r="L1065">
        <v>0.79059999999999997</v>
      </c>
      <c r="M1065">
        <v>80.101200000000006</v>
      </c>
      <c r="N1065">
        <v>101.5047</v>
      </c>
      <c r="O1065">
        <v>91.256600000000006</v>
      </c>
      <c r="P1065">
        <v>3919.2766000000001</v>
      </c>
      <c r="Q1065">
        <v>3548.3335000000002</v>
      </c>
    </row>
    <row r="1066" spans="1:17" x14ac:dyDescent="0.3">
      <c r="A1066" s="1">
        <v>45937</v>
      </c>
      <c r="B1066">
        <v>3976.6001000000001</v>
      </c>
      <c r="C1066">
        <v>3981.5</v>
      </c>
      <c r="D1066">
        <v>3940</v>
      </c>
      <c r="E1066">
        <v>3959.3998999999999</v>
      </c>
      <c r="F1066">
        <v>2903</v>
      </c>
      <c r="G1066">
        <v>3863.9857000000002</v>
      </c>
      <c r="H1066">
        <v>3666.8533000000002</v>
      </c>
      <c r="I1066">
        <v>3454.1743999999999</v>
      </c>
      <c r="J1066">
        <v>0.71479999999999999</v>
      </c>
      <c r="K1066">
        <v>1.0058</v>
      </c>
      <c r="L1066">
        <v>0.79120000000000001</v>
      </c>
      <c r="M1066">
        <v>83.704700000000003</v>
      </c>
      <c r="N1066">
        <v>106.7784</v>
      </c>
      <c r="O1066">
        <v>94.361000000000004</v>
      </c>
      <c r="P1066">
        <v>3955.5866999999998</v>
      </c>
      <c r="Q1066">
        <v>3543.2532999999999</v>
      </c>
    </row>
    <row r="1067" spans="1:17" x14ac:dyDescent="0.3">
      <c r="A1067" s="1">
        <v>45938</v>
      </c>
      <c r="B1067">
        <v>4043.3</v>
      </c>
      <c r="C1067">
        <v>4049.2</v>
      </c>
      <c r="D1067">
        <v>3987.2</v>
      </c>
      <c r="E1067">
        <v>3987.2</v>
      </c>
      <c r="F1067">
        <v>2179</v>
      </c>
      <c r="G1067">
        <v>3897.1857</v>
      </c>
      <c r="H1067">
        <v>3687.13</v>
      </c>
      <c r="I1067">
        <v>3461.8444</v>
      </c>
      <c r="J1067">
        <v>0.70209999999999995</v>
      </c>
      <c r="K1067">
        <v>0.85019999999999996</v>
      </c>
      <c r="L1067">
        <v>0.79100000000000004</v>
      </c>
      <c r="M1067">
        <v>87.438100000000006</v>
      </c>
      <c r="N1067">
        <v>111.9111</v>
      </c>
      <c r="O1067">
        <v>97.870999999999995</v>
      </c>
      <c r="P1067">
        <v>3990.6169</v>
      </c>
      <c r="Q1067">
        <v>3544.4431</v>
      </c>
    </row>
    <row r="1068" spans="1:17" x14ac:dyDescent="0.3">
      <c r="A1068" s="1">
        <v>45939</v>
      </c>
      <c r="B1068">
        <v>3946.3</v>
      </c>
      <c r="C1068">
        <v>4046.2</v>
      </c>
      <c r="D1068">
        <v>3940</v>
      </c>
      <c r="E1068">
        <v>4011.2</v>
      </c>
      <c r="F1068">
        <v>3130</v>
      </c>
      <c r="G1068">
        <v>3923.4285</v>
      </c>
      <c r="H1068">
        <v>3707.6033000000002</v>
      </c>
      <c r="I1068">
        <v>3468.8011000000001</v>
      </c>
      <c r="J1068">
        <v>0.60189999999999999</v>
      </c>
      <c r="K1068">
        <v>0.70750000000000002</v>
      </c>
      <c r="L1068">
        <v>0.79110000000000003</v>
      </c>
      <c r="M1068">
        <v>87.968900000000005</v>
      </c>
      <c r="N1068">
        <v>116.5716</v>
      </c>
      <c r="O1068">
        <v>101.61109999999999</v>
      </c>
      <c r="P1068">
        <v>4025.0774999999999</v>
      </c>
      <c r="Q1068">
        <v>3547.8123999999998</v>
      </c>
    </row>
    <row r="1069" spans="1:17" x14ac:dyDescent="0.3">
      <c r="A1069" s="1">
        <v>45940</v>
      </c>
      <c r="B1069">
        <v>3975.8998999999999</v>
      </c>
      <c r="C1069">
        <v>4012</v>
      </c>
      <c r="D1069">
        <v>3945.5</v>
      </c>
      <c r="E1069">
        <v>3957</v>
      </c>
      <c r="F1069">
        <v>1697</v>
      </c>
      <c r="G1069">
        <v>3936.7856999999999</v>
      </c>
      <c r="H1069">
        <v>3725.87</v>
      </c>
      <c r="I1069">
        <v>3475.49</v>
      </c>
      <c r="J1069">
        <v>-1.3512</v>
      </c>
      <c r="K1069">
        <v>1.0234000000000001</v>
      </c>
      <c r="L1069">
        <v>0.86419999999999997</v>
      </c>
      <c r="M1069">
        <v>77.495900000000006</v>
      </c>
      <c r="N1069">
        <v>114.57089999999999</v>
      </c>
      <c r="O1069">
        <v>104.20310000000001</v>
      </c>
      <c r="P1069">
        <v>4043.3935999999999</v>
      </c>
      <c r="Q1069">
        <v>3559.6464000000001</v>
      </c>
    </row>
    <row r="1070" spans="1:17" x14ac:dyDescent="0.3">
      <c r="A1070" s="1">
        <v>45943</v>
      </c>
      <c r="B1070">
        <v>4108.6000999999997</v>
      </c>
      <c r="C1070">
        <v>4111</v>
      </c>
      <c r="D1070">
        <v>4016</v>
      </c>
      <c r="E1070">
        <v>4016</v>
      </c>
      <c r="F1070">
        <v>1697</v>
      </c>
      <c r="G1070">
        <v>3959.6143000000002</v>
      </c>
      <c r="H1070">
        <v>3745.32</v>
      </c>
      <c r="I1070">
        <v>3482.6511</v>
      </c>
      <c r="J1070">
        <v>1.4910000000000001</v>
      </c>
      <c r="K1070">
        <v>1.0726</v>
      </c>
      <c r="L1070">
        <v>0.88239999999999996</v>
      </c>
      <c r="M1070">
        <v>77.505099999999999</v>
      </c>
      <c r="N1070">
        <v>116.40430000000001</v>
      </c>
      <c r="O1070">
        <v>106.6433</v>
      </c>
      <c r="P1070">
        <v>4067.7202000000002</v>
      </c>
      <c r="Q1070">
        <v>3572.9198000000001</v>
      </c>
    </row>
    <row r="1071" spans="1:17" x14ac:dyDescent="0.3">
      <c r="A1071" s="1">
        <v>45944</v>
      </c>
      <c r="B1071">
        <v>4138.7002000000002</v>
      </c>
      <c r="C1071">
        <v>4160.1000999999997</v>
      </c>
      <c r="D1071">
        <v>4085.8</v>
      </c>
      <c r="E1071">
        <v>4131.7002000000002</v>
      </c>
      <c r="F1071">
        <v>2424</v>
      </c>
      <c r="G1071">
        <v>3999.1143000000002</v>
      </c>
      <c r="H1071">
        <v>3766.8533000000002</v>
      </c>
      <c r="I1071">
        <v>3491.1777999999999</v>
      </c>
      <c r="J1071">
        <v>2.8809999999999998</v>
      </c>
      <c r="K1071">
        <v>1.3282</v>
      </c>
      <c r="L1071">
        <v>0.96509999999999996</v>
      </c>
      <c r="M1071">
        <v>81.096400000000003</v>
      </c>
      <c r="N1071">
        <v>125.74379999999999</v>
      </c>
      <c r="O1071">
        <v>110.46339999999999</v>
      </c>
      <c r="P1071">
        <v>4117.4650000000001</v>
      </c>
      <c r="Q1071">
        <v>3568.2049999999999</v>
      </c>
    </row>
    <row r="1072" spans="1:17" x14ac:dyDescent="0.3">
      <c r="A1072" s="1">
        <v>45945</v>
      </c>
      <c r="B1072">
        <v>4176.8999000000003</v>
      </c>
      <c r="C1072">
        <v>4210.6000999999997</v>
      </c>
      <c r="D1072">
        <v>4145</v>
      </c>
      <c r="E1072">
        <v>4145</v>
      </c>
      <c r="F1072">
        <v>3287</v>
      </c>
      <c r="G1072">
        <v>4029.6428999999998</v>
      </c>
      <c r="H1072">
        <v>3786.5266999999999</v>
      </c>
      <c r="I1072">
        <v>3500.3933000000002</v>
      </c>
      <c r="J1072">
        <v>0.32190000000000002</v>
      </c>
      <c r="K1072">
        <v>1.2723</v>
      </c>
      <c r="L1072">
        <v>0.9284</v>
      </c>
      <c r="M1072">
        <v>85.392499999999998</v>
      </c>
      <c r="N1072">
        <v>132.6891</v>
      </c>
      <c r="O1072">
        <v>114.90860000000001</v>
      </c>
      <c r="P1072">
        <v>4159.7163</v>
      </c>
      <c r="Q1072">
        <v>3573.5536999999999</v>
      </c>
    </row>
    <row r="1073" spans="1:17" x14ac:dyDescent="0.3">
      <c r="A1073" s="1">
        <v>45946</v>
      </c>
      <c r="B1073">
        <v>4280.2002000000002</v>
      </c>
      <c r="C1073">
        <v>4307</v>
      </c>
      <c r="D1073">
        <v>4196.6000999999997</v>
      </c>
      <c r="E1073">
        <v>4198.7997999999998</v>
      </c>
      <c r="F1073">
        <v>4705</v>
      </c>
      <c r="G1073">
        <v>4063.8427999999999</v>
      </c>
      <c r="H1073">
        <v>3808.1567</v>
      </c>
      <c r="I1073">
        <v>3510.3578000000002</v>
      </c>
      <c r="J1073">
        <v>1.2979000000000001</v>
      </c>
      <c r="K1073">
        <v>1.2874000000000001</v>
      </c>
      <c r="L1073">
        <v>0.9304</v>
      </c>
      <c r="M1073">
        <v>85.920299999999997</v>
      </c>
      <c r="N1073">
        <v>140.9102</v>
      </c>
      <c r="O1073">
        <v>120.10890000000001</v>
      </c>
      <c r="P1073">
        <v>4204.5576000000001</v>
      </c>
      <c r="Q1073">
        <v>3583.1324</v>
      </c>
    </row>
    <row r="1074" spans="1:17" x14ac:dyDescent="0.3">
      <c r="A1074" s="1">
        <v>45947</v>
      </c>
      <c r="B1074">
        <v>4189.8999000000003</v>
      </c>
      <c r="C1074">
        <v>4358</v>
      </c>
      <c r="D1074">
        <v>4182.2002000000002</v>
      </c>
      <c r="E1074">
        <v>4354.7002000000002</v>
      </c>
      <c r="F1074">
        <v>4060</v>
      </c>
      <c r="G1074">
        <v>4116.3428999999996</v>
      </c>
      <c r="H1074">
        <v>3834.3867</v>
      </c>
      <c r="I1074">
        <v>3521.7656000000002</v>
      </c>
      <c r="J1074">
        <v>3.7130000000000001</v>
      </c>
      <c r="K1074">
        <v>1.6747000000000001</v>
      </c>
      <c r="L1074">
        <v>1.0932999999999999</v>
      </c>
      <c r="M1074">
        <v>91.378100000000003</v>
      </c>
      <c r="N1074">
        <v>158.18180000000001</v>
      </c>
      <c r="O1074">
        <v>127.7235</v>
      </c>
      <c r="P1074">
        <v>4281.5460999999996</v>
      </c>
      <c r="Q1074">
        <v>3575.7139000000002</v>
      </c>
    </row>
    <row r="1075" spans="1:17" x14ac:dyDescent="0.3">
      <c r="A1075" s="1">
        <v>45950</v>
      </c>
      <c r="B1075">
        <v>4336.3999000000003</v>
      </c>
      <c r="C1075">
        <v>4356.6000999999997</v>
      </c>
      <c r="D1075">
        <v>4214.6000999999997</v>
      </c>
      <c r="E1075">
        <v>4244.1000999999997</v>
      </c>
      <c r="F1075">
        <v>1750</v>
      </c>
      <c r="G1075">
        <v>4149.6143000000002</v>
      </c>
      <c r="H1075">
        <v>3856.04</v>
      </c>
      <c r="I1075">
        <v>3531.5556000000001</v>
      </c>
      <c r="J1075">
        <v>-2.5398000000000001</v>
      </c>
      <c r="K1075">
        <v>2.2191000000000001</v>
      </c>
      <c r="L1075">
        <v>1.2403999999999999</v>
      </c>
      <c r="M1075">
        <v>77.307299999999998</v>
      </c>
      <c r="N1075">
        <v>161.0883</v>
      </c>
      <c r="O1075">
        <v>134.3964</v>
      </c>
      <c r="P1075">
        <v>4317.0896000000002</v>
      </c>
      <c r="Q1075">
        <v>3595.7604000000001</v>
      </c>
    </row>
    <row r="1076" spans="1:17" x14ac:dyDescent="0.3">
      <c r="A1076" s="1">
        <v>45951</v>
      </c>
      <c r="B1076">
        <v>4087.7</v>
      </c>
      <c r="C1076">
        <v>4332.7002000000002</v>
      </c>
      <c r="D1076">
        <v>4087.7</v>
      </c>
      <c r="E1076">
        <v>4332.7002000000002</v>
      </c>
      <c r="F1076">
        <v>2943</v>
      </c>
      <c r="G1076">
        <v>4203.2857999999997</v>
      </c>
      <c r="H1076">
        <v>3878.8933000000002</v>
      </c>
      <c r="I1076">
        <v>3541.8377999999998</v>
      </c>
      <c r="J1076">
        <v>2.0876000000000001</v>
      </c>
      <c r="K1076">
        <v>2.028</v>
      </c>
      <c r="L1076">
        <v>1.2611000000000001</v>
      </c>
      <c r="M1076">
        <v>78.771199999999993</v>
      </c>
      <c r="N1076">
        <v>168.5976</v>
      </c>
      <c r="O1076">
        <v>141.23670000000001</v>
      </c>
      <c r="P1076">
        <v>4369.1698999999999</v>
      </c>
      <c r="Q1076">
        <v>3602.2501999999999</v>
      </c>
    </row>
    <row r="1077" spans="1:17" x14ac:dyDescent="0.3">
      <c r="A1077" s="1">
        <v>45952</v>
      </c>
      <c r="B1077">
        <v>4044.3998999999999</v>
      </c>
      <c r="C1077">
        <v>4148.5</v>
      </c>
      <c r="D1077">
        <v>4006</v>
      </c>
      <c r="E1077">
        <v>4109.7002000000002</v>
      </c>
      <c r="F1077">
        <v>1237</v>
      </c>
      <c r="G1077">
        <v>4216.6715000000004</v>
      </c>
      <c r="H1077">
        <v>3895.05</v>
      </c>
      <c r="I1077">
        <v>3549.2566999999999</v>
      </c>
      <c r="J1077">
        <v>-5.1468999999999996</v>
      </c>
      <c r="K1077">
        <v>3.1675</v>
      </c>
      <c r="L1077">
        <v>1.6278999999999999</v>
      </c>
      <c r="M1077">
        <v>62.292700000000004</v>
      </c>
      <c r="N1077">
        <v>154.77029999999999</v>
      </c>
      <c r="O1077">
        <v>143.9434</v>
      </c>
      <c r="P1077">
        <v>4375.8642</v>
      </c>
      <c r="Q1077">
        <v>3629.5459000000001</v>
      </c>
    </row>
    <row r="1078" spans="1:17" x14ac:dyDescent="0.3">
      <c r="A1078" s="1">
        <v>45953</v>
      </c>
      <c r="B1078">
        <v>4125.5</v>
      </c>
      <c r="C1078">
        <v>4136.7997999999998</v>
      </c>
      <c r="D1078">
        <v>4070.7</v>
      </c>
      <c r="E1078">
        <v>4078.3998999999999</v>
      </c>
      <c r="F1078">
        <v>354</v>
      </c>
      <c r="G1078">
        <v>4209.0572000000002</v>
      </c>
      <c r="H1078">
        <v>3909.9</v>
      </c>
      <c r="I1078">
        <v>3556.8132999999998</v>
      </c>
      <c r="J1078">
        <v>-0.76160000000000005</v>
      </c>
      <c r="K1078">
        <v>2.9805999999999999</v>
      </c>
      <c r="L1078">
        <v>1.6420999999999999</v>
      </c>
      <c r="M1078">
        <v>60.514400000000002</v>
      </c>
      <c r="N1078">
        <v>139.6764</v>
      </c>
      <c r="O1078">
        <v>143.09</v>
      </c>
      <c r="P1078">
        <v>4373.1053000000002</v>
      </c>
      <c r="Q1078">
        <v>3665.8647999999998</v>
      </c>
    </row>
    <row r="1079" spans="1:17" x14ac:dyDescent="0.3">
      <c r="A1079" s="1">
        <v>45954</v>
      </c>
      <c r="B1079">
        <v>4118.3999000000003</v>
      </c>
      <c r="C1079">
        <v>4120.6000999999997</v>
      </c>
      <c r="D1079">
        <v>4074.8998999999999</v>
      </c>
      <c r="E1079">
        <v>4117.5</v>
      </c>
      <c r="F1079">
        <v>123</v>
      </c>
      <c r="G1079">
        <v>4205.1286</v>
      </c>
      <c r="H1079">
        <v>3925.3</v>
      </c>
      <c r="I1079">
        <v>3564.9488999999999</v>
      </c>
      <c r="J1079">
        <v>0.9587</v>
      </c>
      <c r="K1079">
        <v>3.0068999999999999</v>
      </c>
      <c r="L1079">
        <v>1.6449</v>
      </c>
      <c r="M1079">
        <v>59.088200000000001</v>
      </c>
      <c r="N1079">
        <v>129.37799999999999</v>
      </c>
      <c r="O1079">
        <v>140.3476</v>
      </c>
      <c r="P1079">
        <v>4373.1723000000002</v>
      </c>
      <c r="Q1079">
        <v>3700.0178000000001</v>
      </c>
    </row>
    <row r="1080" spans="1:17" x14ac:dyDescent="0.3">
      <c r="A1080" s="1">
        <v>45957</v>
      </c>
      <c r="B1080">
        <v>4001.8998999999999</v>
      </c>
      <c r="C1080">
        <v>4078.6001000000001</v>
      </c>
      <c r="D1080">
        <v>3971.3</v>
      </c>
      <c r="E1080">
        <v>4060</v>
      </c>
      <c r="F1080">
        <v>220</v>
      </c>
      <c r="G1080">
        <v>4185.3001000000004</v>
      </c>
      <c r="H1080">
        <v>3939.3</v>
      </c>
      <c r="I1080">
        <v>3572.8377999999998</v>
      </c>
      <c r="J1080">
        <v>-1.3965000000000001</v>
      </c>
      <c r="K1080">
        <v>2.9769999999999999</v>
      </c>
      <c r="L1080">
        <v>1.6712</v>
      </c>
      <c r="M1080">
        <v>54.773200000000003</v>
      </c>
      <c r="N1080">
        <v>115.2482</v>
      </c>
      <c r="O1080">
        <v>135.32769999999999</v>
      </c>
      <c r="P1080">
        <v>4361.2115999999996</v>
      </c>
      <c r="Q1080">
        <v>3742.4983999999999</v>
      </c>
    </row>
    <row r="1081" spans="1:17" x14ac:dyDescent="0.3">
      <c r="A1081" s="1">
        <v>45958</v>
      </c>
      <c r="B1081">
        <v>3966.2</v>
      </c>
      <c r="C1081">
        <v>3966.2</v>
      </c>
      <c r="D1081">
        <v>3923.6001000000001</v>
      </c>
      <c r="E1081">
        <v>3929.7</v>
      </c>
      <c r="F1081">
        <v>219</v>
      </c>
      <c r="G1081">
        <v>4124.5857999999998</v>
      </c>
      <c r="H1081">
        <v>3947.5767000000001</v>
      </c>
      <c r="I1081">
        <v>3579.1021999999998</v>
      </c>
      <c r="J1081">
        <v>-3.2094</v>
      </c>
      <c r="K1081">
        <v>2.4746000000000001</v>
      </c>
      <c r="L1081">
        <v>1.7875000000000001</v>
      </c>
      <c r="M1081">
        <v>47.513599999999997</v>
      </c>
      <c r="N1081">
        <v>92.470100000000002</v>
      </c>
      <c r="O1081">
        <v>126.75620000000001</v>
      </c>
      <c r="P1081">
        <v>4353.8423000000003</v>
      </c>
      <c r="Q1081">
        <v>3760.0877</v>
      </c>
    </row>
    <row r="1082" spans="1:17" x14ac:dyDescent="0.3">
      <c r="A1082" s="1">
        <v>45959</v>
      </c>
      <c r="B1082">
        <v>3983.7</v>
      </c>
      <c r="C1082">
        <v>3983.7</v>
      </c>
      <c r="D1082">
        <v>3983.7</v>
      </c>
      <c r="E1082">
        <v>3983.7</v>
      </c>
      <c r="F1082">
        <v>1344</v>
      </c>
      <c r="G1082">
        <v>4087.3856999999998</v>
      </c>
      <c r="H1082">
        <v>3958.0666999999999</v>
      </c>
      <c r="I1082">
        <v>3586.0544</v>
      </c>
      <c r="J1082">
        <v>1.3742000000000001</v>
      </c>
      <c r="K1082">
        <v>2.6198000000000001</v>
      </c>
      <c r="L1082">
        <v>1.796</v>
      </c>
      <c r="M1082">
        <v>48.840899999999998</v>
      </c>
      <c r="N1082">
        <v>77.877899999999997</v>
      </c>
      <c r="O1082">
        <v>116.98050000000001</v>
      </c>
      <c r="P1082">
        <v>4347.9915000000001</v>
      </c>
      <c r="Q1082">
        <v>3777.9585999999999</v>
      </c>
    </row>
    <row r="1083" spans="1:17" x14ac:dyDescent="0.3">
      <c r="A1083" s="1">
        <v>45960</v>
      </c>
      <c r="B1083">
        <v>4001.3</v>
      </c>
      <c r="C1083">
        <v>4027.2</v>
      </c>
      <c r="D1083">
        <v>3913.7</v>
      </c>
      <c r="E1083">
        <v>3960</v>
      </c>
      <c r="F1083">
        <v>935</v>
      </c>
      <c r="G1083">
        <v>4034.1428999999998</v>
      </c>
      <c r="H1083">
        <v>3968.2467000000001</v>
      </c>
      <c r="I1083">
        <v>3593.1478000000002</v>
      </c>
      <c r="J1083">
        <v>-0.59489999999999998</v>
      </c>
      <c r="K1083">
        <v>2.2905000000000002</v>
      </c>
      <c r="L1083">
        <v>1.7989999999999999</v>
      </c>
      <c r="M1083">
        <v>50.129800000000003</v>
      </c>
      <c r="N1083">
        <v>63.667200000000001</v>
      </c>
      <c r="O1083">
        <v>106.31789999999999</v>
      </c>
      <c r="P1083">
        <v>4340.8407999999999</v>
      </c>
      <c r="Q1083">
        <v>3795.4892</v>
      </c>
    </row>
    <row r="1084" spans="1:17" x14ac:dyDescent="0.3">
      <c r="A1084" s="1">
        <v>45961</v>
      </c>
      <c r="B1084">
        <v>3982.2</v>
      </c>
      <c r="C1084">
        <v>4034.5</v>
      </c>
      <c r="D1084">
        <v>3976.6001000000001</v>
      </c>
      <c r="E1084">
        <v>4034.5</v>
      </c>
      <c r="F1084">
        <v>559</v>
      </c>
      <c r="G1084">
        <v>4023.4</v>
      </c>
      <c r="H1084">
        <v>3980.7633000000001</v>
      </c>
      <c r="I1084">
        <v>3600.9488999999999</v>
      </c>
      <c r="J1084">
        <v>1.8813</v>
      </c>
      <c r="K1084">
        <v>1.7839</v>
      </c>
      <c r="L1084">
        <v>1.8221000000000001</v>
      </c>
      <c r="M1084">
        <v>50.789700000000003</v>
      </c>
      <c r="N1084">
        <v>57.750999999999998</v>
      </c>
      <c r="O1084">
        <v>96.604500000000002</v>
      </c>
      <c r="P1084">
        <v>4331.5</v>
      </c>
      <c r="Q1084">
        <v>3822.7601</v>
      </c>
    </row>
    <row r="1085" spans="1:17" x14ac:dyDescent="0.3">
      <c r="A1085" s="1">
        <v>45964</v>
      </c>
      <c r="B1085">
        <v>4000.3</v>
      </c>
      <c r="C1085">
        <v>4020</v>
      </c>
      <c r="D1085">
        <v>3959</v>
      </c>
      <c r="E1085">
        <v>3976.2</v>
      </c>
      <c r="F1085">
        <v>0</v>
      </c>
      <c r="G1085">
        <v>4008.8</v>
      </c>
      <c r="H1085">
        <v>3990.3633</v>
      </c>
      <c r="I1085">
        <v>3608.2543999999998</v>
      </c>
      <c r="J1085">
        <v>-1.4450000000000001</v>
      </c>
      <c r="K1085">
        <v>1.8346</v>
      </c>
      <c r="L1085">
        <v>1.8486</v>
      </c>
      <c r="M1085">
        <v>43.02</v>
      </c>
      <c r="N1085">
        <v>47.806899999999999</v>
      </c>
      <c r="O1085">
        <v>86.844999999999999</v>
      </c>
      <c r="P1085">
        <v>4329.0754999999999</v>
      </c>
      <c r="Q1085">
        <v>3829.6745999999998</v>
      </c>
    </row>
    <row r="1086" spans="1:17" x14ac:dyDescent="0.3">
      <c r="A1086" s="1">
        <v>45965</v>
      </c>
      <c r="B1086">
        <v>3947.7</v>
      </c>
      <c r="C1086">
        <v>3995.3998999999999</v>
      </c>
      <c r="D1086">
        <v>3927.3998999999999</v>
      </c>
      <c r="E1086">
        <v>3994.2</v>
      </c>
      <c r="F1086">
        <v>657</v>
      </c>
      <c r="G1086">
        <v>3991.1857</v>
      </c>
      <c r="H1086">
        <v>3998.6033000000002</v>
      </c>
      <c r="I1086">
        <v>3616.3467000000001</v>
      </c>
      <c r="J1086">
        <v>0.45269999999999999</v>
      </c>
      <c r="K1086">
        <v>1.7838000000000001</v>
      </c>
      <c r="L1086">
        <v>1.8320000000000001</v>
      </c>
      <c r="M1086">
        <v>43.259399999999999</v>
      </c>
      <c r="N1086">
        <v>40.906999999999996</v>
      </c>
      <c r="O1086">
        <v>77.657399999999996</v>
      </c>
      <c r="P1086">
        <v>4327.7617</v>
      </c>
      <c r="Q1086">
        <v>3834.4684000000002</v>
      </c>
    </row>
    <row r="1087" spans="1:17" x14ac:dyDescent="0.3">
      <c r="A1087" s="1">
        <v>45966</v>
      </c>
      <c r="B1087">
        <v>3980.3</v>
      </c>
      <c r="C1087">
        <v>3983.5</v>
      </c>
      <c r="D1087">
        <v>3929.8998999999999</v>
      </c>
      <c r="E1087">
        <v>3929.8998999999999</v>
      </c>
      <c r="F1087">
        <v>559</v>
      </c>
      <c r="G1087">
        <v>3972.6</v>
      </c>
      <c r="H1087">
        <v>4003.94</v>
      </c>
      <c r="I1087">
        <v>3623.2332999999999</v>
      </c>
      <c r="J1087">
        <v>-1.6097999999999999</v>
      </c>
      <c r="K1087">
        <v>1.8049999999999999</v>
      </c>
      <c r="L1087">
        <v>1.8607</v>
      </c>
      <c r="M1087">
        <v>38.092300000000002</v>
      </c>
      <c r="N1087">
        <v>29.9056</v>
      </c>
      <c r="O1087">
        <v>68.106999999999999</v>
      </c>
      <c r="P1087">
        <v>4330.7515999999996</v>
      </c>
      <c r="Q1087">
        <v>3825.7483999999999</v>
      </c>
    </row>
    <row r="1088" spans="1:17" x14ac:dyDescent="0.3">
      <c r="A1088" s="1">
        <v>45967</v>
      </c>
      <c r="B1088">
        <v>3979.8998999999999</v>
      </c>
      <c r="C1088">
        <v>4007.5</v>
      </c>
      <c r="D1088">
        <v>3979.8998999999999</v>
      </c>
      <c r="E1088">
        <v>4004</v>
      </c>
      <c r="F1088">
        <v>650</v>
      </c>
      <c r="G1088">
        <v>3983.2143000000001</v>
      </c>
      <c r="H1088">
        <v>4012.6466999999998</v>
      </c>
      <c r="I1088">
        <v>3630.7332999999999</v>
      </c>
      <c r="J1088">
        <v>1.8855</v>
      </c>
      <c r="K1088">
        <v>1.5101</v>
      </c>
      <c r="L1088">
        <v>1.8792</v>
      </c>
      <c r="M1088">
        <v>33.256900000000002</v>
      </c>
      <c r="N1088">
        <v>26.8566</v>
      </c>
      <c r="O1088">
        <v>59.856900000000003</v>
      </c>
      <c r="P1088">
        <v>4330.8143</v>
      </c>
      <c r="Q1088">
        <v>3824.9657000000002</v>
      </c>
    </row>
    <row r="1089" spans="1:17" x14ac:dyDescent="0.3">
      <c r="A1089" s="1">
        <v>45968</v>
      </c>
      <c r="B1089">
        <v>3999.3998999999999</v>
      </c>
      <c r="C1089">
        <v>3999.3998999999999</v>
      </c>
      <c r="D1089">
        <v>3980.8</v>
      </c>
      <c r="E1089">
        <v>3980.8</v>
      </c>
      <c r="F1089">
        <v>245</v>
      </c>
      <c r="G1089">
        <v>3982.8</v>
      </c>
      <c r="H1089">
        <v>4019.4967000000001</v>
      </c>
      <c r="I1089">
        <v>3637.6089000000002</v>
      </c>
      <c r="J1089">
        <v>-0.57940000000000003</v>
      </c>
      <c r="K1089">
        <v>1.4531000000000001</v>
      </c>
      <c r="L1089">
        <v>1.8812</v>
      </c>
      <c r="M1089">
        <v>36.284999999999997</v>
      </c>
      <c r="N1089">
        <v>22.311</v>
      </c>
      <c r="O1089">
        <v>52.347700000000003</v>
      </c>
      <c r="P1089">
        <v>4329.8239999999996</v>
      </c>
      <c r="Q1089">
        <v>3828.3361</v>
      </c>
    </row>
    <row r="1090" spans="1:17" x14ac:dyDescent="0.3">
      <c r="A1090" s="1">
        <v>45971</v>
      </c>
      <c r="B1090">
        <v>4111.7997999999998</v>
      </c>
      <c r="C1090">
        <v>4111.7997999999998</v>
      </c>
      <c r="D1090">
        <v>4060</v>
      </c>
      <c r="E1090">
        <v>4060</v>
      </c>
      <c r="F1090">
        <v>189</v>
      </c>
      <c r="G1090">
        <v>3997.0857000000001</v>
      </c>
      <c r="H1090">
        <v>4029.67</v>
      </c>
      <c r="I1090">
        <v>3645.5866999999998</v>
      </c>
      <c r="J1090">
        <v>1.9895</v>
      </c>
      <c r="K1090">
        <v>1.5982000000000001</v>
      </c>
      <c r="L1090">
        <v>1.9036999999999999</v>
      </c>
      <c r="M1090">
        <v>35.654899999999998</v>
      </c>
      <c r="N1090">
        <v>24.813300000000002</v>
      </c>
      <c r="O1090">
        <v>46.840899999999998</v>
      </c>
      <c r="P1090">
        <v>4330.4609</v>
      </c>
      <c r="Q1090">
        <v>3832.0992000000001</v>
      </c>
    </row>
    <row r="1091" spans="1:17" x14ac:dyDescent="0.3">
      <c r="A1091" s="1">
        <v>45972</v>
      </c>
      <c r="B1091">
        <v>4106.7997999999998</v>
      </c>
      <c r="C1091">
        <v>4140.1000999999997</v>
      </c>
      <c r="D1091">
        <v>4106.7997999999998</v>
      </c>
      <c r="E1091">
        <v>4140.1000999999997</v>
      </c>
      <c r="F1091">
        <v>569</v>
      </c>
      <c r="G1091">
        <v>4012.1714000000002</v>
      </c>
      <c r="H1091">
        <v>4040.09</v>
      </c>
      <c r="I1091">
        <v>3654.86</v>
      </c>
      <c r="J1091">
        <v>1.9729000000000001</v>
      </c>
      <c r="K1091">
        <v>1.613</v>
      </c>
      <c r="L1091">
        <v>1.9048</v>
      </c>
      <c r="M1091">
        <v>51.882100000000001</v>
      </c>
      <c r="N1091">
        <v>32.880800000000001</v>
      </c>
      <c r="O1091">
        <v>44.0488</v>
      </c>
      <c r="P1091">
        <v>4331.2667000000001</v>
      </c>
      <c r="Q1091">
        <v>3832.1333</v>
      </c>
    </row>
    <row r="1092" spans="1:17" x14ac:dyDescent="0.3">
      <c r="A1092" s="1">
        <v>45973</v>
      </c>
      <c r="B1092">
        <v>4204.3999000000003</v>
      </c>
      <c r="C1092">
        <v>4204.3999000000003</v>
      </c>
      <c r="D1092">
        <v>4102.8999000000003</v>
      </c>
      <c r="E1092">
        <v>4115.6000999999997</v>
      </c>
      <c r="F1092">
        <v>396</v>
      </c>
      <c r="G1092">
        <v>4032.0857000000001</v>
      </c>
      <c r="H1092">
        <v>4048.4933000000001</v>
      </c>
      <c r="I1092">
        <v>3663.5844000000002</v>
      </c>
      <c r="J1092">
        <v>-0.59179999999999999</v>
      </c>
      <c r="K1092">
        <v>1.4786999999999999</v>
      </c>
      <c r="L1092">
        <v>1.907</v>
      </c>
      <c r="M1092">
        <v>52.322699999999998</v>
      </c>
      <c r="N1092">
        <v>36.872300000000003</v>
      </c>
      <c r="O1092">
        <v>42.613500000000002</v>
      </c>
      <c r="P1092">
        <v>4328.5700999999999</v>
      </c>
      <c r="Q1092">
        <v>3831.8899000000001</v>
      </c>
    </row>
    <row r="1093" spans="1:17" x14ac:dyDescent="0.3">
      <c r="A1093" s="1">
        <v>45974</v>
      </c>
      <c r="B1093">
        <v>4186.8999000000003</v>
      </c>
      <c r="C1093">
        <v>4228.7002000000002</v>
      </c>
      <c r="D1093">
        <v>4163.7002000000002</v>
      </c>
      <c r="E1093">
        <v>4228.7002000000002</v>
      </c>
      <c r="F1093">
        <v>167</v>
      </c>
      <c r="G1093">
        <v>4065.5857999999998</v>
      </c>
      <c r="H1093">
        <v>4060.91</v>
      </c>
      <c r="I1093">
        <v>3674.0210999999999</v>
      </c>
      <c r="J1093">
        <v>2.7481</v>
      </c>
      <c r="K1093">
        <v>1.7032</v>
      </c>
      <c r="L1093">
        <v>1.9595</v>
      </c>
      <c r="M1093">
        <v>56.355699999999999</v>
      </c>
      <c r="N1093">
        <v>48.601700000000001</v>
      </c>
      <c r="O1093">
        <v>43.811199999999999</v>
      </c>
      <c r="P1093">
        <v>4333.4080999999996</v>
      </c>
      <c r="Q1093">
        <v>3830.0419999999999</v>
      </c>
    </row>
    <row r="1094" spans="1:17" x14ac:dyDescent="0.3">
      <c r="A1094" s="1">
        <v>45975</v>
      </c>
      <c r="B1094">
        <v>4087.6001000000001</v>
      </c>
      <c r="C1094">
        <v>4197.8999000000003</v>
      </c>
      <c r="D1094">
        <v>4047</v>
      </c>
      <c r="E1094">
        <v>4197.7002000000002</v>
      </c>
      <c r="F1094">
        <v>483</v>
      </c>
      <c r="G1094">
        <v>4103.8428999999996</v>
      </c>
      <c r="H1094">
        <v>4072.3267000000001</v>
      </c>
      <c r="I1094">
        <v>3683.7332999999999</v>
      </c>
      <c r="J1094">
        <v>-0.73309999999999997</v>
      </c>
      <c r="K1094">
        <v>1.5157</v>
      </c>
      <c r="L1094">
        <v>1.9681</v>
      </c>
      <c r="M1094">
        <v>58.116199999999999</v>
      </c>
      <c r="N1094">
        <v>54.764499999999998</v>
      </c>
      <c r="O1094">
        <v>46.001800000000003</v>
      </c>
      <c r="P1094">
        <v>4297.9934999999996</v>
      </c>
      <c r="Q1094">
        <v>3849.7566000000002</v>
      </c>
    </row>
    <row r="1095" spans="1:17" x14ac:dyDescent="0.3">
      <c r="A1095" s="1">
        <v>45978</v>
      </c>
      <c r="B1095">
        <v>4068.3</v>
      </c>
      <c r="C1095">
        <v>4099.5</v>
      </c>
      <c r="D1095">
        <v>4019.3998999999999</v>
      </c>
      <c r="E1095">
        <v>4070</v>
      </c>
      <c r="F1095">
        <v>1552</v>
      </c>
      <c r="G1095">
        <v>4113.2714999999998</v>
      </c>
      <c r="H1095">
        <v>4076.95</v>
      </c>
      <c r="I1095">
        <v>3691.95</v>
      </c>
      <c r="J1095">
        <v>-3.0421</v>
      </c>
      <c r="K1095">
        <v>2.0590000000000002</v>
      </c>
      <c r="L1095">
        <v>2.0331999999999999</v>
      </c>
      <c r="M1095">
        <v>58.294899999999998</v>
      </c>
      <c r="N1095">
        <v>48.7819</v>
      </c>
      <c r="O1095">
        <v>46.557899999999997</v>
      </c>
      <c r="P1095">
        <v>4274.4852000000001</v>
      </c>
      <c r="Q1095">
        <v>3855.8548000000001</v>
      </c>
    </row>
    <row r="1096" spans="1:17" x14ac:dyDescent="0.3">
      <c r="A1096" s="1">
        <v>45979</v>
      </c>
      <c r="B1096">
        <v>4061.3</v>
      </c>
      <c r="C1096">
        <v>4063.3998999999999</v>
      </c>
      <c r="D1096">
        <v>4035.6001000000001</v>
      </c>
      <c r="E1096">
        <v>4037.3998999999999</v>
      </c>
      <c r="F1096">
        <v>1375</v>
      </c>
      <c r="G1096">
        <v>4121.3572000000004</v>
      </c>
      <c r="H1096">
        <v>4079.55</v>
      </c>
      <c r="I1096">
        <v>3699.3989000000001</v>
      </c>
      <c r="J1096">
        <v>-0.80100000000000005</v>
      </c>
      <c r="K1096">
        <v>2.0754999999999999</v>
      </c>
      <c r="L1096">
        <v>2.0371999999999999</v>
      </c>
      <c r="M1096">
        <v>53.257300000000001</v>
      </c>
      <c r="N1096">
        <v>40.938200000000002</v>
      </c>
      <c r="O1096">
        <v>45.433900000000001</v>
      </c>
      <c r="P1096">
        <v>4217.7053999999998</v>
      </c>
      <c r="Q1096">
        <v>3883.1046000000001</v>
      </c>
    </row>
    <row r="1097" spans="1:17" x14ac:dyDescent="0.3">
      <c r="A1097" s="1">
        <v>45980</v>
      </c>
      <c r="B1097">
        <v>4077.7</v>
      </c>
      <c r="C1097">
        <v>4122.7002000000002</v>
      </c>
      <c r="D1097">
        <v>4072</v>
      </c>
      <c r="E1097">
        <v>4086.1001000000001</v>
      </c>
      <c r="F1097">
        <v>486</v>
      </c>
      <c r="G1097">
        <v>4125.0857999999998</v>
      </c>
      <c r="H1097">
        <v>4082.8467000000001</v>
      </c>
      <c r="I1097">
        <v>3707.6777999999999</v>
      </c>
      <c r="J1097">
        <v>1.2061999999999999</v>
      </c>
      <c r="K1097">
        <v>1.9833000000000001</v>
      </c>
      <c r="L1097">
        <v>2.0445000000000002</v>
      </c>
      <c r="M1097">
        <v>57.4238</v>
      </c>
      <c r="N1097">
        <v>38.211300000000001</v>
      </c>
      <c r="O1097">
        <v>43.989400000000003</v>
      </c>
      <c r="P1097">
        <v>4215.0911999999998</v>
      </c>
      <c r="Q1097">
        <v>3883.3588</v>
      </c>
    </row>
    <row r="1098" spans="1:17" x14ac:dyDescent="0.3">
      <c r="A1098" s="1">
        <v>45981</v>
      </c>
      <c r="B1098">
        <v>4056.5</v>
      </c>
      <c r="C1098">
        <v>4090.3998999999999</v>
      </c>
      <c r="D1098">
        <v>4040.2</v>
      </c>
      <c r="E1098">
        <v>4045</v>
      </c>
      <c r="F1098">
        <v>202</v>
      </c>
      <c r="G1098">
        <v>4111.5001000000002</v>
      </c>
      <c r="H1098">
        <v>4083.9733999999999</v>
      </c>
      <c r="I1098">
        <v>3715.4978000000001</v>
      </c>
      <c r="J1098">
        <v>-1.0059</v>
      </c>
      <c r="K1098">
        <v>1.8302</v>
      </c>
      <c r="L1098">
        <v>2.052</v>
      </c>
      <c r="M1098">
        <v>50.643500000000003</v>
      </c>
      <c r="N1098">
        <v>32.360700000000001</v>
      </c>
      <c r="O1098">
        <v>41.663600000000002</v>
      </c>
      <c r="P1098">
        <v>4212.8559999999998</v>
      </c>
      <c r="Q1098">
        <v>3882.2539999999999</v>
      </c>
    </row>
    <row r="1099" spans="1:17" x14ac:dyDescent="0.3">
      <c r="A1099" s="1">
        <v>45982</v>
      </c>
      <c r="B1099">
        <v>4076.7</v>
      </c>
      <c r="C1099">
        <v>4085.2</v>
      </c>
      <c r="D1099">
        <v>4031.8</v>
      </c>
      <c r="E1099">
        <v>4031.8</v>
      </c>
      <c r="F1099">
        <v>171</v>
      </c>
      <c r="G1099">
        <v>4099.5285999999996</v>
      </c>
      <c r="H1099">
        <v>4086.4666999999999</v>
      </c>
      <c r="I1099">
        <v>3723.4756000000002</v>
      </c>
      <c r="J1099">
        <v>-0.32629999999999998</v>
      </c>
      <c r="K1099">
        <v>1.8263</v>
      </c>
      <c r="L1099">
        <v>2.0364</v>
      </c>
      <c r="M1099">
        <v>53.6066</v>
      </c>
      <c r="N1099">
        <v>26.3551</v>
      </c>
      <c r="O1099">
        <v>38.601900000000001</v>
      </c>
      <c r="P1099">
        <v>4205.3483999999999</v>
      </c>
      <c r="Q1099">
        <v>3881.1916000000001</v>
      </c>
    </row>
    <row r="1100" spans="1:17" x14ac:dyDescent="0.3">
      <c r="A1100" s="1">
        <v>45985</v>
      </c>
      <c r="B1100">
        <v>4091.8998999999999</v>
      </c>
      <c r="C1100">
        <v>4091.8998999999999</v>
      </c>
      <c r="D1100">
        <v>4060.5</v>
      </c>
      <c r="E1100">
        <v>4060.5</v>
      </c>
      <c r="F1100">
        <v>591</v>
      </c>
      <c r="G1100">
        <v>4075.5</v>
      </c>
      <c r="H1100">
        <v>4087.95</v>
      </c>
      <c r="I1100">
        <v>3731.5011</v>
      </c>
      <c r="J1100">
        <v>0.71179999999999999</v>
      </c>
      <c r="K1100">
        <v>1.3686</v>
      </c>
      <c r="L1100">
        <v>2.0226999999999999</v>
      </c>
      <c r="M1100">
        <v>54.241799999999998</v>
      </c>
      <c r="N1100">
        <v>23.638999999999999</v>
      </c>
      <c r="O1100">
        <v>35.609299999999998</v>
      </c>
      <c r="P1100">
        <v>4205.3843999999999</v>
      </c>
      <c r="Q1100">
        <v>3881.2055999999998</v>
      </c>
    </row>
    <row r="1101" spans="1:17" x14ac:dyDescent="0.3">
      <c r="A1101" s="1">
        <v>45986</v>
      </c>
      <c r="B1101">
        <v>4139.2002000000002</v>
      </c>
      <c r="C1101">
        <v>4139.2002000000002</v>
      </c>
      <c r="D1101">
        <v>4139.2002000000002</v>
      </c>
      <c r="E1101">
        <v>4139.2002000000002</v>
      </c>
      <c r="F1101">
        <v>132704</v>
      </c>
      <c r="G1101">
        <v>4067.1428999999998</v>
      </c>
      <c r="H1101">
        <v>4088.2</v>
      </c>
      <c r="I1101">
        <v>3740.2667000000001</v>
      </c>
      <c r="J1101">
        <v>1.9381999999999999</v>
      </c>
      <c r="K1101">
        <v>1.6575</v>
      </c>
      <c r="L1101">
        <v>1.9843</v>
      </c>
      <c r="M1101">
        <v>63.148600000000002</v>
      </c>
      <c r="N1101">
        <v>27.519600000000001</v>
      </c>
      <c r="O1101">
        <v>33.991399999999999</v>
      </c>
      <c r="P1101">
        <v>4211.9811</v>
      </c>
      <c r="Q1101">
        <v>3895.5589</v>
      </c>
    </row>
    <row r="1102" spans="1:17" x14ac:dyDescent="0.3">
      <c r="A1102" s="1">
        <v>45987</v>
      </c>
      <c r="B1102">
        <v>4165.2002000000002</v>
      </c>
      <c r="C1102">
        <v>4171</v>
      </c>
      <c r="D1102">
        <v>4127.5</v>
      </c>
      <c r="E1102">
        <v>4128.6000999999997</v>
      </c>
      <c r="F1102">
        <v>25088</v>
      </c>
      <c r="G1102">
        <v>4075.5142999999998</v>
      </c>
      <c r="H1102">
        <v>4087.6534000000001</v>
      </c>
      <c r="I1102">
        <v>3748.24</v>
      </c>
      <c r="J1102">
        <v>-0.25609999999999999</v>
      </c>
      <c r="K1102">
        <v>1.0982000000000001</v>
      </c>
      <c r="L1102">
        <v>1.9841</v>
      </c>
      <c r="M1102">
        <v>58.506300000000003</v>
      </c>
      <c r="N1102">
        <v>29.4009</v>
      </c>
      <c r="O1102">
        <v>33.073300000000003</v>
      </c>
      <c r="P1102">
        <v>4218.9863999999998</v>
      </c>
      <c r="Q1102">
        <v>3903.0437000000002</v>
      </c>
    </row>
    <row r="1103" spans="1:17" x14ac:dyDescent="0.3">
      <c r="A1103" s="1">
        <v>45989</v>
      </c>
      <c r="B1103">
        <v>4218.2997999999998</v>
      </c>
      <c r="C1103">
        <v>4223.8999000000003</v>
      </c>
      <c r="D1103">
        <v>4140</v>
      </c>
      <c r="E1103">
        <v>4163.3999000000003</v>
      </c>
      <c r="F1103">
        <v>3615</v>
      </c>
      <c r="G1103">
        <v>4093.5142999999998</v>
      </c>
      <c r="H1103">
        <v>4086.4733999999999</v>
      </c>
      <c r="I1103">
        <v>3756.3856000000001</v>
      </c>
      <c r="J1103">
        <v>0.84289999999999998</v>
      </c>
      <c r="K1103">
        <v>1.0189999999999999</v>
      </c>
      <c r="L1103">
        <v>1.9756</v>
      </c>
      <c r="M1103">
        <v>62.271500000000003</v>
      </c>
      <c r="N1103">
        <v>33.3157</v>
      </c>
      <c r="O1103">
        <v>33.1218</v>
      </c>
      <c r="P1103">
        <v>4227.9591</v>
      </c>
      <c r="Q1103">
        <v>3914.4108999999999</v>
      </c>
    </row>
    <row r="1104" spans="1:17" x14ac:dyDescent="0.3">
      <c r="A1104" s="1">
        <v>45992</v>
      </c>
      <c r="B1104">
        <v>4239.2997999999998</v>
      </c>
      <c r="C1104">
        <v>4262.1000999999997</v>
      </c>
      <c r="D1104">
        <v>4214.8999000000003</v>
      </c>
      <c r="E1104">
        <v>4218.5</v>
      </c>
      <c r="F1104">
        <v>913</v>
      </c>
      <c r="G1104">
        <v>4112.4286000000002</v>
      </c>
      <c r="H1104">
        <v>4081.9333999999999</v>
      </c>
      <c r="I1104">
        <v>3765.8467000000001</v>
      </c>
      <c r="J1104">
        <v>1.3233999999999999</v>
      </c>
      <c r="K1104">
        <v>1.0344</v>
      </c>
      <c r="L1104">
        <v>1.8654999999999999</v>
      </c>
      <c r="M1104">
        <v>61.008499999999998</v>
      </c>
      <c r="N1104">
        <v>40.398699999999998</v>
      </c>
      <c r="O1104">
        <v>34.577199999999998</v>
      </c>
      <c r="P1104">
        <v>4249.2258000000002</v>
      </c>
      <c r="Q1104">
        <v>3911.5443</v>
      </c>
    </row>
    <row r="1105" spans="1:17" x14ac:dyDescent="0.3">
      <c r="A1105" s="1">
        <v>45993</v>
      </c>
      <c r="B1105">
        <v>4186.6000999999997</v>
      </c>
      <c r="C1105">
        <v>4230.5</v>
      </c>
      <c r="D1105">
        <v>4167</v>
      </c>
      <c r="E1105">
        <v>4230.5</v>
      </c>
      <c r="F1105">
        <v>366</v>
      </c>
      <c r="G1105">
        <v>4138.9286000000002</v>
      </c>
      <c r="H1105">
        <v>4081.48</v>
      </c>
      <c r="I1105">
        <v>3775.6967</v>
      </c>
      <c r="J1105">
        <v>0.28449999999999998</v>
      </c>
      <c r="K1105">
        <v>0.82279999999999998</v>
      </c>
      <c r="L1105">
        <v>1.8079000000000001</v>
      </c>
      <c r="M1105">
        <v>56.934600000000003</v>
      </c>
      <c r="N1105">
        <v>46.445</v>
      </c>
      <c r="O1105">
        <v>36.950699999999998</v>
      </c>
      <c r="P1105">
        <v>4267.1270999999997</v>
      </c>
      <c r="Q1105">
        <v>3919.0729999999999</v>
      </c>
    </row>
    <row r="1106" spans="1:17" x14ac:dyDescent="0.3">
      <c r="A1106" s="1">
        <v>45994</v>
      </c>
      <c r="B1106">
        <v>4199.2997999999998</v>
      </c>
      <c r="C1106">
        <v>4234.1000999999997</v>
      </c>
      <c r="D1106">
        <v>4195.7002000000002</v>
      </c>
      <c r="E1106">
        <v>4215.7002000000002</v>
      </c>
      <c r="F1106">
        <v>1897</v>
      </c>
      <c r="G1106">
        <v>4165.2001</v>
      </c>
      <c r="H1106">
        <v>4077.58</v>
      </c>
      <c r="I1106">
        <v>3785.5756000000001</v>
      </c>
      <c r="J1106">
        <v>-0.3498</v>
      </c>
      <c r="K1106">
        <v>0.82740000000000002</v>
      </c>
      <c r="L1106">
        <v>1.7654000000000001</v>
      </c>
      <c r="M1106">
        <v>57.794699999999999</v>
      </c>
      <c r="N1106">
        <v>49.472200000000001</v>
      </c>
      <c r="O1106">
        <v>39.454999999999998</v>
      </c>
      <c r="P1106">
        <v>4279.8854000000001</v>
      </c>
      <c r="Q1106">
        <v>3928.4647</v>
      </c>
    </row>
    <row r="1107" spans="1:17" x14ac:dyDescent="0.3">
      <c r="A1107" s="1">
        <v>45995</v>
      </c>
      <c r="B1107">
        <v>4211.7997999999998</v>
      </c>
      <c r="C1107">
        <v>4211.7997999999998</v>
      </c>
      <c r="D1107">
        <v>4175</v>
      </c>
      <c r="E1107">
        <v>4211</v>
      </c>
      <c r="F1107">
        <v>616</v>
      </c>
      <c r="G1107">
        <v>4186.7001</v>
      </c>
      <c r="H1107">
        <v>4080.9567000000002</v>
      </c>
      <c r="I1107">
        <v>3795.4378000000002</v>
      </c>
      <c r="J1107">
        <v>-0.1115</v>
      </c>
      <c r="K1107">
        <v>0.87309999999999999</v>
      </c>
      <c r="L1107">
        <v>1.4835</v>
      </c>
      <c r="M1107">
        <v>48.341700000000003</v>
      </c>
      <c r="N1107">
        <v>50.905200000000001</v>
      </c>
      <c r="O1107">
        <v>41.744999999999997</v>
      </c>
      <c r="P1107">
        <v>4279.6324999999997</v>
      </c>
      <c r="Q1107">
        <v>3956.8276000000001</v>
      </c>
    </row>
    <row r="1108" spans="1:17" x14ac:dyDescent="0.3">
      <c r="A1108" s="1">
        <v>45996</v>
      </c>
      <c r="B1108">
        <v>4212.8999000000003</v>
      </c>
      <c r="C1108">
        <v>4255.7002000000002</v>
      </c>
      <c r="D1108">
        <v>4194.5</v>
      </c>
      <c r="E1108">
        <v>4204.1000999999997</v>
      </c>
      <c r="F1108">
        <v>533</v>
      </c>
      <c r="G1108">
        <v>4195.9714999999997</v>
      </c>
      <c r="H1108">
        <v>4085.1466999999998</v>
      </c>
      <c r="I1108">
        <v>3805.1967</v>
      </c>
      <c r="J1108">
        <v>-0.16389999999999999</v>
      </c>
      <c r="K1108">
        <v>0.63490000000000002</v>
      </c>
      <c r="L1108">
        <v>1.4756</v>
      </c>
      <c r="M1108">
        <v>50.627899999999997</v>
      </c>
      <c r="N1108">
        <v>50.897300000000001</v>
      </c>
      <c r="O1108">
        <v>43.575499999999998</v>
      </c>
      <c r="P1108">
        <v>4284.5506999999998</v>
      </c>
      <c r="Q1108">
        <v>3971.9195</v>
      </c>
    </row>
    <row r="1109" spans="1:17" x14ac:dyDescent="0.3">
      <c r="A1109" s="1">
        <v>45999</v>
      </c>
      <c r="B1109">
        <v>4187.2002000000002</v>
      </c>
      <c r="C1109">
        <v>4215.7997999999998</v>
      </c>
      <c r="D1109">
        <v>4175.5</v>
      </c>
      <c r="E1109">
        <v>4205.5</v>
      </c>
      <c r="F1109">
        <v>318</v>
      </c>
      <c r="G1109">
        <v>4206.9571999999998</v>
      </c>
      <c r="H1109">
        <v>4088.08</v>
      </c>
      <c r="I1109">
        <v>3815.5589</v>
      </c>
      <c r="J1109">
        <v>3.3300000000000003E-2</v>
      </c>
      <c r="K1109">
        <v>0.60719999999999996</v>
      </c>
      <c r="L1109">
        <v>1.4669000000000001</v>
      </c>
      <c r="M1109">
        <v>67.675399999999996</v>
      </c>
      <c r="N1109">
        <v>50.422899999999998</v>
      </c>
      <c r="O1109">
        <v>44.945</v>
      </c>
      <c r="P1109">
        <v>4282.9402</v>
      </c>
      <c r="Q1109">
        <v>3995.9998999999998</v>
      </c>
    </row>
    <row r="1110" spans="1:17" x14ac:dyDescent="0.3">
      <c r="A1110" s="1">
        <v>46000</v>
      </c>
      <c r="B1110">
        <v>4206.7002000000002</v>
      </c>
      <c r="C1110">
        <v>4219.7002000000002</v>
      </c>
      <c r="D1110">
        <v>4177.7002000000002</v>
      </c>
      <c r="E1110">
        <v>4190.7002000000002</v>
      </c>
      <c r="F1110">
        <v>660</v>
      </c>
      <c r="G1110">
        <v>4210.8572000000004</v>
      </c>
      <c r="H1110">
        <v>4092.4367000000002</v>
      </c>
      <c r="I1110">
        <v>3825.6089000000002</v>
      </c>
      <c r="J1110">
        <v>-0.35189999999999999</v>
      </c>
      <c r="K1110">
        <v>0.58540000000000003</v>
      </c>
      <c r="L1110">
        <v>1.4429000000000001</v>
      </c>
      <c r="M1110">
        <v>70.971299999999999</v>
      </c>
      <c r="N1110">
        <v>48.295900000000003</v>
      </c>
      <c r="O1110">
        <v>45.615200000000002</v>
      </c>
      <c r="P1110">
        <v>4286.1008000000002</v>
      </c>
      <c r="Q1110">
        <v>4005.9092999999998</v>
      </c>
    </row>
    <row r="1111" spans="1:17" x14ac:dyDescent="0.3">
      <c r="A1111" s="1">
        <v>46001</v>
      </c>
      <c r="B1111">
        <v>4196.3999000000003</v>
      </c>
      <c r="C1111">
        <v>4234.5</v>
      </c>
      <c r="D1111">
        <v>4183.6000999999997</v>
      </c>
      <c r="E1111">
        <v>4209</v>
      </c>
      <c r="F1111">
        <v>692</v>
      </c>
      <c r="G1111">
        <v>4209.5001000000002</v>
      </c>
      <c r="H1111">
        <v>4101.7466999999997</v>
      </c>
      <c r="I1111">
        <v>3834.9578000000001</v>
      </c>
      <c r="J1111">
        <v>0.43669999999999998</v>
      </c>
      <c r="K1111">
        <v>0.30309999999999998</v>
      </c>
      <c r="L1111">
        <v>1.2996000000000001</v>
      </c>
      <c r="M1111">
        <v>68.337800000000001</v>
      </c>
      <c r="N1111">
        <v>47.538899999999998</v>
      </c>
      <c r="O1111">
        <v>45.999899999999997</v>
      </c>
      <c r="P1111">
        <v>4292.2960000000003</v>
      </c>
      <c r="Q1111">
        <v>4006.6041</v>
      </c>
    </row>
    <row r="1112" spans="1:17" x14ac:dyDescent="0.3">
      <c r="A1112" s="1">
        <v>46002</v>
      </c>
      <c r="B1112">
        <v>4285.5</v>
      </c>
      <c r="C1112">
        <v>4286.8999000000003</v>
      </c>
      <c r="D1112">
        <v>4214.2997999999998</v>
      </c>
      <c r="E1112">
        <v>4224</v>
      </c>
      <c r="F1112">
        <v>528</v>
      </c>
      <c r="G1112">
        <v>4208.5715</v>
      </c>
      <c r="H1112">
        <v>4109.7566999999999</v>
      </c>
      <c r="I1112">
        <v>3844.3521999999998</v>
      </c>
      <c r="J1112">
        <v>0.35639999999999999</v>
      </c>
      <c r="K1112">
        <v>0.3165</v>
      </c>
      <c r="L1112">
        <v>1.282</v>
      </c>
      <c r="M1112">
        <v>78.964399999999998</v>
      </c>
      <c r="N1112">
        <v>47.6006</v>
      </c>
      <c r="O1112">
        <v>46.320099999999996</v>
      </c>
      <c r="P1112">
        <v>4300.5069000000003</v>
      </c>
      <c r="Q1112">
        <v>4009.2332000000001</v>
      </c>
    </row>
    <row r="1113" spans="1:17" x14ac:dyDescent="0.3">
      <c r="A1113" s="1">
        <v>46003</v>
      </c>
      <c r="B1113">
        <v>4300.1000999999997</v>
      </c>
      <c r="C1113">
        <v>4355</v>
      </c>
      <c r="D1113">
        <v>4260</v>
      </c>
      <c r="E1113">
        <v>4276.3999000000003</v>
      </c>
      <c r="F1113">
        <v>1531</v>
      </c>
      <c r="G1113">
        <v>4217.2429000000002</v>
      </c>
      <c r="H1113">
        <v>4120.3033999999998</v>
      </c>
      <c r="I1113">
        <v>3854.3045000000002</v>
      </c>
      <c r="J1113">
        <v>1.2404999999999999</v>
      </c>
      <c r="K1113">
        <v>0.53620000000000001</v>
      </c>
      <c r="L1113">
        <v>1.2864</v>
      </c>
      <c r="M1113">
        <v>85.123500000000007</v>
      </c>
      <c r="N1113">
        <v>51.2866</v>
      </c>
      <c r="O1113">
        <v>47.313400000000001</v>
      </c>
      <c r="P1113">
        <v>4309.3995000000004</v>
      </c>
      <c r="Q1113">
        <v>4005.1106</v>
      </c>
    </row>
    <row r="1114" spans="1:17" x14ac:dyDescent="0.3">
      <c r="A1114" s="1">
        <v>46006</v>
      </c>
      <c r="B1114">
        <v>4306.7002000000002</v>
      </c>
      <c r="C1114">
        <v>4349.2002000000002</v>
      </c>
      <c r="D1114">
        <v>4292.8999000000003</v>
      </c>
      <c r="E1114">
        <v>4308.2997999999998</v>
      </c>
      <c r="F1114">
        <v>854</v>
      </c>
      <c r="G1114">
        <v>4231.1428999999998</v>
      </c>
      <c r="H1114">
        <v>4129.43</v>
      </c>
      <c r="I1114">
        <v>3864.5645</v>
      </c>
      <c r="J1114">
        <v>0.746</v>
      </c>
      <c r="K1114">
        <v>0.5494</v>
      </c>
      <c r="L1114">
        <v>1.2535000000000001</v>
      </c>
      <c r="M1114">
        <v>85.259</v>
      </c>
      <c r="N1114">
        <v>56.134700000000002</v>
      </c>
      <c r="O1114">
        <v>49.077599999999997</v>
      </c>
      <c r="P1114">
        <v>4328.5495000000001</v>
      </c>
      <c r="Q1114">
        <v>3997.0205999999998</v>
      </c>
    </row>
    <row r="1115" spans="1:17" x14ac:dyDescent="0.3">
      <c r="A1115" s="1">
        <v>46007</v>
      </c>
      <c r="B1115">
        <v>4304.5</v>
      </c>
      <c r="C1115">
        <v>4321.3999000000003</v>
      </c>
      <c r="D1115">
        <v>4270.5</v>
      </c>
      <c r="E1115">
        <v>4270.5</v>
      </c>
      <c r="F1115">
        <v>1796</v>
      </c>
      <c r="G1115">
        <v>4240.6286</v>
      </c>
      <c r="H1115">
        <v>4139.24</v>
      </c>
      <c r="I1115">
        <v>3873.8056000000001</v>
      </c>
      <c r="J1115">
        <v>-0.87739999999999996</v>
      </c>
      <c r="K1115">
        <v>0.70109999999999995</v>
      </c>
      <c r="L1115">
        <v>1.2315</v>
      </c>
      <c r="M1115">
        <v>71.1434</v>
      </c>
      <c r="N1115">
        <v>56.277999999999999</v>
      </c>
      <c r="O1115">
        <v>50.517699999999998</v>
      </c>
      <c r="P1115">
        <v>4339.1977999999999</v>
      </c>
      <c r="Q1115">
        <v>4006.4222</v>
      </c>
    </row>
    <row r="1116" spans="1:17" x14ac:dyDescent="0.3">
      <c r="A1116" s="1">
        <v>46008</v>
      </c>
      <c r="B1116">
        <v>4347.5</v>
      </c>
      <c r="C1116">
        <v>4351.3999000000003</v>
      </c>
      <c r="D1116">
        <v>4308.5</v>
      </c>
      <c r="E1116">
        <v>4308.5</v>
      </c>
      <c r="F1116">
        <v>2169</v>
      </c>
      <c r="G1116">
        <v>4255.3428000000004</v>
      </c>
      <c r="H1116">
        <v>4149.7166999999999</v>
      </c>
      <c r="I1116">
        <v>3884.0789</v>
      </c>
      <c r="J1116">
        <v>0.88980000000000004</v>
      </c>
      <c r="K1116">
        <v>0.73570000000000002</v>
      </c>
      <c r="L1116">
        <v>1.2365999999999999</v>
      </c>
      <c r="M1116">
        <v>76.620400000000004</v>
      </c>
      <c r="N1116">
        <v>58.780299999999997</v>
      </c>
      <c r="O1116">
        <v>52.170200000000001</v>
      </c>
      <c r="P1116">
        <v>4350.4602000000004</v>
      </c>
      <c r="Q1116">
        <v>4022.2698</v>
      </c>
    </row>
    <row r="1117" spans="1:17" x14ac:dyDescent="0.3">
      <c r="A1117" s="1">
        <v>46009</v>
      </c>
      <c r="B1117">
        <v>4339.5</v>
      </c>
      <c r="C1117">
        <v>4348.1000999999997</v>
      </c>
      <c r="D1117">
        <v>4328.2002000000002</v>
      </c>
      <c r="E1117">
        <v>4331</v>
      </c>
      <c r="F1117">
        <v>705</v>
      </c>
      <c r="G1117">
        <v>4275.3856999999998</v>
      </c>
      <c r="H1117">
        <v>4163.0866999999998</v>
      </c>
      <c r="I1117">
        <v>3894.91</v>
      </c>
      <c r="J1117">
        <v>0.5222</v>
      </c>
      <c r="K1117">
        <v>0.66810000000000003</v>
      </c>
      <c r="L1117">
        <v>1.1856</v>
      </c>
      <c r="M1117">
        <v>75.737200000000001</v>
      </c>
      <c r="N1117">
        <v>61.8658</v>
      </c>
      <c r="O1117">
        <v>54.109299999999998</v>
      </c>
      <c r="P1117">
        <v>4367.6767</v>
      </c>
      <c r="Q1117">
        <v>4029.5434</v>
      </c>
    </row>
    <row r="1118" spans="1:17" x14ac:dyDescent="0.3">
      <c r="A1118" s="1">
        <v>46010</v>
      </c>
      <c r="B1118">
        <v>4361.3999000000003</v>
      </c>
      <c r="C1118">
        <v>4361.3999000000003</v>
      </c>
      <c r="D1118">
        <v>4350.1000999999997</v>
      </c>
      <c r="E1118">
        <v>4350.1000999999997</v>
      </c>
      <c r="F1118">
        <v>1065</v>
      </c>
      <c r="G1118">
        <v>4295.5428000000002</v>
      </c>
      <c r="H1118">
        <v>4174.6234000000004</v>
      </c>
      <c r="I1118">
        <v>3905.9245000000001</v>
      </c>
      <c r="J1118">
        <v>0.441</v>
      </c>
      <c r="K1118">
        <v>0.66810000000000003</v>
      </c>
      <c r="L1118">
        <v>1.1491</v>
      </c>
      <c r="M1118">
        <v>72.721100000000007</v>
      </c>
      <c r="N1118">
        <v>65.101799999999997</v>
      </c>
      <c r="O1118">
        <v>56.3078</v>
      </c>
      <c r="P1118">
        <v>4379.5982999999997</v>
      </c>
      <c r="Q1118">
        <v>4048.1318000000001</v>
      </c>
    </row>
    <row r="1119" spans="1:17" x14ac:dyDescent="0.3">
      <c r="A1119" s="1">
        <v>46013</v>
      </c>
      <c r="B1119">
        <v>4444.6000999999997</v>
      </c>
      <c r="C1119">
        <v>4447.6000999999997</v>
      </c>
      <c r="D1119">
        <v>4371.1000999999997</v>
      </c>
      <c r="E1119">
        <v>4371.1000999999997</v>
      </c>
      <c r="F1119">
        <v>449</v>
      </c>
      <c r="G1119">
        <v>4316.5571</v>
      </c>
      <c r="H1119">
        <v>4187.6333999999997</v>
      </c>
      <c r="I1119">
        <v>3917.3056000000001</v>
      </c>
      <c r="J1119">
        <v>0.48270000000000002</v>
      </c>
      <c r="K1119">
        <v>0.66610000000000003</v>
      </c>
      <c r="L1119">
        <v>1.1378999999999999</v>
      </c>
      <c r="M1119">
        <v>73.543300000000002</v>
      </c>
      <c r="N1119">
        <v>68.570499999999996</v>
      </c>
      <c r="O1119">
        <v>58.760300000000001</v>
      </c>
      <c r="P1119">
        <v>4387.2974000000004</v>
      </c>
      <c r="Q1119">
        <v>4074.3627000000001</v>
      </c>
    </row>
    <row r="1120" spans="1:17" x14ac:dyDescent="0.3">
      <c r="A1120" s="1">
        <v>46014</v>
      </c>
      <c r="B1120">
        <v>4482.7997999999998</v>
      </c>
      <c r="C1120">
        <v>4503.7997999999998</v>
      </c>
      <c r="D1120">
        <v>4450.3999000000003</v>
      </c>
      <c r="E1120">
        <v>4503.2997999999998</v>
      </c>
      <c r="F1120">
        <v>694</v>
      </c>
      <c r="G1120">
        <v>4348.9714000000004</v>
      </c>
      <c r="H1120">
        <v>4202.41</v>
      </c>
      <c r="I1120">
        <v>3930.1556</v>
      </c>
      <c r="J1120">
        <v>3.0244</v>
      </c>
      <c r="K1120">
        <v>1.159</v>
      </c>
      <c r="L1120">
        <v>1.2040999999999999</v>
      </c>
      <c r="M1120">
        <v>84.567300000000003</v>
      </c>
      <c r="N1120">
        <v>81.052499999999995</v>
      </c>
      <c r="O1120">
        <v>63.218800000000002</v>
      </c>
      <c r="P1120">
        <v>4431.6868000000004</v>
      </c>
      <c r="Q1120">
        <v>4074.2532000000001</v>
      </c>
    </row>
    <row r="1121" spans="1:17" x14ac:dyDescent="0.3">
      <c r="A1121" s="1">
        <v>46015</v>
      </c>
      <c r="B1121">
        <v>4480.6000999999997</v>
      </c>
      <c r="C1121">
        <v>4503.3999000000003</v>
      </c>
      <c r="D1121">
        <v>4468.3999000000003</v>
      </c>
      <c r="E1121">
        <v>4500.7002000000002</v>
      </c>
      <c r="F1121">
        <v>500</v>
      </c>
      <c r="G1121">
        <v>4376.4571999999998</v>
      </c>
      <c r="H1121">
        <v>4214.43</v>
      </c>
      <c r="I1121">
        <v>3943.1244999999999</v>
      </c>
      <c r="J1121">
        <v>-5.7700000000000001E-2</v>
      </c>
      <c r="K1121">
        <v>1.1981999999999999</v>
      </c>
      <c r="L1121">
        <v>1.1662999999999999</v>
      </c>
      <c r="M1121">
        <v>84.996499999999997</v>
      </c>
      <c r="N1121">
        <v>89.700800000000001</v>
      </c>
      <c r="O1121">
        <v>68.515199999999993</v>
      </c>
      <c r="P1121">
        <v>4472.9341000000004</v>
      </c>
      <c r="Q1121">
        <v>4069.1559999999999</v>
      </c>
    </row>
    <row r="1122" spans="1:17" x14ac:dyDescent="0.3">
      <c r="A1122" s="1">
        <v>46017</v>
      </c>
      <c r="B1122">
        <v>4529.1000999999997</v>
      </c>
      <c r="C1122">
        <v>4556.2997999999998</v>
      </c>
      <c r="D1122">
        <v>4502</v>
      </c>
      <c r="E1122">
        <v>4512</v>
      </c>
      <c r="F1122">
        <v>263</v>
      </c>
      <c r="G1122">
        <v>4410.9571999999998</v>
      </c>
      <c r="H1122">
        <v>4227.6433999999999</v>
      </c>
      <c r="I1122">
        <v>3956.2556</v>
      </c>
      <c r="J1122">
        <v>0.25109999999999999</v>
      </c>
      <c r="K1122">
        <v>1.0246</v>
      </c>
      <c r="L1122">
        <v>1.1546000000000001</v>
      </c>
      <c r="M1122">
        <v>86.803899999999999</v>
      </c>
      <c r="N1122">
        <v>96.355699999999999</v>
      </c>
      <c r="O1122">
        <v>74.083299999999994</v>
      </c>
      <c r="P1122">
        <v>4507.3859000000002</v>
      </c>
      <c r="Q1122">
        <v>4073.0441999999998</v>
      </c>
    </row>
    <row r="1123" spans="1:17" x14ac:dyDescent="0.3">
      <c r="A1123" s="1">
        <v>46020</v>
      </c>
      <c r="B1123">
        <v>4325.1000999999997</v>
      </c>
      <c r="C1123">
        <v>4379</v>
      </c>
      <c r="D1123">
        <v>4325.1000999999997</v>
      </c>
      <c r="E1123">
        <v>4371.5</v>
      </c>
      <c r="F1123">
        <v>2044</v>
      </c>
      <c r="G1123">
        <v>4419.9571999999998</v>
      </c>
      <c r="H1123">
        <v>4232.4034000000001</v>
      </c>
      <c r="I1123">
        <v>3968.0432999999998</v>
      </c>
      <c r="J1123">
        <v>-3.1139000000000001</v>
      </c>
      <c r="K1123">
        <v>1.792</v>
      </c>
      <c r="L1123">
        <v>1.2223999999999999</v>
      </c>
      <c r="M1123">
        <v>64.890600000000006</v>
      </c>
      <c r="N1123">
        <v>89.263599999999997</v>
      </c>
      <c r="O1123">
        <v>77.119399999999999</v>
      </c>
      <c r="P1123">
        <v>4512.0735999999997</v>
      </c>
      <c r="Q1123">
        <v>4089.1664000000001</v>
      </c>
    </row>
    <row r="1124" spans="1:17" x14ac:dyDescent="0.3">
      <c r="A1124" s="1">
        <v>46021</v>
      </c>
      <c r="B1124">
        <v>4370.1000999999997</v>
      </c>
      <c r="C1124">
        <v>4403.6000999999997</v>
      </c>
      <c r="D1124">
        <v>4338</v>
      </c>
      <c r="E1124">
        <v>4346.3999000000003</v>
      </c>
      <c r="F1124">
        <v>1837</v>
      </c>
      <c r="G1124">
        <v>4422.1571999999996</v>
      </c>
      <c r="H1124">
        <v>4237.3599999999997</v>
      </c>
      <c r="I1124">
        <v>3979.1210999999998</v>
      </c>
      <c r="J1124">
        <v>-0.57420000000000004</v>
      </c>
      <c r="K1124">
        <v>1.8090999999999999</v>
      </c>
      <c r="L1124">
        <v>1.2189000000000001</v>
      </c>
      <c r="M1124">
        <v>63.713200000000001</v>
      </c>
      <c r="N1124">
        <v>80.687600000000003</v>
      </c>
      <c r="O1124">
        <v>77.832999999999998</v>
      </c>
      <c r="P1124">
        <v>4515.7299999999996</v>
      </c>
      <c r="Q1124">
        <v>4098.3001000000004</v>
      </c>
    </row>
    <row r="1125" spans="1:17" x14ac:dyDescent="0.3">
      <c r="A1125" s="1">
        <v>46022</v>
      </c>
      <c r="B1125">
        <v>4325.6000999999997</v>
      </c>
      <c r="C1125">
        <v>4363.7997999999998</v>
      </c>
      <c r="D1125">
        <v>4285</v>
      </c>
      <c r="E1125">
        <v>4333.5</v>
      </c>
      <c r="F1125">
        <v>785</v>
      </c>
      <c r="G1125">
        <v>4419.7857000000004</v>
      </c>
      <c r="H1125">
        <v>4246.1433999999999</v>
      </c>
      <c r="I1125">
        <v>3990.0556000000001</v>
      </c>
      <c r="J1125">
        <v>-0.29680000000000001</v>
      </c>
      <c r="K1125">
        <v>1.8049999999999999</v>
      </c>
      <c r="L1125">
        <v>1.0666</v>
      </c>
      <c r="M1125">
        <v>61.070599999999999</v>
      </c>
      <c r="N1125">
        <v>72.02</v>
      </c>
      <c r="O1125">
        <v>76.670400000000001</v>
      </c>
      <c r="P1125">
        <v>4517.9935999999998</v>
      </c>
      <c r="Q1125">
        <v>4106.3365000000003</v>
      </c>
    </row>
    <row r="1126" spans="1:17" x14ac:dyDescent="0.3">
      <c r="A1126" s="1">
        <v>46024</v>
      </c>
      <c r="B1126">
        <v>4314.3999000000003</v>
      </c>
      <c r="C1126">
        <v>4350.6000999999997</v>
      </c>
      <c r="D1126">
        <v>4314.3999000000003</v>
      </c>
      <c r="E1126">
        <v>4350.6000999999997</v>
      </c>
      <c r="F1126">
        <v>589</v>
      </c>
      <c r="G1126">
        <v>4416.8571000000002</v>
      </c>
      <c r="H1126">
        <v>4256.5834000000004</v>
      </c>
      <c r="I1126">
        <v>4000.9956000000002</v>
      </c>
      <c r="J1126">
        <v>0.39460000000000001</v>
      </c>
      <c r="K1126">
        <v>1.8010999999999999</v>
      </c>
      <c r="L1126">
        <v>1.0495000000000001</v>
      </c>
      <c r="M1126">
        <v>61.215499999999999</v>
      </c>
      <c r="N1126">
        <v>65.772400000000005</v>
      </c>
      <c r="O1126">
        <v>74.490799999999993</v>
      </c>
      <c r="P1126">
        <v>4520.2201999999997</v>
      </c>
      <c r="Q1126">
        <v>4117.5998</v>
      </c>
    </row>
    <row r="1127" spans="1:17" x14ac:dyDescent="0.3">
      <c r="A1127" s="1">
        <v>46027</v>
      </c>
      <c r="B1127">
        <v>4436.8999000000003</v>
      </c>
      <c r="C1127">
        <v>4443.5</v>
      </c>
      <c r="D1127">
        <v>4384.7997999999998</v>
      </c>
      <c r="E1127">
        <v>4386.7002000000002</v>
      </c>
      <c r="F1127">
        <v>618</v>
      </c>
      <c r="G1127">
        <v>4400.2001</v>
      </c>
      <c r="H1127">
        <v>4266.6034</v>
      </c>
      <c r="I1127">
        <v>4012.1934000000001</v>
      </c>
      <c r="J1127">
        <v>0.82979999999999998</v>
      </c>
      <c r="K1127">
        <v>1.2964</v>
      </c>
      <c r="L1127">
        <v>1.04</v>
      </c>
      <c r="M1127">
        <v>60.062100000000001</v>
      </c>
      <c r="N1127">
        <v>63.007899999999999</v>
      </c>
      <c r="O1127">
        <v>72.194199999999995</v>
      </c>
      <c r="P1127">
        <v>4524.4609</v>
      </c>
      <c r="Q1127">
        <v>4130.9291000000003</v>
      </c>
    </row>
    <row r="1128" spans="1:17" x14ac:dyDescent="0.3">
      <c r="A1128" s="1">
        <v>46028</v>
      </c>
      <c r="B1128">
        <v>4482.2002000000002</v>
      </c>
      <c r="C1128">
        <v>4482.2002000000002</v>
      </c>
      <c r="D1128">
        <v>4449</v>
      </c>
      <c r="E1128">
        <v>4449.7002000000002</v>
      </c>
      <c r="F1128">
        <v>459</v>
      </c>
      <c r="G1128">
        <v>4392.9143000000004</v>
      </c>
      <c r="H1128">
        <v>4280.0933999999997</v>
      </c>
      <c r="I1128">
        <v>4023.89</v>
      </c>
      <c r="J1128">
        <v>1.4361999999999999</v>
      </c>
      <c r="K1128">
        <v>1.4674</v>
      </c>
      <c r="L1128">
        <v>1.0345</v>
      </c>
      <c r="M1128">
        <v>62.206499999999998</v>
      </c>
      <c r="N1128">
        <v>65.149500000000003</v>
      </c>
      <c r="O1128">
        <v>70.785300000000007</v>
      </c>
      <c r="P1128">
        <v>4534.9101000000001</v>
      </c>
      <c r="Q1128">
        <v>4145.0398999999998</v>
      </c>
    </row>
    <row r="1129" spans="1:17" x14ac:dyDescent="0.3">
      <c r="A1129" s="1">
        <v>46029</v>
      </c>
      <c r="B1129">
        <v>4449.2997999999998</v>
      </c>
      <c r="C1129">
        <v>4450</v>
      </c>
      <c r="D1129">
        <v>4449.2997999999998</v>
      </c>
      <c r="E1129">
        <v>4450</v>
      </c>
      <c r="F1129">
        <v>972</v>
      </c>
      <c r="G1129">
        <v>4384.0572000000002</v>
      </c>
      <c r="H1129">
        <v>4294.0334000000003</v>
      </c>
      <c r="I1129">
        <v>4035.4567000000002</v>
      </c>
      <c r="J1129">
        <v>6.7000000000000002E-3</v>
      </c>
      <c r="K1129">
        <v>1.4591000000000001</v>
      </c>
      <c r="L1129">
        <v>1.0289999999999999</v>
      </c>
      <c r="M1129">
        <v>66.568200000000004</v>
      </c>
      <c r="N1129">
        <v>66.108900000000006</v>
      </c>
      <c r="O1129">
        <v>69.849999999999994</v>
      </c>
      <c r="P1129">
        <v>4542.2313000000004</v>
      </c>
      <c r="Q1129">
        <v>4162.1687000000002</v>
      </c>
    </row>
    <row r="1130" spans="1:17" x14ac:dyDescent="0.3">
      <c r="A1130" s="1">
        <v>46030</v>
      </c>
      <c r="B1130">
        <v>4449.7002000000002</v>
      </c>
      <c r="C1130">
        <v>4461.2997999999998</v>
      </c>
      <c r="D1130">
        <v>4418</v>
      </c>
      <c r="E1130">
        <v>4460.2002000000002</v>
      </c>
      <c r="F1130">
        <v>2423</v>
      </c>
      <c r="G1130">
        <v>4396.7286999999997</v>
      </c>
      <c r="H1130">
        <v>4307.3567000000003</v>
      </c>
      <c r="I1130">
        <v>4046.8755999999998</v>
      </c>
      <c r="J1130">
        <v>0.22919999999999999</v>
      </c>
      <c r="K1130">
        <v>0.68200000000000005</v>
      </c>
      <c r="L1130">
        <v>1.0266999999999999</v>
      </c>
      <c r="M1130">
        <v>64.759699999999995</v>
      </c>
      <c r="N1130">
        <v>66.920900000000003</v>
      </c>
      <c r="O1130">
        <v>69.264200000000002</v>
      </c>
      <c r="P1130">
        <v>4545.4303</v>
      </c>
      <c r="Q1130">
        <v>4185.9197999999997</v>
      </c>
    </row>
    <row r="1131" spans="1:17" x14ac:dyDescent="0.3">
      <c r="A1131" s="1">
        <v>46031</v>
      </c>
      <c r="B1131">
        <v>4490.2997999999998</v>
      </c>
      <c r="C1131">
        <v>4490.2997999999998</v>
      </c>
      <c r="D1131">
        <v>4473</v>
      </c>
      <c r="E1131">
        <v>4473</v>
      </c>
      <c r="F1131">
        <v>237</v>
      </c>
      <c r="G1131">
        <v>4414.8144000000002</v>
      </c>
      <c r="H1131">
        <v>4318.4834000000001</v>
      </c>
      <c r="I1131">
        <v>4057.8456000000001</v>
      </c>
      <c r="J1131">
        <v>0.28699999999999998</v>
      </c>
      <c r="K1131">
        <v>0.56850000000000001</v>
      </c>
      <c r="L1131">
        <v>0.98009999999999997</v>
      </c>
      <c r="M1131">
        <v>64.081699999999998</v>
      </c>
      <c r="N1131">
        <v>67.8155</v>
      </c>
      <c r="O1131">
        <v>68.974500000000006</v>
      </c>
      <c r="P1131">
        <v>4548.6851999999999</v>
      </c>
      <c r="Q1131">
        <v>4209.0649000000003</v>
      </c>
    </row>
    <row r="1132" spans="1:17" x14ac:dyDescent="0.3">
      <c r="A1132" s="1">
        <v>46034</v>
      </c>
      <c r="B1132">
        <v>4604.2997999999998</v>
      </c>
      <c r="C1132">
        <v>4620</v>
      </c>
      <c r="D1132">
        <v>4577.7997999999998</v>
      </c>
      <c r="E1132">
        <v>4579.1000999999997</v>
      </c>
      <c r="F1132">
        <v>156</v>
      </c>
      <c r="G1132">
        <v>4449.9000999999998</v>
      </c>
      <c r="H1132">
        <v>4333.5</v>
      </c>
      <c r="I1132">
        <v>4069.2267000000002</v>
      </c>
      <c r="J1132">
        <v>2.3719999999999999</v>
      </c>
      <c r="K1132">
        <v>0.84250000000000003</v>
      </c>
      <c r="L1132">
        <v>1.0471999999999999</v>
      </c>
      <c r="M1132">
        <v>69.367400000000004</v>
      </c>
      <c r="N1132">
        <v>76.207400000000007</v>
      </c>
      <c r="O1132">
        <v>70.421000000000006</v>
      </c>
      <c r="P1132">
        <v>4572.4094999999998</v>
      </c>
      <c r="Q1132">
        <v>4220.8504999999996</v>
      </c>
    </row>
    <row r="1133" spans="1:17" x14ac:dyDescent="0.3">
      <c r="A1133" s="1">
        <v>46035</v>
      </c>
      <c r="B1133">
        <v>4589.2002000000002</v>
      </c>
      <c r="C1133">
        <v>4617.1000999999997</v>
      </c>
      <c r="D1133">
        <v>4578.6000999999997</v>
      </c>
      <c r="E1133">
        <v>4578.6000999999997</v>
      </c>
      <c r="F1133">
        <v>239</v>
      </c>
      <c r="G1133">
        <v>4482.4714999999997</v>
      </c>
      <c r="H1133">
        <v>4347.34</v>
      </c>
      <c r="I1133">
        <v>4080.6567</v>
      </c>
      <c r="J1133">
        <v>-1.09E-2</v>
      </c>
      <c r="K1133">
        <v>0.88729999999999998</v>
      </c>
      <c r="L1133">
        <v>1.0449999999999999</v>
      </c>
      <c r="M1133">
        <v>68.179500000000004</v>
      </c>
      <c r="N1133">
        <v>81.873900000000006</v>
      </c>
      <c r="O1133">
        <v>72.711600000000004</v>
      </c>
      <c r="P1133">
        <v>4595.7646999999997</v>
      </c>
      <c r="Q1133">
        <v>4227.7154</v>
      </c>
    </row>
    <row r="1134" spans="1:17" x14ac:dyDescent="0.3">
      <c r="A1134" s="1">
        <v>46036</v>
      </c>
      <c r="B1134">
        <v>4626.2997999999998</v>
      </c>
      <c r="C1134">
        <v>4635</v>
      </c>
      <c r="D1134">
        <v>4608.2002000000002</v>
      </c>
      <c r="E1134">
        <v>4610.2997999999998</v>
      </c>
      <c r="F1134">
        <v>1313</v>
      </c>
      <c r="G1134">
        <v>4514.4143000000004</v>
      </c>
      <c r="H1134">
        <v>4360.3999999999996</v>
      </c>
      <c r="I1134">
        <v>4092.24</v>
      </c>
      <c r="J1134">
        <v>0.69230000000000003</v>
      </c>
      <c r="K1134">
        <v>0.88639999999999997</v>
      </c>
      <c r="L1134">
        <v>1.0304</v>
      </c>
      <c r="M1134">
        <v>61.3782</v>
      </c>
      <c r="N1134">
        <v>87.909199999999998</v>
      </c>
      <c r="O1134">
        <v>75.751099999999994</v>
      </c>
      <c r="P1134">
        <v>4624.2043000000003</v>
      </c>
      <c r="Q1134">
        <v>4229.4758000000002</v>
      </c>
    </row>
    <row r="1135" spans="1:17" x14ac:dyDescent="0.3">
      <c r="A1135" s="1">
        <v>46037</v>
      </c>
      <c r="B1135">
        <v>4616.2997999999998</v>
      </c>
      <c r="C1135">
        <v>4616.2997999999998</v>
      </c>
      <c r="D1135">
        <v>4612.8999000000003</v>
      </c>
      <c r="E1135">
        <v>4612.8999000000003</v>
      </c>
      <c r="F1135">
        <v>4358</v>
      </c>
      <c r="G1135">
        <v>4537.7286000000004</v>
      </c>
      <c r="H1135">
        <v>4373.1467000000002</v>
      </c>
      <c r="I1135">
        <v>4103.5555999999997</v>
      </c>
      <c r="J1135">
        <v>5.6399999999999999E-2</v>
      </c>
      <c r="K1135">
        <v>0.85229999999999995</v>
      </c>
      <c r="L1135">
        <v>1.0313000000000001</v>
      </c>
      <c r="M1135">
        <v>61.931100000000001</v>
      </c>
      <c r="N1135">
        <v>91.843299999999999</v>
      </c>
      <c r="O1135">
        <v>78.9696</v>
      </c>
      <c r="P1135">
        <v>4643.6120000000001</v>
      </c>
      <c r="Q1135">
        <v>4244.3081000000002</v>
      </c>
    </row>
    <row r="1136" spans="1:17" x14ac:dyDescent="0.3">
      <c r="A1136" s="1">
        <v>46038</v>
      </c>
      <c r="B1136">
        <v>4588.3999000000003</v>
      </c>
      <c r="C1136">
        <v>4608</v>
      </c>
      <c r="D1136">
        <v>4588.3999000000003</v>
      </c>
      <c r="E1136">
        <v>4608</v>
      </c>
      <c r="F1136">
        <v>352</v>
      </c>
      <c r="G1136">
        <v>4560.3</v>
      </c>
      <c r="H1136">
        <v>4386.2233999999999</v>
      </c>
      <c r="I1136">
        <v>4114.2322000000004</v>
      </c>
      <c r="J1136">
        <v>-0.1062</v>
      </c>
      <c r="K1136">
        <v>0.86460000000000004</v>
      </c>
      <c r="L1136">
        <v>1.0270999999999999</v>
      </c>
      <c r="M1136">
        <v>60.349299999999999</v>
      </c>
      <c r="N1136">
        <v>93.488</v>
      </c>
      <c r="O1136">
        <v>81.873199999999997</v>
      </c>
      <c r="P1136">
        <v>4660.7237999999998</v>
      </c>
      <c r="Q1136">
        <v>4257.1462000000001</v>
      </c>
    </row>
    <row r="1137" spans="1:17" x14ac:dyDescent="0.3">
      <c r="A1137" s="1">
        <v>46042</v>
      </c>
      <c r="B1137">
        <v>4759.6000999999997</v>
      </c>
      <c r="C1137">
        <v>4764</v>
      </c>
      <c r="D1137">
        <v>4661.7997999999998</v>
      </c>
      <c r="E1137">
        <v>4662.2002000000002</v>
      </c>
      <c r="F1137">
        <v>175</v>
      </c>
      <c r="G1137">
        <v>4589.1571999999996</v>
      </c>
      <c r="H1137">
        <v>4401.2633999999998</v>
      </c>
      <c r="I1137">
        <v>4125.7566999999999</v>
      </c>
      <c r="J1137">
        <v>1.1761999999999999</v>
      </c>
      <c r="K1137">
        <v>0.88839999999999997</v>
      </c>
      <c r="L1137">
        <v>1.036</v>
      </c>
      <c r="M1137">
        <v>88.503299999999996</v>
      </c>
      <c r="N1137">
        <v>98.034899999999993</v>
      </c>
      <c r="O1137">
        <v>85.105599999999995</v>
      </c>
      <c r="P1137">
        <v>4687.1941999999999</v>
      </c>
      <c r="Q1137">
        <v>4263.7959000000001</v>
      </c>
    </row>
    <row r="1138" spans="1:17" x14ac:dyDescent="0.3">
      <c r="A1138" s="1">
        <v>46043</v>
      </c>
      <c r="B1138">
        <v>4831.7997999999998</v>
      </c>
      <c r="C1138">
        <v>4872.2997999999998</v>
      </c>
      <c r="D1138">
        <v>4771.5</v>
      </c>
      <c r="E1138">
        <v>4863.5</v>
      </c>
      <c r="F1138">
        <v>1706</v>
      </c>
      <c r="G1138">
        <v>4644.9429</v>
      </c>
      <c r="H1138">
        <v>4423.2434000000003</v>
      </c>
      <c r="I1138">
        <v>4139.43</v>
      </c>
      <c r="J1138">
        <v>4.3177000000000003</v>
      </c>
      <c r="K1138">
        <v>1.6243000000000001</v>
      </c>
      <c r="L1138">
        <v>1.2592000000000001</v>
      </c>
      <c r="M1138">
        <v>96.694999999999993</v>
      </c>
      <c r="N1138">
        <v>116.5382</v>
      </c>
      <c r="O1138">
        <v>91.392099999999999</v>
      </c>
      <c r="P1138">
        <v>4766.5439999999999</v>
      </c>
      <c r="Q1138">
        <v>4235.7860000000001</v>
      </c>
    </row>
    <row r="1139" spans="1:17" x14ac:dyDescent="0.3">
      <c r="A1139" s="1">
        <v>46044</v>
      </c>
      <c r="B1139">
        <v>4908.7997999999998</v>
      </c>
      <c r="C1139">
        <v>4908.7997999999998</v>
      </c>
      <c r="D1139">
        <v>4791.8999000000003</v>
      </c>
      <c r="E1139">
        <v>4791.8999000000003</v>
      </c>
      <c r="F1139">
        <v>1175</v>
      </c>
      <c r="G1139">
        <v>4675.3428000000004</v>
      </c>
      <c r="H1139">
        <v>4442.79</v>
      </c>
      <c r="I1139">
        <v>4152.0567000000001</v>
      </c>
      <c r="J1139">
        <v>-1.4722</v>
      </c>
      <c r="K1139">
        <v>1.8070999999999999</v>
      </c>
      <c r="L1139">
        <v>1.3072999999999999</v>
      </c>
      <c r="M1139">
        <v>87.426500000000004</v>
      </c>
      <c r="N1139">
        <v>123.9953</v>
      </c>
      <c r="O1139">
        <v>97.912700000000001</v>
      </c>
      <c r="P1139">
        <v>4809.9475000000002</v>
      </c>
      <c r="Q1139">
        <v>4234.4624999999996</v>
      </c>
    </row>
    <row r="1140" spans="1:17" x14ac:dyDescent="0.3">
      <c r="A1140" s="1">
        <v>46045</v>
      </c>
      <c r="B1140">
        <v>4976.2002000000002</v>
      </c>
      <c r="C1140">
        <v>4976.2002000000002</v>
      </c>
      <c r="D1140">
        <v>4936</v>
      </c>
      <c r="E1140">
        <v>4949.6000999999997</v>
      </c>
      <c r="F1140">
        <v>169</v>
      </c>
      <c r="G1140">
        <v>4728.3428000000004</v>
      </c>
      <c r="H1140">
        <v>4468.0866999999998</v>
      </c>
      <c r="I1140">
        <v>4166.6077999999998</v>
      </c>
      <c r="J1140">
        <v>3.2909999999999999</v>
      </c>
      <c r="K1140">
        <v>2.0198</v>
      </c>
      <c r="L1140">
        <v>1.3969</v>
      </c>
      <c r="M1140">
        <v>89.774199999999993</v>
      </c>
      <c r="N1140">
        <v>141.00479999999999</v>
      </c>
      <c r="O1140">
        <v>106.5312</v>
      </c>
      <c r="P1140">
        <v>4889.5996999999998</v>
      </c>
      <c r="Q1140">
        <v>4199.4404000000004</v>
      </c>
    </row>
    <row r="1141" spans="1:17" x14ac:dyDescent="0.3">
      <c r="A1141" s="1">
        <v>46048</v>
      </c>
      <c r="B1141">
        <v>5079.7002000000002</v>
      </c>
      <c r="C1141">
        <v>5095.6000999999997</v>
      </c>
      <c r="D1141">
        <v>5052.2002000000002</v>
      </c>
      <c r="E1141">
        <v>5081.5</v>
      </c>
      <c r="F1141">
        <v>180</v>
      </c>
      <c r="G1141">
        <v>4795.6571999999996</v>
      </c>
      <c r="H1141">
        <v>4497.17</v>
      </c>
      <c r="I1141">
        <v>4182.1644999999999</v>
      </c>
      <c r="J1141">
        <v>2.6648999999999998</v>
      </c>
      <c r="K1141">
        <v>2.0840999999999998</v>
      </c>
      <c r="L1141">
        <v>1.4480999999999999</v>
      </c>
      <c r="M1141">
        <v>90.928399999999996</v>
      </c>
      <c r="N1141">
        <v>163.24629999999999</v>
      </c>
      <c r="O1141">
        <v>117.8742</v>
      </c>
      <c r="P1141">
        <v>4992.8804</v>
      </c>
      <c r="Q1141">
        <v>4154.2395999999999</v>
      </c>
    </row>
    <row r="1142" spans="1:17" x14ac:dyDescent="0.3">
      <c r="A1142" s="1">
        <v>46049</v>
      </c>
      <c r="B1142">
        <v>5079.8999000000003</v>
      </c>
      <c r="C1142">
        <v>5079.8999000000003</v>
      </c>
      <c r="D1142">
        <v>5079.8999000000003</v>
      </c>
      <c r="E1142">
        <v>5079.8999000000003</v>
      </c>
      <c r="F1142">
        <v>34</v>
      </c>
      <c r="G1142">
        <v>4862.3714</v>
      </c>
      <c r="H1142">
        <v>4525.7</v>
      </c>
      <c r="I1142">
        <v>4197.8410999999996</v>
      </c>
      <c r="J1142">
        <v>-3.15E-2</v>
      </c>
      <c r="K1142">
        <v>2.0939000000000001</v>
      </c>
      <c r="L1142">
        <v>1.4523999999999999</v>
      </c>
      <c r="M1142">
        <v>90.017799999999994</v>
      </c>
      <c r="N1142">
        <v>178.6841</v>
      </c>
      <c r="O1142">
        <v>130.03620000000001</v>
      </c>
      <c r="P1142">
        <v>5076.9409999999998</v>
      </c>
      <c r="Q1142">
        <v>4126.9690000000001</v>
      </c>
    </row>
    <row r="1143" spans="1:17" x14ac:dyDescent="0.3">
      <c r="A1143" s="1">
        <v>46050</v>
      </c>
      <c r="B1143">
        <v>5301.6000999999997</v>
      </c>
      <c r="C1143">
        <v>5301.6000999999997</v>
      </c>
      <c r="D1143">
        <v>5301.6000999999997</v>
      </c>
      <c r="E1143">
        <v>5301.6000999999997</v>
      </c>
      <c r="F1143">
        <v>112054</v>
      </c>
      <c r="G1143">
        <v>4961.4571999999998</v>
      </c>
      <c r="H1143">
        <v>4559.8734000000004</v>
      </c>
      <c r="I1143">
        <v>4216.1410999999998</v>
      </c>
      <c r="J1143">
        <v>4.3643000000000001</v>
      </c>
      <c r="K1143">
        <v>2.2330000000000001</v>
      </c>
      <c r="L1143">
        <v>1.6022000000000001</v>
      </c>
      <c r="M1143">
        <v>92.208600000000004</v>
      </c>
      <c r="N1143">
        <v>206.42830000000001</v>
      </c>
      <c r="O1143">
        <v>145.31460000000001</v>
      </c>
      <c r="P1143">
        <v>5203.7779</v>
      </c>
      <c r="Q1143">
        <v>4093.1421999999998</v>
      </c>
    </row>
    <row r="1144" spans="1:17" x14ac:dyDescent="0.3">
      <c r="A1144" s="1">
        <v>46051</v>
      </c>
      <c r="B1144">
        <v>5318.3999000000003</v>
      </c>
      <c r="C1144">
        <v>5586.2002000000002</v>
      </c>
      <c r="D1144">
        <v>5097.5</v>
      </c>
      <c r="E1144">
        <v>5415.7002000000002</v>
      </c>
      <c r="F1144">
        <v>23709</v>
      </c>
      <c r="G1144">
        <v>5069.1000000000004</v>
      </c>
      <c r="H1144">
        <v>4596.7866999999997</v>
      </c>
      <c r="I1144">
        <v>4235.66</v>
      </c>
      <c r="J1144">
        <v>2.1522000000000001</v>
      </c>
      <c r="K1144">
        <v>2.2000000000000002</v>
      </c>
      <c r="L1144">
        <v>1.6231</v>
      </c>
      <c r="M1144">
        <v>92.936099999999996</v>
      </c>
      <c r="N1144">
        <v>234.91489999999999</v>
      </c>
      <c r="O1144">
        <v>163.2347</v>
      </c>
      <c r="P1144">
        <v>5335.2191999999995</v>
      </c>
      <c r="Q1144">
        <v>4068.6309000000001</v>
      </c>
    </row>
    <row r="1145" spans="1:17" x14ac:dyDescent="0.3">
      <c r="A1145" s="1">
        <v>46052</v>
      </c>
      <c r="B1145">
        <v>4713.8999000000003</v>
      </c>
      <c r="C1145">
        <v>5440.5</v>
      </c>
      <c r="D1145">
        <v>4700</v>
      </c>
      <c r="E1145">
        <v>5376.3999000000003</v>
      </c>
      <c r="F1145">
        <v>8374</v>
      </c>
      <c r="G1145">
        <v>5142.3714</v>
      </c>
      <c r="H1145">
        <v>4633.6499999999996</v>
      </c>
      <c r="I1145">
        <v>4254.4178000000002</v>
      </c>
      <c r="J1145">
        <v>-0.72570000000000001</v>
      </c>
      <c r="K1145">
        <v>2.2105000000000001</v>
      </c>
      <c r="L1145">
        <v>1.6180000000000001</v>
      </c>
      <c r="M1145">
        <v>89.650599999999997</v>
      </c>
      <c r="N1145">
        <v>251.4212</v>
      </c>
      <c r="O1145">
        <v>180.87200000000001</v>
      </c>
      <c r="P1145">
        <v>5429.9459999999999</v>
      </c>
      <c r="Q1145">
        <v>4078.1941000000002</v>
      </c>
    </row>
    <row r="1146" spans="1:17" x14ac:dyDescent="0.3">
      <c r="A1146" s="1">
        <v>46055</v>
      </c>
      <c r="B1146">
        <v>4622.5</v>
      </c>
      <c r="C1146">
        <v>4855.7997999999998</v>
      </c>
      <c r="D1146">
        <v>4400</v>
      </c>
      <c r="E1146">
        <v>4807.7002000000002</v>
      </c>
      <c r="F1146">
        <v>3588</v>
      </c>
      <c r="G1146">
        <v>5144.6286</v>
      </c>
      <c r="H1146">
        <v>4650.29</v>
      </c>
      <c r="I1146">
        <v>4266.2034000000003</v>
      </c>
      <c r="J1146">
        <v>-10.5777</v>
      </c>
      <c r="K1146">
        <v>5.0636000000000001</v>
      </c>
      <c r="L1146">
        <v>2.63</v>
      </c>
      <c r="M1146">
        <v>57.1357</v>
      </c>
      <c r="N1146">
        <v>216.12200000000001</v>
      </c>
      <c r="O1146">
        <v>187.922</v>
      </c>
      <c r="P1146">
        <v>5425.7263999999996</v>
      </c>
      <c r="Q1146">
        <v>4128.1237000000001</v>
      </c>
    </row>
    <row r="1147" spans="1:17" x14ac:dyDescent="0.3">
      <c r="A1147" s="1">
        <v>46056</v>
      </c>
      <c r="B1147">
        <v>4903.7002000000002</v>
      </c>
      <c r="C1147">
        <v>4984.6000999999997</v>
      </c>
      <c r="D1147">
        <v>4674.2997999999998</v>
      </c>
      <c r="E1147">
        <v>4680</v>
      </c>
      <c r="F1147">
        <v>1213</v>
      </c>
      <c r="G1147">
        <v>5106.1143000000002</v>
      </c>
      <c r="H1147">
        <v>4661.9233999999997</v>
      </c>
      <c r="I1147">
        <v>4276.3167000000003</v>
      </c>
      <c r="J1147">
        <v>-2.6562000000000001</v>
      </c>
      <c r="K1147">
        <v>4.9488000000000003</v>
      </c>
      <c r="L1147">
        <v>2.6882999999999999</v>
      </c>
      <c r="M1147">
        <v>52.932299999999998</v>
      </c>
      <c r="N1147">
        <v>175.816</v>
      </c>
      <c r="O1147">
        <v>185.5008</v>
      </c>
      <c r="P1147">
        <v>5416.0558000000001</v>
      </c>
      <c r="Q1147">
        <v>4167.1243000000004</v>
      </c>
    </row>
    <row r="1148" spans="1:17" x14ac:dyDescent="0.3">
      <c r="A1148" s="1">
        <v>46057</v>
      </c>
      <c r="B1148">
        <v>4920.3999000000003</v>
      </c>
      <c r="C1148">
        <v>5082.2002000000002</v>
      </c>
      <c r="D1148">
        <v>4897.8999000000003</v>
      </c>
      <c r="E1148">
        <v>4923.2997999999998</v>
      </c>
      <c r="F1148">
        <v>3886</v>
      </c>
      <c r="G1148">
        <v>5083.5142999999998</v>
      </c>
      <c r="H1148">
        <v>4681.03</v>
      </c>
      <c r="I1148">
        <v>4289.4333999999999</v>
      </c>
      <c r="J1148">
        <v>5.1986999999999997</v>
      </c>
      <c r="K1148">
        <v>5.3140999999999998</v>
      </c>
      <c r="L1148">
        <v>2.8336000000000001</v>
      </c>
      <c r="M1148">
        <v>58.064500000000002</v>
      </c>
      <c r="N1148">
        <v>161.6422</v>
      </c>
      <c r="O1148">
        <v>180.72909999999999</v>
      </c>
      <c r="P1148">
        <v>5420.7784000000001</v>
      </c>
      <c r="Q1148">
        <v>4209.7615999999998</v>
      </c>
    </row>
    <row r="1149" spans="1:17" x14ac:dyDescent="0.3">
      <c r="A1149" s="1">
        <v>46058</v>
      </c>
      <c r="B1149">
        <v>4861.3999000000003</v>
      </c>
      <c r="C1149">
        <v>5012.2997999999998</v>
      </c>
      <c r="D1149">
        <v>4786</v>
      </c>
      <c r="E1149">
        <v>5008.7002000000002</v>
      </c>
      <c r="F1149">
        <v>793</v>
      </c>
      <c r="G1149">
        <v>5073.3428999999996</v>
      </c>
      <c r="H1149">
        <v>4702.2834000000003</v>
      </c>
      <c r="I1149">
        <v>4303.1378000000004</v>
      </c>
      <c r="J1149">
        <v>1.7345999999999999</v>
      </c>
      <c r="K1149">
        <v>5.3719000000000001</v>
      </c>
      <c r="L1149">
        <v>2.8433000000000002</v>
      </c>
      <c r="M1149">
        <v>59.7806</v>
      </c>
      <c r="N1149">
        <v>155.50790000000001</v>
      </c>
      <c r="O1149">
        <v>175.6848</v>
      </c>
      <c r="P1149">
        <v>5428.9889000000003</v>
      </c>
      <c r="Q1149">
        <v>4257.4211999999998</v>
      </c>
    </row>
    <row r="1150" spans="1:17" x14ac:dyDescent="0.3">
      <c r="A1150" s="1">
        <v>46059</v>
      </c>
      <c r="B1150">
        <v>4951.2002000000002</v>
      </c>
      <c r="C1150">
        <v>4958.5</v>
      </c>
      <c r="D1150">
        <v>4655</v>
      </c>
      <c r="E1150">
        <v>4762</v>
      </c>
      <c r="F1150">
        <v>1386</v>
      </c>
      <c r="G1150">
        <v>4996.2572</v>
      </c>
      <c r="H1150">
        <v>4710.9066999999995</v>
      </c>
      <c r="I1150">
        <v>4314.3289000000004</v>
      </c>
      <c r="J1150">
        <v>-4.9253999999999998</v>
      </c>
      <c r="K1150">
        <v>5.2389000000000001</v>
      </c>
      <c r="L1150">
        <v>2.9672000000000001</v>
      </c>
      <c r="M1150">
        <v>53.399299999999997</v>
      </c>
      <c r="N1150">
        <v>129.24979999999999</v>
      </c>
      <c r="O1150">
        <v>166.39779999999999</v>
      </c>
      <c r="P1150">
        <v>5417.4814999999999</v>
      </c>
      <c r="Q1150">
        <v>4299.1085000000003</v>
      </c>
    </row>
    <row r="1151" spans="1:17" x14ac:dyDescent="0.3">
      <c r="A1151" s="1">
        <v>46062</v>
      </c>
      <c r="B1151">
        <v>5050.8999000000003</v>
      </c>
      <c r="C1151">
        <v>5065.7002000000002</v>
      </c>
      <c r="D1151">
        <v>4979.1000999999997</v>
      </c>
      <c r="E1151">
        <v>5017.3999000000003</v>
      </c>
      <c r="F1151">
        <v>170</v>
      </c>
      <c r="G1151">
        <v>4939.3571000000002</v>
      </c>
      <c r="H1151">
        <v>4728.13</v>
      </c>
      <c r="I1151">
        <v>4327.55</v>
      </c>
      <c r="J1151">
        <v>5.3632999999999997</v>
      </c>
      <c r="K1151">
        <v>5.7202999999999999</v>
      </c>
      <c r="L1151">
        <v>3.1107</v>
      </c>
      <c r="M1151">
        <v>57.200800000000001</v>
      </c>
      <c r="N1151">
        <v>127.57810000000001</v>
      </c>
      <c r="O1151">
        <v>158.63390000000001</v>
      </c>
      <c r="P1151">
        <v>5418.0992999999999</v>
      </c>
      <c r="Q1151">
        <v>4352.9306999999999</v>
      </c>
    </row>
    <row r="1152" spans="1:17" x14ac:dyDescent="0.3">
      <c r="A1152" s="1">
        <v>46063</v>
      </c>
      <c r="B1152">
        <v>5003.7997999999998</v>
      </c>
      <c r="C1152">
        <v>5029</v>
      </c>
      <c r="D1152">
        <v>5002.7002000000002</v>
      </c>
      <c r="E1152">
        <v>5013.5</v>
      </c>
      <c r="F1152">
        <v>281</v>
      </c>
      <c r="G1152">
        <v>4887.5142999999998</v>
      </c>
      <c r="H1152">
        <v>4744.8467000000001</v>
      </c>
      <c r="I1152">
        <v>4340.3278</v>
      </c>
      <c r="J1152">
        <v>-7.7700000000000005E-2</v>
      </c>
      <c r="K1152">
        <v>5.7295999999999996</v>
      </c>
      <c r="L1152">
        <v>3.1118000000000001</v>
      </c>
      <c r="M1152">
        <v>53.305399999999999</v>
      </c>
      <c r="N1152">
        <v>124.5034</v>
      </c>
      <c r="O1152">
        <v>151.80779999999999</v>
      </c>
      <c r="P1152">
        <v>5422.3483999999999</v>
      </c>
      <c r="Q1152">
        <v>4392.1216000000004</v>
      </c>
    </row>
    <row r="1153" spans="1:17" x14ac:dyDescent="0.3">
      <c r="A1153" s="1">
        <v>46064</v>
      </c>
      <c r="B1153">
        <v>5071.6000999999997</v>
      </c>
      <c r="C1153">
        <v>5111.2997999999998</v>
      </c>
      <c r="D1153">
        <v>5041.2997999999998</v>
      </c>
      <c r="E1153">
        <v>5049.8999000000003</v>
      </c>
      <c r="F1153">
        <v>2681</v>
      </c>
      <c r="G1153">
        <v>4922.1143000000002</v>
      </c>
      <c r="H1153">
        <v>4767.46</v>
      </c>
      <c r="I1153">
        <v>4353.5910999999996</v>
      </c>
      <c r="J1153">
        <v>0.72599999999999998</v>
      </c>
      <c r="K1153">
        <v>3.7978000000000001</v>
      </c>
      <c r="L1153">
        <v>3.0405000000000002</v>
      </c>
      <c r="M1153">
        <v>55.774900000000002</v>
      </c>
      <c r="N1153">
        <v>123.5793</v>
      </c>
      <c r="O1153">
        <v>146.16210000000001</v>
      </c>
      <c r="P1153">
        <v>5425.3215</v>
      </c>
      <c r="Q1153">
        <v>4436.2785000000003</v>
      </c>
    </row>
    <row r="1154" spans="1:17" x14ac:dyDescent="0.3">
      <c r="A1154" s="1">
        <v>46065</v>
      </c>
      <c r="B1154">
        <v>4923.7002000000002</v>
      </c>
      <c r="C1154">
        <v>5078.1000999999997</v>
      </c>
      <c r="D1154">
        <v>4892</v>
      </c>
      <c r="E1154">
        <v>5060.3999000000003</v>
      </c>
      <c r="F1154">
        <v>484</v>
      </c>
      <c r="G1154">
        <v>4976.4570999999996</v>
      </c>
      <c r="H1154">
        <v>4791.26</v>
      </c>
      <c r="I1154">
        <v>4366.9822000000004</v>
      </c>
      <c r="J1154">
        <v>0.2079</v>
      </c>
      <c r="K1154">
        <v>3.5110999999999999</v>
      </c>
      <c r="L1154">
        <v>3.0339999999999998</v>
      </c>
      <c r="M1154">
        <v>52.655000000000001</v>
      </c>
      <c r="N1154">
        <v>122.28449999999999</v>
      </c>
      <c r="O1154">
        <v>141.38659999999999</v>
      </c>
      <c r="P1154">
        <v>5426.9395999999997</v>
      </c>
      <c r="Q1154">
        <v>4479.6704</v>
      </c>
    </row>
    <row r="1155" spans="1:17" x14ac:dyDescent="0.3">
      <c r="A1155" s="1">
        <v>46066</v>
      </c>
      <c r="B1155">
        <v>5022</v>
      </c>
      <c r="C1155">
        <v>5043.8999000000003</v>
      </c>
      <c r="D1155">
        <v>4946.2002000000002</v>
      </c>
      <c r="E1155">
        <v>4953</v>
      </c>
      <c r="F1155">
        <v>232</v>
      </c>
      <c r="G1155">
        <v>4980.7</v>
      </c>
      <c r="H1155">
        <v>4811.91</v>
      </c>
      <c r="I1155">
        <v>4378.3344999999999</v>
      </c>
      <c r="J1155">
        <v>-2.1223999999999998</v>
      </c>
      <c r="K1155">
        <v>3.1884000000000001</v>
      </c>
      <c r="L1155">
        <v>3.0697999999999999</v>
      </c>
      <c r="M1155">
        <v>46.8842</v>
      </c>
      <c r="N1155">
        <v>111.3091</v>
      </c>
      <c r="O1155">
        <v>135.37110000000001</v>
      </c>
      <c r="P1155">
        <v>5416.0871999999999</v>
      </c>
      <c r="Q1155">
        <v>4524.5328</v>
      </c>
    </row>
    <row r="1156" spans="1:17" x14ac:dyDescent="0.3">
      <c r="A1156" s="1">
        <v>46070</v>
      </c>
      <c r="B1156">
        <v>4882.8999000000003</v>
      </c>
      <c r="C1156">
        <v>5020</v>
      </c>
      <c r="D1156">
        <v>4847.7997999999998</v>
      </c>
      <c r="E1156">
        <v>5020</v>
      </c>
      <c r="F1156">
        <v>540</v>
      </c>
      <c r="G1156">
        <v>4982.3141999999998</v>
      </c>
      <c r="H1156">
        <v>4834.2233999999999</v>
      </c>
      <c r="I1156">
        <v>4390.1189000000004</v>
      </c>
      <c r="J1156">
        <v>1.3527</v>
      </c>
      <c r="K1156">
        <v>3.1595</v>
      </c>
      <c r="L1156">
        <v>3.0737000000000001</v>
      </c>
      <c r="M1156">
        <v>48.592199999999998</v>
      </c>
      <c r="N1156">
        <v>106.7863</v>
      </c>
      <c r="O1156">
        <v>129.6541</v>
      </c>
      <c r="P1156">
        <v>5402.9960000000001</v>
      </c>
      <c r="Q1156">
        <v>4578.8239999999996</v>
      </c>
    </row>
    <row r="1157" spans="1:17" x14ac:dyDescent="0.3">
      <c r="A1157" s="1">
        <v>46071</v>
      </c>
      <c r="B1157">
        <v>4986.5</v>
      </c>
      <c r="C1157">
        <v>4987</v>
      </c>
      <c r="D1157">
        <v>4869.5</v>
      </c>
      <c r="E1157">
        <v>4872.2002000000002</v>
      </c>
      <c r="F1157">
        <v>544</v>
      </c>
      <c r="G1157">
        <v>4998.0571</v>
      </c>
      <c r="H1157">
        <v>4850.4066999999995</v>
      </c>
      <c r="I1157">
        <v>4399.9521999999997</v>
      </c>
      <c r="J1157">
        <v>-2.9441999999999999</v>
      </c>
      <c r="K1157">
        <v>2.6909000000000001</v>
      </c>
      <c r="L1157">
        <v>3.1374</v>
      </c>
      <c r="M1157">
        <v>39.545200000000001</v>
      </c>
      <c r="N1157">
        <v>90.235600000000005</v>
      </c>
      <c r="O1157">
        <v>121.7704</v>
      </c>
      <c r="P1157">
        <v>5388.1527999999998</v>
      </c>
      <c r="Q1157">
        <v>4614.6671999999999</v>
      </c>
    </row>
    <row r="1158" spans="1:17" x14ac:dyDescent="0.3">
      <c r="A1158" s="1">
        <v>46072</v>
      </c>
      <c r="B1158">
        <v>4975.8999000000003</v>
      </c>
      <c r="C1158">
        <v>5014.7002000000002</v>
      </c>
      <c r="D1158">
        <v>4975.8999000000003</v>
      </c>
      <c r="E1158">
        <v>5014.7002000000002</v>
      </c>
      <c r="F1158">
        <v>37</v>
      </c>
      <c r="G1158">
        <v>4997.6715000000004</v>
      </c>
      <c r="H1158">
        <v>4869.24</v>
      </c>
      <c r="I1158">
        <v>4411.1022999999996</v>
      </c>
      <c r="J1158">
        <v>2.9247999999999998</v>
      </c>
      <c r="K1158">
        <v>2.0055000000000001</v>
      </c>
      <c r="L1158">
        <v>3.1659999999999999</v>
      </c>
      <c r="M1158">
        <v>40.369799999999998</v>
      </c>
      <c r="N1158">
        <v>87.607699999999994</v>
      </c>
      <c r="O1158">
        <v>114.9379</v>
      </c>
      <c r="P1158">
        <v>5390.2344000000003</v>
      </c>
      <c r="Q1158">
        <v>4627.7057000000004</v>
      </c>
    </row>
    <row r="1159" spans="1:17" x14ac:dyDescent="0.3">
      <c r="A1159" s="1">
        <v>46073</v>
      </c>
      <c r="B1159">
        <v>5059.2997999999998</v>
      </c>
      <c r="C1159">
        <v>5072.7002000000002</v>
      </c>
      <c r="D1159">
        <v>5039.5</v>
      </c>
      <c r="E1159">
        <v>5039.5</v>
      </c>
      <c r="F1159">
        <v>134</v>
      </c>
      <c r="G1159">
        <v>5001.3856999999998</v>
      </c>
      <c r="H1159">
        <v>4888.8900000000003</v>
      </c>
      <c r="I1159">
        <v>4423.13</v>
      </c>
      <c r="J1159">
        <v>0.4945</v>
      </c>
      <c r="K1159">
        <v>2.0129999999999999</v>
      </c>
      <c r="L1159">
        <v>3.1648999999999998</v>
      </c>
      <c r="M1159">
        <v>41.852499999999999</v>
      </c>
      <c r="N1159">
        <v>86.528800000000004</v>
      </c>
      <c r="O1159">
        <v>109.2561</v>
      </c>
      <c r="P1159">
        <v>5388.7646999999997</v>
      </c>
      <c r="Q1159">
        <v>4653.9354000000003</v>
      </c>
    </row>
    <row r="1160" spans="1:17" x14ac:dyDescent="0.3">
      <c r="A1160" s="1">
        <v>46076</v>
      </c>
      <c r="B1160">
        <v>5204.7002000000002</v>
      </c>
      <c r="C1160">
        <v>5211.6000999999997</v>
      </c>
      <c r="D1160">
        <v>5120.2997999999998</v>
      </c>
      <c r="E1160">
        <v>5120.2997999999998</v>
      </c>
      <c r="F1160">
        <v>779</v>
      </c>
      <c r="G1160">
        <v>5011.4429</v>
      </c>
      <c r="H1160">
        <v>4910.8932999999997</v>
      </c>
      <c r="I1160">
        <v>4435.3999999999996</v>
      </c>
      <c r="J1160">
        <v>1.6032999999999999</v>
      </c>
      <c r="K1160">
        <v>2.0851000000000002</v>
      </c>
      <c r="L1160">
        <v>3.1713</v>
      </c>
      <c r="M1160">
        <v>59.8949</v>
      </c>
      <c r="N1160">
        <v>91.143000000000001</v>
      </c>
      <c r="O1160">
        <v>105.63339999999999</v>
      </c>
      <c r="P1160">
        <v>5398.2112999999999</v>
      </c>
      <c r="Q1160">
        <v>4661.5586999999996</v>
      </c>
    </row>
    <row r="1161" spans="1:17" x14ac:dyDescent="0.3">
      <c r="A1161" s="1">
        <v>46077</v>
      </c>
      <c r="B1161">
        <v>5155.7997999999998</v>
      </c>
      <c r="C1161">
        <v>5159</v>
      </c>
      <c r="D1161">
        <v>5112.7002000000002</v>
      </c>
      <c r="E1161">
        <v>5158.7997999999998</v>
      </c>
      <c r="F1161">
        <v>88</v>
      </c>
      <c r="G1161">
        <v>5025.5</v>
      </c>
      <c r="H1161">
        <v>4933.7533000000003</v>
      </c>
      <c r="I1161">
        <v>4446.8122000000003</v>
      </c>
      <c r="J1161">
        <v>0.75190000000000001</v>
      </c>
      <c r="K1161">
        <v>2.0949</v>
      </c>
      <c r="L1161">
        <v>3.1713</v>
      </c>
      <c r="M1161">
        <v>66.062799999999996</v>
      </c>
      <c r="N1161">
        <v>96.790599999999998</v>
      </c>
      <c r="O1161">
        <v>103.86490000000001</v>
      </c>
      <c r="P1161">
        <v>5405.9585999999999</v>
      </c>
      <c r="Q1161">
        <v>4661.5414000000001</v>
      </c>
    </row>
    <row r="1162" spans="1:17" x14ac:dyDescent="0.3">
      <c r="A1162" s="1">
        <v>46078</v>
      </c>
      <c r="B1162">
        <v>5206.3999000000003</v>
      </c>
      <c r="C1162">
        <v>5206.3999000000003</v>
      </c>
      <c r="D1162">
        <v>5166</v>
      </c>
      <c r="E1162">
        <v>5166</v>
      </c>
      <c r="F1162">
        <v>1772</v>
      </c>
      <c r="G1162">
        <v>5055.9286000000002</v>
      </c>
      <c r="H1162">
        <v>4953.3167000000003</v>
      </c>
      <c r="I1162">
        <v>4458.1566999999995</v>
      </c>
      <c r="J1162">
        <v>0.1396</v>
      </c>
      <c r="K1162">
        <v>1.8158000000000001</v>
      </c>
      <c r="L1162">
        <v>3.1526000000000001</v>
      </c>
      <c r="M1162">
        <v>59.674700000000001</v>
      </c>
      <c r="N1162">
        <v>100.68680000000001</v>
      </c>
      <c r="O1162">
        <v>103.22929999999999</v>
      </c>
      <c r="P1162">
        <v>5414.4789000000001</v>
      </c>
      <c r="Q1162">
        <v>4661.6310999999996</v>
      </c>
    </row>
    <row r="1163" spans="1:17" x14ac:dyDescent="0.3">
      <c r="A1163" s="1">
        <v>46079</v>
      </c>
      <c r="B1163">
        <v>5176.5</v>
      </c>
      <c r="C1163">
        <v>5199.2002000000002</v>
      </c>
      <c r="D1163">
        <v>5143.8999000000003</v>
      </c>
      <c r="E1163">
        <v>5177.2002000000002</v>
      </c>
      <c r="F1163">
        <v>1520</v>
      </c>
      <c r="G1163">
        <v>5078.3856999999998</v>
      </c>
      <c r="H1163">
        <v>4973.2700000000004</v>
      </c>
      <c r="I1163">
        <v>4469.0277999999998</v>
      </c>
      <c r="J1163">
        <v>0.21679999999999999</v>
      </c>
      <c r="K1163">
        <v>1.7897000000000001</v>
      </c>
      <c r="L1163">
        <v>3.1516999999999999</v>
      </c>
      <c r="M1163">
        <v>57.139200000000002</v>
      </c>
      <c r="N1163">
        <v>103.4853</v>
      </c>
      <c r="O1163">
        <v>103.2805</v>
      </c>
      <c r="P1163">
        <v>5393.7546000000002</v>
      </c>
      <c r="Q1163">
        <v>4669.9153999999999</v>
      </c>
    </row>
    <row r="1164" spans="1:17" x14ac:dyDescent="0.3">
      <c r="A1164" s="1">
        <v>46080</v>
      </c>
      <c r="B1164">
        <v>5230.5</v>
      </c>
      <c r="C1164">
        <v>5280</v>
      </c>
      <c r="D1164">
        <v>5176.7002000000002</v>
      </c>
      <c r="E1164">
        <v>5186.7002000000002</v>
      </c>
      <c r="F1164">
        <v>354</v>
      </c>
      <c r="G1164">
        <v>5123.3143</v>
      </c>
      <c r="H1164">
        <v>4992.4832999999999</v>
      </c>
      <c r="I1164">
        <v>4478.2722000000003</v>
      </c>
      <c r="J1164">
        <v>0.1835</v>
      </c>
      <c r="K1164">
        <v>1.0279</v>
      </c>
      <c r="L1164">
        <v>3.1518000000000002</v>
      </c>
      <c r="M1164">
        <v>72.521000000000001</v>
      </c>
      <c r="N1164">
        <v>105.2565</v>
      </c>
      <c r="O1164">
        <v>103.67570000000001</v>
      </c>
      <c r="P1164">
        <v>5343.5897999999997</v>
      </c>
      <c r="Q1164">
        <v>4697.1801999999998</v>
      </c>
    </row>
    <row r="1165" spans="1:17" x14ac:dyDescent="0.3">
      <c r="A1165" s="1">
        <v>46083</v>
      </c>
      <c r="B1165">
        <v>5294.3999000000003</v>
      </c>
      <c r="C1165">
        <v>5405</v>
      </c>
      <c r="D1165">
        <v>5266.2997999999998</v>
      </c>
      <c r="E1165">
        <v>5346.6000999999997</v>
      </c>
      <c r="F1165">
        <v>72</v>
      </c>
      <c r="G1165">
        <v>5170.7286000000004</v>
      </c>
      <c r="H1165">
        <v>5016.9399999999996</v>
      </c>
      <c r="I1165">
        <v>4490.5222000000003</v>
      </c>
      <c r="J1165">
        <v>3.0829</v>
      </c>
      <c r="K1165">
        <v>1.0801000000000001</v>
      </c>
      <c r="L1165">
        <v>3.1873</v>
      </c>
      <c r="M1165">
        <v>69.424099999999996</v>
      </c>
      <c r="N1165">
        <v>118.20010000000001</v>
      </c>
      <c r="O1165">
        <v>106.5806</v>
      </c>
      <c r="P1165">
        <v>5335.3945000000003</v>
      </c>
      <c r="Q1165">
        <v>4702.3954999999996</v>
      </c>
    </row>
    <row r="1166" spans="1:17" x14ac:dyDescent="0.3">
      <c r="A1166" s="1">
        <v>46084</v>
      </c>
      <c r="B1166">
        <v>5107.3999000000003</v>
      </c>
      <c r="C1166">
        <v>5303.7997999999998</v>
      </c>
      <c r="D1166">
        <v>5023</v>
      </c>
      <c r="E1166">
        <v>5298.7002000000002</v>
      </c>
      <c r="F1166">
        <v>1776</v>
      </c>
      <c r="G1166">
        <v>5207.7572</v>
      </c>
      <c r="H1166">
        <v>5039.9633999999996</v>
      </c>
      <c r="I1166">
        <v>4501.2556000000004</v>
      </c>
      <c r="J1166">
        <v>-0.89590000000000003</v>
      </c>
      <c r="K1166">
        <v>1.2815000000000001</v>
      </c>
      <c r="L1166">
        <v>3.1960999999999999</v>
      </c>
      <c r="M1166">
        <v>65.997299999999996</v>
      </c>
      <c r="N1166">
        <v>123.17310000000001</v>
      </c>
      <c r="O1166">
        <v>109.8991</v>
      </c>
      <c r="P1166">
        <v>5367.0595999999996</v>
      </c>
      <c r="Q1166">
        <v>4719.8305</v>
      </c>
    </row>
    <row r="1167" spans="1:17" x14ac:dyDescent="0.3">
      <c r="A1167" s="1">
        <v>46085</v>
      </c>
      <c r="B1167">
        <v>5120.2002000000002</v>
      </c>
      <c r="C1167">
        <v>5180.2002000000002</v>
      </c>
      <c r="D1167">
        <v>5117.2002000000002</v>
      </c>
      <c r="E1167">
        <v>5130.7002000000002</v>
      </c>
      <c r="F1167">
        <v>679</v>
      </c>
      <c r="G1167">
        <v>5209.2430000000004</v>
      </c>
      <c r="H1167">
        <v>5055.58</v>
      </c>
      <c r="I1167">
        <v>4512.6000000000004</v>
      </c>
      <c r="J1167">
        <v>-3.1705999999999999</v>
      </c>
      <c r="K1167">
        <v>1.8713</v>
      </c>
      <c r="L1167">
        <v>3.2629999999999999</v>
      </c>
      <c r="M1167">
        <v>53.949199999999998</v>
      </c>
      <c r="N1167">
        <v>112.26390000000001</v>
      </c>
      <c r="O1167">
        <v>110.372</v>
      </c>
      <c r="P1167">
        <v>5342.3531000000003</v>
      </c>
      <c r="Q1167">
        <v>4789.6068999999998</v>
      </c>
    </row>
    <row r="1168" spans="1:17" x14ac:dyDescent="0.3">
      <c r="A1168" s="1">
        <v>46086</v>
      </c>
      <c r="B1168">
        <v>5065.2997999999998</v>
      </c>
      <c r="C1168">
        <v>5169.5</v>
      </c>
      <c r="D1168">
        <v>5054.7002000000002</v>
      </c>
      <c r="E1168">
        <v>5169.5</v>
      </c>
      <c r="F1168">
        <v>1701</v>
      </c>
      <c r="G1168">
        <v>5210.7716</v>
      </c>
      <c r="H1168">
        <v>5065.78</v>
      </c>
      <c r="I1168">
        <v>4524.7233999999999</v>
      </c>
      <c r="J1168">
        <v>0.75619999999999998</v>
      </c>
      <c r="K1168">
        <v>1.8715999999999999</v>
      </c>
      <c r="L1168">
        <v>3.1781999999999999</v>
      </c>
      <c r="M1168">
        <v>55.188800000000001</v>
      </c>
      <c r="N1168">
        <v>105.5326</v>
      </c>
      <c r="O1168">
        <v>109.4042</v>
      </c>
      <c r="P1168">
        <v>5349.7938000000004</v>
      </c>
      <c r="Q1168">
        <v>4806.7862999999998</v>
      </c>
    </row>
    <row r="1169" spans="1:17" x14ac:dyDescent="0.3">
      <c r="A1169" s="1">
        <v>46087</v>
      </c>
      <c r="B1169">
        <v>5146.1000999999997</v>
      </c>
      <c r="C1169">
        <v>5146.1000999999997</v>
      </c>
      <c r="D1169">
        <v>5076.1000999999997</v>
      </c>
      <c r="E1169">
        <v>5121</v>
      </c>
      <c r="F1169">
        <v>1701</v>
      </c>
      <c r="G1169">
        <v>5204.3429999999998</v>
      </c>
      <c r="H1169">
        <v>5076.75</v>
      </c>
      <c r="I1169">
        <v>4535.8734000000004</v>
      </c>
      <c r="J1169">
        <v>-0.93820000000000003</v>
      </c>
      <c r="K1169">
        <v>1.9065000000000001</v>
      </c>
      <c r="L1169">
        <v>3.1697000000000002</v>
      </c>
      <c r="M1169">
        <v>58.464300000000001</v>
      </c>
      <c r="N1169">
        <v>95.187200000000004</v>
      </c>
      <c r="O1169">
        <v>106.5608</v>
      </c>
      <c r="P1169">
        <v>5353.9903000000004</v>
      </c>
      <c r="Q1169">
        <v>4813.8198000000002</v>
      </c>
    </row>
    <row r="1170" spans="1:17" x14ac:dyDescent="0.3">
      <c r="A1170" s="1">
        <v>46090</v>
      </c>
      <c r="B1170">
        <v>5114.6000999999997</v>
      </c>
      <c r="C1170">
        <v>5210.3999000000003</v>
      </c>
      <c r="D1170">
        <v>5021.2002000000002</v>
      </c>
      <c r="E1170">
        <v>5186.7002000000002</v>
      </c>
      <c r="F1170">
        <v>135914</v>
      </c>
      <c r="G1170">
        <v>5205.7001</v>
      </c>
      <c r="H1170">
        <v>5084.6534000000001</v>
      </c>
      <c r="I1170">
        <v>4548.3923000000004</v>
      </c>
      <c r="J1170">
        <v>1.2829999999999999</v>
      </c>
      <c r="K1170">
        <v>1.9781</v>
      </c>
      <c r="L1170">
        <v>3.1246</v>
      </c>
      <c r="M1170">
        <v>58.4099</v>
      </c>
      <c r="N1170">
        <v>91.238100000000003</v>
      </c>
      <c r="O1170">
        <v>103.4962</v>
      </c>
      <c r="P1170">
        <v>5331.9807000000001</v>
      </c>
      <c r="Q1170">
        <v>4878.2993999999999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3F3862-3963-4C83-A927-B43B023E65CD}">
  <dimension ref="A1"/>
  <sheetViews>
    <sheetView showGridLines="0" tabSelected="1" zoomScale="61" zoomScaleNormal="84" workbookViewId="0">
      <selection activeCell="Y19" sqref="Y19"/>
    </sheetView>
  </sheetViews>
  <sheetFormatPr defaultRowHeight="14.4" x14ac:dyDescent="0.3"/>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3DA247-E0BA-4F8C-AD4F-C1BDC7EF8AEE}">
  <dimension ref="A3:I17"/>
  <sheetViews>
    <sheetView workbookViewId="0">
      <selection activeCell="G14" sqref="G14"/>
    </sheetView>
  </sheetViews>
  <sheetFormatPr defaultRowHeight="14.4" x14ac:dyDescent="0.3"/>
  <cols>
    <col min="1" max="1" width="14.6640625" bestFit="1" customWidth="1"/>
    <col min="2" max="2" width="12" bestFit="1" customWidth="1"/>
    <col min="3" max="3" width="15.44140625" customWidth="1"/>
    <col min="4" max="4" width="14.6640625" bestFit="1" customWidth="1"/>
    <col min="5" max="5" width="17.21875" bestFit="1" customWidth="1"/>
    <col min="6" max="6" width="19.5546875" bestFit="1" customWidth="1"/>
    <col min="8" max="8" width="14.6640625" bestFit="1" customWidth="1"/>
    <col min="9" max="9" width="12" bestFit="1" customWidth="1"/>
    <col min="18" max="18" width="21.5546875" customWidth="1"/>
    <col min="19" max="19" width="24.44140625" customWidth="1"/>
  </cols>
  <sheetData>
    <row r="3" spans="1:9" ht="15.6" x14ac:dyDescent="0.3">
      <c r="A3" s="26" t="s">
        <v>56</v>
      </c>
      <c r="B3" s="26"/>
      <c r="D3" s="26" t="s">
        <v>57</v>
      </c>
      <c r="E3" s="27"/>
      <c r="F3" s="27"/>
      <c r="H3" s="26" t="s">
        <v>59</v>
      </c>
      <c r="I3" s="26"/>
    </row>
    <row r="5" spans="1:9" x14ac:dyDescent="0.3">
      <c r="A5" s="6" t="s">
        <v>51</v>
      </c>
      <c r="B5" s="7" t="s">
        <v>55</v>
      </c>
      <c r="D5" s="6" t="s">
        <v>51</v>
      </c>
      <c r="E5" s="7" t="s">
        <v>50</v>
      </c>
      <c r="F5" s="7" t="s">
        <v>58</v>
      </c>
      <c r="H5" s="6" t="s">
        <v>51</v>
      </c>
      <c r="I5" s="7" t="s">
        <v>55</v>
      </c>
    </row>
    <row r="6" spans="1:9" x14ac:dyDescent="0.3">
      <c r="A6" s="7" t="s">
        <v>53</v>
      </c>
      <c r="B6" s="30">
        <v>664</v>
      </c>
      <c r="D6" s="7" t="s">
        <v>53</v>
      </c>
      <c r="E6" s="8">
        <v>55.453999999999972</v>
      </c>
      <c r="F6" s="8">
        <v>123.5441523535884</v>
      </c>
      <c r="H6" s="7" t="s">
        <v>60</v>
      </c>
      <c r="I6" s="30">
        <v>85</v>
      </c>
    </row>
    <row r="7" spans="1:9" x14ac:dyDescent="0.3">
      <c r="A7" s="7" t="s">
        <v>54</v>
      </c>
      <c r="B7" s="30">
        <v>505</v>
      </c>
      <c r="D7" s="7" t="s">
        <v>54</v>
      </c>
      <c r="E7" s="8">
        <v>56.876600000000046</v>
      </c>
      <c r="F7" s="8">
        <v>89.107215733790014</v>
      </c>
      <c r="H7" s="7" t="s">
        <v>61</v>
      </c>
      <c r="I7" s="30">
        <v>839</v>
      </c>
    </row>
    <row r="8" spans="1:9" x14ac:dyDescent="0.3">
      <c r="A8" s="7" t="s">
        <v>52</v>
      </c>
      <c r="B8" s="30">
        <v>1169</v>
      </c>
      <c r="D8" s="7" t="s">
        <v>52</v>
      </c>
      <c r="E8" s="8">
        <v>112.33060000000002</v>
      </c>
      <c r="F8" s="8">
        <v>212.65136808737842</v>
      </c>
      <c r="H8" s="7" t="s">
        <v>62</v>
      </c>
      <c r="I8" s="30">
        <v>245</v>
      </c>
    </row>
    <row r="9" spans="1:9" x14ac:dyDescent="0.3">
      <c r="H9" s="7" t="s">
        <v>52</v>
      </c>
      <c r="I9" s="30">
        <v>1169</v>
      </c>
    </row>
    <row r="12" spans="1:9" x14ac:dyDescent="0.3">
      <c r="C12" s="2"/>
      <c r="D12" s="2"/>
      <c r="E12" s="2"/>
      <c r="F12" s="2"/>
    </row>
    <row r="13" spans="1:9" x14ac:dyDescent="0.3">
      <c r="C13" s="5" t="s">
        <v>65</v>
      </c>
      <c r="D13" s="25" t="s">
        <v>66</v>
      </c>
      <c r="E13" t="s">
        <v>67</v>
      </c>
      <c r="F13" t="s">
        <v>68</v>
      </c>
    </row>
    <row r="14" spans="1:9" x14ac:dyDescent="0.3">
      <c r="C14" s="5"/>
      <c r="D14" s="25" t="s">
        <v>69</v>
      </c>
    </row>
    <row r="16" spans="1:9" x14ac:dyDescent="0.3">
      <c r="C16" s="2" t="s">
        <v>36</v>
      </c>
      <c r="D16" s="2" t="s">
        <v>37</v>
      </c>
      <c r="E16" s="2" t="s">
        <v>63</v>
      </c>
      <c r="F16" s="2" t="s">
        <v>64</v>
      </c>
    </row>
    <row r="17" spans="3:6" x14ac:dyDescent="0.3">
      <c r="C17" s="5">
        <f>SUM(Analysis!F:F)</f>
        <v>5008781</v>
      </c>
      <c r="D17" s="4">
        <f>AVERAGE(Analysis!J:J)</f>
        <v>9.6091189050470441E-2</v>
      </c>
      <c r="E17">
        <f>MAX(Analysis!C:C)</f>
        <v>5586.2002000000002</v>
      </c>
      <c r="F17">
        <f>MIN(Analysis!D:D)</f>
        <v>1615.1</v>
      </c>
    </row>
  </sheetData>
  <mergeCells count="3">
    <mergeCell ref="A3:B3"/>
    <mergeCell ref="D3:F3"/>
    <mergeCell ref="H3:I3"/>
  </mergeCells>
  <pageMargins left="0.7" right="0.7" top="0.75" bottom="0.75" header="0.3" footer="0.3"/>
  <tableParts count="1">
    <tablePart r:id="rId4"/>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7451B5-13B5-4816-AF1A-26BE04FBF190}">
  <dimension ref="A1"/>
  <sheetViews>
    <sheetView topLeftCell="A19" workbookViewId="0">
      <selection activeCell="O23" sqref="O23"/>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C5A31A-F8B2-4AB7-8638-79935D4B17F9}">
  <dimension ref="A1:BV1170"/>
  <sheetViews>
    <sheetView showGridLines="0" zoomScale="94" zoomScaleNormal="111" workbookViewId="0">
      <selection activeCell="BA1" sqref="BA1"/>
    </sheetView>
  </sheetViews>
  <sheetFormatPr defaultRowHeight="14.4" x14ac:dyDescent="0.3"/>
  <cols>
    <col min="1" max="1" width="13" customWidth="1"/>
    <col min="2" max="2" width="8.88671875" style="4"/>
    <col min="6" max="6" width="12.6640625" style="5" customWidth="1"/>
    <col min="7" max="7" width="10.77734375" customWidth="1"/>
    <col min="10" max="10" width="13.21875" style="4" customWidth="1"/>
    <col min="11" max="11" width="12.88671875" customWidth="1"/>
    <col min="12" max="12" width="13.21875" customWidth="1"/>
    <col min="13" max="14" width="8.88671875" style="4"/>
    <col min="15" max="15" width="13.109375" customWidth="1"/>
    <col min="16" max="16" width="10.88671875" customWidth="1"/>
    <col min="17" max="17" width="10.77734375" style="3" customWidth="1"/>
    <col min="18" max="18" width="12.44140625" style="3" customWidth="1"/>
    <col min="19" max="19" width="16.21875" style="3" customWidth="1"/>
    <col min="20" max="20" width="15.6640625" style="3" customWidth="1"/>
    <col min="21" max="21" width="14" style="3" customWidth="1"/>
    <col min="22" max="22" width="15.6640625" style="3" customWidth="1"/>
    <col min="23" max="23" width="15.33203125" customWidth="1"/>
    <col min="24" max="24" width="20" style="3" customWidth="1"/>
    <col min="25" max="25" width="19" customWidth="1"/>
    <col min="26" max="26" width="23.6640625" style="3" customWidth="1"/>
    <col min="27" max="27" width="15.88671875" style="3" customWidth="1"/>
    <col min="28" max="28" width="19" style="3" customWidth="1"/>
    <col min="29" max="29" width="14" style="3" customWidth="1"/>
    <col min="30" max="30" width="12.88671875" style="3" customWidth="1"/>
    <col min="31" max="31" width="16.5546875" style="3" customWidth="1"/>
    <col min="32" max="32" width="12.88671875" customWidth="1"/>
    <col min="38" max="38" width="12.77734375" customWidth="1"/>
    <col min="39" max="39" width="13.44140625" customWidth="1"/>
    <col min="40" max="40" width="13" customWidth="1"/>
    <col min="41" max="41" width="12.77734375" customWidth="1"/>
    <col min="53" max="53" width="16" style="10" customWidth="1"/>
  </cols>
  <sheetData>
    <row r="1" spans="1:74" x14ac:dyDescent="0.3">
      <c r="A1" s="12" t="s">
        <v>17</v>
      </c>
      <c r="B1" s="13" t="s">
        <v>18</v>
      </c>
      <c r="C1" s="14" t="s">
        <v>19</v>
      </c>
      <c r="D1" s="14" t="s">
        <v>20</v>
      </c>
      <c r="E1" s="14" t="s">
        <v>21</v>
      </c>
      <c r="F1" s="15" t="s">
        <v>22</v>
      </c>
      <c r="G1" s="14" t="s">
        <v>23</v>
      </c>
      <c r="H1" s="14" t="s">
        <v>24</v>
      </c>
      <c r="I1" s="14" t="s">
        <v>25</v>
      </c>
      <c r="J1" s="13" t="s">
        <v>26</v>
      </c>
      <c r="K1" s="14" t="s">
        <v>27</v>
      </c>
      <c r="L1" s="14" t="s">
        <v>28</v>
      </c>
      <c r="M1" s="13" t="s">
        <v>29</v>
      </c>
      <c r="N1" s="13" t="s">
        <v>30</v>
      </c>
      <c r="O1" s="14" t="s">
        <v>31</v>
      </c>
      <c r="P1" s="14" t="s">
        <v>32</v>
      </c>
      <c r="Q1" s="14" t="s">
        <v>33</v>
      </c>
      <c r="R1" s="14" t="s">
        <v>34</v>
      </c>
      <c r="S1" s="14" t="s">
        <v>35</v>
      </c>
      <c r="T1" s="14" t="s">
        <v>37</v>
      </c>
      <c r="U1" s="14" t="s">
        <v>36</v>
      </c>
      <c r="V1" s="14" t="s">
        <v>38</v>
      </c>
      <c r="W1" s="14" t="s">
        <v>39</v>
      </c>
      <c r="X1" s="14" t="s">
        <v>40</v>
      </c>
      <c r="Y1" s="14" t="s">
        <v>41</v>
      </c>
      <c r="Z1" s="14" t="s">
        <v>42</v>
      </c>
      <c r="AA1" s="14" t="s">
        <v>43</v>
      </c>
      <c r="AB1" s="14" t="s">
        <v>44</v>
      </c>
      <c r="AC1" s="14" t="s">
        <v>45</v>
      </c>
      <c r="AD1" s="14" t="s">
        <v>46</v>
      </c>
      <c r="AE1" s="16" t="s">
        <v>47</v>
      </c>
      <c r="AF1" s="29" t="s">
        <v>48</v>
      </c>
      <c r="AG1" s="29"/>
      <c r="AH1" s="29"/>
      <c r="AI1" s="29"/>
      <c r="AJ1" s="29"/>
      <c r="AK1" s="29"/>
      <c r="AL1" s="29"/>
      <c r="AM1" s="29"/>
      <c r="AN1" s="29"/>
      <c r="AO1" s="29"/>
      <c r="AP1" s="29"/>
      <c r="AQ1" s="29"/>
      <c r="AR1" s="29"/>
      <c r="AS1" s="29"/>
      <c r="AT1" s="29"/>
      <c r="AU1" s="29"/>
      <c r="AV1" s="29"/>
      <c r="AW1" s="29"/>
      <c r="AX1" s="29"/>
      <c r="AY1" s="29"/>
      <c r="BA1" s="9" t="s">
        <v>49</v>
      </c>
    </row>
    <row r="2" spans="1:74" x14ac:dyDescent="0.3">
      <c r="A2" s="17">
        <v>44392</v>
      </c>
      <c r="B2" s="8">
        <v>1828.4</v>
      </c>
      <c r="C2" s="7">
        <v>1833</v>
      </c>
      <c r="D2" s="7">
        <v>1823.4</v>
      </c>
      <c r="E2" s="7">
        <v>1831.6</v>
      </c>
      <c r="F2" s="18">
        <v>99</v>
      </c>
      <c r="G2" s="7">
        <v>1807.8143</v>
      </c>
      <c r="H2" s="7">
        <v>1821.03</v>
      </c>
      <c r="I2" s="7">
        <v>1794.8378</v>
      </c>
      <c r="J2" s="8">
        <v>1.0204</v>
      </c>
      <c r="K2" s="7">
        <v>0.3921</v>
      </c>
      <c r="L2" s="7">
        <v>0.9204</v>
      </c>
      <c r="M2" s="8">
        <v>77.025599999999997</v>
      </c>
      <c r="N2" s="8">
        <v>-5.6307</v>
      </c>
      <c r="O2" s="7">
        <v>-12.2447</v>
      </c>
      <c r="P2" s="7">
        <v>1825.2034000000001</v>
      </c>
      <c r="Q2" s="7">
        <v>1753.8266000000001</v>
      </c>
      <c r="R2" s="7" t="str">
        <f>IF(E2&gt;B2,"Up","Down")</f>
        <v>Up</v>
      </c>
      <c r="S2" s="7" t="str">
        <f>IF(M2&gt;70,"Sell",IF(M2&lt;30,"Buy","Hold"))</f>
        <v>Sell</v>
      </c>
      <c r="T2" s="8">
        <f>AVERAGE(J2:J1170)</f>
        <v>9.6091189050470441E-2</v>
      </c>
      <c r="U2" s="18">
        <f>SUM(F2:F1170)</f>
        <v>5008781</v>
      </c>
      <c r="V2" s="7">
        <f>MAX(C2:C1170)</f>
        <v>5586.2002000000002</v>
      </c>
      <c r="W2" s="7">
        <f>MIN(D2:D1170)</f>
        <v>1615.1</v>
      </c>
      <c r="X2" s="7">
        <f>INDEX(E2:E1170,MATCH(A2,A2:A1170,0))</f>
        <v>1831.6</v>
      </c>
      <c r="Y2" s="7">
        <f>COUNTIF(R2:R1170,"Up")</f>
        <v>505</v>
      </c>
      <c r="Z2" s="7">
        <f>SUMIF(R2:R1170,"Up",F2:F1170)</f>
        <v>1673232</v>
      </c>
      <c r="AA2" s="7" t="str">
        <f>TEXT(A2,"DD-MMM-YYYY")</f>
        <v>15-Jul-2021</v>
      </c>
      <c r="AB2" s="7">
        <f>_xlfn.XLOOKUP(A2,A2:A1170,E2:E1170)</f>
        <v>1831.6</v>
      </c>
      <c r="AC2" s="7">
        <f>_xlfn.XMATCH(A2,A2:A1170)</f>
        <v>1</v>
      </c>
      <c r="AD2" s="7">
        <f>YEAR(A2)</f>
        <v>2021</v>
      </c>
      <c r="AE2" s="19">
        <f>ROUND(J2,2)</f>
        <v>1.02</v>
      </c>
      <c r="AF2" s="11" cm="1">
        <f t="array" ref="AF2:AY12">_xlfn._xlws.FILTER(A2:T20,R2:R20="Up")</f>
        <v>44392</v>
      </c>
      <c r="AG2" s="7">
        <v>1828.4</v>
      </c>
      <c r="AH2" s="7">
        <v>1833</v>
      </c>
      <c r="AI2" s="7">
        <v>1823.4</v>
      </c>
      <c r="AJ2" s="7">
        <v>1831.6</v>
      </c>
      <c r="AK2" s="7">
        <v>99</v>
      </c>
      <c r="AL2" s="7">
        <v>1807.8143</v>
      </c>
      <c r="AM2" s="7">
        <v>1821.03</v>
      </c>
      <c r="AN2" s="7">
        <v>1794.8378</v>
      </c>
      <c r="AO2" s="7">
        <v>1.0204</v>
      </c>
      <c r="AP2" s="7">
        <v>0.3921</v>
      </c>
      <c r="AQ2" s="7">
        <v>0.9204</v>
      </c>
      <c r="AR2" s="7">
        <v>77.025599999999997</v>
      </c>
      <c r="AS2" s="7">
        <v>-5.6307</v>
      </c>
      <c r="AT2" s="7">
        <v>-12.2447</v>
      </c>
      <c r="AU2" s="7">
        <v>1825.2034000000001</v>
      </c>
      <c r="AV2" s="7">
        <v>1753.8266000000001</v>
      </c>
      <c r="AW2" s="7" t="str">
        <v>Up</v>
      </c>
      <c r="AX2" s="7" t="str">
        <v>Sell</v>
      </c>
      <c r="AY2" s="7">
        <v>9.6091189050470441E-2</v>
      </c>
      <c r="BA2" s="10">
        <f>MODE(M2:M1170)</f>
        <v>84.376900000000006</v>
      </c>
      <c r="BC2" s="28"/>
      <c r="BD2" s="28"/>
      <c r="BE2" s="28"/>
      <c r="BF2" s="28"/>
      <c r="BG2" s="28"/>
      <c r="BH2" s="28"/>
      <c r="BI2" s="28"/>
      <c r="BJ2" s="28"/>
      <c r="BK2" s="28"/>
      <c r="BL2" s="28"/>
      <c r="BM2" s="28"/>
      <c r="BN2" s="28"/>
      <c r="BO2" s="28"/>
      <c r="BP2" s="28"/>
      <c r="BQ2" s="28"/>
      <c r="BR2" s="28"/>
      <c r="BS2" s="28"/>
      <c r="BT2" s="28"/>
      <c r="BU2" s="28"/>
      <c r="BV2" s="28"/>
    </row>
    <row r="3" spans="1:74" x14ac:dyDescent="0.3">
      <c r="A3" s="17">
        <v>44393</v>
      </c>
      <c r="B3" s="8">
        <v>1814.5</v>
      </c>
      <c r="C3" s="7">
        <v>1831.4</v>
      </c>
      <c r="D3" s="7">
        <v>1814.5</v>
      </c>
      <c r="E3" s="7">
        <v>1830.1</v>
      </c>
      <c r="F3" s="18">
        <v>78</v>
      </c>
      <c r="G3" s="7">
        <v>1812.3</v>
      </c>
      <c r="H3" s="7">
        <v>1818.4067</v>
      </c>
      <c r="I3" s="7">
        <v>1796.4367</v>
      </c>
      <c r="J3" s="8">
        <v>-8.1900000000000001E-2</v>
      </c>
      <c r="K3" s="7">
        <v>0.39429999999999998</v>
      </c>
      <c r="L3" s="7">
        <v>0.91290000000000004</v>
      </c>
      <c r="M3" s="8">
        <v>76.789400000000001</v>
      </c>
      <c r="N3" s="8">
        <v>-3.1756000000000002</v>
      </c>
      <c r="O3" s="7">
        <v>-10.430899999999999</v>
      </c>
      <c r="P3" s="7">
        <v>1829.3189</v>
      </c>
      <c r="Q3" s="7">
        <v>1751.5409999999999</v>
      </c>
      <c r="R3" s="7" t="str">
        <f t="shared" ref="R3:R66" si="0">IF(E3&gt;B3,"Up","Down")</f>
        <v>Up</v>
      </c>
      <c r="S3" s="7" t="str">
        <f t="shared" ref="S3:S66" si="1">IF(M3&gt;70,"Sell",IF(M3&lt;30,"Buy","Hold"))</f>
        <v>Sell</v>
      </c>
      <c r="T3" s="8">
        <f t="shared" ref="T3:T66" si="2">AVERAGE(J3:J1171)</f>
        <v>9.5299828767123271E-2</v>
      </c>
      <c r="U3" s="18">
        <f t="shared" ref="U3:U66" si="3">SUM(F3:F1171)</f>
        <v>5008682</v>
      </c>
      <c r="V3" s="7">
        <f t="shared" ref="V3:V66" si="4">MAX(C3:C1171)</f>
        <v>5586.2002000000002</v>
      </c>
      <c r="W3" s="7">
        <f t="shared" ref="W3:W66" si="5">MIN(D3:D1171)</f>
        <v>1615.1</v>
      </c>
      <c r="X3" s="7">
        <f t="shared" ref="X3:X66" si="6">INDEX(E3:E1171,MATCH(A3,A3:A1171,0))</f>
        <v>1830.1</v>
      </c>
      <c r="Y3" s="7">
        <f t="shared" ref="Y3:Y66" si="7">COUNTIF(R3:R1171,"Up")</f>
        <v>504</v>
      </c>
      <c r="Z3" s="7">
        <f t="shared" ref="Z3:Z66" si="8">SUMIF(R3:R1171,"Up",F3:F1171)</f>
        <v>1673133</v>
      </c>
      <c r="AA3" s="7" t="str">
        <f t="shared" ref="AA3:AA66" si="9">TEXT(A3,"DD-MMM-YYYY")</f>
        <v>16-Jul-2021</v>
      </c>
      <c r="AB3" s="7">
        <f t="shared" ref="AB3:AB66" si="10">_xlfn.XLOOKUP(A3,A3:A1171,E3:E1171)</f>
        <v>1830.1</v>
      </c>
      <c r="AC3" s="7">
        <f t="shared" ref="AC3:AC68" si="11">_xlfn.XMATCH(A3,A3:A1171)</f>
        <v>1</v>
      </c>
      <c r="AD3" s="7">
        <f t="shared" ref="AD3:AD66" si="12">YEAR(A3)</f>
        <v>2021</v>
      </c>
      <c r="AE3" s="19">
        <f t="shared" ref="AE3:AE66" si="13">ROUND(J3,2)</f>
        <v>-0.08</v>
      </c>
      <c r="AF3" s="11">
        <v>44393</v>
      </c>
      <c r="AG3" s="7">
        <v>1814.5</v>
      </c>
      <c r="AH3" s="7">
        <v>1831.4</v>
      </c>
      <c r="AI3" s="7">
        <v>1814.5</v>
      </c>
      <c r="AJ3" s="7">
        <v>1830.1</v>
      </c>
      <c r="AK3" s="7">
        <v>78</v>
      </c>
      <c r="AL3" s="7">
        <v>1812.3</v>
      </c>
      <c r="AM3" s="7">
        <v>1818.4067</v>
      </c>
      <c r="AN3" s="7">
        <v>1796.4367</v>
      </c>
      <c r="AO3" s="7">
        <v>-8.1900000000000001E-2</v>
      </c>
      <c r="AP3" s="7">
        <v>0.39429999999999998</v>
      </c>
      <c r="AQ3" s="7">
        <v>0.91290000000000004</v>
      </c>
      <c r="AR3" s="7">
        <v>76.789400000000001</v>
      </c>
      <c r="AS3" s="7">
        <v>-3.1756000000000002</v>
      </c>
      <c r="AT3" s="7">
        <v>-10.430899999999999</v>
      </c>
      <c r="AU3" s="7">
        <v>1829.3189</v>
      </c>
      <c r="AV3" s="7">
        <v>1751.5409999999999</v>
      </c>
      <c r="AW3" s="7" t="str">
        <v>Up</v>
      </c>
      <c r="AX3" s="7" t="str">
        <v>Sell</v>
      </c>
      <c r="AY3" s="7">
        <v>9.5299828767123271E-2</v>
      </c>
      <c r="BA3" s="10">
        <f t="shared" ref="BA3:BA66" si="14">MODE(M3:M1171)</f>
        <v>84.376900000000006</v>
      </c>
    </row>
    <row r="4" spans="1:74" x14ac:dyDescent="0.3">
      <c r="A4" s="17">
        <v>44396</v>
      </c>
      <c r="B4" s="8">
        <v>1808.7</v>
      </c>
      <c r="C4" s="7">
        <v>1813.4</v>
      </c>
      <c r="D4" s="7">
        <v>1803.3</v>
      </c>
      <c r="E4" s="7">
        <v>1803.3</v>
      </c>
      <c r="F4" s="18">
        <v>33</v>
      </c>
      <c r="G4" s="7">
        <v>1813.2</v>
      </c>
      <c r="H4" s="7">
        <v>1816.2067</v>
      </c>
      <c r="I4" s="7">
        <v>1797.4332999999999</v>
      </c>
      <c r="J4" s="8">
        <v>-1.4643999999999999</v>
      </c>
      <c r="K4" s="7">
        <v>0.76160000000000005</v>
      </c>
      <c r="L4" s="7">
        <v>0.87460000000000004</v>
      </c>
      <c r="M4" s="8">
        <v>59.657699999999998</v>
      </c>
      <c r="N4" s="8">
        <v>-3.3538000000000001</v>
      </c>
      <c r="O4" s="7">
        <v>-9.0153999999999996</v>
      </c>
      <c r="P4" s="7">
        <v>1830.4561000000001</v>
      </c>
      <c r="Q4" s="7">
        <v>1753.1639</v>
      </c>
      <c r="R4" s="7" t="str">
        <f t="shared" si="0"/>
        <v>Down</v>
      </c>
      <c r="S4" s="7" t="str">
        <f t="shared" si="1"/>
        <v>Hold</v>
      </c>
      <c r="T4" s="8">
        <f t="shared" si="2"/>
        <v>9.5451670951156781E-2</v>
      </c>
      <c r="U4" s="18">
        <f t="shared" si="3"/>
        <v>5008604</v>
      </c>
      <c r="V4" s="7">
        <f t="shared" si="4"/>
        <v>5586.2002000000002</v>
      </c>
      <c r="W4" s="7">
        <f t="shared" si="5"/>
        <v>1615.1</v>
      </c>
      <c r="X4" s="7">
        <f t="shared" si="6"/>
        <v>1803.3</v>
      </c>
      <c r="Y4" s="7">
        <f t="shared" si="7"/>
        <v>503</v>
      </c>
      <c r="Z4" s="7">
        <f t="shared" si="8"/>
        <v>1673055</v>
      </c>
      <c r="AA4" s="7" t="str">
        <f t="shared" si="9"/>
        <v>19-Jul-2021</v>
      </c>
      <c r="AB4" s="7">
        <f t="shared" si="10"/>
        <v>1803.3</v>
      </c>
      <c r="AC4" s="7">
        <f t="shared" si="11"/>
        <v>1</v>
      </c>
      <c r="AD4" s="7">
        <f t="shared" si="12"/>
        <v>2021</v>
      </c>
      <c r="AE4" s="19">
        <f t="shared" si="13"/>
        <v>-1.46</v>
      </c>
      <c r="AF4" s="11">
        <v>44397</v>
      </c>
      <c r="AG4" s="7">
        <v>1810.9</v>
      </c>
      <c r="AH4" s="7">
        <v>1824</v>
      </c>
      <c r="AI4" s="7">
        <v>1810.9</v>
      </c>
      <c r="AJ4" s="7">
        <v>1812.9</v>
      </c>
      <c r="AK4" s="7">
        <v>128</v>
      </c>
      <c r="AL4" s="7">
        <v>1814.5286000000001</v>
      </c>
      <c r="AM4" s="7">
        <v>1813.62</v>
      </c>
      <c r="AN4" s="7">
        <v>1798.4032999999999</v>
      </c>
      <c r="AO4" s="7">
        <v>0.53239999999999998</v>
      </c>
      <c r="AP4" s="7">
        <v>0.77539999999999998</v>
      </c>
      <c r="AQ4" s="7">
        <v>0.85160000000000002</v>
      </c>
      <c r="AR4" s="7">
        <v>63.938200000000002</v>
      </c>
      <c r="AS4" s="7">
        <v>-2.6894</v>
      </c>
      <c r="AT4" s="7">
        <v>-7.7502000000000004</v>
      </c>
      <c r="AU4" s="7">
        <v>1832.1623999999999</v>
      </c>
      <c r="AV4" s="7">
        <v>1755.8675000000001</v>
      </c>
      <c r="AW4" s="7" t="str">
        <v>Up</v>
      </c>
      <c r="AX4" s="7" t="str">
        <v>Hold</v>
      </c>
      <c r="AY4" s="7">
        <v>9.6789451114922778E-2</v>
      </c>
      <c r="BA4" s="10">
        <f t="shared" si="14"/>
        <v>84.376900000000006</v>
      </c>
    </row>
    <row r="5" spans="1:74" x14ac:dyDescent="0.3">
      <c r="A5" s="17">
        <v>44397</v>
      </c>
      <c r="B5" s="8">
        <v>1810.9</v>
      </c>
      <c r="C5" s="7">
        <v>1824</v>
      </c>
      <c r="D5" s="7">
        <v>1810.9</v>
      </c>
      <c r="E5" s="7">
        <v>1812.9</v>
      </c>
      <c r="F5" s="18">
        <v>128</v>
      </c>
      <c r="G5" s="7">
        <v>1814.5286000000001</v>
      </c>
      <c r="H5" s="7">
        <v>1813.62</v>
      </c>
      <c r="I5" s="7">
        <v>1798.4032999999999</v>
      </c>
      <c r="J5" s="8">
        <v>0.53239999999999998</v>
      </c>
      <c r="K5" s="7">
        <v>0.77539999999999998</v>
      </c>
      <c r="L5" s="7">
        <v>0.85160000000000002</v>
      </c>
      <c r="M5" s="8">
        <v>63.938200000000002</v>
      </c>
      <c r="N5" s="8">
        <v>-2.6894</v>
      </c>
      <c r="O5" s="7">
        <v>-7.7502000000000004</v>
      </c>
      <c r="P5" s="7">
        <v>1832.1623999999999</v>
      </c>
      <c r="Q5" s="7">
        <v>1755.8675000000001</v>
      </c>
      <c r="R5" s="7" t="str">
        <f t="shared" si="0"/>
        <v>Up</v>
      </c>
      <c r="S5" s="7" t="str">
        <f t="shared" si="1"/>
        <v>Hold</v>
      </c>
      <c r="T5" s="8">
        <f t="shared" si="2"/>
        <v>9.6789451114922778E-2</v>
      </c>
      <c r="U5" s="18">
        <f t="shared" si="3"/>
        <v>5008571</v>
      </c>
      <c r="V5" s="7">
        <f t="shared" si="4"/>
        <v>5586.2002000000002</v>
      </c>
      <c r="W5" s="7">
        <f t="shared" si="5"/>
        <v>1615.1</v>
      </c>
      <c r="X5" s="7">
        <f t="shared" si="6"/>
        <v>1812.9</v>
      </c>
      <c r="Y5" s="7">
        <f t="shared" si="7"/>
        <v>503</v>
      </c>
      <c r="Z5" s="7">
        <f t="shared" si="8"/>
        <v>1673055</v>
      </c>
      <c r="AA5" s="7" t="str">
        <f t="shared" si="9"/>
        <v>20-Jul-2021</v>
      </c>
      <c r="AB5" s="7">
        <f t="shared" si="10"/>
        <v>1812.9</v>
      </c>
      <c r="AC5" s="7">
        <f t="shared" si="11"/>
        <v>1</v>
      </c>
      <c r="AD5" s="7">
        <f t="shared" si="12"/>
        <v>2021</v>
      </c>
      <c r="AE5" s="19">
        <f t="shared" si="13"/>
        <v>0.53</v>
      </c>
      <c r="AF5" s="11">
        <v>44398</v>
      </c>
      <c r="AG5" s="7">
        <v>1802.9</v>
      </c>
      <c r="AH5" s="7">
        <v>1807</v>
      </c>
      <c r="AI5" s="7">
        <v>1800</v>
      </c>
      <c r="AJ5" s="7">
        <v>1807</v>
      </c>
      <c r="AK5" s="7">
        <v>135</v>
      </c>
      <c r="AL5" s="7">
        <v>1815.1570999999999</v>
      </c>
      <c r="AM5" s="7">
        <v>1810.6367</v>
      </c>
      <c r="AN5" s="7">
        <v>1799.4156</v>
      </c>
      <c r="AO5" s="7">
        <v>-0.32540000000000002</v>
      </c>
      <c r="AP5" s="7">
        <v>0.78969999999999996</v>
      </c>
      <c r="AQ5" s="7">
        <v>0.84789999999999999</v>
      </c>
      <c r="AR5" s="7">
        <v>69.173000000000002</v>
      </c>
      <c r="AS5" s="7">
        <v>-2.6088</v>
      </c>
      <c r="AT5" s="7">
        <v>-6.7220000000000004</v>
      </c>
      <c r="AU5" s="7">
        <v>1833.4197999999999</v>
      </c>
      <c r="AV5" s="7">
        <v>1756.9701</v>
      </c>
      <c r="AW5" s="7" t="str">
        <v>Up</v>
      </c>
      <c r="AX5" s="7" t="str">
        <v>Hold</v>
      </c>
      <c r="AY5" s="7">
        <v>9.6415536480686653E-2</v>
      </c>
      <c r="BA5" s="10">
        <f t="shared" si="14"/>
        <v>84.376900000000006</v>
      </c>
    </row>
    <row r="6" spans="1:74" x14ac:dyDescent="0.3">
      <c r="A6" s="17">
        <v>44398</v>
      </c>
      <c r="B6" s="8">
        <v>1802.9</v>
      </c>
      <c r="C6" s="7">
        <v>1807</v>
      </c>
      <c r="D6" s="7">
        <v>1800</v>
      </c>
      <c r="E6" s="7">
        <v>1807</v>
      </c>
      <c r="F6" s="18">
        <v>135</v>
      </c>
      <c r="G6" s="7">
        <v>1815.1570999999999</v>
      </c>
      <c r="H6" s="7">
        <v>1810.6367</v>
      </c>
      <c r="I6" s="7">
        <v>1799.4156</v>
      </c>
      <c r="J6" s="8">
        <v>-0.32540000000000002</v>
      </c>
      <c r="K6" s="7">
        <v>0.78969999999999996</v>
      </c>
      <c r="L6" s="7">
        <v>0.84789999999999999</v>
      </c>
      <c r="M6" s="8">
        <v>69.173000000000002</v>
      </c>
      <c r="N6" s="8">
        <v>-2.6088</v>
      </c>
      <c r="O6" s="7">
        <v>-6.7220000000000004</v>
      </c>
      <c r="P6" s="7">
        <v>1833.4197999999999</v>
      </c>
      <c r="Q6" s="7">
        <v>1756.9701</v>
      </c>
      <c r="R6" s="7" t="str">
        <f t="shared" si="0"/>
        <v>Up</v>
      </c>
      <c r="S6" s="7" t="str">
        <f t="shared" si="1"/>
        <v>Hold</v>
      </c>
      <c r="T6" s="8">
        <f t="shared" si="2"/>
        <v>9.6415536480686653E-2</v>
      </c>
      <c r="U6" s="18">
        <f t="shared" si="3"/>
        <v>5008443</v>
      </c>
      <c r="V6" s="7">
        <f t="shared" si="4"/>
        <v>5586.2002000000002</v>
      </c>
      <c r="W6" s="7">
        <f t="shared" si="5"/>
        <v>1615.1</v>
      </c>
      <c r="X6" s="7">
        <f t="shared" si="6"/>
        <v>1807</v>
      </c>
      <c r="Y6" s="7">
        <f t="shared" si="7"/>
        <v>502</v>
      </c>
      <c r="Z6" s="7">
        <f t="shared" si="8"/>
        <v>1672927</v>
      </c>
      <c r="AA6" s="7" t="str">
        <f t="shared" si="9"/>
        <v>21-Jul-2021</v>
      </c>
      <c r="AB6" s="7">
        <f t="shared" si="10"/>
        <v>1807</v>
      </c>
      <c r="AC6" s="7">
        <f t="shared" si="11"/>
        <v>1</v>
      </c>
      <c r="AD6" s="7">
        <f t="shared" si="12"/>
        <v>2021</v>
      </c>
      <c r="AE6" s="19">
        <f t="shared" si="13"/>
        <v>-0.33</v>
      </c>
      <c r="AF6" s="11">
        <v>44403</v>
      </c>
      <c r="AG6" s="7">
        <v>1798.7</v>
      </c>
      <c r="AH6" s="7">
        <v>1802.5</v>
      </c>
      <c r="AI6" s="7">
        <v>1797.2</v>
      </c>
      <c r="AJ6" s="7">
        <v>1802.5</v>
      </c>
      <c r="AK6" s="7">
        <v>17</v>
      </c>
      <c r="AL6" s="7">
        <v>1807.0571</v>
      </c>
      <c r="AM6" s="7">
        <v>1801.0567000000001</v>
      </c>
      <c r="AN6" s="7">
        <v>1801.6267</v>
      </c>
      <c r="AO6" s="7">
        <v>0.1389</v>
      </c>
      <c r="AP6" s="7">
        <v>0.69259999999999999</v>
      </c>
      <c r="AQ6" s="7">
        <v>0.8458</v>
      </c>
      <c r="AR6" s="7">
        <v>56.786999999999999</v>
      </c>
      <c r="AS6" s="7">
        <v>-3.7227999999999999</v>
      </c>
      <c r="AT6" s="7">
        <v>-5.2527999999999997</v>
      </c>
      <c r="AU6" s="7">
        <v>1833.8674000000001</v>
      </c>
      <c r="AV6" s="7">
        <v>1762.4025999999999</v>
      </c>
      <c r="AW6" s="7" t="str">
        <v>Up</v>
      </c>
      <c r="AX6" s="7" t="str">
        <v>Hold</v>
      </c>
      <c r="AY6" s="7">
        <v>9.7275645438898398E-2</v>
      </c>
      <c r="BA6" s="10">
        <f t="shared" si="14"/>
        <v>84.376900000000006</v>
      </c>
    </row>
    <row r="7" spans="1:74" x14ac:dyDescent="0.3">
      <c r="A7" s="17">
        <v>44399</v>
      </c>
      <c r="B7" s="8">
        <v>1805</v>
      </c>
      <c r="C7" s="7">
        <v>1805</v>
      </c>
      <c r="D7" s="7">
        <v>1793.6</v>
      </c>
      <c r="E7" s="7">
        <v>1793.6</v>
      </c>
      <c r="F7" s="18">
        <v>2</v>
      </c>
      <c r="G7" s="7">
        <v>1813.0857000000001</v>
      </c>
      <c r="H7" s="7">
        <v>1807.26</v>
      </c>
      <c r="I7" s="7">
        <v>1800.1278</v>
      </c>
      <c r="J7" s="8">
        <v>-0.74160000000000004</v>
      </c>
      <c r="K7" s="7">
        <v>0.82869999999999999</v>
      </c>
      <c r="L7" s="7">
        <v>0.85440000000000005</v>
      </c>
      <c r="M7" s="8">
        <v>57.552799999999998</v>
      </c>
      <c r="N7" s="8">
        <v>-3.585</v>
      </c>
      <c r="O7" s="7">
        <v>-6.0945999999999998</v>
      </c>
      <c r="P7" s="7">
        <v>1833.4656</v>
      </c>
      <c r="Q7" s="7">
        <v>1758.2143000000001</v>
      </c>
      <c r="R7" s="7" t="str">
        <f t="shared" si="0"/>
        <v>Down</v>
      </c>
      <c r="S7" s="7" t="str">
        <f t="shared" si="1"/>
        <v>Hold</v>
      </c>
      <c r="T7" s="8">
        <f t="shared" si="2"/>
        <v>9.6777920962199254E-2</v>
      </c>
      <c r="U7" s="18">
        <f t="shared" si="3"/>
        <v>5008308</v>
      </c>
      <c r="V7" s="7">
        <f t="shared" si="4"/>
        <v>5586.2002000000002</v>
      </c>
      <c r="W7" s="7">
        <f t="shared" si="5"/>
        <v>1615.1</v>
      </c>
      <c r="X7" s="7">
        <f t="shared" si="6"/>
        <v>1793.6</v>
      </c>
      <c r="Y7" s="7">
        <f t="shared" si="7"/>
        <v>501</v>
      </c>
      <c r="Z7" s="7">
        <f t="shared" si="8"/>
        <v>1672792</v>
      </c>
      <c r="AA7" s="7" t="str">
        <f t="shared" si="9"/>
        <v>22-Jul-2021</v>
      </c>
      <c r="AB7" s="7">
        <f t="shared" si="10"/>
        <v>1793.6</v>
      </c>
      <c r="AC7" s="7">
        <f t="shared" si="11"/>
        <v>1</v>
      </c>
      <c r="AD7" s="7">
        <f t="shared" si="12"/>
        <v>2021</v>
      </c>
      <c r="AE7" s="19">
        <f t="shared" si="13"/>
        <v>-0.74</v>
      </c>
      <c r="AF7" s="11">
        <v>44404</v>
      </c>
      <c r="AG7" s="7">
        <v>1799.5</v>
      </c>
      <c r="AH7" s="7">
        <v>1803.7</v>
      </c>
      <c r="AI7" s="7">
        <v>1799.5</v>
      </c>
      <c r="AJ7" s="7">
        <v>1803.7</v>
      </c>
      <c r="AK7" s="7">
        <v>1</v>
      </c>
      <c r="AL7" s="7">
        <v>1803.2856999999999</v>
      </c>
      <c r="AM7" s="7">
        <v>1798.9733000000001</v>
      </c>
      <c r="AN7" s="7">
        <v>1802.27</v>
      </c>
      <c r="AO7" s="7">
        <v>6.6600000000000006E-2</v>
      </c>
      <c r="AP7" s="7">
        <v>0.7</v>
      </c>
      <c r="AQ7" s="7">
        <v>0.78680000000000005</v>
      </c>
      <c r="AR7" s="7">
        <v>52.367400000000004</v>
      </c>
      <c r="AS7" s="7">
        <v>-3.5253999999999999</v>
      </c>
      <c r="AT7" s="7">
        <v>-4.9073000000000002</v>
      </c>
      <c r="AU7" s="7">
        <v>1834.0515</v>
      </c>
      <c r="AV7" s="7">
        <v>1764.6285</v>
      </c>
      <c r="AW7" s="7" t="str">
        <v>Up</v>
      </c>
      <c r="AX7" s="7" t="str">
        <v>Hold</v>
      </c>
      <c r="AY7" s="7">
        <v>9.7239793281653719E-2</v>
      </c>
      <c r="BA7" s="10">
        <f t="shared" si="14"/>
        <v>84.376900000000006</v>
      </c>
      <c r="BC7" s="10"/>
    </row>
    <row r="8" spans="1:74" x14ac:dyDescent="0.3">
      <c r="A8" s="17">
        <v>44400</v>
      </c>
      <c r="B8" s="8">
        <v>1801.4</v>
      </c>
      <c r="C8" s="7">
        <v>1801.4</v>
      </c>
      <c r="D8" s="7">
        <v>1800</v>
      </c>
      <c r="E8" s="7">
        <v>1800</v>
      </c>
      <c r="F8" s="18">
        <v>1</v>
      </c>
      <c r="G8" s="7">
        <v>1811.2143000000001</v>
      </c>
      <c r="H8" s="7">
        <v>1804.3367000000001</v>
      </c>
      <c r="I8" s="7">
        <v>1800.88</v>
      </c>
      <c r="J8" s="8">
        <v>0.35680000000000001</v>
      </c>
      <c r="K8" s="7">
        <v>0.83550000000000002</v>
      </c>
      <c r="L8" s="7">
        <v>0.85899999999999999</v>
      </c>
      <c r="M8" s="8">
        <v>58.736699999999999</v>
      </c>
      <c r="N8" s="8">
        <v>-3.7982999999999998</v>
      </c>
      <c r="O8" s="7">
        <v>-5.6353</v>
      </c>
      <c r="P8" s="7">
        <v>1833.6949</v>
      </c>
      <c r="Q8" s="7">
        <v>1760.0951</v>
      </c>
      <c r="R8" s="7" t="str">
        <f t="shared" si="0"/>
        <v>Down</v>
      </c>
      <c r="S8" s="7" t="str">
        <f t="shared" si="1"/>
        <v>Hold</v>
      </c>
      <c r="T8" s="8">
        <f t="shared" si="2"/>
        <v>9.7498796216680964E-2</v>
      </c>
      <c r="U8" s="18">
        <f t="shared" si="3"/>
        <v>5008306</v>
      </c>
      <c r="V8" s="7">
        <f t="shared" si="4"/>
        <v>5586.2002000000002</v>
      </c>
      <c r="W8" s="7">
        <f t="shared" si="5"/>
        <v>1615.1</v>
      </c>
      <c r="X8" s="7">
        <f t="shared" si="6"/>
        <v>1800</v>
      </c>
      <c r="Y8" s="7">
        <f t="shared" si="7"/>
        <v>501</v>
      </c>
      <c r="Z8" s="7">
        <f t="shared" si="8"/>
        <v>1672792</v>
      </c>
      <c r="AA8" s="7" t="str">
        <f t="shared" si="9"/>
        <v>23-Jul-2021</v>
      </c>
      <c r="AB8" s="7">
        <f t="shared" si="10"/>
        <v>1800</v>
      </c>
      <c r="AC8" s="7">
        <f t="shared" si="11"/>
        <v>1</v>
      </c>
      <c r="AD8" s="7">
        <f t="shared" si="12"/>
        <v>2021</v>
      </c>
      <c r="AE8" s="19">
        <f t="shared" si="13"/>
        <v>0.36</v>
      </c>
      <c r="AF8" s="11">
        <v>44407</v>
      </c>
      <c r="AG8" s="7">
        <v>1812.6</v>
      </c>
      <c r="AH8" s="7">
        <v>1830.5</v>
      </c>
      <c r="AI8" s="7">
        <v>1808.9</v>
      </c>
      <c r="AJ8" s="7">
        <v>1828</v>
      </c>
      <c r="AK8" s="7">
        <v>3100</v>
      </c>
      <c r="AL8" s="7">
        <v>1804.8427999999999</v>
      </c>
      <c r="AM8" s="7">
        <v>1795.5233000000001</v>
      </c>
      <c r="AN8" s="7">
        <v>1804.8189</v>
      </c>
      <c r="AO8" s="7">
        <v>1.1845000000000001</v>
      </c>
      <c r="AP8" s="7">
        <v>0.59430000000000005</v>
      </c>
      <c r="AQ8" s="7">
        <v>0.67490000000000006</v>
      </c>
      <c r="AR8" s="7">
        <v>59.844999999999999</v>
      </c>
      <c r="AS8" s="7">
        <v>-1.0338000000000001</v>
      </c>
      <c r="AT8" s="7">
        <v>-3.6953</v>
      </c>
      <c r="AU8" s="7">
        <v>1831.8905999999999</v>
      </c>
      <c r="AV8" s="7">
        <v>1778.8394000000001</v>
      </c>
      <c r="AW8" s="7" t="str">
        <v>Up</v>
      </c>
      <c r="AX8" s="7" t="str">
        <v>Hold</v>
      </c>
      <c r="AY8" s="7">
        <v>9.7294559585492185E-2</v>
      </c>
      <c r="BA8" s="10">
        <f t="shared" si="14"/>
        <v>84.376900000000006</v>
      </c>
    </row>
    <row r="9" spans="1:74" x14ac:dyDescent="0.3">
      <c r="A9" s="17">
        <v>44403</v>
      </c>
      <c r="B9" s="8">
        <v>1798.7</v>
      </c>
      <c r="C9" s="7">
        <v>1802.5</v>
      </c>
      <c r="D9" s="7">
        <v>1797.2</v>
      </c>
      <c r="E9" s="7">
        <v>1802.5</v>
      </c>
      <c r="F9" s="18">
        <v>17</v>
      </c>
      <c r="G9" s="7">
        <v>1807.0571</v>
      </c>
      <c r="H9" s="7">
        <v>1801.0567000000001</v>
      </c>
      <c r="I9" s="7">
        <v>1801.6267</v>
      </c>
      <c r="J9" s="8">
        <v>0.1389</v>
      </c>
      <c r="K9" s="7">
        <v>0.69259999999999999</v>
      </c>
      <c r="L9" s="7">
        <v>0.8458</v>
      </c>
      <c r="M9" s="8">
        <v>56.786999999999999</v>
      </c>
      <c r="N9" s="8">
        <v>-3.7227999999999999</v>
      </c>
      <c r="O9" s="7">
        <v>-5.2527999999999997</v>
      </c>
      <c r="P9" s="7">
        <v>1833.8674000000001</v>
      </c>
      <c r="Q9" s="7">
        <v>1762.4025999999999</v>
      </c>
      <c r="R9" s="7" t="str">
        <f t="shared" si="0"/>
        <v>Up</v>
      </c>
      <c r="S9" s="7" t="str">
        <f t="shared" si="1"/>
        <v>Hold</v>
      </c>
      <c r="T9" s="8">
        <f t="shared" si="2"/>
        <v>9.7275645438898398E-2</v>
      </c>
      <c r="U9" s="18">
        <f t="shared" si="3"/>
        <v>5008305</v>
      </c>
      <c r="V9" s="7">
        <f t="shared" si="4"/>
        <v>5586.2002000000002</v>
      </c>
      <c r="W9" s="7">
        <f t="shared" si="5"/>
        <v>1615.1</v>
      </c>
      <c r="X9" s="7">
        <f t="shared" si="6"/>
        <v>1802.5</v>
      </c>
      <c r="Y9" s="7">
        <f t="shared" si="7"/>
        <v>501</v>
      </c>
      <c r="Z9" s="7">
        <f t="shared" si="8"/>
        <v>1672792</v>
      </c>
      <c r="AA9" s="7" t="str">
        <f t="shared" si="9"/>
        <v>26-Jul-2021</v>
      </c>
      <c r="AB9" s="7">
        <f t="shared" si="10"/>
        <v>1802.5</v>
      </c>
      <c r="AC9" s="7">
        <f t="shared" si="11"/>
        <v>1</v>
      </c>
      <c r="AD9" s="7">
        <f t="shared" si="12"/>
        <v>2021</v>
      </c>
      <c r="AE9" s="19">
        <f t="shared" si="13"/>
        <v>0.14000000000000001</v>
      </c>
      <c r="AF9" s="11">
        <v>44411</v>
      </c>
      <c r="AG9" s="7">
        <v>1810.1</v>
      </c>
      <c r="AH9" s="7">
        <v>1813.5</v>
      </c>
      <c r="AI9" s="7">
        <v>1806</v>
      </c>
      <c r="AJ9" s="7">
        <v>1812.3</v>
      </c>
      <c r="AK9" s="7">
        <v>3341</v>
      </c>
      <c r="AL9" s="7">
        <v>1809.2856999999999</v>
      </c>
      <c r="AM9" s="7">
        <v>1798.1967</v>
      </c>
      <c r="AN9" s="7">
        <v>1806.6467</v>
      </c>
      <c r="AO9" s="7">
        <v>-5.4999999999999997E-3</v>
      </c>
      <c r="AP9" s="7">
        <v>0.61870000000000003</v>
      </c>
      <c r="AQ9" s="7">
        <v>0.5766</v>
      </c>
      <c r="AR9" s="7">
        <v>49.701999999999998</v>
      </c>
      <c r="AS9" s="7">
        <v>-0.25209999999999999</v>
      </c>
      <c r="AT9" s="7">
        <v>-2.5106000000000002</v>
      </c>
      <c r="AU9" s="7">
        <v>1829.873</v>
      </c>
      <c r="AV9" s="7">
        <v>1786.787</v>
      </c>
      <c r="AW9" s="7" t="str">
        <v>Up</v>
      </c>
      <c r="AX9" s="7" t="str">
        <v>Hold</v>
      </c>
      <c r="AY9" s="7">
        <v>9.7176470588235253E-2</v>
      </c>
      <c r="BA9" s="10">
        <f t="shared" si="14"/>
        <v>84.376900000000006</v>
      </c>
    </row>
    <row r="10" spans="1:74" x14ac:dyDescent="0.3">
      <c r="A10" s="17">
        <v>44404</v>
      </c>
      <c r="B10" s="8">
        <v>1799.5</v>
      </c>
      <c r="C10" s="7">
        <v>1803.7</v>
      </c>
      <c r="D10" s="7">
        <v>1799.5</v>
      </c>
      <c r="E10" s="7">
        <v>1803.7</v>
      </c>
      <c r="F10" s="18">
        <v>1</v>
      </c>
      <c r="G10" s="7">
        <v>1803.2856999999999</v>
      </c>
      <c r="H10" s="7">
        <v>1798.9733000000001</v>
      </c>
      <c r="I10" s="7">
        <v>1802.27</v>
      </c>
      <c r="J10" s="8">
        <v>6.6600000000000006E-2</v>
      </c>
      <c r="K10" s="7">
        <v>0.7</v>
      </c>
      <c r="L10" s="7">
        <v>0.78680000000000005</v>
      </c>
      <c r="M10" s="8">
        <v>52.367400000000004</v>
      </c>
      <c r="N10" s="8">
        <v>-3.5253999999999999</v>
      </c>
      <c r="O10" s="7">
        <v>-4.9073000000000002</v>
      </c>
      <c r="P10" s="7">
        <v>1834.0515</v>
      </c>
      <c r="Q10" s="7">
        <v>1764.6285</v>
      </c>
      <c r="R10" s="7" t="str">
        <f t="shared" si="0"/>
        <v>Up</v>
      </c>
      <c r="S10" s="7" t="str">
        <f t="shared" si="1"/>
        <v>Hold</v>
      </c>
      <c r="T10" s="8">
        <f t="shared" si="2"/>
        <v>9.7239793281653719E-2</v>
      </c>
      <c r="U10" s="18">
        <f t="shared" si="3"/>
        <v>5008288</v>
      </c>
      <c r="V10" s="7">
        <f t="shared" si="4"/>
        <v>5586.2002000000002</v>
      </c>
      <c r="W10" s="7">
        <f t="shared" si="5"/>
        <v>1615.1</v>
      </c>
      <c r="X10" s="7">
        <f t="shared" si="6"/>
        <v>1803.7</v>
      </c>
      <c r="Y10" s="7">
        <f t="shared" si="7"/>
        <v>500</v>
      </c>
      <c r="Z10" s="7">
        <f t="shared" si="8"/>
        <v>1672775</v>
      </c>
      <c r="AA10" s="7" t="str">
        <f t="shared" si="9"/>
        <v>27-Jul-2021</v>
      </c>
      <c r="AB10" s="7">
        <f t="shared" si="10"/>
        <v>1803.7</v>
      </c>
      <c r="AC10" s="7">
        <f t="shared" si="11"/>
        <v>1</v>
      </c>
      <c r="AD10" s="7">
        <f t="shared" si="12"/>
        <v>2021</v>
      </c>
      <c r="AE10" s="19">
        <f t="shared" si="13"/>
        <v>7.0000000000000007E-2</v>
      </c>
      <c r="AF10" s="11">
        <v>44413</v>
      </c>
      <c r="AG10" s="7">
        <v>1805.1</v>
      </c>
      <c r="AH10" s="7">
        <v>1813.7</v>
      </c>
      <c r="AI10" s="7">
        <v>1796</v>
      </c>
      <c r="AJ10" s="7">
        <v>1810.8</v>
      </c>
      <c r="AK10" s="7">
        <v>588</v>
      </c>
      <c r="AL10" s="7">
        <v>1811.2714000000001</v>
      </c>
      <c r="AM10" s="7">
        <v>1800.0633</v>
      </c>
      <c r="AN10" s="7">
        <v>1808.7211</v>
      </c>
      <c r="AO10" s="7">
        <v>8.2900000000000001E-2</v>
      </c>
      <c r="AP10" s="7">
        <v>0.62609999999999999</v>
      </c>
      <c r="AQ10" s="7">
        <v>0.5595</v>
      </c>
      <c r="AR10" s="7">
        <v>41.8703</v>
      </c>
      <c r="AS10" s="7">
        <v>-7.2800000000000004E-2</v>
      </c>
      <c r="AT10" s="7">
        <v>-1.6566000000000001</v>
      </c>
      <c r="AU10" s="7">
        <v>1829.8667</v>
      </c>
      <c r="AV10" s="7">
        <v>1789.2333000000001</v>
      </c>
      <c r="AW10" s="7" t="str">
        <v>Up</v>
      </c>
      <c r="AX10" s="7" t="str">
        <v>Hold</v>
      </c>
      <c r="AY10" s="7">
        <v>9.7493067590987817E-2</v>
      </c>
      <c r="BA10" s="10">
        <f t="shared" si="14"/>
        <v>84.376900000000006</v>
      </c>
    </row>
    <row r="11" spans="1:74" x14ac:dyDescent="0.3">
      <c r="A11" s="17">
        <v>44405</v>
      </c>
      <c r="B11" s="8">
        <v>1799.5</v>
      </c>
      <c r="C11" s="7">
        <v>1799.5</v>
      </c>
      <c r="D11" s="7">
        <v>1799.5</v>
      </c>
      <c r="E11" s="7">
        <v>1799.5</v>
      </c>
      <c r="F11" s="18">
        <v>209783</v>
      </c>
      <c r="G11" s="7">
        <v>1802.7429</v>
      </c>
      <c r="H11" s="7">
        <v>1796.7433000000001</v>
      </c>
      <c r="I11" s="7">
        <v>1802.9067</v>
      </c>
      <c r="J11" s="8">
        <v>-0.2329</v>
      </c>
      <c r="K11" s="7">
        <v>0.43559999999999999</v>
      </c>
      <c r="L11" s="7">
        <v>0.78680000000000005</v>
      </c>
      <c r="M11" s="8">
        <v>51.156300000000002</v>
      </c>
      <c r="N11" s="8">
        <v>-3.6657000000000002</v>
      </c>
      <c r="O11" s="7">
        <v>-4.6589999999999998</v>
      </c>
      <c r="P11" s="7">
        <v>1833.5281</v>
      </c>
      <c r="Q11" s="7">
        <v>1767.4218000000001</v>
      </c>
      <c r="R11" s="7" t="str">
        <f t="shared" si="0"/>
        <v>Down</v>
      </c>
      <c r="S11" s="7" t="str">
        <f t="shared" si="1"/>
        <v>Hold</v>
      </c>
      <c r="T11" s="8">
        <f t="shared" si="2"/>
        <v>9.7266206896551674E-2</v>
      </c>
      <c r="U11" s="18">
        <f t="shared" si="3"/>
        <v>5008287</v>
      </c>
      <c r="V11" s="7">
        <f t="shared" si="4"/>
        <v>5586.2002000000002</v>
      </c>
      <c r="W11" s="7">
        <f t="shared" si="5"/>
        <v>1615.1</v>
      </c>
      <c r="X11" s="7">
        <f t="shared" si="6"/>
        <v>1799.5</v>
      </c>
      <c r="Y11" s="7">
        <f t="shared" si="7"/>
        <v>499</v>
      </c>
      <c r="Z11" s="7">
        <f t="shared" si="8"/>
        <v>1672774</v>
      </c>
      <c r="AA11" s="7" t="str">
        <f t="shared" si="9"/>
        <v>28-Jul-2021</v>
      </c>
      <c r="AB11" s="7">
        <f t="shared" si="10"/>
        <v>1799.5</v>
      </c>
      <c r="AC11" s="7">
        <f t="shared" si="11"/>
        <v>1</v>
      </c>
      <c r="AD11" s="7">
        <f t="shared" si="12"/>
        <v>2021</v>
      </c>
      <c r="AE11" s="19">
        <f t="shared" si="13"/>
        <v>-0.23</v>
      </c>
      <c r="AF11" s="11">
        <v>44414</v>
      </c>
      <c r="AG11" s="7">
        <v>1760</v>
      </c>
      <c r="AH11" s="7">
        <v>1800.1</v>
      </c>
      <c r="AI11" s="7">
        <v>1758.4</v>
      </c>
      <c r="AJ11" s="7">
        <v>1799.8</v>
      </c>
      <c r="AK11" s="7">
        <v>859</v>
      </c>
      <c r="AL11" s="7">
        <v>1811.3143</v>
      </c>
      <c r="AM11" s="7">
        <v>1800.76</v>
      </c>
      <c r="AN11" s="7">
        <v>1809.7077999999999</v>
      </c>
      <c r="AO11" s="7">
        <v>-0.60750000000000004</v>
      </c>
      <c r="AP11" s="7">
        <v>0.66959999999999997</v>
      </c>
      <c r="AQ11" s="7">
        <v>0.57189999999999996</v>
      </c>
      <c r="AR11" s="7">
        <v>48.299300000000002</v>
      </c>
      <c r="AS11" s="7">
        <v>-0.83399999999999996</v>
      </c>
      <c r="AT11" s="7">
        <v>-1.4921</v>
      </c>
      <c r="AU11" s="7">
        <v>1829.9798000000001</v>
      </c>
      <c r="AV11" s="7">
        <v>1788.7402</v>
      </c>
      <c r="AW11" s="7" t="str">
        <v>Up</v>
      </c>
      <c r="AX11" s="7" t="str">
        <v>Hold</v>
      </c>
      <c r="AY11" s="7">
        <v>9.7505724197744975E-2</v>
      </c>
      <c r="BA11" s="10">
        <f t="shared" si="14"/>
        <v>84.376900000000006</v>
      </c>
    </row>
    <row r="12" spans="1:74" x14ac:dyDescent="0.3">
      <c r="A12" s="17">
        <v>44406</v>
      </c>
      <c r="B12" s="8">
        <v>1831.2</v>
      </c>
      <c r="C12" s="7">
        <v>1832.6</v>
      </c>
      <c r="D12" s="7">
        <v>1806.1</v>
      </c>
      <c r="E12" s="7">
        <v>1806.6</v>
      </c>
      <c r="F12" s="18">
        <v>30496</v>
      </c>
      <c r="G12" s="7">
        <v>1801.8427999999999</v>
      </c>
      <c r="H12" s="7">
        <v>1794.9833000000001</v>
      </c>
      <c r="I12" s="7">
        <v>1803.6711</v>
      </c>
      <c r="J12" s="8">
        <v>0.39460000000000001</v>
      </c>
      <c r="K12" s="7">
        <v>0.40820000000000001</v>
      </c>
      <c r="L12" s="7">
        <v>0.79069999999999996</v>
      </c>
      <c r="M12" s="8">
        <v>51.3812</v>
      </c>
      <c r="N12" s="8">
        <v>-3.1674000000000002</v>
      </c>
      <c r="O12" s="7">
        <v>-4.3606999999999996</v>
      </c>
      <c r="P12" s="7">
        <v>1830.1766</v>
      </c>
      <c r="Q12" s="7">
        <v>1775.3234</v>
      </c>
      <c r="R12" s="7" t="str">
        <f t="shared" si="0"/>
        <v>Down</v>
      </c>
      <c r="S12" s="7" t="str">
        <f t="shared" si="1"/>
        <v>Hold</v>
      </c>
      <c r="T12" s="8">
        <f t="shared" si="2"/>
        <v>9.7551078515961995E-2</v>
      </c>
      <c r="U12" s="18">
        <f t="shared" si="3"/>
        <v>4798504</v>
      </c>
      <c r="V12" s="7">
        <f t="shared" si="4"/>
        <v>5586.2002000000002</v>
      </c>
      <c r="W12" s="7">
        <f t="shared" si="5"/>
        <v>1615.1</v>
      </c>
      <c r="X12" s="7">
        <f t="shared" si="6"/>
        <v>1806.6</v>
      </c>
      <c r="Y12" s="7">
        <f t="shared" si="7"/>
        <v>499</v>
      </c>
      <c r="Z12" s="7">
        <f t="shared" si="8"/>
        <v>1672774</v>
      </c>
      <c r="AA12" s="7" t="str">
        <f t="shared" si="9"/>
        <v>29-Jul-2021</v>
      </c>
      <c r="AB12" s="7">
        <f t="shared" si="10"/>
        <v>1806.6</v>
      </c>
      <c r="AC12" s="7">
        <f t="shared" si="11"/>
        <v>1</v>
      </c>
      <c r="AD12" s="7">
        <f t="shared" si="12"/>
        <v>2021</v>
      </c>
      <c r="AE12" s="19">
        <f t="shared" si="13"/>
        <v>0.39</v>
      </c>
      <c r="AF12" s="11">
        <v>44417</v>
      </c>
      <c r="AG12" s="7">
        <v>1723.4</v>
      </c>
      <c r="AH12" s="7">
        <v>1753.8</v>
      </c>
      <c r="AI12" s="7">
        <v>1692.6</v>
      </c>
      <c r="AJ12" s="7">
        <v>1753.5</v>
      </c>
      <c r="AK12" s="7">
        <v>1621</v>
      </c>
      <c r="AL12" s="7">
        <v>1803.7285999999999</v>
      </c>
      <c r="AM12" s="7">
        <v>1799.9532999999999</v>
      </c>
      <c r="AN12" s="7">
        <v>1810.4833000000001</v>
      </c>
      <c r="AO12" s="7">
        <v>-2.5724999999999998</v>
      </c>
      <c r="AP12" s="7">
        <v>1.1489</v>
      </c>
      <c r="AQ12" s="7">
        <v>0.74490000000000001</v>
      </c>
      <c r="AR12" s="7">
        <v>28.724900000000002</v>
      </c>
      <c r="AS12" s="7">
        <v>-5.1143999999999998</v>
      </c>
      <c r="AT12" s="7">
        <v>-2.2164999999999999</v>
      </c>
      <c r="AU12" s="7">
        <v>1839.2637999999999</v>
      </c>
      <c r="AV12" s="7">
        <v>1774.5462</v>
      </c>
      <c r="AW12" s="7" t="str">
        <v>Up</v>
      </c>
      <c r="AX12" s="7" t="str">
        <v>Buy</v>
      </c>
      <c r="AY12" s="7">
        <v>9.8117708333333303E-2</v>
      </c>
      <c r="BA12" s="10">
        <f t="shared" si="14"/>
        <v>84.376900000000006</v>
      </c>
    </row>
    <row r="13" spans="1:74" x14ac:dyDescent="0.3">
      <c r="A13" s="17">
        <v>44407</v>
      </c>
      <c r="B13" s="8">
        <v>1812.6</v>
      </c>
      <c r="C13" s="7">
        <v>1830.5</v>
      </c>
      <c r="D13" s="7">
        <v>1808.9</v>
      </c>
      <c r="E13" s="7">
        <v>1828</v>
      </c>
      <c r="F13" s="18">
        <v>3100</v>
      </c>
      <c r="G13" s="7">
        <v>1804.8427999999999</v>
      </c>
      <c r="H13" s="7">
        <v>1795.5233000000001</v>
      </c>
      <c r="I13" s="7">
        <v>1804.8189</v>
      </c>
      <c r="J13" s="8">
        <v>1.1845000000000001</v>
      </c>
      <c r="K13" s="7">
        <v>0.59430000000000005</v>
      </c>
      <c r="L13" s="7">
        <v>0.67490000000000006</v>
      </c>
      <c r="M13" s="8">
        <v>59.844999999999999</v>
      </c>
      <c r="N13" s="8">
        <v>-1.0338000000000001</v>
      </c>
      <c r="O13" s="7">
        <v>-3.6953</v>
      </c>
      <c r="P13" s="7">
        <v>1831.8905999999999</v>
      </c>
      <c r="Q13" s="7">
        <v>1778.8394000000001</v>
      </c>
      <c r="R13" s="7" t="str">
        <f t="shared" si="0"/>
        <v>Up</v>
      </c>
      <c r="S13" s="7" t="str">
        <f t="shared" si="1"/>
        <v>Hold</v>
      </c>
      <c r="T13" s="8">
        <f t="shared" si="2"/>
        <v>9.7294559585492185E-2</v>
      </c>
      <c r="U13" s="18">
        <f t="shared" si="3"/>
        <v>4768008</v>
      </c>
      <c r="V13" s="7">
        <f t="shared" si="4"/>
        <v>5586.2002000000002</v>
      </c>
      <c r="W13" s="7">
        <f t="shared" si="5"/>
        <v>1615.1</v>
      </c>
      <c r="X13" s="7">
        <f t="shared" si="6"/>
        <v>1828</v>
      </c>
      <c r="Y13" s="7">
        <f t="shared" si="7"/>
        <v>499</v>
      </c>
      <c r="Z13" s="7">
        <f t="shared" si="8"/>
        <v>1672774</v>
      </c>
      <c r="AA13" s="7" t="str">
        <f t="shared" si="9"/>
        <v>30-Jul-2021</v>
      </c>
      <c r="AB13" s="7">
        <f t="shared" si="10"/>
        <v>1828</v>
      </c>
      <c r="AC13" s="7">
        <f t="shared" si="11"/>
        <v>1</v>
      </c>
      <c r="AD13" s="7">
        <f t="shared" si="12"/>
        <v>2021</v>
      </c>
      <c r="AE13" s="19">
        <f t="shared" si="13"/>
        <v>1.18</v>
      </c>
      <c r="AO13" s="3"/>
      <c r="BA13" s="10">
        <f t="shared" si="14"/>
        <v>84.376900000000006</v>
      </c>
    </row>
    <row r="14" spans="1:74" x14ac:dyDescent="0.3">
      <c r="A14" s="17">
        <v>44410</v>
      </c>
      <c r="B14" s="8">
        <v>1818.1</v>
      </c>
      <c r="C14" s="7">
        <v>1818.7</v>
      </c>
      <c r="D14" s="7">
        <v>1804.8</v>
      </c>
      <c r="E14" s="7">
        <v>1812.4</v>
      </c>
      <c r="F14" s="18">
        <v>1334</v>
      </c>
      <c r="G14" s="7">
        <v>1807.5286000000001</v>
      </c>
      <c r="H14" s="7">
        <v>1796.7466999999999</v>
      </c>
      <c r="I14" s="7">
        <v>1805.7621999999999</v>
      </c>
      <c r="J14" s="8">
        <v>-0.85340000000000005</v>
      </c>
      <c r="K14" s="7">
        <v>0.62360000000000004</v>
      </c>
      <c r="L14" s="7">
        <v>0.58279999999999998</v>
      </c>
      <c r="M14" s="8">
        <v>51.545699999999997</v>
      </c>
      <c r="N14" s="8">
        <v>-0.59489999999999998</v>
      </c>
      <c r="O14" s="7">
        <v>-3.0752000000000002</v>
      </c>
      <c r="P14" s="7">
        <v>1830.5527999999999</v>
      </c>
      <c r="Q14" s="7">
        <v>1783.5472</v>
      </c>
      <c r="R14" s="7" t="str">
        <f t="shared" si="0"/>
        <v>Down</v>
      </c>
      <c r="S14" s="7" t="str">
        <f t="shared" si="1"/>
        <v>Hold</v>
      </c>
      <c r="T14" s="8">
        <f t="shared" si="2"/>
        <v>9.6354883318928233E-2</v>
      </c>
      <c r="U14" s="18">
        <f t="shared" si="3"/>
        <v>4764908</v>
      </c>
      <c r="V14" s="7">
        <f t="shared" si="4"/>
        <v>5586.2002000000002</v>
      </c>
      <c r="W14" s="7">
        <f t="shared" si="5"/>
        <v>1615.1</v>
      </c>
      <c r="X14" s="7">
        <f t="shared" si="6"/>
        <v>1812.4</v>
      </c>
      <c r="Y14" s="7">
        <f t="shared" si="7"/>
        <v>498</v>
      </c>
      <c r="Z14" s="7">
        <f t="shared" si="8"/>
        <v>1669674</v>
      </c>
      <c r="AA14" s="7" t="str">
        <f t="shared" si="9"/>
        <v>02-Aug-2021</v>
      </c>
      <c r="AB14" s="7">
        <f t="shared" si="10"/>
        <v>1812.4</v>
      </c>
      <c r="AC14" s="7">
        <f t="shared" si="11"/>
        <v>1</v>
      </c>
      <c r="AD14" s="7">
        <f t="shared" si="12"/>
        <v>2021</v>
      </c>
      <c r="AE14" s="19">
        <f t="shared" si="13"/>
        <v>-0.85</v>
      </c>
      <c r="BA14" s="10">
        <f t="shared" si="14"/>
        <v>84.376900000000006</v>
      </c>
    </row>
    <row r="15" spans="1:74" x14ac:dyDescent="0.3">
      <c r="A15" s="17">
        <v>44411</v>
      </c>
      <c r="B15" s="8">
        <v>1810.1</v>
      </c>
      <c r="C15" s="7">
        <v>1813.5</v>
      </c>
      <c r="D15" s="7">
        <v>1806</v>
      </c>
      <c r="E15" s="7">
        <v>1812.3</v>
      </c>
      <c r="F15" s="18">
        <v>3341</v>
      </c>
      <c r="G15" s="7">
        <v>1809.2856999999999</v>
      </c>
      <c r="H15" s="7">
        <v>1798.1967</v>
      </c>
      <c r="I15" s="7">
        <v>1806.6467</v>
      </c>
      <c r="J15" s="8">
        <v>-5.4999999999999997E-3</v>
      </c>
      <c r="K15" s="7">
        <v>0.61870000000000003</v>
      </c>
      <c r="L15" s="7">
        <v>0.5766</v>
      </c>
      <c r="M15" s="8">
        <v>49.701999999999998</v>
      </c>
      <c r="N15" s="8">
        <v>-0.25209999999999999</v>
      </c>
      <c r="O15" s="7">
        <v>-2.5106000000000002</v>
      </c>
      <c r="P15" s="7">
        <v>1829.873</v>
      </c>
      <c r="Q15" s="7">
        <v>1786.787</v>
      </c>
      <c r="R15" s="7" t="str">
        <f t="shared" si="0"/>
        <v>Up</v>
      </c>
      <c r="S15" s="7" t="str">
        <f t="shared" si="1"/>
        <v>Hold</v>
      </c>
      <c r="T15" s="8">
        <f t="shared" si="2"/>
        <v>9.7176470588235253E-2</v>
      </c>
      <c r="U15" s="18">
        <f t="shared" si="3"/>
        <v>4763574</v>
      </c>
      <c r="V15" s="7">
        <f t="shared" si="4"/>
        <v>5586.2002000000002</v>
      </c>
      <c r="W15" s="7">
        <f t="shared" si="5"/>
        <v>1615.1</v>
      </c>
      <c r="X15" s="7">
        <f t="shared" si="6"/>
        <v>1812.3</v>
      </c>
      <c r="Y15" s="7">
        <f t="shared" si="7"/>
        <v>498</v>
      </c>
      <c r="Z15" s="7">
        <f t="shared" si="8"/>
        <v>1669674</v>
      </c>
      <c r="AA15" s="7" t="str">
        <f t="shared" si="9"/>
        <v>03-Aug-2021</v>
      </c>
      <c r="AB15" s="7">
        <f t="shared" si="10"/>
        <v>1812.3</v>
      </c>
      <c r="AC15" s="7">
        <f t="shared" si="11"/>
        <v>1</v>
      </c>
      <c r="AD15" s="7">
        <f t="shared" si="12"/>
        <v>2021</v>
      </c>
      <c r="AE15" s="19">
        <f t="shared" si="13"/>
        <v>-0.01</v>
      </c>
      <c r="BA15" s="10">
        <f t="shared" si="14"/>
        <v>84.376900000000006</v>
      </c>
    </row>
    <row r="16" spans="1:74" x14ac:dyDescent="0.3">
      <c r="A16" s="17">
        <v>44412</v>
      </c>
      <c r="B16" s="8">
        <v>1810.5</v>
      </c>
      <c r="C16" s="7">
        <v>1831.3</v>
      </c>
      <c r="D16" s="7">
        <v>1806.3</v>
      </c>
      <c r="E16" s="7">
        <v>1809.3</v>
      </c>
      <c r="F16" s="18">
        <v>2860</v>
      </c>
      <c r="G16" s="7">
        <v>1810.2571</v>
      </c>
      <c r="H16" s="7">
        <v>1799.06</v>
      </c>
      <c r="I16" s="7">
        <v>1807.6243999999999</v>
      </c>
      <c r="J16" s="8">
        <v>-0.16550000000000001</v>
      </c>
      <c r="K16" s="7">
        <v>0.62609999999999999</v>
      </c>
      <c r="L16" s="7">
        <v>0.56069999999999998</v>
      </c>
      <c r="M16" s="8">
        <v>40.6066</v>
      </c>
      <c r="N16" s="8">
        <v>-0.22009999999999999</v>
      </c>
      <c r="O16" s="7">
        <v>-2.0525000000000002</v>
      </c>
      <c r="P16" s="7">
        <v>1829.9217000000001</v>
      </c>
      <c r="Q16" s="7">
        <v>1787.7982999999999</v>
      </c>
      <c r="R16" s="7" t="str">
        <f t="shared" si="0"/>
        <v>Down</v>
      </c>
      <c r="S16" s="7" t="str">
        <f t="shared" si="1"/>
        <v>Hold</v>
      </c>
      <c r="T16" s="8">
        <f t="shared" si="2"/>
        <v>9.7265367965367916E-2</v>
      </c>
      <c r="U16" s="18">
        <f t="shared" si="3"/>
        <v>4760233</v>
      </c>
      <c r="V16" s="7">
        <f t="shared" si="4"/>
        <v>5586.2002000000002</v>
      </c>
      <c r="W16" s="7">
        <f t="shared" si="5"/>
        <v>1615.1</v>
      </c>
      <c r="X16" s="7">
        <f t="shared" si="6"/>
        <v>1809.3</v>
      </c>
      <c r="Y16" s="7">
        <f t="shared" si="7"/>
        <v>497</v>
      </c>
      <c r="Z16" s="7">
        <f t="shared" si="8"/>
        <v>1666333</v>
      </c>
      <c r="AA16" s="7" t="str">
        <f t="shared" si="9"/>
        <v>04-Aug-2021</v>
      </c>
      <c r="AB16" s="7">
        <f t="shared" si="10"/>
        <v>1809.3</v>
      </c>
      <c r="AC16" s="7">
        <f t="shared" si="11"/>
        <v>1</v>
      </c>
      <c r="AD16" s="7">
        <f t="shared" si="12"/>
        <v>2021</v>
      </c>
      <c r="AE16" s="19">
        <f t="shared" si="13"/>
        <v>-0.17</v>
      </c>
      <c r="BA16" s="10">
        <f t="shared" si="14"/>
        <v>84.376900000000006</v>
      </c>
    </row>
    <row r="17" spans="1:53" x14ac:dyDescent="0.3">
      <c r="A17" s="17">
        <v>44413</v>
      </c>
      <c r="B17" s="8">
        <v>1805.1</v>
      </c>
      <c r="C17" s="7">
        <v>1813.7</v>
      </c>
      <c r="D17" s="7">
        <v>1796</v>
      </c>
      <c r="E17" s="7">
        <v>1810.8</v>
      </c>
      <c r="F17" s="18">
        <v>588</v>
      </c>
      <c r="G17" s="7">
        <v>1811.2714000000001</v>
      </c>
      <c r="H17" s="7">
        <v>1800.0633</v>
      </c>
      <c r="I17" s="7">
        <v>1808.7211</v>
      </c>
      <c r="J17" s="8">
        <v>8.2900000000000001E-2</v>
      </c>
      <c r="K17" s="7">
        <v>0.62609999999999999</v>
      </c>
      <c r="L17" s="7">
        <v>0.5595</v>
      </c>
      <c r="M17" s="8">
        <v>41.8703</v>
      </c>
      <c r="N17" s="8">
        <v>-7.2800000000000004E-2</v>
      </c>
      <c r="O17" s="7">
        <v>-1.6566000000000001</v>
      </c>
      <c r="P17" s="7">
        <v>1829.8667</v>
      </c>
      <c r="Q17" s="7">
        <v>1789.2333000000001</v>
      </c>
      <c r="R17" s="7" t="str">
        <f t="shared" si="0"/>
        <v>Up</v>
      </c>
      <c r="S17" s="7" t="str">
        <f t="shared" si="1"/>
        <v>Hold</v>
      </c>
      <c r="T17" s="8">
        <f t="shared" si="2"/>
        <v>9.7493067590987817E-2</v>
      </c>
      <c r="U17" s="18">
        <f t="shared" si="3"/>
        <v>4757373</v>
      </c>
      <c r="V17" s="7">
        <f t="shared" si="4"/>
        <v>5586.2002000000002</v>
      </c>
      <c r="W17" s="7">
        <f t="shared" si="5"/>
        <v>1615.1</v>
      </c>
      <c r="X17" s="7">
        <f t="shared" si="6"/>
        <v>1810.8</v>
      </c>
      <c r="Y17" s="7">
        <f t="shared" si="7"/>
        <v>497</v>
      </c>
      <c r="Z17" s="7">
        <f t="shared" si="8"/>
        <v>1666333</v>
      </c>
      <c r="AA17" s="7" t="str">
        <f t="shared" si="9"/>
        <v>05-Aug-2021</v>
      </c>
      <c r="AB17" s="7">
        <f t="shared" si="10"/>
        <v>1810.8</v>
      </c>
      <c r="AC17" s="7">
        <f t="shared" si="11"/>
        <v>1</v>
      </c>
      <c r="AD17" s="7">
        <f t="shared" si="12"/>
        <v>2021</v>
      </c>
      <c r="AE17" s="19">
        <f t="shared" si="13"/>
        <v>0.08</v>
      </c>
      <c r="BA17" s="10">
        <f t="shared" si="14"/>
        <v>84.376900000000006</v>
      </c>
    </row>
    <row r="18" spans="1:53" x14ac:dyDescent="0.3">
      <c r="A18" s="17">
        <v>44414</v>
      </c>
      <c r="B18" s="8">
        <v>1760</v>
      </c>
      <c r="C18" s="7">
        <v>1800.1</v>
      </c>
      <c r="D18" s="7">
        <v>1758.4</v>
      </c>
      <c r="E18" s="7">
        <v>1799.8</v>
      </c>
      <c r="F18" s="18">
        <v>859</v>
      </c>
      <c r="G18" s="7">
        <v>1811.3143</v>
      </c>
      <c r="H18" s="7">
        <v>1800.76</v>
      </c>
      <c r="I18" s="7">
        <v>1809.7077999999999</v>
      </c>
      <c r="J18" s="8">
        <v>-0.60750000000000004</v>
      </c>
      <c r="K18" s="7">
        <v>0.66959999999999997</v>
      </c>
      <c r="L18" s="7">
        <v>0.57189999999999996</v>
      </c>
      <c r="M18" s="8">
        <v>48.299300000000002</v>
      </c>
      <c r="N18" s="8">
        <v>-0.83399999999999996</v>
      </c>
      <c r="O18" s="7">
        <v>-1.4921</v>
      </c>
      <c r="P18" s="7">
        <v>1829.9798000000001</v>
      </c>
      <c r="Q18" s="7">
        <v>1788.7402</v>
      </c>
      <c r="R18" s="7" t="str">
        <f t="shared" si="0"/>
        <v>Up</v>
      </c>
      <c r="S18" s="7" t="str">
        <f t="shared" si="1"/>
        <v>Hold</v>
      </c>
      <c r="T18" s="8">
        <f t="shared" si="2"/>
        <v>9.7505724197744975E-2</v>
      </c>
      <c r="U18" s="18">
        <f t="shared" si="3"/>
        <v>4756785</v>
      </c>
      <c r="V18" s="7">
        <f t="shared" si="4"/>
        <v>5586.2002000000002</v>
      </c>
      <c r="W18" s="7">
        <f t="shared" si="5"/>
        <v>1615.1</v>
      </c>
      <c r="X18" s="7">
        <f t="shared" si="6"/>
        <v>1799.8</v>
      </c>
      <c r="Y18" s="7">
        <f t="shared" si="7"/>
        <v>496</v>
      </c>
      <c r="Z18" s="7">
        <f t="shared" si="8"/>
        <v>1665745</v>
      </c>
      <c r="AA18" s="7" t="str">
        <f t="shared" si="9"/>
        <v>06-Aug-2021</v>
      </c>
      <c r="AB18" s="7">
        <f t="shared" si="10"/>
        <v>1799.8</v>
      </c>
      <c r="AC18" s="7">
        <f t="shared" si="11"/>
        <v>1</v>
      </c>
      <c r="AD18" s="7">
        <f t="shared" si="12"/>
        <v>2021</v>
      </c>
      <c r="AE18" s="19">
        <f t="shared" si="13"/>
        <v>-0.61</v>
      </c>
      <c r="BA18" s="10">
        <f t="shared" si="14"/>
        <v>84.376900000000006</v>
      </c>
    </row>
    <row r="19" spans="1:53" x14ac:dyDescent="0.3">
      <c r="A19" s="17">
        <v>44417</v>
      </c>
      <c r="B19" s="8">
        <v>1723.4</v>
      </c>
      <c r="C19" s="7">
        <v>1753.8</v>
      </c>
      <c r="D19" s="7">
        <v>1692.6</v>
      </c>
      <c r="E19" s="7">
        <v>1753.5</v>
      </c>
      <c r="F19" s="18">
        <v>1621</v>
      </c>
      <c r="G19" s="7">
        <v>1803.7285999999999</v>
      </c>
      <c r="H19" s="7">
        <v>1799.9532999999999</v>
      </c>
      <c r="I19" s="7">
        <v>1810.4833000000001</v>
      </c>
      <c r="J19" s="8">
        <v>-2.5724999999999998</v>
      </c>
      <c r="K19" s="7">
        <v>1.1489</v>
      </c>
      <c r="L19" s="7">
        <v>0.74490000000000001</v>
      </c>
      <c r="M19" s="8">
        <v>28.724900000000002</v>
      </c>
      <c r="N19" s="8">
        <v>-5.1143999999999998</v>
      </c>
      <c r="O19" s="7">
        <v>-2.2164999999999999</v>
      </c>
      <c r="P19" s="7">
        <v>1839.2637999999999</v>
      </c>
      <c r="Q19" s="7">
        <v>1774.5462</v>
      </c>
      <c r="R19" s="7" t="str">
        <f t="shared" si="0"/>
        <v>Up</v>
      </c>
      <c r="S19" s="7" t="str">
        <f t="shared" si="1"/>
        <v>Buy</v>
      </c>
      <c r="T19" s="8">
        <f t="shared" si="2"/>
        <v>9.8117708333333303E-2</v>
      </c>
      <c r="U19" s="18">
        <f t="shared" si="3"/>
        <v>4755926</v>
      </c>
      <c r="V19" s="7">
        <f t="shared" si="4"/>
        <v>5586.2002000000002</v>
      </c>
      <c r="W19" s="7">
        <f t="shared" si="5"/>
        <v>1615.1</v>
      </c>
      <c r="X19" s="7">
        <f t="shared" si="6"/>
        <v>1753.5</v>
      </c>
      <c r="Y19" s="7">
        <f t="shared" si="7"/>
        <v>495</v>
      </c>
      <c r="Z19" s="7">
        <f t="shared" si="8"/>
        <v>1664886</v>
      </c>
      <c r="AA19" s="7" t="str">
        <f t="shared" si="9"/>
        <v>09-Aug-2021</v>
      </c>
      <c r="AB19" s="7">
        <f t="shared" si="10"/>
        <v>1753.5</v>
      </c>
      <c r="AC19" s="7">
        <f t="shared" si="11"/>
        <v>1</v>
      </c>
      <c r="AD19" s="7">
        <f t="shared" si="12"/>
        <v>2021</v>
      </c>
      <c r="AE19" s="19">
        <f t="shared" si="13"/>
        <v>-2.57</v>
      </c>
      <c r="BA19" s="10">
        <f t="shared" si="14"/>
        <v>84.376900000000006</v>
      </c>
    </row>
    <row r="20" spans="1:53" x14ac:dyDescent="0.3">
      <c r="A20" s="17">
        <v>44418</v>
      </c>
      <c r="B20" s="8">
        <v>1728.8</v>
      </c>
      <c r="C20" s="7">
        <v>1735.2</v>
      </c>
      <c r="D20" s="7">
        <v>1720.1</v>
      </c>
      <c r="E20" s="7">
        <v>1728.6</v>
      </c>
      <c r="F20" s="18">
        <v>1363</v>
      </c>
      <c r="G20" s="7">
        <v>1789.5286000000001</v>
      </c>
      <c r="H20" s="7">
        <v>1798.2533000000001</v>
      </c>
      <c r="I20" s="7">
        <v>1810.7256</v>
      </c>
      <c r="J20" s="8">
        <v>-1.42</v>
      </c>
      <c r="K20" s="7">
        <v>0.94679999999999997</v>
      </c>
      <c r="L20" s="7">
        <v>0.78539999999999999</v>
      </c>
      <c r="M20" s="8">
        <v>25.2837</v>
      </c>
      <c r="N20" s="8">
        <v>-10.396000000000001</v>
      </c>
      <c r="O20" s="7">
        <v>-3.8523999999999998</v>
      </c>
      <c r="P20" s="7">
        <v>1850.5864999999999</v>
      </c>
      <c r="Q20" s="7">
        <v>1755.2735</v>
      </c>
      <c r="R20" s="7" t="str">
        <f t="shared" si="0"/>
        <v>Down</v>
      </c>
      <c r="S20" s="7" t="str">
        <f t="shared" si="1"/>
        <v>Buy</v>
      </c>
      <c r="T20" s="8">
        <f t="shared" si="2"/>
        <v>0.10043796698523022</v>
      </c>
      <c r="U20" s="18">
        <f t="shared" si="3"/>
        <v>4754305</v>
      </c>
      <c r="V20" s="7">
        <f t="shared" si="4"/>
        <v>5586.2002000000002</v>
      </c>
      <c r="W20" s="7">
        <f t="shared" si="5"/>
        <v>1615.1</v>
      </c>
      <c r="X20" s="7">
        <f t="shared" si="6"/>
        <v>1728.6</v>
      </c>
      <c r="Y20" s="7">
        <f t="shared" si="7"/>
        <v>494</v>
      </c>
      <c r="Z20" s="7">
        <f t="shared" si="8"/>
        <v>1663265</v>
      </c>
      <c r="AA20" s="7" t="str">
        <f t="shared" si="9"/>
        <v>10-Aug-2021</v>
      </c>
      <c r="AB20" s="7">
        <f t="shared" si="10"/>
        <v>1728.6</v>
      </c>
      <c r="AC20" s="7">
        <f t="shared" si="11"/>
        <v>1</v>
      </c>
      <c r="AD20" s="7">
        <f t="shared" si="12"/>
        <v>2021</v>
      </c>
      <c r="AE20" s="19">
        <f t="shared" si="13"/>
        <v>-1.42</v>
      </c>
      <c r="BA20" s="10">
        <f t="shared" si="14"/>
        <v>84.376900000000006</v>
      </c>
    </row>
    <row r="21" spans="1:53" x14ac:dyDescent="0.3">
      <c r="A21" s="17">
        <v>44419</v>
      </c>
      <c r="B21" s="8">
        <v>1750.4</v>
      </c>
      <c r="C21" s="7">
        <v>1752.2</v>
      </c>
      <c r="D21" s="7">
        <v>1727.3</v>
      </c>
      <c r="E21" s="7">
        <v>1727.3</v>
      </c>
      <c r="F21" s="18">
        <v>542</v>
      </c>
      <c r="G21" s="7">
        <v>1777.3715</v>
      </c>
      <c r="H21" s="7">
        <v>1796.6033</v>
      </c>
      <c r="I21" s="7">
        <v>1810.7189000000001</v>
      </c>
      <c r="J21" s="8">
        <v>-7.5200000000000003E-2</v>
      </c>
      <c r="K21" s="7">
        <v>0.98340000000000005</v>
      </c>
      <c r="L21" s="7">
        <v>0.7853</v>
      </c>
      <c r="M21" s="8">
        <v>27.372</v>
      </c>
      <c r="N21" s="8">
        <v>-14.519299999999999</v>
      </c>
      <c r="O21" s="7">
        <v>-5.9858000000000002</v>
      </c>
      <c r="P21" s="7">
        <v>1856.7438999999999</v>
      </c>
      <c r="Q21" s="7">
        <v>1740.5361</v>
      </c>
      <c r="R21" s="7" t="str">
        <f t="shared" si="0"/>
        <v>Down</v>
      </c>
      <c r="S21" s="7" t="str">
        <f t="shared" si="1"/>
        <v>Buy</v>
      </c>
      <c r="T21" s="8">
        <f t="shared" si="2"/>
        <v>0.10176008695652172</v>
      </c>
      <c r="U21" s="18">
        <f t="shared" si="3"/>
        <v>4752942</v>
      </c>
      <c r="V21" s="7">
        <f t="shared" si="4"/>
        <v>5586.2002000000002</v>
      </c>
      <c r="W21" s="7">
        <f t="shared" si="5"/>
        <v>1615.1</v>
      </c>
      <c r="X21" s="7">
        <f t="shared" si="6"/>
        <v>1727.3</v>
      </c>
      <c r="Y21" s="7">
        <f t="shared" si="7"/>
        <v>494</v>
      </c>
      <c r="Z21" s="7">
        <f t="shared" si="8"/>
        <v>1663265</v>
      </c>
      <c r="AA21" s="7" t="str">
        <f t="shared" si="9"/>
        <v>11-Aug-2021</v>
      </c>
      <c r="AB21" s="7">
        <f t="shared" si="10"/>
        <v>1727.3</v>
      </c>
      <c r="AC21" s="7">
        <f t="shared" si="11"/>
        <v>1</v>
      </c>
      <c r="AD21" s="7">
        <f t="shared" si="12"/>
        <v>2021</v>
      </c>
      <c r="AE21" s="19">
        <f t="shared" si="13"/>
        <v>-0.08</v>
      </c>
      <c r="BA21" s="10">
        <f t="shared" si="14"/>
        <v>84.376900000000006</v>
      </c>
    </row>
    <row r="22" spans="1:53" x14ac:dyDescent="0.3">
      <c r="A22" s="17">
        <v>44420</v>
      </c>
      <c r="B22" s="8">
        <v>1749</v>
      </c>
      <c r="C22" s="7">
        <v>1752.4</v>
      </c>
      <c r="D22" s="7">
        <v>1745.5</v>
      </c>
      <c r="E22" s="7">
        <v>1749.7</v>
      </c>
      <c r="F22" s="18">
        <v>739</v>
      </c>
      <c r="G22" s="7">
        <v>1768.4286</v>
      </c>
      <c r="H22" s="7">
        <v>1796.2233000000001</v>
      </c>
      <c r="I22" s="7">
        <v>1810.9721999999999</v>
      </c>
      <c r="J22" s="8">
        <v>1.2968</v>
      </c>
      <c r="K22" s="7">
        <v>1.2257</v>
      </c>
      <c r="L22" s="7">
        <v>0.80989999999999995</v>
      </c>
      <c r="M22" s="8">
        <v>34.523000000000003</v>
      </c>
      <c r="N22" s="8">
        <v>-15.7974</v>
      </c>
      <c r="O22" s="7">
        <v>-7.9481000000000002</v>
      </c>
      <c r="P22" s="7">
        <v>1854.3864000000001</v>
      </c>
      <c r="Q22" s="7">
        <v>1734.7036000000001</v>
      </c>
      <c r="R22" s="7" t="str">
        <f t="shared" si="0"/>
        <v>Up</v>
      </c>
      <c r="S22" s="7" t="str">
        <f t="shared" si="1"/>
        <v>Hold</v>
      </c>
      <c r="T22" s="8">
        <f t="shared" si="2"/>
        <v>0.10191409921671016</v>
      </c>
      <c r="U22" s="18">
        <f t="shared" si="3"/>
        <v>4752400</v>
      </c>
      <c r="V22" s="7">
        <f t="shared" si="4"/>
        <v>5586.2002000000002</v>
      </c>
      <c r="W22" s="7">
        <f t="shared" si="5"/>
        <v>1615.1</v>
      </c>
      <c r="X22" s="7">
        <f t="shared" si="6"/>
        <v>1749.7</v>
      </c>
      <c r="Y22" s="7">
        <f t="shared" si="7"/>
        <v>494</v>
      </c>
      <c r="Z22" s="7">
        <f t="shared" si="8"/>
        <v>1663265</v>
      </c>
      <c r="AA22" s="7" t="str">
        <f t="shared" si="9"/>
        <v>12-Aug-2021</v>
      </c>
      <c r="AB22" s="7">
        <f t="shared" si="10"/>
        <v>1749.7</v>
      </c>
      <c r="AC22" s="7">
        <f t="shared" si="11"/>
        <v>1</v>
      </c>
      <c r="AD22" s="7">
        <f t="shared" si="12"/>
        <v>2021</v>
      </c>
      <c r="AE22" s="19">
        <f t="shared" si="13"/>
        <v>1.3</v>
      </c>
      <c r="BA22" s="10">
        <f t="shared" si="14"/>
        <v>84.376900000000006</v>
      </c>
    </row>
    <row r="23" spans="1:53" x14ac:dyDescent="0.3">
      <c r="A23" s="17">
        <v>44421</v>
      </c>
      <c r="B23" s="8">
        <v>1775.2</v>
      </c>
      <c r="C23" s="7">
        <v>1777.3</v>
      </c>
      <c r="D23" s="7">
        <v>1757.4</v>
      </c>
      <c r="E23" s="7">
        <v>1758.3</v>
      </c>
      <c r="F23" s="18">
        <v>436</v>
      </c>
      <c r="G23" s="7">
        <v>1761.1429000000001</v>
      </c>
      <c r="H23" s="7">
        <v>1795.6433</v>
      </c>
      <c r="I23" s="7">
        <v>1811.1456000000001</v>
      </c>
      <c r="J23" s="8">
        <v>0.49149999999999999</v>
      </c>
      <c r="K23" s="7">
        <v>1.2790999999999999</v>
      </c>
      <c r="L23" s="7">
        <v>0.80010000000000003</v>
      </c>
      <c r="M23" s="8">
        <v>36.892099999999999</v>
      </c>
      <c r="N23" s="8">
        <v>-15.932700000000001</v>
      </c>
      <c r="O23" s="7">
        <v>-9.5449999999999999</v>
      </c>
      <c r="P23" s="7">
        <v>1850.4290000000001</v>
      </c>
      <c r="Q23" s="7">
        <v>1731.481</v>
      </c>
      <c r="R23" s="7" t="str">
        <f t="shared" si="0"/>
        <v>Down</v>
      </c>
      <c r="S23" s="7" t="str">
        <f t="shared" si="1"/>
        <v>Hold</v>
      </c>
      <c r="T23" s="8">
        <f t="shared" si="2"/>
        <v>0.10087325783972123</v>
      </c>
      <c r="U23" s="18">
        <f t="shared" si="3"/>
        <v>4751661</v>
      </c>
      <c r="V23" s="7">
        <f t="shared" si="4"/>
        <v>5586.2002000000002</v>
      </c>
      <c r="W23" s="7">
        <f t="shared" si="5"/>
        <v>1615.1</v>
      </c>
      <c r="X23" s="7">
        <f t="shared" si="6"/>
        <v>1758.3</v>
      </c>
      <c r="Y23" s="7">
        <f t="shared" si="7"/>
        <v>493</v>
      </c>
      <c r="Z23" s="7">
        <f t="shared" si="8"/>
        <v>1662526</v>
      </c>
      <c r="AA23" s="7" t="str">
        <f t="shared" si="9"/>
        <v>13-Aug-2021</v>
      </c>
      <c r="AB23" s="7">
        <f t="shared" si="10"/>
        <v>1758.3</v>
      </c>
      <c r="AC23" s="7">
        <f t="shared" si="11"/>
        <v>1</v>
      </c>
      <c r="AD23" s="7">
        <f t="shared" si="12"/>
        <v>2021</v>
      </c>
      <c r="AE23" s="19">
        <f t="shared" si="13"/>
        <v>0.49</v>
      </c>
      <c r="BA23" s="10">
        <f t="shared" si="14"/>
        <v>84.376900000000006</v>
      </c>
    </row>
    <row r="24" spans="1:53" x14ac:dyDescent="0.3">
      <c r="A24" s="17">
        <v>44424</v>
      </c>
      <c r="B24" s="8">
        <v>1786.9</v>
      </c>
      <c r="C24" s="7">
        <v>1787.8</v>
      </c>
      <c r="D24" s="7">
        <v>1771.9</v>
      </c>
      <c r="E24" s="7">
        <v>1776.9</v>
      </c>
      <c r="F24" s="18">
        <v>219</v>
      </c>
      <c r="G24" s="7">
        <v>1756.3</v>
      </c>
      <c r="H24" s="7">
        <v>1795.5833</v>
      </c>
      <c r="I24" s="7">
        <v>1811.6</v>
      </c>
      <c r="J24" s="8">
        <v>1.0578000000000001</v>
      </c>
      <c r="K24" s="7">
        <v>1.3888</v>
      </c>
      <c r="L24" s="7">
        <v>0.82379999999999998</v>
      </c>
      <c r="M24" s="8">
        <v>42.795699999999997</v>
      </c>
      <c r="N24" s="8">
        <v>-14.3734</v>
      </c>
      <c r="O24" s="7">
        <v>-10.5107</v>
      </c>
      <c r="P24" s="7">
        <v>1849.1271999999999</v>
      </c>
      <c r="Q24" s="7">
        <v>1730.1428000000001</v>
      </c>
      <c r="R24" s="7" t="str">
        <f t="shared" si="0"/>
        <v>Down</v>
      </c>
      <c r="S24" s="7" t="str">
        <f t="shared" si="1"/>
        <v>Hold</v>
      </c>
      <c r="T24" s="8">
        <f t="shared" si="2"/>
        <v>0.10053269398430686</v>
      </c>
      <c r="U24" s="18">
        <f t="shared" si="3"/>
        <v>4751225</v>
      </c>
      <c r="V24" s="7">
        <f t="shared" si="4"/>
        <v>5586.2002000000002</v>
      </c>
      <c r="W24" s="7">
        <f t="shared" si="5"/>
        <v>1615.1</v>
      </c>
      <c r="X24" s="7">
        <f t="shared" si="6"/>
        <v>1776.9</v>
      </c>
      <c r="Y24" s="7">
        <f t="shared" si="7"/>
        <v>493</v>
      </c>
      <c r="Z24" s="7">
        <f t="shared" si="8"/>
        <v>1662526</v>
      </c>
      <c r="AA24" s="7" t="str">
        <f t="shared" si="9"/>
        <v>16-Aug-2021</v>
      </c>
      <c r="AB24" s="7">
        <f t="shared" si="10"/>
        <v>1776.9</v>
      </c>
      <c r="AC24" s="7">
        <f t="shared" si="11"/>
        <v>1</v>
      </c>
      <c r="AD24" s="7">
        <f t="shared" si="12"/>
        <v>2021</v>
      </c>
      <c r="AE24" s="19">
        <f t="shared" si="13"/>
        <v>1.06</v>
      </c>
      <c r="BA24" s="10">
        <f t="shared" si="14"/>
        <v>84.376900000000006</v>
      </c>
    </row>
    <row r="25" spans="1:53" x14ac:dyDescent="0.3">
      <c r="A25" s="17">
        <v>44425</v>
      </c>
      <c r="B25" s="8">
        <v>1785</v>
      </c>
      <c r="C25" s="7">
        <v>1794.2</v>
      </c>
      <c r="D25" s="7">
        <v>1780</v>
      </c>
      <c r="E25" s="7">
        <v>1787.7</v>
      </c>
      <c r="F25" s="18">
        <v>200</v>
      </c>
      <c r="G25" s="7">
        <v>1754.5714</v>
      </c>
      <c r="H25" s="7">
        <v>1795.6167</v>
      </c>
      <c r="I25" s="7">
        <v>1812.01</v>
      </c>
      <c r="J25" s="8">
        <v>0.60780000000000001</v>
      </c>
      <c r="K25" s="7">
        <v>1.4140999999999999</v>
      </c>
      <c r="L25" s="7">
        <v>0.82720000000000005</v>
      </c>
      <c r="M25" s="8">
        <v>46.936599999999999</v>
      </c>
      <c r="N25" s="8">
        <v>-12.126300000000001</v>
      </c>
      <c r="O25" s="7">
        <v>-10.8338</v>
      </c>
      <c r="P25" s="7">
        <v>1846.8513</v>
      </c>
      <c r="Q25" s="7">
        <v>1729.8987</v>
      </c>
      <c r="R25" s="7" t="str">
        <f t="shared" si="0"/>
        <v>Up</v>
      </c>
      <c r="S25" s="7" t="str">
        <f t="shared" si="1"/>
        <v>Hold</v>
      </c>
      <c r="T25" s="8">
        <f t="shared" si="2"/>
        <v>9.9697382198952841E-2</v>
      </c>
      <c r="U25" s="18">
        <f t="shared" si="3"/>
        <v>4751006</v>
      </c>
      <c r="V25" s="7">
        <f t="shared" si="4"/>
        <v>5586.2002000000002</v>
      </c>
      <c r="W25" s="7">
        <f t="shared" si="5"/>
        <v>1615.1</v>
      </c>
      <c r="X25" s="7">
        <f t="shared" si="6"/>
        <v>1787.7</v>
      </c>
      <c r="Y25" s="7">
        <f t="shared" si="7"/>
        <v>493</v>
      </c>
      <c r="Z25" s="7">
        <f t="shared" si="8"/>
        <v>1662526</v>
      </c>
      <c r="AA25" s="7" t="str">
        <f t="shared" si="9"/>
        <v>17-Aug-2021</v>
      </c>
      <c r="AB25" s="7">
        <f t="shared" si="10"/>
        <v>1787.7</v>
      </c>
      <c r="AC25" s="7">
        <f t="shared" si="11"/>
        <v>1</v>
      </c>
      <c r="AD25" s="7">
        <f t="shared" si="12"/>
        <v>2021</v>
      </c>
      <c r="AE25" s="19">
        <f t="shared" si="13"/>
        <v>0.61</v>
      </c>
      <c r="BA25" s="10">
        <f t="shared" si="14"/>
        <v>84.376900000000006</v>
      </c>
    </row>
    <row r="26" spans="1:53" x14ac:dyDescent="0.3">
      <c r="A26" s="17">
        <v>44426</v>
      </c>
      <c r="B26" s="8">
        <v>1781.6</v>
      </c>
      <c r="C26" s="7">
        <v>1791.5</v>
      </c>
      <c r="D26" s="7">
        <v>1779</v>
      </c>
      <c r="E26" s="7">
        <v>1787.8</v>
      </c>
      <c r="F26" s="18">
        <v>263</v>
      </c>
      <c r="G26" s="7">
        <v>1759.4713999999999</v>
      </c>
      <c r="H26" s="7">
        <v>1795.2533000000001</v>
      </c>
      <c r="I26" s="7">
        <v>1812.5322000000001</v>
      </c>
      <c r="J26" s="8">
        <v>5.5999999999999999E-3</v>
      </c>
      <c r="K26" s="7">
        <v>0.90210000000000001</v>
      </c>
      <c r="L26" s="7">
        <v>0.81759999999999999</v>
      </c>
      <c r="M26" s="8">
        <v>44.935400000000001</v>
      </c>
      <c r="N26" s="8">
        <v>-10.2197</v>
      </c>
      <c r="O26" s="7">
        <v>-10.711</v>
      </c>
      <c r="P26" s="7">
        <v>1845.2304999999999</v>
      </c>
      <c r="Q26" s="7">
        <v>1729.5995</v>
      </c>
      <c r="R26" s="7" t="str">
        <f t="shared" si="0"/>
        <v>Up</v>
      </c>
      <c r="S26" s="7" t="str">
        <f t="shared" si="1"/>
        <v>Hold</v>
      </c>
      <c r="T26" s="8">
        <f t="shared" si="2"/>
        <v>9.925362445414844E-2</v>
      </c>
      <c r="U26" s="18">
        <f t="shared" si="3"/>
        <v>4750806</v>
      </c>
      <c r="V26" s="7">
        <f t="shared" si="4"/>
        <v>5586.2002000000002</v>
      </c>
      <c r="W26" s="7">
        <f t="shared" si="5"/>
        <v>1615.1</v>
      </c>
      <c r="X26" s="7">
        <f t="shared" si="6"/>
        <v>1787.8</v>
      </c>
      <c r="Y26" s="7">
        <f t="shared" si="7"/>
        <v>492</v>
      </c>
      <c r="Z26" s="7">
        <f t="shared" si="8"/>
        <v>1662326</v>
      </c>
      <c r="AA26" s="7" t="str">
        <f t="shared" si="9"/>
        <v>18-Aug-2021</v>
      </c>
      <c r="AB26" s="7">
        <f t="shared" si="10"/>
        <v>1787.8</v>
      </c>
      <c r="AC26" s="7">
        <f t="shared" si="11"/>
        <v>1</v>
      </c>
      <c r="AD26" s="7">
        <f t="shared" si="12"/>
        <v>2021</v>
      </c>
      <c r="AE26" s="19">
        <f t="shared" si="13"/>
        <v>0.01</v>
      </c>
      <c r="BA26" s="10">
        <f t="shared" si="14"/>
        <v>84.376900000000006</v>
      </c>
    </row>
    <row r="27" spans="1:53" x14ac:dyDescent="0.3">
      <c r="A27" s="17">
        <v>44427</v>
      </c>
      <c r="B27" s="8">
        <v>1780.2</v>
      </c>
      <c r="C27" s="7">
        <v>1789.3</v>
      </c>
      <c r="D27" s="7">
        <v>1775.5</v>
      </c>
      <c r="E27" s="7">
        <v>1780</v>
      </c>
      <c r="F27" s="18">
        <v>245</v>
      </c>
      <c r="G27" s="7">
        <v>1766.8143</v>
      </c>
      <c r="H27" s="7">
        <v>1794.6867</v>
      </c>
      <c r="I27" s="7">
        <v>1813.0455999999999</v>
      </c>
      <c r="J27" s="8">
        <v>-0.43630000000000002</v>
      </c>
      <c r="K27" s="7">
        <v>0.628</v>
      </c>
      <c r="L27" s="7">
        <v>0.82110000000000005</v>
      </c>
      <c r="M27" s="8">
        <v>36.046500000000002</v>
      </c>
      <c r="N27" s="8">
        <v>-9.2316000000000003</v>
      </c>
      <c r="O27" s="7">
        <v>-10.415100000000001</v>
      </c>
      <c r="P27" s="7">
        <v>1844.5641000000001</v>
      </c>
      <c r="Q27" s="7">
        <v>1728.9059</v>
      </c>
      <c r="R27" s="7" t="str">
        <f t="shared" si="0"/>
        <v>Down</v>
      </c>
      <c r="S27" s="7" t="str">
        <f t="shared" si="1"/>
        <v>Hold</v>
      </c>
      <c r="T27" s="8">
        <f t="shared" si="2"/>
        <v>9.9335489510489469E-2</v>
      </c>
      <c r="U27" s="18">
        <f t="shared" si="3"/>
        <v>4750543</v>
      </c>
      <c r="V27" s="7">
        <f t="shared" si="4"/>
        <v>5586.2002000000002</v>
      </c>
      <c r="W27" s="7">
        <f t="shared" si="5"/>
        <v>1615.1</v>
      </c>
      <c r="X27" s="7">
        <f t="shared" si="6"/>
        <v>1780</v>
      </c>
      <c r="Y27" s="7">
        <f t="shared" si="7"/>
        <v>491</v>
      </c>
      <c r="Z27" s="7">
        <f t="shared" si="8"/>
        <v>1662063</v>
      </c>
      <c r="AA27" s="7" t="str">
        <f t="shared" si="9"/>
        <v>19-Aug-2021</v>
      </c>
      <c r="AB27" s="7">
        <f t="shared" si="10"/>
        <v>1780</v>
      </c>
      <c r="AC27" s="7">
        <f t="shared" si="11"/>
        <v>1</v>
      </c>
      <c r="AD27" s="7">
        <f t="shared" si="12"/>
        <v>2021</v>
      </c>
      <c r="AE27" s="19">
        <f t="shared" si="13"/>
        <v>-0.44</v>
      </c>
      <c r="BA27" s="10">
        <f t="shared" si="14"/>
        <v>84.376900000000006</v>
      </c>
    </row>
    <row r="28" spans="1:53" x14ac:dyDescent="0.3">
      <c r="A28" s="17">
        <v>44428</v>
      </c>
      <c r="B28" s="8">
        <v>1781</v>
      </c>
      <c r="C28" s="7">
        <v>1787.5</v>
      </c>
      <c r="D28" s="7">
        <v>1778.2</v>
      </c>
      <c r="E28" s="7">
        <v>1784.1</v>
      </c>
      <c r="F28" s="18">
        <v>235</v>
      </c>
      <c r="G28" s="7">
        <v>1774.9286</v>
      </c>
      <c r="H28" s="7">
        <v>1794.0367000000001</v>
      </c>
      <c r="I28" s="7">
        <v>1813.5210999999999</v>
      </c>
      <c r="J28" s="8">
        <v>0.2303</v>
      </c>
      <c r="K28" s="7">
        <v>0.59760000000000002</v>
      </c>
      <c r="L28" s="7">
        <v>0.81920000000000004</v>
      </c>
      <c r="M28" s="8">
        <v>41.183799999999998</v>
      </c>
      <c r="N28" s="8">
        <v>-8.0251999999999999</v>
      </c>
      <c r="O28" s="7">
        <v>-9.9370999999999992</v>
      </c>
      <c r="P28" s="7">
        <v>1843.4375</v>
      </c>
      <c r="Q28" s="7">
        <v>1728.4425000000001</v>
      </c>
      <c r="R28" s="7" t="str">
        <f t="shared" si="0"/>
        <v>Up</v>
      </c>
      <c r="S28" s="7" t="str">
        <f t="shared" si="1"/>
        <v>Hold</v>
      </c>
      <c r="T28" s="8">
        <f t="shared" si="2"/>
        <v>9.9804111986001726E-2</v>
      </c>
      <c r="U28" s="18">
        <f t="shared" si="3"/>
        <v>4750298</v>
      </c>
      <c r="V28" s="7">
        <f t="shared" si="4"/>
        <v>5586.2002000000002</v>
      </c>
      <c r="W28" s="7">
        <f t="shared" si="5"/>
        <v>1615.1</v>
      </c>
      <c r="X28" s="7">
        <f t="shared" si="6"/>
        <v>1784.1</v>
      </c>
      <c r="Y28" s="7">
        <f t="shared" si="7"/>
        <v>491</v>
      </c>
      <c r="Z28" s="7">
        <f t="shared" si="8"/>
        <v>1662063</v>
      </c>
      <c r="AA28" s="7" t="str">
        <f t="shared" si="9"/>
        <v>20-Aug-2021</v>
      </c>
      <c r="AB28" s="7">
        <f t="shared" si="10"/>
        <v>1784.1</v>
      </c>
      <c r="AC28" s="7">
        <f t="shared" si="11"/>
        <v>1</v>
      </c>
      <c r="AD28" s="7">
        <f t="shared" si="12"/>
        <v>2021</v>
      </c>
      <c r="AE28" s="19">
        <f t="shared" si="13"/>
        <v>0.23</v>
      </c>
      <c r="BA28" s="10">
        <f t="shared" si="14"/>
        <v>84.376900000000006</v>
      </c>
    </row>
    <row r="29" spans="1:53" x14ac:dyDescent="0.3">
      <c r="A29" s="17">
        <v>44431</v>
      </c>
      <c r="B29" s="8">
        <v>1803.2</v>
      </c>
      <c r="C29" s="7">
        <v>1804.8</v>
      </c>
      <c r="D29" s="7">
        <v>1776.8</v>
      </c>
      <c r="E29" s="7">
        <v>1776.8</v>
      </c>
      <c r="F29" s="18">
        <v>32</v>
      </c>
      <c r="G29" s="7">
        <v>1778.8</v>
      </c>
      <c r="H29" s="7">
        <v>1793.1767</v>
      </c>
      <c r="I29" s="7">
        <v>1813.9289000000001</v>
      </c>
      <c r="J29" s="8">
        <v>-0.40920000000000001</v>
      </c>
      <c r="K29" s="7">
        <v>0.54749999999999999</v>
      </c>
      <c r="L29" s="7">
        <v>0.82210000000000005</v>
      </c>
      <c r="M29" s="8">
        <v>39.415599999999998</v>
      </c>
      <c r="N29" s="8">
        <v>-7.5709</v>
      </c>
      <c r="O29" s="7">
        <v>-9.4639000000000006</v>
      </c>
      <c r="P29" s="7">
        <v>1841.7415000000001</v>
      </c>
      <c r="Q29" s="7">
        <v>1727.5685000000001</v>
      </c>
      <c r="R29" s="7" t="str">
        <f t="shared" si="0"/>
        <v>Down</v>
      </c>
      <c r="S29" s="7" t="str">
        <f t="shared" si="1"/>
        <v>Hold</v>
      </c>
      <c r="T29" s="8">
        <f t="shared" si="2"/>
        <v>9.9689842381786284E-2</v>
      </c>
      <c r="U29" s="18">
        <f t="shared" si="3"/>
        <v>4750063</v>
      </c>
      <c r="V29" s="7">
        <f t="shared" si="4"/>
        <v>5586.2002000000002</v>
      </c>
      <c r="W29" s="7">
        <f t="shared" si="5"/>
        <v>1615.1</v>
      </c>
      <c r="X29" s="7">
        <f t="shared" si="6"/>
        <v>1776.8</v>
      </c>
      <c r="Y29" s="7">
        <f t="shared" si="7"/>
        <v>490</v>
      </c>
      <c r="Z29" s="7">
        <f t="shared" si="8"/>
        <v>1661828</v>
      </c>
      <c r="AA29" s="7" t="str">
        <f t="shared" si="9"/>
        <v>23-Aug-2021</v>
      </c>
      <c r="AB29" s="7">
        <f t="shared" si="10"/>
        <v>1776.8</v>
      </c>
      <c r="AC29" s="7">
        <f t="shared" si="11"/>
        <v>1</v>
      </c>
      <c r="AD29" s="7">
        <f t="shared" si="12"/>
        <v>2021</v>
      </c>
      <c r="AE29" s="19">
        <f t="shared" si="13"/>
        <v>-0.41</v>
      </c>
      <c r="BA29" s="10">
        <f t="shared" si="14"/>
        <v>84.376900000000006</v>
      </c>
    </row>
    <row r="30" spans="1:53" x14ac:dyDescent="0.3">
      <c r="A30" s="17">
        <v>44432</v>
      </c>
      <c r="B30" s="8">
        <v>1805.6</v>
      </c>
      <c r="C30" s="7">
        <v>1805.6</v>
      </c>
      <c r="D30" s="7">
        <v>1801</v>
      </c>
      <c r="E30" s="7">
        <v>1801</v>
      </c>
      <c r="F30" s="18">
        <v>22</v>
      </c>
      <c r="G30" s="7">
        <v>1784.9</v>
      </c>
      <c r="H30" s="7">
        <v>1792.94</v>
      </c>
      <c r="I30" s="7">
        <v>1814.2689</v>
      </c>
      <c r="J30" s="8">
        <v>1.3620000000000001</v>
      </c>
      <c r="K30" s="7">
        <v>0.69750000000000001</v>
      </c>
      <c r="L30" s="7">
        <v>0.85940000000000005</v>
      </c>
      <c r="M30" s="8">
        <v>47.803100000000001</v>
      </c>
      <c r="N30" s="8">
        <v>-5.1981999999999999</v>
      </c>
      <c r="O30" s="7">
        <v>-8.6106999999999996</v>
      </c>
      <c r="P30" s="7">
        <v>1841.4294</v>
      </c>
      <c r="Q30" s="7">
        <v>1727.6107</v>
      </c>
      <c r="R30" s="7" t="str">
        <f t="shared" si="0"/>
        <v>Down</v>
      </c>
      <c r="S30" s="7" t="str">
        <f t="shared" si="1"/>
        <v>Hold</v>
      </c>
      <c r="T30" s="8">
        <f t="shared" si="2"/>
        <v>0.10013584574934266</v>
      </c>
      <c r="U30" s="18">
        <f t="shared" si="3"/>
        <v>4750031</v>
      </c>
      <c r="V30" s="7">
        <f t="shared" si="4"/>
        <v>5586.2002000000002</v>
      </c>
      <c r="W30" s="7">
        <f t="shared" si="5"/>
        <v>1615.1</v>
      </c>
      <c r="X30" s="7">
        <f t="shared" si="6"/>
        <v>1801</v>
      </c>
      <c r="Y30" s="7">
        <f t="shared" si="7"/>
        <v>490</v>
      </c>
      <c r="Z30" s="7">
        <f t="shared" si="8"/>
        <v>1661828</v>
      </c>
      <c r="AA30" s="7" t="str">
        <f t="shared" si="9"/>
        <v>24-Aug-2021</v>
      </c>
      <c r="AB30" s="7">
        <f t="shared" si="10"/>
        <v>1801</v>
      </c>
      <c r="AC30" s="7">
        <f t="shared" si="11"/>
        <v>1</v>
      </c>
      <c r="AD30" s="7">
        <f t="shared" si="12"/>
        <v>2021</v>
      </c>
      <c r="AE30" s="19">
        <f t="shared" si="13"/>
        <v>1.36</v>
      </c>
      <c r="BA30" s="10">
        <f t="shared" si="14"/>
        <v>84.376900000000006</v>
      </c>
    </row>
    <row r="31" spans="1:53" x14ac:dyDescent="0.3">
      <c r="A31" s="17">
        <v>44433</v>
      </c>
      <c r="B31" s="8">
        <v>1788.2</v>
      </c>
      <c r="C31" s="7">
        <v>1792.9</v>
      </c>
      <c r="D31" s="7">
        <v>1784</v>
      </c>
      <c r="E31" s="7">
        <v>1792</v>
      </c>
      <c r="F31" s="18">
        <v>812</v>
      </c>
      <c r="G31" s="7">
        <v>1787.0571</v>
      </c>
      <c r="H31" s="7">
        <v>1792.2366999999999</v>
      </c>
      <c r="I31" s="7">
        <v>1814.3788999999999</v>
      </c>
      <c r="J31" s="8">
        <v>-0.49969999999999998</v>
      </c>
      <c r="K31" s="7">
        <v>0.68059999999999998</v>
      </c>
      <c r="L31" s="7">
        <v>0.86219999999999997</v>
      </c>
      <c r="M31" s="8">
        <v>45.213799999999999</v>
      </c>
      <c r="N31" s="8">
        <v>-3.9980000000000002</v>
      </c>
      <c r="O31" s="7">
        <v>-7.6882000000000001</v>
      </c>
      <c r="P31" s="7">
        <v>1840.7366999999999</v>
      </c>
      <c r="Q31" s="7">
        <v>1727.5533</v>
      </c>
      <c r="R31" s="7" t="str">
        <f t="shared" si="0"/>
        <v>Up</v>
      </c>
      <c r="S31" s="7" t="str">
        <f t="shared" si="1"/>
        <v>Hold</v>
      </c>
      <c r="T31" s="8">
        <f t="shared" si="2"/>
        <v>9.9028947368421022E-2</v>
      </c>
      <c r="U31" s="18">
        <f t="shared" si="3"/>
        <v>4750009</v>
      </c>
      <c r="V31" s="7">
        <f t="shared" si="4"/>
        <v>5586.2002000000002</v>
      </c>
      <c r="W31" s="7">
        <f t="shared" si="5"/>
        <v>1615.1</v>
      </c>
      <c r="X31" s="7">
        <f t="shared" si="6"/>
        <v>1792</v>
      </c>
      <c r="Y31" s="7">
        <f t="shared" si="7"/>
        <v>490</v>
      </c>
      <c r="Z31" s="7">
        <f t="shared" si="8"/>
        <v>1661828</v>
      </c>
      <c r="AA31" s="7" t="str">
        <f t="shared" si="9"/>
        <v>25-Aug-2021</v>
      </c>
      <c r="AB31" s="7">
        <f t="shared" si="10"/>
        <v>1792</v>
      </c>
      <c r="AC31" s="7">
        <f t="shared" si="11"/>
        <v>1</v>
      </c>
      <c r="AD31" s="7">
        <f t="shared" si="12"/>
        <v>2021</v>
      </c>
      <c r="AE31" s="19">
        <f t="shared" si="13"/>
        <v>-0.5</v>
      </c>
      <c r="BA31" s="10">
        <f t="shared" si="14"/>
        <v>84.376900000000006</v>
      </c>
    </row>
    <row r="32" spans="1:53" x14ac:dyDescent="0.3">
      <c r="A32" s="17">
        <v>44434</v>
      </c>
      <c r="B32" s="8">
        <v>1792.2</v>
      </c>
      <c r="C32" s="7">
        <v>1792.2</v>
      </c>
      <c r="D32" s="7">
        <v>1781</v>
      </c>
      <c r="E32" s="7">
        <v>1787.4</v>
      </c>
      <c r="F32" s="18">
        <v>61</v>
      </c>
      <c r="G32" s="7">
        <v>1787.0143</v>
      </c>
      <c r="H32" s="7">
        <v>1790.7633000000001</v>
      </c>
      <c r="I32" s="7">
        <v>1814.58</v>
      </c>
      <c r="J32" s="8">
        <v>-0.25669999999999998</v>
      </c>
      <c r="K32" s="7">
        <v>0.65590000000000004</v>
      </c>
      <c r="L32" s="7">
        <v>0.83950000000000002</v>
      </c>
      <c r="M32" s="8">
        <v>46.736800000000002</v>
      </c>
      <c r="N32" s="8">
        <v>-3.379</v>
      </c>
      <c r="O32" s="7">
        <v>-6.8262999999999998</v>
      </c>
      <c r="P32" s="7">
        <v>1838.8161</v>
      </c>
      <c r="Q32" s="7">
        <v>1727.5539000000001</v>
      </c>
      <c r="R32" s="7" t="str">
        <f t="shared" si="0"/>
        <v>Down</v>
      </c>
      <c r="S32" s="7" t="str">
        <f t="shared" si="1"/>
        <v>Hold</v>
      </c>
      <c r="T32" s="8">
        <f t="shared" si="2"/>
        <v>9.9554609306409095E-2</v>
      </c>
      <c r="U32" s="18">
        <f t="shared" si="3"/>
        <v>4749197</v>
      </c>
      <c r="V32" s="7">
        <f t="shared" si="4"/>
        <v>5586.2002000000002</v>
      </c>
      <c r="W32" s="7">
        <f t="shared" si="5"/>
        <v>1615.1</v>
      </c>
      <c r="X32" s="7">
        <f t="shared" si="6"/>
        <v>1787.4</v>
      </c>
      <c r="Y32" s="7">
        <f t="shared" si="7"/>
        <v>489</v>
      </c>
      <c r="Z32" s="7">
        <f t="shared" si="8"/>
        <v>1661016</v>
      </c>
      <c r="AA32" s="7" t="str">
        <f t="shared" si="9"/>
        <v>26-Aug-2021</v>
      </c>
      <c r="AB32" s="7">
        <f t="shared" si="10"/>
        <v>1787.4</v>
      </c>
      <c r="AC32" s="7">
        <f t="shared" si="11"/>
        <v>1</v>
      </c>
      <c r="AD32" s="7">
        <f t="shared" si="12"/>
        <v>2021</v>
      </c>
      <c r="AE32" s="19">
        <f t="shared" si="13"/>
        <v>-0.26</v>
      </c>
      <c r="BA32" s="10">
        <f t="shared" si="14"/>
        <v>84.376900000000006</v>
      </c>
    </row>
    <row r="33" spans="1:53" x14ac:dyDescent="0.3">
      <c r="A33" s="17">
        <v>44435</v>
      </c>
      <c r="B33" s="8">
        <v>1816.6</v>
      </c>
      <c r="C33" s="7">
        <v>1816.6</v>
      </c>
      <c r="D33" s="7">
        <v>1803.1</v>
      </c>
      <c r="E33" s="7">
        <v>1803.4</v>
      </c>
      <c r="F33" s="18">
        <v>1219</v>
      </c>
      <c r="G33" s="7">
        <v>1789.2429</v>
      </c>
      <c r="H33" s="7">
        <v>1789.8733</v>
      </c>
      <c r="I33" s="7">
        <v>1814.8067000000001</v>
      </c>
      <c r="J33" s="8">
        <v>0.8952</v>
      </c>
      <c r="K33" s="7">
        <v>0.73829999999999996</v>
      </c>
      <c r="L33" s="7">
        <v>0.85809999999999997</v>
      </c>
      <c r="M33" s="8">
        <v>65.623099999999994</v>
      </c>
      <c r="N33" s="8">
        <v>-1.5791999999999999</v>
      </c>
      <c r="O33" s="7">
        <v>-5.7769000000000004</v>
      </c>
      <c r="P33" s="7">
        <v>1834.4113</v>
      </c>
      <c r="Q33" s="7">
        <v>1729.4988000000001</v>
      </c>
      <c r="R33" s="7" t="str">
        <f t="shared" si="0"/>
        <v>Down</v>
      </c>
      <c r="S33" s="7" t="str">
        <f t="shared" si="1"/>
        <v>Hold</v>
      </c>
      <c r="T33" s="8">
        <f t="shared" si="2"/>
        <v>9.9867662565905055E-2</v>
      </c>
      <c r="U33" s="18">
        <f t="shared" si="3"/>
        <v>4749136</v>
      </c>
      <c r="V33" s="7">
        <f t="shared" si="4"/>
        <v>5586.2002000000002</v>
      </c>
      <c r="W33" s="7">
        <f t="shared" si="5"/>
        <v>1615.1</v>
      </c>
      <c r="X33" s="7">
        <f t="shared" si="6"/>
        <v>1803.4</v>
      </c>
      <c r="Y33" s="7">
        <f t="shared" si="7"/>
        <v>489</v>
      </c>
      <c r="Z33" s="7">
        <f t="shared" si="8"/>
        <v>1661016</v>
      </c>
      <c r="AA33" s="7" t="str">
        <f t="shared" si="9"/>
        <v>27-Aug-2021</v>
      </c>
      <c r="AB33" s="7">
        <f t="shared" si="10"/>
        <v>1803.4</v>
      </c>
      <c r="AC33" s="7">
        <f t="shared" si="11"/>
        <v>1</v>
      </c>
      <c r="AD33" s="7">
        <f t="shared" si="12"/>
        <v>2021</v>
      </c>
      <c r="AE33" s="19">
        <f t="shared" si="13"/>
        <v>0.9</v>
      </c>
      <c r="BA33" s="10">
        <f t="shared" si="14"/>
        <v>84.376900000000006</v>
      </c>
    </row>
    <row r="34" spans="1:53" x14ac:dyDescent="0.3">
      <c r="A34" s="17">
        <v>44438</v>
      </c>
      <c r="B34" s="8">
        <v>1809</v>
      </c>
      <c r="C34" s="7">
        <v>1820.3</v>
      </c>
      <c r="D34" s="7">
        <v>1807.8</v>
      </c>
      <c r="E34" s="7">
        <v>1818.2</v>
      </c>
      <c r="F34" s="18">
        <v>684</v>
      </c>
      <c r="G34" s="7">
        <v>1794.7</v>
      </c>
      <c r="H34" s="7">
        <v>1790.37</v>
      </c>
      <c r="I34" s="7">
        <v>1815.0733</v>
      </c>
      <c r="J34" s="8">
        <v>0.82069999999999999</v>
      </c>
      <c r="K34" s="7">
        <v>0.73150000000000004</v>
      </c>
      <c r="L34" s="7">
        <v>0.82869999999999999</v>
      </c>
      <c r="M34" s="8">
        <v>79.946600000000004</v>
      </c>
      <c r="N34" s="8">
        <v>1.0295000000000001</v>
      </c>
      <c r="O34" s="7">
        <v>-4.4156000000000004</v>
      </c>
      <c r="P34" s="7">
        <v>1835.4684999999999</v>
      </c>
      <c r="Q34" s="7">
        <v>1729.0216</v>
      </c>
      <c r="R34" s="7" t="str">
        <f t="shared" si="0"/>
        <v>Up</v>
      </c>
      <c r="S34" s="7" t="str">
        <f t="shared" si="1"/>
        <v>Sell</v>
      </c>
      <c r="T34" s="8">
        <f t="shared" si="2"/>
        <v>9.9168161829375517E-2</v>
      </c>
      <c r="U34" s="18">
        <f t="shared" si="3"/>
        <v>4747917</v>
      </c>
      <c r="V34" s="7">
        <f t="shared" si="4"/>
        <v>5586.2002000000002</v>
      </c>
      <c r="W34" s="7">
        <f t="shared" si="5"/>
        <v>1615.1</v>
      </c>
      <c r="X34" s="7">
        <f t="shared" si="6"/>
        <v>1818.2</v>
      </c>
      <c r="Y34" s="7">
        <f t="shared" si="7"/>
        <v>489</v>
      </c>
      <c r="Z34" s="7">
        <f t="shared" si="8"/>
        <v>1661016</v>
      </c>
      <c r="AA34" s="7" t="str">
        <f t="shared" si="9"/>
        <v>30-Aug-2021</v>
      </c>
      <c r="AB34" s="7">
        <f t="shared" si="10"/>
        <v>1818.2</v>
      </c>
      <c r="AC34" s="7">
        <f t="shared" si="11"/>
        <v>1</v>
      </c>
      <c r="AD34" s="7">
        <f t="shared" si="12"/>
        <v>2021</v>
      </c>
      <c r="AE34" s="19">
        <f t="shared" si="13"/>
        <v>0.82</v>
      </c>
      <c r="BA34" s="10">
        <f t="shared" si="14"/>
        <v>84.376900000000006</v>
      </c>
    </row>
    <row r="35" spans="1:53" x14ac:dyDescent="0.3">
      <c r="A35" s="17">
        <v>44439</v>
      </c>
      <c r="B35" s="8">
        <v>1815</v>
      </c>
      <c r="C35" s="7">
        <v>1815.9</v>
      </c>
      <c r="D35" s="7">
        <v>1801.1</v>
      </c>
      <c r="E35" s="7">
        <v>1815.9</v>
      </c>
      <c r="F35" s="18">
        <v>82</v>
      </c>
      <c r="G35" s="7">
        <v>1799.2429</v>
      </c>
      <c r="H35" s="7">
        <v>1790.47</v>
      </c>
      <c r="I35" s="7">
        <v>1815.4043999999999</v>
      </c>
      <c r="J35" s="8">
        <v>-0.1265</v>
      </c>
      <c r="K35" s="7">
        <v>0.74980000000000002</v>
      </c>
      <c r="L35" s="7">
        <v>0.8236</v>
      </c>
      <c r="M35" s="8">
        <v>79.415700000000001</v>
      </c>
      <c r="N35" s="8">
        <v>2.8782000000000001</v>
      </c>
      <c r="O35" s="7">
        <v>-2.9569000000000001</v>
      </c>
      <c r="P35" s="7">
        <v>1836.0989</v>
      </c>
      <c r="Q35" s="7">
        <v>1728.7511</v>
      </c>
      <c r="R35" s="7" t="str">
        <f t="shared" si="0"/>
        <v>Up</v>
      </c>
      <c r="S35" s="7" t="str">
        <f t="shared" si="1"/>
        <v>Sell</v>
      </c>
      <c r="T35" s="8">
        <f t="shared" si="2"/>
        <v>9.8533010563380222E-2</v>
      </c>
      <c r="U35" s="18">
        <f t="shared" si="3"/>
        <v>4747233</v>
      </c>
      <c r="V35" s="7">
        <f t="shared" si="4"/>
        <v>5586.2002000000002</v>
      </c>
      <c r="W35" s="7">
        <f t="shared" si="5"/>
        <v>1615.1</v>
      </c>
      <c r="X35" s="7">
        <f t="shared" si="6"/>
        <v>1815.9</v>
      </c>
      <c r="Y35" s="7">
        <f t="shared" si="7"/>
        <v>488</v>
      </c>
      <c r="Z35" s="7">
        <f t="shared" si="8"/>
        <v>1660332</v>
      </c>
      <c r="AA35" s="7" t="str">
        <f t="shared" si="9"/>
        <v>31-Aug-2021</v>
      </c>
      <c r="AB35" s="7">
        <f t="shared" si="10"/>
        <v>1815.9</v>
      </c>
      <c r="AC35" s="7">
        <f t="shared" si="11"/>
        <v>1</v>
      </c>
      <c r="AD35" s="7">
        <f t="shared" si="12"/>
        <v>2021</v>
      </c>
      <c r="AE35" s="19">
        <f t="shared" si="13"/>
        <v>-0.13</v>
      </c>
      <c r="BA35" s="10">
        <f t="shared" si="14"/>
        <v>84.376900000000006</v>
      </c>
    </row>
    <row r="36" spans="1:53" x14ac:dyDescent="0.3">
      <c r="A36" s="17">
        <v>44440</v>
      </c>
      <c r="B36" s="8">
        <v>1813.1</v>
      </c>
      <c r="C36" s="7">
        <v>1815.9</v>
      </c>
      <c r="D36" s="7">
        <v>1809.5</v>
      </c>
      <c r="E36" s="7">
        <v>1813.5</v>
      </c>
      <c r="F36" s="18">
        <v>114</v>
      </c>
      <c r="G36" s="7">
        <v>1804.4857</v>
      </c>
      <c r="H36" s="7">
        <v>1790.6867</v>
      </c>
      <c r="I36" s="7">
        <v>1815.7989</v>
      </c>
      <c r="J36" s="8">
        <v>-0.13220000000000001</v>
      </c>
      <c r="K36" s="7">
        <v>0.71540000000000004</v>
      </c>
      <c r="L36" s="7">
        <v>0.82169999999999999</v>
      </c>
      <c r="M36" s="8">
        <v>74.425799999999995</v>
      </c>
      <c r="N36" s="8">
        <v>4.1022999999999996</v>
      </c>
      <c r="O36" s="7">
        <v>-1.5449999999999999</v>
      </c>
      <c r="P36" s="7">
        <v>1836.7824000000001</v>
      </c>
      <c r="Q36" s="7">
        <v>1728.4875999999999</v>
      </c>
      <c r="R36" s="7" t="str">
        <f t="shared" si="0"/>
        <v>Up</v>
      </c>
      <c r="S36" s="7" t="str">
        <f t="shared" si="1"/>
        <v>Sell</v>
      </c>
      <c r="T36" s="8">
        <f t="shared" si="2"/>
        <v>9.8731277533039605E-2</v>
      </c>
      <c r="U36" s="18">
        <f t="shared" si="3"/>
        <v>4747151</v>
      </c>
      <c r="V36" s="7">
        <f t="shared" si="4"/>
        <v>5586.2002000000002</v>
      </c>
      <c r="W36" s="7">
        <f t="shared" si="5"/>
        <v>1615.1</v>
      </c>
      <c r="X36" s="7">
        <f t="shared" si="6"/>
        <v>1813.5</v>
      </c>
      <c r="Y36" s="7">
        <f t="shared" si="7"/>
        <v>487</v>
      </c>
      <c r="Z36" s="7">
        <f t="shared" si="8"/>
        <v>1660250</v>
      </c>
      <c r="AA36" s="7" t="str">
        <f t="shared" si="9"/>
        <v>01-Sep-2021</v>
      </c>
      <c r="AB36" s="7">
        <f t="shared" si="10"/>
        <v>1813.5</v>
      </c>
      <c r="AC36" s="7">
        <f t="shared" si="11"/>
        <v>1</v>
      </c>
      <c r="AD36" s="7">
        <f t="shared" si="12"/>
        <v>2021</v>
      </c>
      <c r="AE36" s="19">
        <f t="shared" si="13"/>
        <v>-0.13</v>
      </c>
      <c r="BA36" s="10">
        <f t="shared" si="14"/>
        <v>84.376900000000006</v>
      </c>
    </row>
    <row r="37" spans="1:53" x14ac:dyDescent="0.3">
      <c r="A37" s="17">
        <v>44441</v>
      </c>
      <c r="B37" s="8">
        <v>1808.7</v>
      </c>
      <c r="C37" s="7">
        <v>1813.9</v>
      </c>
      <c r="D37" s="7">
        <v>1806.8</v>
      </c>
      <c r="E37" s="7">
        <v>1813.2</v>
      </c>
      <c r="F37" s="18">
        <v>26</v>
      </c>
      <c r="G37" s="7">
        <v>1806.2285999999999</v>
      </c>
      <c r="H37" s="7">
        <v>1791.34</v>
      </c>
      <c r="I37" s="7">
        <v>1816.1677999999999</v>
      </c>
      <c r="J37" s="8">
        <v>-1.6500000000000001E-2</v>
      </c>
      <c r="K37" s="7">
        <v>0.54120000000000001</v>
      </c>
      <c r="L37" s="7">
        <v>0.80920000000000003</v>
      </c>
      <c r="M37" s="8">
        <v>72.444800000000001</v>
      </c>
      <c r="N37" s="8">
        <v>4.9907000000000004</v>
      </c>
      <c r="O37" s="7">
        <v>-0.2379</v>
      </c>
      <c r="P37" s="7">
        <v>1837.1750999999999</v>
      </c>
      <c r="Q37" s="7">
        <v>1728.3349000000001</v>
      </c>
      <c r="R37" s="7" t="str">
        <f t="shared" si="0"/>
        <v>Up</v>
      </c>
      <c r="S37" s="7" t="str">
        <f t="shared" si="1"/>
        <v>Sell</v>
      </c>
      <c r="T37" s="8">
        <f t="shared" si="2"/>
        <v>9.8934920634920598E-2</v>
      </c>
      <c r="U37" s="18">
        <f t="shared" si="3"/>
        <v>4747037</v>
      </c>
      <c r="V37" s="7">
        <f t="shared" si="4"/>
        <v>5586.2002000000002</v>
      </c>
      <c r="W37" s="7">
        <f t="shared" si="5"/>
        <v>1615.1</v>
      </c>
      <c r="X37" s="7">
        <f t="shared" si="6"/>
        <v>1813.2</v>
      </c>
      <c r="Y37" s="7">
        <f t="shared" si="7"/>
        <v>486</v>
      </c>
      <c r="Z37" s="7">
        <f t="shared" si="8"/>
        <v>1660136</v>
      </c>
      <c r="AA37" s="7" t="str">
        <f t="shared" si="9"/>
        <v>02-Sep-2021</v>
      </c>
      <c r="AB37" s="7">
        <f t="shared" si="10"/>
        <v>1813.2</v>
      </c>
      <c r="AC37" s="7">
        <f t="shared" si="11"/>
        <v>1</v>
      </c>
      <c r="AD37" s="7">
        <f t="shared" si="12"/>
        <v>2021</v>
      </c>
      <c r="AE37" s="19">
        <f t="shared" si="13"/>
        <v>-0.02</v>
      </c>
      <c r="BA37" s="10">
        <f t="shared" si="14"/>
        <v>84.376900000000006</v>
      </c>
    </row>
    <row r="38" spans="1:53" x14ac:dyDescent="0.3">
      <c r="A38" s="17">
        <v>44442</v>
      </c>
      <c r="B38" s="8">
        <v>1830.9</v>
      </c>
      <c r="C38" s="7">
        <v>1833.9</v>
      </c>
      <c r="D38" s="7">
        <v>1818.9</v>
      </c>
      <c r="E38" s="7">
        <v>1820.9</v>
      </c>
      <c r="F38" s="18">
        <v>53</v>
      </c>
      <c r="G38" s="7">
        <v>1810.3570999999999</v>
      </c>
      <c r="H38" s="7">
        <v>1792.0367000000001</v>
      </c>
      <c r="I38" s="7">
        <v>1816.7533000000001</v>
      </c>
      <c r="J38" s="8">
        <v>0.42470000000000002</v>
      </c>
      <c r="K38" s="7">
        <v>0.48049999999999998</v>
      </c>
      <c r="L38" s="7">
        <v>0.81020000000000003</v>
      </c>
      <c r="M38" s="8">
        <v>69.748699999999999</v>
      </c>
      <c r="N38" s="8">
        <v>6.2441000000000004</v>
      </c>
      <c r="O38" s="7">
        <v>1.0585</v>
      </c>
      <c r="P38" s="7">
        <v>1840.3964000000001</v>
      </c>
      <c r="Q38" s="7">
        <v>1727.2236</v>
      </c>
      <c r="R38" s="7" t="str">
        <f t="shared" si="0"/>
        <v>Down</v>
      </c>
      <c r="S38" s="7" t="str">
        <f t="shared" si="1"/>
        <v>Hold</v>
      </c>
      <c r="T38" s="8">
        <f t="shared" si="2"/>
        <v>9.9036804942630133E-2</v>
      </c>
      <c r="U38" s="18">
        <f t="shared" si="3"/>
        <v>4747011</v>
      </c>
      <c r="V38" s="7">
        <f t="shared" si="4"/>
        <v>5586.2002000000002</v>
      </c>
      <c r="W38" s="7">
        <f t="shared" si="5"/>
        <v>1615.1</v>
      </c>
      <c r="X38" s="7">
        <f t="shared" si="6"/>
        <v>1820.9</v>
      </c>
      <c r="Y38" s="7">
        <f t="shared" si="7"/>
        <v>485</v>
      </c>
      <c r="Z38" s="7">
        <f t="shared" si="8"/>
        <v>1660110</v>
      </c>
      <c r="AA38" s="7" t="str">
        <f t="shared" si="9"/>
        <v>03-Sep-2021</v>
      </c>
      <c r="AB38" s="7">
        <f t="shared" si="10"/>
        <v>1820.9</v>
      </c>
      <c r="AC38" s="7">
        <f t="shared" si="11"/>
        <v>1</v>
      </c>
      <c r="AD38" s="7">
        <f t="shared" si="12"/>
        <v>2021</v>
      </c>
      <c r="AE38" s="19">
        <f t="shared" si="13"/>
        <v>0.42</v>
      </c>
      <c r="BA38" s="10">
        <f t="shared" si="14"/>
        <v>84.376900000000006</v>
      </c>
    </row>
    <row r="39" spans="1:53" x14ac:dyDescent="0.3">
      <c r="A39" s="17">
        <v>44446</v>
      </c>
      <c r="B39" s="8">
        <v>1795.9</v>
      </c>
      <c r="C39" s="7">
        <v>1825.7</v>
      </c>
      <c r="D39" s="7">
        <v>1792.7</v>
      </c>
      <c r="E39" s="7">
        <v>1825.7</v>
      </c>
      <c r="F39" s="18">
        <v>48</v>
      </c>
      <c r="G39" s="7">
        <v>1815.8286000000001</v>
      </c>
      <c r="H39" s="7">
        <v>1792.81</v>
      </c>
      <c r="I39" s="7">
        <v>1817.25</v>
      </c>
      <c r="J39" s="8">
        <v>0.2636</v>
      </c>
      <c r="K39" s="7">
        <v>0.43030000000000002</v>
      </c>
      <c r="L39" s="7">
        <v>0.81110000000000004</v>
      </c>
      <c r="M39" s="8">
        <v>68.026600000000002</v>
      </c>
      <c r="N39" s="8">
        <v>7.5378999999999996</v>
      </c>
      <c r="O39" s="7">
        <v>2.3544</v>
      </c>
      <c r="P39" s="7">
        <v>1845.0669</v>
      </c>
      <c r="Q39" s="7">
        <v>1729.7731000000001</v>
      </c>
      <c r="R39" s="7" t="str">
        <f t="shared" si="0"/>
        <v>Up</v>
      </c>
      <c r="S39" s="7" t="str">
        <f t="shared" si="1"/>
        <v>Hold</v>
      </c>
      <c r="T39" s="8">
        <f t="shared" si="2"/>
        <v>9.8749116607773788E-2</v>
      </c>
      <c r="U39" s="18">
        <f t="shared" si="3"/>
        <v>4746958</v>
      </c>
      <c r="V39" s="7">
        <f t="shared" si="4"/>
        <v>5586.2002000000002</v>
      </c>
      <c r="W39" s="7">
        <f t="shared" si="5"/>
        <v>1615.1</v>
      </c>
      <c r="X39" s="7">
        <f t="shared" si="6"/>
        <v>1825.7</v>
      </c>
      <c r="Y39" s="7">
        <f t="shared" si="7"/>
        <v>485</v>
      </c>
      <c r="Z39" s="7">
        <f t="shared" si="8"/>
        <v>1660110</v>
      </c>
      <c r="AA39" s="7" t="str">
        <f t="shared" si="9"/>
        <v>07-Sep-2021</v>
      </c>
      <c r="AB39" s="7">
        <f t="shared" si="10"/>
        <v>1825.7</v>
      </c>
      <c r="AC39" s="7">
        <f t="shared" si="11"/>
        <v>1</v>
      </c>
      <c r="AD39" s="7">
        <f t="shared" si="12"/>
        <v>2021</v>
      </c>
      <c r="AE39" s="19">
        <f t="shared" si="13"/>
        <v>0.26</v>
      </c>
      <c r="BA39" s="10">
        <f t="shared" si="14"/>
        <v>84.376900000000006</v>
      </c>
    </row>
    <row r="40" spans="1:53" x14ac:dyDescent="0.3">
      <c r="A40" s="17">
        <v>44447</v>
      </c>
      <c r="B40" s="8">
        <v>1790.7</v>
      </c>
      <c r="C40" s="7">
        <v>1790.7</v>
      </c>
      <c r="D40" s="7">
        <v>1781.7</v>
      </c>
      <c r="E40" s="7">
        <v>1781.7</v>
      </c>
      <c r="F40" s="18">
        <v>69</v>
      </c>
      <c r="G40" s="7">
        <v>1812.7285999999999</v>
      </c>
      <c r="H40" s="7">
        <v>1792.0767000000001</v>
      </c>
      <c r="I40" s="7">
        <v>1817.36</v>
      </c>
      <c r="J40" s="8">
        <v>-2.41</v>
      </c>
      <c r="K40" s="7">
        <v>1.0462</v>
      </c>
      <c r="L40" s="7">
        <v>0.92669999999999997</v>
      </c>
      <c r="M40" s="8">
        <v>47.957099999999997</v>
      </c>
      <c r="N40" s="8">
        <v>4.9557000000000002</v>
      </c>
      <c r="O40" s="7">
        <v>2.8746999999999998</v>
      </c>
      <c r="P40" s="7">
        <v>1840.7899</v>
      </c>
      <c r="Q40" s="7">
        <v>1739.3601000000001</v>
      </c>
      <c r="R40" s="7" t="str">
        <f t="shared" si="0"/>
        <v>Down</v>
      </c>
      <c r="S40" s="7" t="str">
        <f t="shared" si="1"/>
        <v>Hold</v>
      </c>
      <c r="T40" s="8">
        <f t="shared" si="2"/>
        <v>9.8603359858532247E-2</v>
      </c>
      <c r="U40" s="18">
        <f t="shared" si="3"/>
        <v>4746910</v>
      </c>
      <c r="V40" s="7">
        <f t="shared" si="4"/>
        <v>5586.2002000000002</v>
      </c>
      <c r="W40" s="7">
        <f t="shared" si="5"/>
        <v>1615.1</v>
      </c>
      <c r="X40" s="7">
        <f t="shared" si="6"/>
        <v>1781.7</v>
      </c>
      <c r="Y40" s="7">
        <f t="shared" si="7"/>
        <v>484</v>
      </c>
      <c r="Z40" s="7">
        <f t="shared" si="8"/>
        <v>1660062</v>
      </c>
      <c r="AA40" s="7" t="str">
        <f t="shared" si="9"/>
        <v>08-Sep-2021</v>
      </c>
      <c r="AB40" s="7">
        <f t="shared" si="10"/>
        <v>1781.7</v>
      </c>
      <c r="AC40" s="7">
        <f t="shared" si="11"/>
        <v>1</v>
      </c>
      <c r="AD40" s="7">
        <f t="shared" si="12"/>
        <v>2021</v>
      </c>
      <c r="AE40" s="19">
        <f t="shared" si="13"/>
        <v>-2.41</v>
      </c>
      <c r="BA40" s="10">
        <f t="shared" si="14"/>
        <v>84.376900000000006</v>
      </c>
    </row>
    <row r="41" spans="1:53" x14ac:dyDescent="0.3">
      <c r="A41" s="17">
        <v>44448</v>
      </c>
      <c r="B41" s="8">
        <v>1797.4</v>
      </c>
      <c r="C41" s="7">
        <v>1798.7</v>
      </c>
      <c r="D41" s="7">
        <v>1787.9</v>
      </c>
      <c r="E41" s="7">
        <v>1798.7</v>
      </c>
      <c r="F41" s="18">
        <v>49</v>
      </c>
      <c r="G41" s="7">
        <v>1809.9428</v>
      </c>
      <c r="H41" s="7">
        <v>1792.05</v>
      </c>
      <c r="I41" s="7">
        <v>1817.4733000000001</v>
      </c>
      <c r="J41" s="8">
        <v>0.95409999999999995</v>
      </c>
      <c r="K41" s="7">
        <v>1.0682</v>
      </c>
      <c r="L41" s="7">
        <v>0.94320000000000004</v>
      </c>
      <c r="M41" s="8">
        <v>55.899000000000001</v>
      </c>
      <c r="N41" s="8">
        <v>4.2321999999999997</v>
      </c>
      <c r="O41" s="7">
        <v>3.1461999999999999</v>
      </c>
      <c r="P41" s="7">
        <v>1834.9291000000001</v>
      </c>
      <c r="Q41" s="7">
        <v>1752.3608999999999</v>
      </c>
      <c r="R41" s="7" t="str">
        <f t="shared" si="0"/>
        <v>Up</v>
      </c>
      <c r="S41" s="7" t="str">
        <f t="shared" si="1"/>
        <v>Hold</v>
      </c>
      <c r="T41" s="8">
        <f t="shared" si="2"/>
        <v>0.10082336283185837</v>
      </c>
      <c r="U41" s="18">
        <f t="shared" si="3"/>
        <v>4746841</v>
      </c>
      <c r="V41" s="7">
        <f t="shared" si="4"/>
        <v>5586.2002000000002</v>
      </c>
      <c r="W41" s="7">
        <f t="shared" si="5"/>
        <v>1615.1</v>
      </c>
      <c r="X41" s="7">
        <f t="shared" si="6"/>
        <v>1798.7</v>
      </c>
      <c r="Y41" s="7">
        <f t="shared" si="7"/>
        <v>484</v>
      </c>
      <c r="Z41" s="7">
        <f t="shared" si="8"/>
        <v>1660062</v>
      </c>
      <c r="AA41" s="7" t="str">
        <f t="shared" si="9"/>
        <v>09-Sep-2021</v>
      </c>
      <c r="AB41" s="7">
        <f t="shared" si="10"/>
        <v>1798.7</v>
      </c>
      <c r="AC41" s="7">
        <f t="shared" si="11"/>
        <v>1</v>
      </c>
      <c r="AD41" s="7">
        <f t="shared" si="12"/>
        <v>2021</v>
      </c>
      <c r="AE41" s="19">
        <f t="shared" si="13"/>
        <v>0.95</v>
      </c>
      <c r="BA41" s="10">
        <f t="shared" si="14"/>
        <v>84.376900000000006</v>
      </c>
    </row>
    <row r="42" spans="1:53" x14ac:dyDescent="0.3">
      <c r="A42" s="17">
        <v>44449</v>
      </c>
      <c r="B42" s="8">
        <v>1789.6</v>
      </c>
      <c r="C42" s="7">
        <v>1789.6</v>
      </c>
      <c r="D42" s="7">
        <v>1789.6</v>
      </c>
      <c r="E42" s="7">
        <v>1789.6</v>
      </c>
      <c r="F42" s="18">
        <v>0</v>
      </c>
      <c r="G42" s="7">
        <v>1806.1857</v>
      </c>
      <c r="H42" s="7">
        <v>1791.4833000000001</v>
      </c>
      <c r="I42" s="7">
        <v>1817.4889000000001</v>
      </c>
      <c r="J42" s="8">
        <v>-0.50590000000000002</v>
      </c>
      <c r="K42" s="7">
        <v>1.0765</v>
      </c>
      <c r="L42" s="7">
        <v>0.94469999999999998</v>
      </c>
      <c r="M42" s="8">
        <v>51.682000000000002</v>
      </c>
      <c r="N42" s="8">
        <v>2.8912</v>
      </c>
      <c r="O42" s="7">
        <v>3.0952000000000002</v>
      </c>
      <c r="P42" s="7">
        <v>1831.4799</v>
      </c>
      <c r="Q42" s="7">
        <v>1759.8000999999999</v>
      </c>
      <c r="R42" s="7" t="str">
        <f t="shared" si="0"/>
        <v>Down</v>
      </c>
      <c r="S42" s="7" t="str">
        <f t="shared" si="1"/>
        <v>Hold</v>
      </c>
      <c r="T42" s="8">
        <f t="shared" si="2"/>
        <v>0.10006758193091227</v>
      </c>
      <c r="U42" s="18">
        <f t="shared" si="3"/>
        <v>4746792</v>
      </c>
      <c r="V42" s="7">
        <f t="shared" si="4"/>
        <v>5586.2002000000002</v>
      </c>
      <c r="W42" s="7">
        <f t="shared" si="5"/>
        <v>1615.1</v>
      </c>
      <c r="X42" s="7">
        <f t="shared" si="6"/>
        <v>1789.6</v>
      </c>
      <c r="Y42" s="7">
        <f t="shared" si="7"/>
        <v>483</v>
      </c>
      <c r="Z42" s="7">
        <f t="shared" si="8"/>
        <v>1660013</v>
      </c>
      <c r="AA42" s="7" t="str">
        <f t="shared" si="9"/>
        <v>10-Sep-2021</v>
      </c>
      <c r="AB42" s="7">
        <f t="shared" si="10"/>
        <v>1789.6</v>
      </c>
      <c r="AC42" s="7">
        <f t="shared" si="11"/>
        <v>1</v>
      </c>
      <c r="AD42" s="7">
        <f t="shared" si="12"/>
        <v>2021</v>
      </c>
      <c r="AE42" s="19">
        <f t="shared" si="13"/>
        <v>-0.51</v>
      </c>
      <c r="BA42" s="10">
        <f t="shared" si="14"/>
        <v>84.376900000000006</v>
      </c>
    </row>
    <row r="43" spans="1:53" x14ac:dyDescent="0.3">
      <c r="A43" s="17">
        <v>44452</v>
      </c>
      <c r="B43" s="8">
        <v>1792</v>
      </c>
      <c r="C43" s="7">
        <v>1796</v>
      </c>
      <c r="D43" s="7">
        <v>1784</v>
      </c>
      <c r="E43" s="7">
        <v>1789.8</v>
      </c>
      <c r="F43" s="18">
        <v>533</v>
      </c>
      <c r="G43" s="7">
        <v>1802.8</v>
      </c>
      <c r="H43" s="7">
        <v>1790.21</v>
      </c>
      <c r="I43" s="7">
        <v>1817.5811000000001</v>
      </c>
      <c r="J43" s="8">
        <v>1.12E-2</v>
      </c>
      <c r="K43" s="7">
        <v>1.0793999999999999</v>
      </c>
      <c r="L43" s="7">
        <v>0.91659999999999997</v>
      </c>
      <c r="M43" s="8">
        <v>54.155999999999999</v>
      </c>
      <c r="N43" s="8">
        <v>1.8236000000000001</v>
      </c>
      <c r="O43" s="7">
        <v>2.8409</v>
      </c>
      <c r="P43" s="7">
        <v>1828.6428000000001</v>
      </c>
      <c r="Q43" s="7">
        <v>1765.7872</v>
      </c>
      <c r="R43" s="7" t="str">
        <f t="shared" si="0"/>
        <v>Down</v>
      </c>
      <c r="S43" s="7" t="str">
        <f t="shared" si="1"/>
        <v>Hold</v>
      </c>
      <c r="T43" s="8">
        <f t="shared" si="2"/>
        <v>0.10060478723404251</v>
      </c>
      <c r="U43" s="18">
        <f t="shared" si="3"/>
        <v>4746792</v>
      </c>
      <c r="V43" s="7">
        <f t="shared" si="4"/>
        <v>5586.2002000000002</v>
      </c>
      <c r="W43" s="7">
        <f t="shared" si="5"/>
        <v>1615.1</v>
      </c>
      <c r="X43" s="7">
        <f t="shared" si="6"/>
        <v>1789.8</v>
      </c>
      <c r="Y43" s="7">
        <f t="shared" si="7"/>
        <v>483</v>
      </c>
      <c r="Z43" s="7">
        <f t="shared" si="8"/>
        <v>1660013</v>
      </c>
      <c r="AA43" s="7" t="str">
        <f t="shared" si="9"/>
        <v>13-Sep-2021</v>
      </c>
      <c r="AB43" s="7">
        <f t="shared" si="10"/>
        <v>1789.8</v>
      </c>
      <c r="AC43" s="7">
        <f t="shared" si="11"/>
        <v>1</v>
      </c>
      <c r="AD43" s="7">
        <f t="shared" si="12"/>
        <v>2021</v>
      </c>
      <c r="AE43" s="19">
        <f t="shared" si="13"/>
        <v>0.01</v>
      </c>
      <c r="BA43" s="10">
        <f t="shared" si="14"/>
        <v>84.376900000000006</v>
      </c>
    </row>
    <row r="44" spans="1:53" x14ac:dyDescent="0.3">
      <c r="A44" s="17">
        <v>44453</v>
      </c>
      <c r="B44" s="8">
        <v>1804.7</v>
      </c>
      <c r="C44" s="7">
        <v>1806.2</v>
      </c>
      <c r="D44" s="7">
        <v>1783</v>
      </c>
      <c r="E44" s="7">
        <v>1791.4</v>
      </c>
      <c r="F44" s="18">
        <v>764</v>
      </c>
      <c r="G44" s="7">
        <v>1799.6857</v>
      </c>
      <c r="H44" s="7">
        <v>1789.51</v>
      </c>
      <c r="I44" s="7">
        <v>1817.6088999999999</v>
      </c>
      <c r="J44" s="8">
        <v>8.9399999999999993E-2</v>
      </c>
      <c r="K44" s="7">
        <v>1.0829</v>
      </c>
      <c r="L44" s="7">
        <v>0.90480000000000005</v>
      </c>
      <c r="M44" s="8">
        <v>46.412599999999998</v>
      </c>
      <c r="N44" s="8">
        <v>1.0940000000000001</v>
      </c>
      <c r="O44" s="7">
        <v>2.4914999999999998</v>
      </c>
      <c r="P44" s="7">
        <v>1828.0353</v>
      </c>
      <c r="Q44" s="7">
        <v>1767.8447000000001</v>
      </c>
      <c r="R44" s="7" t="str">
        <f t="shared" si="0"/>
        <v>Down</v>
      </c>
      <c r="S44" s="7" t="str">
        <f t="shared" si="1"/>
        <v>Hold</v>
      </c>
      <c r="T44" s="8">
        <f t="shared" si="2"/>
        <v>0.1006841171251109</v>
      </c>
      <c r="U44" s="18">
        <f t="shared" si="3"/>
        <v>4746259</v>
      </c>
      <c r="V44" s="7">
        <f t="shared" si="4"/>
        <v>5586.2002000000002</v>
      </c>
      <c r="W44" s="7">
        <f t="shared" si="5"/>
        <v>1615.1</v>
      </c>
      <c r="X44" s="7">
        <f t="shared" si="6"/>
        <v>1791.4</v>
      </c>
      <c r="Y44" s="7">
        <f t="shared" si="7"/>
        <v>483</v>
      </c>
      <c r="Z44" s="7">
        <f t="shared" si="8"/>
        <v>1660013</v>
      </c>
      <c r="AA44" s="7" t="str">
        <f t="shared" si="9"/>
        <v>14-Sep-2021</v>
      </c>
      <c r="AB44" s="7">
        <f t="shared" si="10"/>
        <v>1791.4</v>
      </c>
      <c r="AC44" s="7">
        <f t="shared" si="11"/>
        <v>1</v>
      </c>
      <c r="AD44" s="7">
        <f t="shared" si="12"/>
        <v>2021</v>
      </c>
      <c r="AE44" s="19">
        <f t="shared" si="13"/>
        <v>0.09</v>
      </c>
      <c r="BA44" s="10">
        <f t="shared" si="14"/>
        <v>84.376900000000006</v>
      </c>
    </row>
    <row r="45" spans="1:53" x14ac:dyDescent="0.3">
      <c r="A45" s="17">
        <v>44454</v>
      </c>
      <c r="B45" s="8">
        <v>1792.4</v>
      </c>
      <c r="C45" s="7">
        <v>1803.7</v>
      </c>
      <c r="D45" s="7">
        <v>1792.4</v>
      </c>
      <c r="E45" s="7">
        <v>1803.7</v>
      </c>
      <c r="F45" s="18">
        <v>59</v>
      </c>
      <c r="G45" s="7">
        <v>1797.2285999999999</v>
      </c>
      <c r="H45" s="7">
        <v>1789.2233000000001</v>
      </c>
      <c r="I45" s="7">
        <v>1817.1732999999999</v>
      </c>
      <c r="J45" s="8">
        <v>0.68659999999999999</v>
      </c>
      <c r="K45" s="7">
        <v>1.1109</v>
      </c>
      <c r="L45" s="7">
        <v>0.9143</v>
      </c>
      <c r="M45" s="8">
        <v>54.2669</v>
      </c>
      <c r="N45" s="8">
        <v>1.4911000000000001</v>
      </c>
      <c r="O45" s="7">
        <v>2.2913999999999999</v>
      </c>
      <c r="P45" s="7">
        <v>1828.5382999999999</v>
      </c>
      <c r="Q45" s="7">
        <v>1768.9417000000001</v>
      </c>
      <c r="R45" s="7" t="str">
        <f t="shared" si="0"/>
        <v>Up</v>
      </c>
      <c r="S45" s="7" t="str">
        <f t="shared" si="1"/>
        <v>Hold</v>
      </c>
      <c r="T45" s="8">
        <f t="shared" si="2"/>
        <v>0.10069413854351685</v>
      </c>
      <c r="U45" s="18">
        <f t="shared" si="3"/>
        <v>4745495</v>
      </c>
      <c r="V45" s="7">
        <f t="shared" si="4"/>
        <v>5586.2002000000002</v>
      </c>
      <c r="W45" s="7">
        <f t="shared" si="5"/>
        <v>1615.1</v>
      </c>
      <c r="X45" s="7">
        <f t="shared" si="6"/>
        <v>1803.7</v>
      </c>
      <c r="Y45" s="7">
        <f t="shared" si="7"/>
        <v>483</v>
      </c>
      <c r="Z45" s="7">
        <f t="shared" si="8"/>
        <v>1660013</v>
      </c>
      <c r="AA45" s="7" t="str">
        <f t="shared" si="9"/>
        <v>15-Sep-2021</v>
      </c>
      <c r="AB45" s="7">
        <f t="shared" si="10"/>
        <v>1803.7</v>
      </c>
      <c r="AC45" s="7">
        <f t="shared" si="11"/>
        <v>1</v>
      </c>
      <c r="AD45" s="7">
        <f t="shared" si="12"/>
        <v>2021</v>
      </c>
      <c r="AE45" s="19">
        <f t="shared" si="13"/>
        <v>0.69</v>
      </c>
      <c r="BA45" s="10">
        <f t="shared" si="14"/>
        <v>84.376900000000006</v>
      </c>
    </row>
    <row r="46" spans="1:53" x14ac:dyDescent="0.3">
      <c r="A46" s="17">
        <v>44455</v>
      </c>
      <c r="B46" s="8">
        <v>1754.6</v>
      </c>
      <c r="C46" s="7">
        <v>1792.9</v>
      </c>
      <c r="D46" s="7">
        <v>1743.9</v>
      </c>
      <c r="E46" s="7">
        <v>1792.9</v>
      </c>
      <c r="F46" s="18">
        <v>1645</v>
      </c>
      <c r="G46" s="7">
        <v>1792.5427999999999</v>
      </c>
      <c r="H46" s="7">
        <v>1788.6767</v>
      </c>
      <c r="I46" s="7">
        <v>1816.6989000000001</v>
      </c>
      <c r="J46" s="8">
        <v>-0.5988</v>
      </c>
      <c r="K46" s="7">
        <v>1.1077999999999999</v>
      </c>
      <c r="L46" s="7">
        <v>0.92030000000000001</v>
      </c>
      <c r="M46" s="8">
        <v>51.9191</v>
      </c>
      <c r="N46" s="8">
        <v>0.92369999999999997</v>
      </c>
      <c r="O46" s="7">
        <v>2.0179</v>
      </c>
      <c r="P46" s="7">
        <v>1828.4848</v>
      </c>
      <c r="Q46" s="7">
        <v>1769.5051000000001</v>
      </c>
      <c r="R46" s="7" t="str">
        <f t="shared" si="0"/>
        <v>Up</v>
      </c>
      <c r="S46" s="7" t="str">
        <f t="shared" si="1"/>
        <v>Hold</v>
      </c>
      <c r="T46" s="8">
        <f t="shared" si="2"/>
        <v>0.10017333333333331</v>
      </c>
      <c r="U46" s="18">
        <f t="shared" si="3"/>
        <v>4745436</v>
      </c>
      <c r="V46" s="7">
        <f t="shared" si="4"/>
        <v>5586.2002000000002</v>
      </c>
      <c r="W46" s="7">
        <f t="shared" si="5"/>
        <v>1615.1</v>
      </c>
      <c r="X46" s="7">
        <f t="shared" si="6"/>
        <v>1792.9</v>
      </c>
      <c r="Y46" s="7">
        <f t="shared" si="7"/>
        <v>482</v>
      </c>
      <c r="Z46" s="7">
        <f t="shared" si="8"/>
        <v>1659954</v>
      </c>
      <c r="AA46" s="7" t="str">
        <f t="shared" si="9"/>
        <v>16-Sep-2021</v>
      </c>
      <c r="AB46" s="7">
        <f t="shared" si="10"/>
        <v>1792.9</v>
      </c>
      <c r="AC46" s="7">
        <f t="shared" si="11"/>
        <v>1</v>
      </c>
      <c r="AD46" s="7">
        <f t="shared" si="12"/>
        <v>2021</v>
      </c>
      <c r="AE46" s="19">
        <f t="shared" si="13"/>
        <v>-0.6</v>
      </c>
      <c r="BA46" s="10">
        <f t="shared" si="14"/>
        <v>84.376900000000006</v>
      </c>
    </row>
    <row r="47" spans="1:53" x14ac:dyDescent="0.3">
      <c r="A47" s="17">
        <v>44456</v>
      </c>
      <c r="B47" s="8">
        <v>1749.4</v>
      </c>
      <c r="C47" s="7">
        <v>1763</v>
      </c>
      <c r="D47" s="7">
        <v>1749.4</v>
      </c>
      <c r="E47" s="7">
        <v>1758.8</v>
      </c>
      <c r="F47" s="18">
        <v>581</v>
      </c>
      <c r="G47" s="7">
        <v>1789.2714000000001</v>
      </c>
      <c r="H47" s="7">
        <v>1786.9432999999999</v>
      </c>
      <c r="I47" s="7">
        <v>1815.8278</v>
      </c>
      <c r="J47" s="8">
        <v>-1.9018999999999999</v>
      </c>
      <c r="K47" s="7">
        <v>0.94810000000000005</v>
      </c>
      <c r="L47" s="7">
        <v>0.98150000000000004</v>
      </c>
      <c r="M47" s="8">
        <v>36.183399999999999</v>
      </c>
      <c r="N47" s="8">
        <v>-2.2515999999999998</v>
      </c>
      <c r="O47" s="7">
        <v>1.1639999999999999</v>
      </c>
      <c r="P47" s="7">
        <v>1831.537</v>
      </c>
      <c r="Q47" s="7">
        <v>1764.3330000000001</v>
      </c>
      <c r="R47" s="7" t="str">
        <f t="shared" si="0"/>
        <v>Up</v>
      </c>
      <c r="S47" s="7" t="str">
        <f t="shared" si="1"/>
        <v>Hold</v>
      </c>
      <c r="T47" s="8">
        <f t="shared" si="2"/>
        <v>0.10079519572953732</v>
      </c>
      <c r="U47" s="18">
        <f t="shared" si="3"/>
        <v>4743791</v>
      </c>
      <c r="V47" s="7">
        <f t="shared" si="4"/>
        <v>5586.2002000000002</v>
      </c>
      <c r="W47" s="7">
        <f t="shared" si="5"/>
        <v>1615.1</v>
      </c>
      <c r="X47" s="7">
        <f t="shared" si="6"/>
        <v>1758.8</v>
      </c>
      <c r="Y47" s="7">
        <f t="shared" si="7"/>
        <v>481</v>
      </c>
      <c r="Z47" s="7">
        <f t="shared" si="8"/>
        <v>1658309</v>
      </c>
      <c r="AA47" s="7" t="str">
        <f t="shared" si="9"/>
        <v>17-Sep-2021</v>
      </c>
      <c r="AB47" s="7">
        <f t="shared" si="10"/>
        <v>1758.8</v>
      </c>
      <c r="AC47" s="7">
        <f t="shared" si="11"/>
        <v>1</v>
      </c>
      <c r="AD47" s="7">
        <f t="shared" si="12"/>
        <v>2021</v>
      </c>
      <c r="AE47" s="19">
        <f t="shared" si="13"/>
        <v>-1.9</v>
      </c>
      <c r="BA47" s="10">
        <f t="shared" si="14"/>
        <v>84.376900000000006</v>
      </c>
    </row>
    <row r="48" spans="1:53" x14ac:dyDescent="0.3">
      <c r="A48" s="17">
        <v>44459</v>
      </c>
      <c r="B48" s="8">
        <v>1761.8</v>
      </c>
      <c r="C48" s="7">
        <v>1761.8</v>
      </c>
      <c r="D48" s="7">
        <v>1750.9</v>
      </c>
      <c r="E48" s="7">
        <v>1751.8</v>
      </c>
      <c r="F48" s="18">
        <v>185</v>
      </c>
      <c r="G48" s="7">
        <v>1782.5714</v>
      </c>
      <c r="H48" s="7">
        <v>1785.3433</v>
      </c>
      <c r="I48" s="7">
        <v>1815.0121999999999</v>
      </c>
      <c r="J48" s="8">
        <v>-0.39800000000000002</v>
      </c>
      <c r="K48" s="7">
        <v>0.80530000000000002</v>
      </c>
      <c r="L48" s="7">
        <v>0.97840000000000005</v>
      </c>
      <c r="M48" s="8">
        <v>28.385400000000001</v>
      </c>
      <c r="N48" s="8">
        <v>-5.2721</v>
      </c>
      <c r="O48" s="7">
        <v>-0.12330000000000001</v>
      </c>
      <c r="P48" s="7">
        <v>1835.3829000000001</v>
      </c>
      <c r="Q48" s="7">
        <v>1757.2571</v>
      </c>
      <c r="R48" s="7" t="str">
        <f t="shared" si="0"/>
        <v>Down</v>
      </c>
      <c r="S48" s="7" t="str">
        <f t="shared" si="1"/>
        <v>Buy</v>
      </c>
      <c r="T48" s="8">
        <f t="shared" si="2"/>
        <v>0.10257853962600175</v>
      </c>
      <c r="U48" s="18">
        <f t="shared" si="3"/>
        <v>4743210</v>
      </c>
      <c r="V48" s="7">
        <f t="shared" si="4"/>
        <v>5586.2002000000002</v>
      </c>
      <c r="W48" s="7">
        <f t="shared" si="5"/>
        <v>1615.1</v>
      </c>
      <c r="X48" s="7">
        <f t="shared" si="6"/>
        <v>1751.8</v>
      </c>
      <c r="Y48" s="7">
        <f t="shared" si="7"/>
        <v>480</v>
      </c>
      <c r="Z48" s="7">
        <f t="shared" si="8"/>
        <v>1657728</v>
      </c>
      <c r="AA48" s="7" t="str">
        <f t="shared" si="9"/>
        <v>20-Sep-2021</v>
      </c>
      <c r="AB48" s="7">
        <f t="shared" si="10"/>
        <v>1751.8</v>
      </c>
      <c r="AC48" s="7">
        <f t="shared" si="11"/>
        <v>1</v>
      </c>
      <c r="AD48" s="7">
        <f t="shared" si="12"/>
        <v>2021</v>
      </c>
      <c r="AE48" s="19">
        <f t="shared" si="13"/>
        <v>-0.4</v>
      </c>
      <c r="BA48" s="10">
        <f t="shared" si="14"/>
        <v>84.376900000000006</v>
      </c>
    </row>
    <row r="49" spans="1:53" x14ac:dyDescent="0.3">
      <c r="A49" s="17">
        <v>44460</v>
      </c>
      <c r="B49" s="8">
        <v>1776</v>
      </c>
      <c r="C49" s="7">
        <v>1776</v>
      </c>
      <c r="D49" s="7">
        <v>1759</v>
      </c>
      <c r="E49" s="7">
        <v>1762.2</v>
      </c>
      <c r="F49" s="18">
        <v>106</v>
      </c>
      <c r="G49" s="7">
        <v>1778.6572000000001</v>
      </c>
      <c r="H49" s="7">
        <v>1785.6333</v>
      </c>
      <c r="I49" s="7">
        <v>1814.4289000000001</v>
      </c>
      <c r="J49" s="8">
        <v>0.59370000000000001</v>
      </c>
      <c r="K49" s="7">
        <v>0.87909999999999999</v>
      </c>
      <c r="L49" s="7">
        <v>0.86509999999999998</v>
      </c>
      <c r="M49" s="8">
        <v>33.395099999999999</v>
      </c>
      <c r="N49" s="8">
        <v>-6.7488999999999999</v>
      </c>
      <c r="O49" s="7">
        <v>-1.4483999999999999</v>
      </c>
      <c r="P49" s="7">
        <v>1836.6818000000001</v>
      </c>
      <c r="Q49" s="7">
        <v>1754.4982</v>
      </c>
      <c r="R49" s="7" t="str">
        <f t="shared" si="0"/>
        <v>Down</v>
      </c>
      <c r="S49" s="7" t="str">
        <f t="shared" si="1"/>
        <v>Hold</v>
      </c>
      <c r="T49" s="8">
        <f t="shared" si="2"/>
        <v>0.10302468805704099</v>
      </c>
      <c r="U49" s="18">
        <f t="shared" si="3"/>
        <v>4743025</v>
      </c>
      <c r="V49" s="7">
        <f t="shared" si="4"/>
        <v>5586.2002000000002</v>
      </c>
      <c r="W49" s="7">
        <f t="shared" si="5"/>
        <v>1615.1</v>
      </c>
      <c r="X49" s="7">
        <f t="shared" si="6"/>
        <v>1762.2</v>
      </c>
      <c r="Y49" s="7">
        <f t="shared" si="7"/>
        <v>480</v>
      </c>
      <c r="Z49" s="7">
        <f t="shared" si="8"/>
        <v>1657728</v>
      </c>
      <c r="AA49" s="7" t="str">
        <f t="shared" si="9"/>
        <v>21-Sep-2021</v>
      </c>
      <c r="AB49" s="7">
        <f t="shared" si="10"/>
        <v>1762.2</v>
      </c>
      <c r="AC49" s="7">
        <f t="shared" si="11"/>
        <v>1</v>
      </c>
      <c r="AD49" s="7">
        <f t="shared" si="12"/>
        <v>2021</v>
      </c>
      <c r="AE49" s="19">
        <f t="shared" si="13"/>
        <v>0.59</v>
      </c>
      <c r="BA49" s="10">
        <f t="shared" si="14"/>
        <v>84.376900000000006</v>
      </c>
    </row>
    <row r="50" spans="1:53" x14ac:dyDescent="0.3">
      <c r="A50" s="17">
        <v>44461</v>
      </c>
      <c r="B50" s="8">
        <v>1776.7</v>
      </c>
      <c r="C50" s="7">
        <v>1784.3</v>
      </c>
      <c r="D50" s="7">
        <v>1767</v>
      </c>
      <c r="E50" s="7">
        <v>1776.7</v>
      </c>
      <c r="F50" s="18">
        <v>17</v>
      </c>
      <c r="G50" s="7">
        <v>1776.7856999999999</v>
      </c>
      <c r="H50" s="7">
        <v>1787.2366999999999</v>
      </c>
      <c r="I50" s="7">
        <v>1813.8978</v>
      </c>
      <c r="J50" s="8">
        <v>0.82279999999999998</v>
      </c>
      <c r="K50" s="7">
        <v>0.9637</v>
      </c>
      <c r="L50" s="7">
        <v>0.83260000000000001</v>
      </c>
      <c r="M50" s="8">
        <v>39.4131</v>
      </c>
      <c r="N50" s="8">
        <v>-6.6723999999999997</v>
      </c>
      <c r="O50" s="7">
        <v>-2.4931999999999999</v>
      </c>
      <c r="P50" s="7">
        <v>1836.2233000000001</v>
      </c>
      <c r="Q50" s="7">
        <v>1752.5266999999999</v>
      </c>
      <c r="R50" s="7" t="str">
        <f t="shared" si="0"/>
        <v>Down</v>
      </c>
      <c r="S50" s="7" t="str">
        <f t="shared" si="1"/>
        <v>Hold</v>
      </c>
      <c r="T50" s="8">
        <f t="shared" si="2"/>
        <v>0.10258697591436215</v>
      </c>
      <c r="U50" s="18">
        <f t="shared" si="3"/>
        <v>4742919</v>
      </c>
      <c r="V50" s="7">
        <f t="shared" si="4"/>
        <v>5586.2002000000002</v>
      </c>
      <c r="W50" s="7">
        <f t="shared" si="5"/>
        <v>1615.1</v>
      </c>
      <c r="X50" s="7">
        <f t="shared" si="6"/>
        <v>1776.7</v>
      </c>
      <c r="Y50" s="7">
        <f t="shared" si="7"/>
        <v>480</v>
      </c>
      <c r="Z50" s="7">
        <f t="shared" si="8"/>
        <v>1657728</v>
      </c>
      <c r="AA50" s="7" t="str">
        <f t="shared" si="9"/>
        <v>22-Sep-2021</v>
      </c>
      <c r="AB50" s="7">
        <f t="shared" si="10"/>
        <v>1776.7</v>
      </c>
      <c r="AC50" s="7">
        <f t="shared" si="11"/>
        <v>1</v>
      </c>
      <c r="AD50" s="7">
        <f t="shared" si="12"/>
        <v>2021</v>
      </c>
      <c r="AE50" s="19">
        <f t="shared" si="13"/>
        <v>0.82</v>
      </c>
      <c r="BA50" s="10">
        <f t="shared" si="14"/>
        <v>84.376900000000006</v>
      </c>
    </row>
    <row r="51" spans="1:53" x14ac:dyDescent="0.3">
      <c r="A51" s="17">
        <v>44462</v>
      </c>
      <c r="B51" s="8">
        <v>1747.7</v>
      </c>
      <c r="C51" s="7">
        <v>1766.8</v>
      </c>
      <c r="D51" s="7">
        <v>1738.2</v>
      </c>
      <c r="E51" s="7">
        <v>1766.8</v>
      </c>
      <c r="F51" s="18">
        <v>31</v>
      </c>
      <c r="G51" s="7">
        <v>1773.2714000000001</v>
      </c>
      <c r="H51" s="7">
        <v>1788.5533</v>
      </c>
      <c r="I51" s="7">
        <v>1812.9744000000001</v>
      </c>
      <c r="J51" s="8">
        <v>-0.55720000000000003</v>
      </c>
      <c r="K51" s="7">
        <v>0.97330000000000005</v>
      </c>
      <c r="L51" s="7">
        <v>0.84060000000000001</v>
      </c>
      <c r="M51" s="8">
        <v>37.350099999999998</v>
      </c>
      <c r="N51" s="8">
        <v>-7.3261000000000003</v>
      </c>
      <c r="O51" s="7">
        <v>-3.4598</v>
      </c>
      <c r="P51" s="7">
        <v>1836.7439999999999</v>
      </c>
      <c r="Q51" s="7">
        <v>1749.4860000000001</v>
      </c>
      <c r="R51" s="7" t="str">
        <f t="shared" si="0"/>
        <v>Up</v>
      </c>
      <c r="S51" s="7" t="str">
        <f t="shared" si="1"/>
        <v>Hold</v>
      </c>
      <c r="T51" s="8">
        <f t="shared" si="2"/>
        <v>0.10194392857142852</v>
      </c>
      <c r="U51" s="18">
        <f t="shared" si="3"/>
        <v>4742902</v>
      </c>
      <c r="V51" s="7">
        <f t="shared" si="4"/>
        <v>5586.2002000000002</v>
      </c>
      <c r="W51" s="7">
        <f t="shared" si="5"/>
        <v>1615.1</v>
      </c>
      <c r="X51" s="7">
        <f t="shared" si="6"/>
        <v>1766.8</v>
      </c>
      <c r="Y51" s="7">
        <f t="shared" si="7"/>
        <v>480</v>
      </c>
      <c r="Z51" s="7">
        <f t="shared" si="8"/>
        <v>1657728</v>
      </c>
      <c r="AA51" s="7" t="str">
        <f t="shared" si="9"/>
        <v>23-Sep-2021</v>
      </c>
      <c r="AB51" s="7">
        <f t="shared" si="10"/>
        <v>1766.8</v>
      </c>
      <c r="AC51" s="7">
        <f t="shared" si="11"/>
        <v>1</v>
      </c>
      <c r="AD51" s="7">
        <f t="shared" si="12"/>
        <v>2021</v>
      </c>
      <c r="AE51" s="19">
        <f t="shared" si="13"/>
        <v>-0.56000000000000005</v>
      </c>
      <c r="BA51" s="10">
        <f t="shared" si="14"/>
        <v>84.376900000000006</v>
      </c>
    </row>
    <row r="52" spans="1:53" x14ac:dyDescent="0.3">
      <c r="A52" s="17">
        <v>44463</v>
      </c>
      <c r="B52" s="8">
        <v>1749.7</v>
      </c>
      <c r="C52" s="7">
        <v>1749.7</v>
      </c>
      <c r="D52" s="7">
        <v>1745</v>
      </c>
      <c r="E52" s="7">
        <v>1749.7</v>
      </c>
      <c r="F52" s="18">
        <v>76</v>
      </c>
      <c r="G52" s="7">
        <v>1765.5571</v>
      </c>
      <c r="H52" s="7">
        <v>1788.5533</v>
      </c>
      <c r="I52" s="7">
        <v>1811.6322</v>
      </c>
      <c r="J52" s="8">
        <v>-0.96789999999999998</v>
      </c>
      <c r="K52" s="7">
        <v>0.92369999999999997</v>
      </c>
      <c r="L52" s="7">
        <v>0.82909999999999995</v>
      </c>
      <c r="M52" s="8">
        <v>31.5352</v>
      </c>
      <c r="N52" s="8">
        <v>-9.1189</v>
      </c>
      <c r="O52" s="7">
        <v>-4.5915999999999997</v>
      </c>
      <c r="P52" s="7">
        <v>1838.9632999999999</v>
      </c>
      <c r="Q52" s="7">
        <v>1743.4966999999999</v>
      </c>
      <c r="R52" s="7" t="str">
        <f t="shared" si="0"/>
        <v>Down</v>
      </c>
      <c r="S52" s="7" t="str">
        <f t="shared" si="1"/>
        <v>Hold</v>
      </c>
      <c r="T52" s="8">
        <f t="shared" si="2"/>
        <v>0.10253297587131367</v>
      </c>
      <c r="U52" s="18">
        <f t="shared" si="3"/>
        <v>4742871</v>
      </c>
      <c r="V52" s="7">
        <f t="shared" si="4"/>
        <v>5586.2002000000002</v>
      </c>
      <c r="W52" s="7">
        <f t="shared" si="5"/>
        <v>1615.1</v>
      </c>
      <c r="X52" s="7">
        <f t="shared" si="6"/>
        <v>1749.7</v>
      </c>
      <c r="Y52" s="7">
        <f t="shared" si="7"/>
        <v>479</v>
      </c>
      <c r="Z52" s="7">
        <f t="shared" si="8"/>
        <v>1657697</v>
      </c>
      <c r="AA52" s="7" t="str">
        <f t="shared" si="9"/>
        <v>24-Sep-2021</v>
      </c>
      <c r="AB52" s="7">
        <f t="shared" si="10"/>
        <v>1749.7</v>
      </c>
      <c r="AC52" s="7">
        <f t="shared" si="11"/>
        <v>1</v>
      </c>
      <c r="AD52" s="7">
        <f t="shared" si="12"/>
        <v>2021</v>
      </c>
      <c r="AE52" s="19">
        <f t="shared" si="13"/>
        <v>-0.97</v>
      </c>
      <c r="BA52" s="10">
        <f t="shared" si="14"/>
        <v>84.376900000000006</v>
      </c>
    </row>
    <row r="53" spans="1:53" x14ac:dyDescent="0.3">
      <c r="A53" s="17">
        <v>44466</v>
      </c>
      <c r="B53" s="8">
        <v>1750</v>
      </c>
      <c r="C53" s="7">
        <v>1754.4</v>
      </c>
      <c r="D53" s="7">
        <v>1747.5</v>
      </c>
      <c r="E53" s="7">
        <v>1751.7</v>
      </c>
      <c r="F53" s="18">
        <v>808</v>
      </c>
      <c r="G53" s="7">
        <v>1759.6713999999999</v>
      </c>
      <c r="H53" s="7">
        <v>1788.3333</v>
      </c>
      <c r="I53" s="7">
        <v>1810.3578</v>
      </c>
      <c r="J53" s="8">
        <v>0.1143</v>
      </c>
      <c r="K53" s="7">
        <v>0.94110000000000005</v>
      </c>
      <c r="L53" s="7">
        <v>0.82430000000000003</v>
      </c>
      <c r="M53" s="8">
        <v>30.526299999999999</v>
      </c>
      <c r="N53" s="8">
        <v>-10.26</v>
      </c>
      <c r="O53" s="7">
        <v>-5.7252999999999998</v>
      </c>
      <c r="P53" s="7">
        <v>1839.1239</v>
      </c>
      <c r="Q53" s="7">
        <v>1738.1660999999999</v>
      </c>
      <c r="R53" s="7" t="str">
        <f t="shared" si="0"/>
        <v>Up</v>
      </c>
      <c r="S53" s="7" t="str">
        <f t="shared" si="1"/>
        <v>Hold</v>
      </c>
      <c r="T53" s="8">
        <f t="shared" si="2"/>
        <v>0.10349042933810373</v>
      </c>
      <c r="U53" s="18">
        <f t="shared" si="3"/>
        <v>4742795</v>
      </c>
      <c r="V53" s="7">
        <f t="shared" si="4"/>
        <v>5586.2002000000002</v>
      </c>
      <c r="W53" s="7">
        <f t="shared" si="5"/>
        <v>1615.1</v>
      </c>
      <c r="X53" s="7">
        <f t="shared" si="6"/>
        <v>1751.7</v>
      </c>
      <c r="Y53" s="7">
        <f t="shared" si="7"/>
        <v>479</v>
      </c>
      <c r="Z53" s="7">
        <f t="shared" si="8"/>
        <v>1657697</v>
      </c>
      <c r="AA53" s="7" t="str">
        <f t="shared" si="9"/>
        <v>27-Sep-2021</v>
      </c>
      <c r="AB53" s="7">
        <f t="shared" si="10"/>
        <v>1751.7</v>
      </c>
      <c r="AC53" s="7">
        <f t="shared" si="11"/>
        <v>1</v>
      </c>
      <c r="AD53" s="7">
        <f t="shared" si="12"/>
        <v>2021</v>
      </c>
      <c r="AE53" s="19">
        <f t="shared" si="13"/>
        <v>0.11</v>
      </c>
      <c r="BA53" s="10">
        <f t="shared" si="14"/>
        <v>84.376900000000006</v>
      </c>
    </row>
    <row r="54" spans="1:53" x14ac:dyDescent="0.3">
      <c r="A54" s="17">
        <v>44467</v>
      </c>
      <c r="B54" s="8">
        <v>1735.8</v>
      </c>
      <c r="C54" s="7">
        <v>1741.7</v>
      </c>
      <c r="D54" s="7">
        <v>1726.8</v>
      </c>
      <c r="E54" s="7">
        <v>1739.6</v>
      </c>
      <c r="F54" s="18">
        <v>15748</v>
      </c>
      <c r="G54" s="7">
        <v>1756.9286</v>
      </c>
      <c r="H54" s="7">
        <v>1787.09</v>
      </c>
      <c r="I54" s="7">
        <v>1808.9589000000001</v>
      </c>
      <c r="J54" s="8">
        <v>-0.69079999999999997</v>
      </c>
      <c r="K54" s="7">
        <v>0.67800000000000005</v>
      </c>
      <c r="L54" s="7">
        <v>0.80789999999999995</v>
      </c>
      <c r="M54" s="8">
        <v>36.685600000000001</v>
      </c>
      <c r="N54" s="8">
        <v>-12.0024</v>
      </c>
      <c r="O54" s="7">
        <v>-6.9806999999999997</v>
      </c>
      <c r="P54" s="7">
        <v>1837.6829</v>
      </c>
      <c r="Q54" s="7">
        <v>1731.7471</v>
      </c>
      <c r="R54" s="7" t="str">
        <f t="shared" si="0"/>
        <v>Up</v>
      </c>
      <c r="S54" s="7" t="str">
        <f t="shared" si="1"/>
        <v>Hold</v>
      </c>
      <c r="T54" s="8">
        <f t="shared" si="2"/>
        <v>0.10348075201432405</v>
      </c>
      <c r="U54" s="18">
        <f t="shared" si="3"/>
        <v>4741987</v>
      </c>
      <c r="V54" s="7">
        <f t="shared" si="4"/>
        <v>5586.2002000000002</v>
      </c>
      <c r="W54" s="7">
        <f t="shared" si="5"/>
        <v>1615.1</v>
      </c>
      <c r="X54" s="7">
        <f t="shared" si="6"/>
        <v>1739.6</v>
      </c>
      <c r="Y54" s="7">
        <f t="shared" si="7"/>
        <v>478</v>
      </c>
      <c r="Z54" s="7">
        <f t="shared" si="8"/>
        <v>1656889</v>
      </c>
      <c r="AA54" s="7" t="str">
        <f t="shared" si="9"/>
        <v>28-Sep-2021</v>
      </c>
      <c r="AB54" s="7">
        <f t="shared" si="10"/>
        <v>1739.6</v>
      </c>
      <c r="AC54" s="7">
        <f t="shared" si="11"/>
        <v>1</v>
      </c>
      <c r="AD54" s="7">
        <f t="shared" si="12"/>
        <v>2021</v>
      </c>
      <c r="AE54" s="19">
        <f t="shared" si="13"/>
        <v>-0.69</v>
      </c>
      <c r="BA54" s="10">
        <f t="shared" si="14"/>
        <v>84.376900000000006</v>
      </c>
    </row>
    <row r="55" spans="1:53" x14ac:dyDescent="0.3">
      <c r="A55" s="17">
        <v>44468</v>
      </c>
      <c r="B55" s="8">
        <v>1721.5</v>
      </c>
      <c r="C55" s="7">
        <v>1744.1</v>
      </c>
      <c r="D55" s="7">
        <v>1721.4</v>
      </c>
      <c r="E55" s="7">
        <v>1732.4</v>
      </c>
      <c r="F55" s="18">
        <v>6634</v>
      </c>
      <c r="G55" s="7">
        <v>1754.1570999999999</v>
      </c>
      <c r="H55" s="7">
        <v>1785.2466999999999</v>
      </c>
      <c r="I55" s="7">
        <v>1807.4067</v>
      </c>
      <c r="J55" s="8">
        <v>-0.41389999999999999</v>
      </c>
      <c r="K55" s="7">
        <v>0.67889999999999995</v>
      </c>
      <c r="L55" s="7">
        <v>0.79990000000000006</v>
      </c>
      <c r="M55" s="8">
        <v>27.646599999999999</v>
      </c>
      <c r="N55" s="8">
        <v>-13.805099999999999</v>
      </c>
      <c r="O55" s="7">
        <v>-8.3455999999999992</v>
      </c>
      <c r="P55" s="7">
        <v>1836.2503999999999</v>
      </c>
      <c r="Q55" s="7">
        <v>1724.8296</v>
      </c>
      <c r="R55" s="7" t="str">
        <f t="shared" si="0"/>
        <v>Up</v>
      </c>
      <c r="S55" s="7" t="str">
        <f t="shared" si="1"/>
        <v>Buy</v>
      </c>
      <c r="T55" s="8">
        <f t="shared" si="2"/>
        <v>0.10419247311827953</v>
      </c>
      <c r="U55" s="18">
        <f t="shared" si="3"/>
        <v>4726239</v>
      </c>
      <c r="V55" s="7">
        <f t="shared" si="4"/>
        <v>5586.2002000000002</v>
      </c>
      <c r="W55" s="7">
        <f t="shared" si="5"/>
        <v>1615.1</v>
      </c>
      <c r="X55" s="7">
        <f t="shared" si="6"/>
        <v>1732.4</v>
      </c>
      <c r="Y55" s="7">
        <f t="shared" si="7"/>
        <v>477</v>
      </c>
      <c r="Z55" s="7">
        <f t="shared" si="8"/>
        <v>1641141</v>
      </c>
      <c r="AA55" s="7" t="str">
        <f t="shared" si="9"/>
        <v>29-Sep-2021</v>
      </c>
      <c r="AB55" s="7">
        <f t="shared" si="10"/>
        <v>1732.4</v>
      </c>
      <c r="AC55" s="7">
        <f t="shared" si="11"/>
        <v>1</v>
      </c>
      <c r="AD55" s="7">
        <f t="shared" si="12"/>
        <v>2021</v>
      </c>
      <c r="AE55" s="19">
        <f t="shared" si="13"/>
        <v>-0.41</v>
      </c>
      <c r="BA55" s="10">
        <f t="shared" si="14"/>
        <v>84.376900000000006</v>
      </c>
    </row>
    <row r="56" spans="1:53" x14ac:dyDescent="0.3">
      <c r="A56" s="17">
        <v>44469</v>
      </c>
      <c r="B56" s="8">
        <v>1755.3</v>
      </c>
      <c r="C56" s="7">
        <v>1760.3</v>
      </c>
      <c r="D56" s="7">
        <v>1724.5</v>
      </c>
      <c r="E56" s="7">
        <v>1725.5</v>
      </c>
      <c r="F56" s="18">
        <v>997</v>
      </c>
      <c r="G56" s="7">
        <v>1748.9142999999999</v>
      </c>
      <c r="H56" s="7">
        <v>1783.17</v>
      </c>
      <c r="I56" s="7">
        <v>1805.6667</v>
      </c>
      <c r="J56" s="8">
        <v>-0.39829999999999999</v>
      </c>
      <c r="K56" s="7">
        <v>0.59440000000000004</v>
      </c>
      <c r="L56" s="7">
        <v>0.80149999999999999</v>
      </c>
      <c r="M56" s="8">
        <v>28.062899999999999</v>
      </c>
      <c r="N56" s="8">
        <v>-15.6105</v>
      </c>
      <c r="O56" s="7">
        <v>-9.7985000000000007</v>
      </c>
      <c r="P56" s="7">
        <v>1834.7164</v>
      </c>
      <c r="Q56" s="7">
        <v>1717.5636</v>
      </c>
      <c r="R56" s="7" t="str">
        <f t="shared" si="0"/>
        <v>Down</v>
      </c>
      <c r="S56" s="7" t="str">
        <f t="shared" si="1"/>
        <v>Buy</v>
      </c>
      <c r="T56" s="8">
        <f t="shared" si="2"/>
        <v>0.10465713004484302</v>
      </c>
      <c r="U56" s="18">
        <f t="shared" si="3"/>
        <v>4719605</v>
      </c>
      <c r="V56" s="7">
        <f t="shared" si="4"/>
        <v>5586.2002000000002</v>
      </c>
      <c r="W56" s="7">
        <f t="shared" si="5"/>
        <v>1615.1</v>
      </c>
      <c r="X56" s="7">
        <f t="shared" si="6"/>
        <v>1725.5</v>
      </c>
      <c r="Y56" s="7">
        <f t="shared" si="7"/>
        <v>476</v>
      </c>
      <c r="Z56" s="7">
        <f t="shared" si="8"/>
        <v>1634507</v>
      </c>
      <c r="AA56" s="7" t="str">
        <f t="shared" si="9"/>
        <v>30-Sep-2021</v>
      </c>
      <c r="AB56" s="7">
        <f t="shared" si="10"/>
        <v>1725.5</v>
      </c>
      <c r="AC56" s="7">
        <f t="shared" si="11"/>
        <v>1</v>
      </c>
      <c r="AD56" s="7">
        <f t="shared" si="12"/>
        <v>2021</v>
      </c>
      <c r="AE56" s="19">
        <f t="shared" si="13"/>
        <v>-0.4</v>
      </c>
      <c r="BA56" s="10">
        <f t="shared" si="14"/>
        <v>84.376900000000006</v>
      </c>
    </row>
    <row r="57" spans="1:53" x14ac:dyDescent="0.3">
      <c r="A57" s="17">
        <v>44470</v>
      </c>
      <c r="B57" s="8">
        <v>1757</v>
      </c>
      <c r="C57" s="7">
        <v>1762.6</v>
      </c>
      <c r="D57" s="7">
        <v>1748.5</v>
      </c>
      <c r="E57" s="7">
        <v>1754.3</v>
      </c>
      <c r="F57" s="18">
        <v>2220</v>
      </c>
      <c r="G57" s="7">
        <v>1745.7143000000001</v>
      </c>
      <c r="H57" s="7">
        <v>1782.3133</v>
      </c>
      <c r="I57" s="7">
        <v>1804.2421999999999</v>
      </c>
      <c r="J57" s="8">
        <v>1.6691</v>
      </c>
      <c r="K57" s="7">
        <v>0.87860000000000005</v>
      </c>
      <c r="L57" s="7">
        <v>0.86219999999999997</v>
      </c>
      <c r="M57" s="8">
        <v>39.839700000000001</v>
      </c>
      <c r="N57" s="8">
        <v>-14.5497</v>
      </c>
      <c r="O57" s="7">
        <v>-10.748799999999999</v>
      </c>
      <c r="P57" s="7">
        <v>1829.8161</v>
      </c>
      <c r="Q57" s="7">
        <v>1716.5739000000001</v>
      </c>
      <c r="R57" s="7" t="str">
        <f t="shared" si="0"/>
        <v>Down</v>
      </c>
      <c r="S57" s="7" t="str">
        <f t="shared" si="1"/>
        <v>Hold</v>
      </c>
      <c r="T57" s="8">
        <f t="shared" si="2"/>
        <v>0.10510861759425492</v>
      </c>
      <c r="U57" s="18">
        <f t="shared" si="3"/>
        <v>4718608</v>
      </c>
      <c r="V57" s="7">
        <f t="shared" si="4"/>
        <v>5586.2002000000002</v>
      </c>
      <c r="W57" s="7">
        <f t="shared" si="5"/>
        <v>1615.1</v>
      </c>
      <c r="X57" s="7">
        <f t="shared" si="6"/>
        <v>1754.3</v>
      </c>
      <c r="Y57" s="7">
        <f t="shared" si="7"/>
        <v>476</v>
      </c>
      <c r="Z57" s="7">
        <f t="shared" si="8"/>
        <v>1634507</v>
      </c>
      <c r="AA57" s="7" t="str">
        <f t="shared" si="9"/>
        <v>01-Oct-2021</v>
      </c>
      <c r="AB57" s="7">
        <f t="shared" si="10"/>
        <v>1754.3</v>
      </c>
      <c r="AC57" s="7">
        <f t="shared" si="11"/>
        <v>1</v>
      </c>
      <c r="AD57" s="7">
        <f t="shared" si="12"/>
        <v>2021</v>
      </c>
      <c r="AE57" s="19">
        <f t="shared" si="13"/>
        <v>1.67</v>
      </c>
      <c r="BA57" s="10">
        <f t="shared" si="14"/>
        <v>84.376900000000006</v>
      </c>
    </row>
    <row r="58" spans="1:53" x14ac:dyDescent="0.3">
      <c r="A58" s="17">
        <v>44473</v>
      </c>
      <c r="B58" s="8">
        <v>1766.2</v>
      </c>
      <c r="C58" s="7">
        <v>1768.9</v>
      </c>
      <c r="D58" s="7">
        <v>1749.5</v>
      </c>
      <c r="E58" s="7">
        <v>1764.5</v>
      </c>
      <c r="F58" s="18">
        <v>417</v>
      </c>
      <c r="G58" s="7">
        <v>1745.3857</v>
      </c>
      <c r="H58" s="7">
        <v>1781.66</v>
      </c>
      <c r="I58" s="7">
        <v>1802.7221999999999</v>
      </c>
      <c r="J58" s="8">
        <v>0.58140000000000003</v>
      </c>
      <c r="K58" s="7">
        <v>0.90180000000000005</v>
      </c>
      <c r="L58" s="7">
        <v>0.86850000000000005</v>
      </c>
      <c r="M58" s="8">
        <v>42.662300000000002</v>
      </c>
      <c r="N58" s="8">
        <v>-12.739100000000001</v>
      </c>
      <c r="O58" s="7">
        <v>-11.1469</v>
      </c>
      <c r="P58" s="7">
        <v>1822.4257</v>
      </c>
      <c r="Q58" s="7">
        <v>1718.3243</v>
      </c>
      <c r="R58" s="7" t="str">
        <f t="shared" si="0"/>
        <v>Down</v>
      </c>
      <c r="S58" s="7" t="str">
        <f t="shared" si="1"/>
        <v>Hold</v>
      </c>
      <c r="T58" s="8">
        <f t="shared" si="2"/>
        <v>0.103703414195867</v>
      </c>
      <c r="U58" s="18">
        <f t="shared" si="3"/>
        <v>4716388</v>
      </c>
      <c r="V58" s="7">
        <f t="shared" si="4"/>
        <v>5586.2002000000002</v>
      </c>
      <c r="W58" s="7">
        <f t="shared" si="5"/>
        <v>1615.1</v>
      </c>
      <c r="X58" s="7">
        <f t="shared" si="6"/>
        <v>1764.5</v>
      </c>
      <c r="Y58" s="7">
        <f t="shared" si="7"/>
        <v>476</v>
      </c>
      <c r="Z58" s="7">
        <f t="shared" si="8"/>
        <v>1634507</v>
      </c>
      <c r="AA58" s="7" t="str">
        <f t="shared" si="9"/>
        <v>04-Oct-2021</v>
      </c>
      <c r="AB58" s="7">
        <f t="shared" si="10"/>
        <v>1764.5</v>
      </c>
      <c r="AC58" s="7">
        <f t="shared" si="11"/>
        <v>1</v>
      </c>
      <c r="AD58" s="7">
        <f t="shared" si="12"/>
        <v>2021</v>
      </c>
      <c r="AE58" s="19">
        <f t="shared" si="13"/>
        <v>0.57999999999999996</v>
      </c>
      <c r="BA58" s="10">
        <f t="shared" si="14"/>
        <v>84.376900000000006</v>
      </c>
    </row>
    <row r="59" spans="1:53" x14ac:dyDescent="0.3">
      <c r="A59" s="17">
        <v>44474</v>
      </c>
      <c r="B59" s="8">
        <v>1759.6</v>
      </c>
      <c r="C59" s="7">
        <v>1764.3</v>
      </c>
      <c r="D59" s="7">
        <v>1749</v>
      </c>
      <c r="E59" s="7">
        <v>1764.3</v>
      </c>
      <c r="F59" s="18">
        <v>98</v>
      </c>
      <c r="G59" s="7">
        <v>1747.4713999999999</v>
      </c>
      <c r="H59" s="7">
        <v>1781.2433000000001</v>
      </c>
      <c r="I59" s="7">
        <v>1801.25</v>
      </c>
      <c r="J59" s="8">
        <v>-1.1299999999999999E-2</v>
      </c>
      <c r="K59" s="7">
        <v>0.80010000000000003</v>
      </c>
      <c r="L59" s="7">
        <v>0.86560000000000004</v>
      </c>
      <c r="M59" s="8">
        <v>38.493000000000002</v>
      </c>
      <c r="N59" s="8">
        <v>-11.1913</v>
      </c>
      <c r="O59" s="7">
        <v>-11.155799999999999</v>
      </c>
      <c r="P59" s="7">
        <v>1812.3934999999999</v>
      </c>
      <c r="Q59" s="7">
        <v>1722.2165</v>
      </c>
      <c r="R59" s="7" t="str">
        <f t="shared" si="0"/>
        <v>Up</v>
      </c>
      <c r="S59" s="7" t="str">
        <f t="shared" si="1"/>
        <v>Hold</v>
      </c>
      <c r="T59" s="8">
        <f t="shared" si="2"/>
        <v>0.10327383093525179</v>
      </c>
      <c r="U59" s="18">
        <f t="shared" si="3"/>
        <v>4715971</v>
      </c>
      <c r="V59" s="7">
        <f t="shared" si="4"/>
        <v>5586.2002000000002</v>
      </c>
      <c r="W59" s="7">
        <f t="shared" si="5"/>
        <v>1615.1</v>
      </c>
      <c r="X59" s="7">
        <f t="shared" si="6"/>
        <v>1764.3</v>
      </c>
      <c r="Y59" s="7">
        <f t="shared" si="7"/>
        <v>476</v>
      </c>
      <c r="Z59" s="7">
        <f t="shared" si="8"/>
        <v>1634507</v>
      </c>
      <c r="AA59" s="7" t="str">
        <f t="shared" si="9"/>
        <v>05-Oct-2021</v>
      </c>
      <c r="AB59" s="7">
        <f t="shared" si="10"/>
        <v>1764.3</v>
      </c>
      <c r="AC59" s="7">
        <f t="shared" si="11"/>
        <v>1</v>
      </c>
      <c r="AD59" s="7">
        <f t="shared" si="12"/>
        <v>2021</v>
      </c>
      <c r="AE59" s="19">
        <f t="shared" si="13"/>
        <v>-0.01</v>
      </c>
      <c r="BA59" s="10">
        <f t="shared" si="14"/>
        <v>84.376900000000006</v>
      </c>
    </row>
    <row r="60" spans="1:53" x14ac:dyDescent="0.3">
      <c r="A60" s="17">
        <v>44475</v>
      </c>
      <c r="B60" s="8">
        <v>1760.5</v>
      </c>
      <c r="C60" s="7">
        <v>1762.9</v>
      </c>
      <c r="D60" s="7">
        <v>1744.7</v>
      </c>
      <c r="E60" s="7">
        <v>1759.3</v>
      </c>
      <c r="F60" s="18">
        <v>56</v>
      </c>
      <c r="G60" s="7">
        <v>1748.5572</v>
      </c>
      <c r="H60" s="7">
        <v>1779.8533</v>
      </c>
      <c r="I60" s="7">
        <v>1799.7144000000001</v>
      </c>
      <c r="J60" s="8">
        <v>-0.28339999999999999</v>
      </c>
      <c r="K60" s="7">
        <v>0.81469999999999998</v>
      </c>
      <c r="L60" s="7">
        <v>0.82620000000000005</v>
      </c>
      <c r="M60" s="8">
        <v>39.842799999999997</v>
      </c>
      <c r="N60" s="8">
        <v>-10.25</v>
      </c>
      <c r="O60" s="7">
        <v>-10.974600000000001</v>
      </c>
      <c r="P60" s="7">
        <v>1810.8789999999999</v>
      </c>
      <c r="Q60" s="7">
        <v>1721.491</v>
      </c>
      <c r="R60" s="7" t="str">
        <f t="shared" si="0"/>
        <v>Down</v>
      </c>
      <c r="S60" s="7" t="str">
        <f t="shared" si="1"/>
        <v>Hold</v>
      </c>
      <c r="T60" s="8">
        <f t="shared" si="2"/>
        <v>0.10337695769576954</v>
      </c>
      <c r="U60" s="18">
        <f t="shared" si="3"/>
        <v>4715873</v>
      </c>
      <c r="V60" s="7">
        <f t="shared" si="4"/>
        <v>5586.2002000000002</v>
      </c>
      <c r="W60" s="7">
        <f t="shared" si="5"/>
        <v>1615.1</v>
      </c>
      <c r="X60" s="7">
        <f t="shared" si="6"/>
        <v>1759.3</v>
      </c>
      <c r="Y60" s="7">
        <f t="shared" si="7"/>
        <v>475</v>
      </c>
      <c r="Z60" s="7">
        <f t="shared" si="8"/>
        <v>1634409</v>
      </c>
      <c r="AA60" s="7" t="str">
        <f t="shared" si="9"/>
        <v>06-Oct-2021</v>
      </c>
      <c r="AB60" s="7">
        <f t="shared" si="10"/>
        <v>1759.3</v>
      </c>
      <c r="AC60" s="7">
        <f t="shared" si="11"/>
        <v>1</v>
      </c>
      <c r="AD60" s="7">
        <f t="shared" si="12"/>
        <v>2021</v>
      </c>
      <c r="AE60" s="19">
        <f t="shared" si="13"/>
        <v>-0.28000000000000003</v>
      </c>
      <c r="BA60" s="10">
        <f t="shared" si="14"/>
        <v>84.376900000000006</v>
      </c>
    </row>
    <row r="61" spans="1:53" x14ac:dyDescent="0.3">
      <c r="A61" s="17">
        <v>44476</v>
      </c>
      <c r="B61" s="8">
        <v>1757.9</v>
      </c>
      <c r="C61" s="7">
        <v>1762.4</v>
      </c>
      <c r="D61" s="7">
        <v>1752.8</v>
      </c>
      <c r="E61" s="7">
        <v>1762.4</v>
      </c>
      <c r="F61" s="18">
        <v>336</v>
      </c>
      <c r="G61" s="7">
        <v>1751.8143</v>
      </c>
      <c r="H61" s="7">
        <v>1778.8667</v>
      </c>
      <c r="I61" s="7">
        <v>1798.1288999999999</v>
      </c>
      <c r="J61" s="8">
        <v>0.1762</v>
      </c>
      <c r="K61" s="7">
        <v>0.74350000000000005</v>
      </c>
      <c r="L61" s="7">
        <v>0.82340000000000002</v>
      </c>
      <c r="M61" s="8">
        <v>51.339300000000001</v>
      </c>
      <c r="N61" s="8">
        <v>-9.1484000000000005</v>
      </c>
      <c r="O61" s="7">
        <v>-10.609400000000001</v>
      </c>
      <c r="P61" s="7">
        <v>1806.3715</v>
      </c>
      <c r="Q61" s="7">
        <v>1722.3685</v>
      </c>
      <c r="R61" s="7" t="str">
        <f t="shared" si="0"/>
        <v>Up</v>
      </c>
      <c r="S61" s="7" t="str">
        <f t="shared" si="1"/>
        <v>Hold</v>
      </c>
      <c r="T61" s="8">
        <f t="shared" si="2"/>
        <v>0.10372540540540538</v>
      </c>
      <c r="U61" s="18">
        <f t="shared" si="3"/>
        <v>4715817</v>
      </c>
      <c r="V61" s="7">
        <f t="shared" si="4"/>
        <v>5586.2002000000002</v>
      </c>
      <c r="W61" s="7">
        <f t="shared" si="5"/>
        <v>1615.1</v>
      </c>
      <c r="X61" s="7">
        <f t="shared" si="6"/>
        <v>1762.4</v>
      </c>
      <c r="Y61" s="7">
        <f t="shared" si="7"/>
        <v>475</v>
      </c>
      <c r="Z61" s="7">
        <f t="shared" si="8"/>
        <v>1634409</v>
      </c>
      <c r="AA61" s="7" t="str">
        <f t="shared" si="9"/>
        <v>07-Oct-2021</v>
      </c>
      <c r="AB61" s="7">
        <f t="shared" si="10"/>
        <v>1762.4</v>
      </c>
      <c r="AC61" s="7">
        <f t="shared" si="11"/>
        <v>1</v>
      </c>
      <c r="AD61" s="7">
        <f t="shared" si="12"/>
        <v>2021</v>
      </c>
      <c r="AE61" s="19">
        <f t="shared" si="13"/>
        <v>0.18</v>
      </c>
      <c r="BA61" s="10">
        <f t="shared" si="14"/>
        <v>84.376900000000006</v>
      </c>
    </row>
    <row r="62" spans="1:53" x14ac:dyDescent="0.3">
      <c r="A62" s="17">
        <v>44477</v>
      </c>
      <c r="B62" s="8">
        <v>1756.3</v>
      </c>
      <c r="C62" s="7">
        <v>1780</v>
      </c>
      <c r="D62" s="7">
        <v>1754.2</v>
      </c>
      <c r="E62" s="7">
        <v>1757</v>
      </c>
      <c r="F62" s="18">
        <v>254</v>
      </c>
      <c r="G62" s="7">
        <v>1755.3286000000001</v>
      </c>
      <c r="H62" s="7">
        <v>1777.8533</v>
      </c>
      <c r="I62" s="7">
        <v>1796.5489</v>
      </c>
      <c r="J62" s="8">
        <v>-0.30640000000000001</v>
      </c>
      <c r="K62" s="7">
        <v>0.72989999999999999</v>
      </c>
      <c r="L62" s="7">
        <v>0.82389999999999997</v>
      </c>
      <c r="M62" s="8">
        <v>51.957799999999999</v>
      </c>
      <c r="N62" s="8">
        <v>-8.6119000000000003</v>
      </c>
      <c r="O62" s="7">
        <v>-10.209899999999999</v>
      </c>
      <c r="P62" s="7">
        <v>1803.1178</v>
      </c>
      <c r="Q62" s="7">
        <v>1722.3622</v>
      </c>
      <c r="R62" s="7" t="str">
        <f t="shared" si="0"/>
        <v>Up</v>
      </c>
      <c r="S62" s="7" t="str">
        <f t="shared" si="1"/>
        <v>Hold</v>
      </c>
      <c r="T62" s="8">
        <f t="shared" si="2"/>
        <v>0.10366005410279529</v>
      </c>
      <c r="U62" s="18">
        <f t="shared" si="3"/>
        <v>4715481</v>
      </c>
      <c r="V62" s="7">
        <f t="shared" si="4"/>
        <v>5586.2002000000002</v>
      </c>
      <c r="W62" s="7">
        <f t="shared" si="5"/>
        <v>1615.1</v>
      </c>
      <c r="X62" s="7">
        <f t="shared" si="6"/>
        <v>1757</v>
      </c>
      <c r="Y62" s="7">
        <f t="shared" si="7"/>
        <v>474</v>
      </c>
      <c r="Z62" s="7">
        <f t="shared" si="8"/>
        <v>1634073</v>
      </c>
      <c r="AA62" s="7" t="str">
        <f t="shared" si="9"/>
        <v>08-Oct-2021</v>
      </c>
      <c r="AB62" s="7">
        <f t="shared" si="10"/>
        <v>1757</v>
      </c>
      <c r="AC62" s="7">
        <f t="shared" si="11"/>
        <v>1</v>
      </c>
      <c r="AD62" s="7">
        <f t="shared" si="12"/>
        <v>2021</v>
      </c>
      <c r="AE62" s="19">
        <f t="shared" si="13"/>
        <v>-0.31</v>
      </c>
      <c r="BA62" s="10">
        <f t="shared" si="14"/>
        <v>84.376900000000006</v>
      </c>
    </row>
    <row r="63" spans="1:53" x14ac:dyDescent="0.3">
      <c r="A63" s="17">
        <v>44480</v>
      </c>
      <c r="B63" s="8">
        <v>1754.6</v>
      </c>
      <c r="C63" s="7">
        <v>1757.8</v>
      </c>
      <c r="D63" s="7">
        <v>1752.2</v>
      </c>
      <c r="E63" s="7">
        <v>1756.6</v>
      </c>
      <c r="F63" s="18">
        <v>128</v>
      </c>
      <c r="G63" s="7">
        <v>1759.7714000000001</v>
      </c>
      <c r="H63" s="7">
        <v>1776.2933</v>
      </c>
      <c r="I63" s="7">
        <v>1794.8578</v>
      </c>
      <c r="J63" s="8">
        <v>-2.2800000000000001E-2</v>
      </c>
      <c r="K63" s="7">
        <v>0.69110000000000005</v>
      </c>
      <c r="L63" s="7">
        <v>0.80430000000000001</v>
      </c>
      <c r="M63" s="8">
        <v>47.719900000000003</v>
      </c>
      <c r="N63" s="8">
        <v>-8.1251999999999995</v>
      </c>
      <c r="O63" s="7">
        <v>-9.7928999999999995</v>
      </c>
      <c r="P63" s="7">
        <v>1799.4537</v>
      </c>
      <c r="Q63" s="7">
        <v>1722.7063000000001</v>
      </c>
      <c r="R63" s="7" t="str">
        <f t="shared" si="0"/>
        <v>Up</v>
      </c>
      <c r="S63" s="7" t="str">
        <f t="shared" si="1"/>
        <v>Hold</v>
      </c>
      <c r="T63" s="8">
        <f t="shared" si="2"/>
        <v>0.1040301444043321</v>
      </c>
      <c r="U63" s="18">
        <f t="shared" si="3"/>
        <v>4715227</v>
      </c>
      <c r="V63" s="7">
        <f t="shared" si="4"/>
        <v>5586.2002000000002</v>
      </c>
      <c r="W63" s="7">
        <f t="shared" si="5"/>
        <v>1615.1</v>
      </c>
      <c r="X63" s="7">
        <f t="shared" si="6"/>
        <v>1756.6</v>
      </c>
      <c r="Y63" s="7">
        <f t="shared" si="7"/>
        <v>473</v>
      </c>
      <c r="Z63" s="7">
        <f t="shared" si="8"/>
        <v>1633819</v>
      </c>
      <c r="AA63" s="7" t="str">
        <f t="shared" si="9"/>
        <v>11-Oct-2021</v>
      </c>
      <c r="AB63" s="7">
        <f t="shared" si="10"/>
        <v>1756.6</v>
      </c>
      <c r="AC63" s="7">
        <f t="shared" si="11"/>
        <v>1</v>
      </c>
      <c r="AD63" s="7">
        <f t="shared" si="12"/>
        <v>2021</v>
      </c>
      <c r="AE63" s="19">
        <f t="shared" si="13"/>
        <v>-0.02</v>
      </c>
      <c r="BA63" s="10">
        <f t="shared" si="14"/>
        <v>84.376900000000006</v>
      </c>
    </row>
    <row r="64" spans="1:53" x14ac:dyDescent="0.3">
      <c r="A64" s="17">
        <v>44481</v>
      </c>
      <c r="B64" s="8">
        <v>1758.3</v>
      </c>
      <c r="C64" s="7">
        <v>1768</v>
      </c>
      <c r="D64" s="7">
        <v>1749.8</v>
      </c>
      <c r="E64" s="7">
        <v>1751.9</v>
      </c>
      <c r="F64" s="18">
        <v>139</v>
      </c>
      <c r="G64" s="7">
        <v>1759.4286</v>
      </c>
      <c r="H64" s="7">
        <v>1774.0833</v>
      </c>
      <c r="I64" s="7">
        <v>1793.5533</v>
      </c>
      <c r="J64" s="8">
        <v>-0.2676</v>
      </c>
      <c r="K64" s="7">
        <v>0.3196</v>
      </c>
      <c r="L64" s="7">
        <v>0.78639999999999999</v>
      </c>
      <c r="M64" s="8">
        <v>39.026600000000002</v>
      </c>
      <c r="N64" s="8">
        <v>-8.0263000000000009</v>
      </c>
      <c r="O64" s="7">
        <v>-9.4396000000000004</v>
      </c>
      <c r="P64" s="7">
        <v>1794.8866</v>
      </c>
      <c r="Q64" s="7">
        <v>1723.3234</v>
      </c>
      <c r="R64" s="7" t="str">
        <f t="shared" si="0"/>
        <v>Down</v>
      </c>
      <c r="S64" s="7" t="str">
        <f t="shared" si="1"/>
        <v>Hold</v>
      </c>
      <c r="T64" s="8">
        <f t="shared" si="2"/>
        <v>0.10414471544715447</v>
      </c>
      <c r="U64" s="18">
        <f t="shared" si="3"/>
        <v>4715099</v>
      </c>
      <c r="V64" s="7">
        <f t="shared" si="4"/>
        <v>5586.2002000000002</v>
      </c>
      <c r="W64" s="7">
        <f t="shared" si="5"/>
        <v>1615.1</v>
      </c>
      <c r="X64" s="7">
        <f t="shared" si="6"/>
        <v>1751.9</v>
      </c>
      <c r="Y64" s="7">
        <f t="shared" si="7"/>
        <v>472</v>
      </c>
      <c r="Z64" s="7">
        <f t="shared" si="8"/>
        <v>1633691</v>
      </c>
      <c r="AA64" s="7" t="str">
        <f t="shared" si="9"/>
        <v>12-Oct-2021</v>
      </c>
      <c r="AB64" s="7">
        <f t="shared" si="10"/>
        <v>1751.9</v>
      </c>
      <c r="AC64" s="7">
        <f t="shared" si="11"/>
        <v>1</v>
      </c>
      <c r="AD64" s="7">
        <f t="shared" si="12"/>
        <v>2021</v>
      </c>
      <c r="AE64" s="19">
        <f t="shared" si="13"/>
        <v>-0.27</v>
      </c>
      <c r="BA64" s="10">
        <f t="shared" si="14"/>
        <v>84.376900000000006</v>
      </c>
    </row>
    <row r="65" spans="1:53" x14ac:dyDescent="0.3">
      <c r="A65" s="17">
        <v>44482</v>
      </c>
      <c r="B65" s="8">
        <v>1793.7</v>
      </c>
      <c r="C65" s="7">
        <v>1794.5</v>
      </c>
      <c r="D65" s="7">
        <v>1760.8</v>
      </c>
      <c r="E65" s="7">
        <v>1760.8</v>
      </c>
      <c r="F65" s="18">
        <v>150</v>
      </c>
      <c r="G65" s="7">
        <v>1758.9</v>
      </c>
      <c r="H65" s="7">
        <v>1772.2466999999999</v>
      </c>
      <c r="I65" s="7">
        <v>1792.1122</v>
      </c>
      <c r="J65" s="8">
        <v>0.50800000000000001</v>
      </c>
      <c r="K65" s="7">
        <v>0.29699999999999999</v>
      </c>
      <c r="L65" s="7">
        <v>0.79469999999999996</v>
      </c>
      <c r="M65" s="8">
        <v>47.321399999999997</v>
      </c>
      <c r="N65" s="8">
        <v>-7.1474000000000002</v>
      </c>
      <c r="O65" s="7">
        <v>-8.9811999999999994</v>
      </c>
      <c r="P65" s="7">
        <v>1785.9924000000001</v>
      </c>
      <c r="Q65" s="7">
        <v>1727.9277</v>
      </c>
      <c r="R65" s="7" t="str">
        <f t="shared" si="0"/>
        <v>Down</v>
      </c>
      <c r="S65" s="7" t="str">
        <f t="shared" si="1"/>
        <v>Hold</v>
      </c>
      <c r="T65" s="8">
        <f t="shared" si="2"/>
        <v>0.10448083182640143</v>
      </c>
      <c r="U65" s="18">
        <f t="shared" si="3"/>
        <v>4714960</v>
      </c>
      <c r="V65" s="7">
        <f t="shared" si="4"/>
        <v>5586.2002000000002</v>
      </c>
      <c r="W65" s="7">
        <f t="shared" si="5"/>
        <v>1615.1</v>
      </c>
      <c r="X65" s="7">
        <f t="shared" si="6"/>
        <v>1760.8</v>
      </c>
      <c r="Y65" s="7">
        <f t="shared" si="7"/>
        <v>472</v>
      </c>
      <c r="Z65" s="7">
        <f t="shared" si="8"/>
        <v>1633691</v>
      </c>
      <c r="AA65" s="7" t="str">
        <f t="shared" si="9"/>
        <v>13-Oct-2021</v>
      </c>
      <c r="AB65" s="7">
        <f t="shared" si="10"/>
        <v>1760.8</v>
      </c>
      <c r="AC65" s="7">
        <f t="shared" si="11"/>
        <v>1</v>
      </c>
      <c r="AD65" s="7">
        <f t="shared" si="12"/>
        <v>2021</v>
      </c>
      <c r="AE65" s="19">
        <f t="shared" si="13"/>
        <v>0.51</v>
      </c>
      <c r="BA65" s="10">
        <f t="shared" si="14"/>
        <v>84.376900000000006</v>
      </c>
    </row>
    <row r="66" spans="1:53" x14ac:dyDescent="0.3">
      <c r="A66" s="17">
        <v>44483</v>
      </c>
      <c r="B66" s="8">
        <v>1796.7</v>
      </c>
      <c r="C66" s="7">
        <v>1799.9</v>
      </c>
      <c r="D66" s="7">
        <v>1792</v>
      </c>
      <c r="E66" s="7">
        <v>1792.2</v>
      </c>
      <c r="F66" s="18">
        <v>337</v>
      </c>
      <c r="G66" s="7">
        <v>1762.8857</v>
      </c>
      <c r="H66" s="7">
        <v>1771.5367000000001</v>
      </c>
      <c r="I66" s="7">
        <v>1790.9532999999999</v>
      </c>
      <c r="J66" s="8">
        <v>1.7833000000000001</v>
      </c>
      <c r="K66" s="7">
        <v>0.74780000000000002</v>
      </c>
      <c r="L66" s="7">
        <v>0.86580000000000001</v>
      </c>
      <c r="M66" s="8">
        <v>66.825000000000003</v>
      </c>
      <c r="N66" s="8">
        <v>-3.8725000000000001</v>
      </c>
      <c r="O66" s="7">
        <v>-7.9593999999999996</v>
      </c>
      <c r="P66" s="7">
        <v>1785.7760000000001</v>
      </c>
      <c r="Q66" s="7">
        <v>1728.0740000000001</v>
      </c>
      <c r="R66" s="7" t="str">
        <f t="shared" si="0"/>
        <v>Down</v>
      </c>
      <c r="S66" s="7" t="str">
        <f t="shared" si="1"/>
        <v>Hold</v>
      </c>
      <c r="T66" s="8">
        <f t="shared" si="2"/>
        <v>0.10411565610859726</v>
      </c>
      <c r="U66" s="18">
        <f t="shared" si="3"/>
        <v>4714810</v>
      </c>
      <c r="V66" s="7">
        <f t="shared" si="4"/>
        <v>5586.2002000000002</v>
      </c>
      <c r="W66" s="7">
        <f t="shared" si="5"/>
        <v>1615.1</v>
      </c>
      <c r="X66" s="7">
        <f t="shared" si="6"/>
        <v>1792.2</v>
      </c>
      <c r="Y66" s="7">
        <f t="shared" si="7"/>
        <v>472</v>
      </c>
      <c r="Z66" s="7">
        <f t="shared" si="8"/>
        <v>1633691</v>
      </c>
      <c r="AA66" s="7" t="str">
        <f t="shared" si="9"/>
        <v>14-Oct-2021</v>
      </c>
      <c r="AB66" s="7">
        <f t="shared" si="10"/>
        <v>1792.2</v>
      </c>
      <c r="AC66" s="7">
        <f t="shared" si="11"/>
        <v>1</v>
      </c>
      <c r="AD66" s="7">
        <f t="shared" si="12"/>
        <v>2021</v>
      </c>
      <c r="AE66" s="19">
        <f t="shared" si="13"/>
        <v>1.78</v>
      </c>
      <c r="BA66" s="10">
        <f t="shared" si="14"/>
        <v>84.376900000000006</v>
      </c>
    </row>
    <row r="67" spans="1:53" x14ac:dyDescent="0.3">
      <c r="A67" s="17">
        <v>44484</v>
      </c>
      <c r="B67" s="8">
        <v>1767.2</v>
      </c>
      <c r="C67" s="7">
        <v>1795.4</v>
      </c>
      <c r="D67" s="7">
        <v>1766.6</v>
      </c>
      <c r="E67" s="7">
        <v>1794.5</v>
      </c>
      <c r="F67" s="18">
        <v>874</v>
      </c>
      <c r="G67" s="7">
        <v>1767.9142999999999</v>
      </c>
      <c r="H67" s="7">
        <v>1770.9132999999999</v>
      </c>
      <c r="I67" s="7">
        <v>1789.8378</v>
      </c>
      <c r="J67" s="8">
        <v>0.1283</v>
      </c>
      <c r="K67" s="7">
        <v>0.71660000000000001</v>
      </c>
      <c r="L67" s="7">
        <v>0.86629999999999996</v>
      </c>
      <c r="M67" s="8">
        <v>66.903700000000001</v>
      </c>
      <c r="N67" s="8">
        <v>-1.079</v>
      </c>
      <c r="O67" s="7">
        <v>-6.5833000000000004</v>
      </c>
      <c r="P67" s="7">
        <v>1792.1086</v>
      </c>
      <c r="Q67" s="7">
        <v>1725.3114</v>
      </c>
      <c r="R67" s="7" t="str">
        <f t="shared" ref="R67:R130" si="15">IF(E67&gt;B67,"Up","Down")</f>
        <v>Up</v>
      </c>
      <c r="S67" s="7" t="str">
        <f t="shared" ref="S67:S130" si="16">IF(M67&gt;70,"Sell",IF(M67&lt;30,"Buy","Hold"))</f>
        <v>Hold</v>
      </c>
      <c r="T67" s="8">
        <f t="shared" ref="T67:T130" si="17">AVERAGE(J67:J1235)</f>
        <v>0.10259465579710142</v>
      </c>
      <c r="U67" s="18">
        <f t="shared" ref="U67:U130" si="18">SUM(F67:F1235)</f>
        <v>4714473</v>
      </c>
      <c r="V67" s="7">
        <f t="shared" ref="V67:V130" si="19">MAX(C67:C1235)</f>
        <v>5586.2002000000002</v>
      </c>
      <c r="W67" s="7">
        <f t="shared" ref="W67:W130" si="20">MIN(D67:D1235)</f>
        <v>1615.1</v>
      </c>
      <c r="X67" s="7">
        <f t="shared" ref="X67:X130" si="21">INDEX(E67:E1235,MATCH(A67,A67:A1235,0))</f>
        <v>1794.5</v>
      </c>
      <c r="Y67" s="7">
        <f t="shared" ref="Y67:Y130" si="22">COUNTIF(R67:R1235,"Up")</f>
        <v>472</v>
      </c>
      <c r="Z67" s="7">
        <f t="shared" ref="Z67:Z130" si="23">SUMIF(R67:R1235,"Up",F67:F1235)</f>
        <v>1633691</v>
      </c>
      <c r="AA67" s="7" t="str">
        <f t="shared" ref="AA67:AA130" si="24">TEXT(A67,"DD-MMM-YYYY")</f>
        <v>15-Oct-2021</v>
      </c>
      <c r="AB67" s="7">
        <f t="shared" ref="AB67:AB130" si="25">_xlfn.XLOOKUP(A67,A67:A1235,E67:E1235)</f>
        <v>1794.5</v>
      </c>
      <c r="AC67" s="7">
        <f t="shared" ref="AC67" si="26">_xlfn.XMATCH(A67,A67:A1235)</f>
        <v>1</v>
      </c>
      <c r="AD67" s="7">
        <f t="shared" ref="AD67:AD130" si="27">YEAR(A67)</f>
        <v>2021</v>
      </c>
      <c r="AE67" s="19">
        <f t="shared" ref="AE67:AE130" si="28">ROUND(J67,2)</f>
        <v>0.13</v>
      </c>
      <c r="BA67" s="10">
        <f t="shared" ref="BA67:BA130" si="29">MODE(M67:M1235)</f>
        <v>84.376900000000006</v>
      </c>
    </row>
    <row r="68" spans="1:53" x14ac:dyDescent="0.3">
      <c r="A68" s="17">
        <v>44487</v>
      </c>
      <c r="B68" s="8">
        <v>1764.8</v>
      </c>
      <c r="C68" s="7">
        <v>1770.1</v>
      </c>
      <c r="D68" s="7">
        <v>1759.5</v>
      </c>
      <c r="E68" s="7">
        <v>1761.6</v>
      </c>
      <c r="F68" s="18">
        <v>266</v>
      </c>
      <c r="G68" s="7">
        <v>1767.8</v>
      </c>
      <c r="H68" s="7">
        <v>1768.9367</v>
      </c>
      <c r="I68" s="7">
        <v>1788.4367</v>
      </c>
      <c r="J68" s="8">
        <v>-1.8333999999999999</v>
      </c>
      <c r="K68" s="7">
        <v>1.0787</v>
      </c>
      <c r="L68" s="7">
        <v>0.92169999999999996</v>
      </c>
      <c r="M68" s="8">
        <v>57.462699999999998</v>
      </c>
      <c r="N68" s="8">
        <v>-1.5025999999999999</v>
      </c>
      <c r="O68" s="7">
        <v>-5.5671999999999997</v>
      </c>
      <c r="P68" s="7">
        <v>1792.4590000000001</v>
      </c>
      <c r="Q68" s="7">
        <v>1725.941</v>
      </c>
      <c r="R68" s="7" t="str">
        <f t="shared" si="15"/>
        <v>Down</v>
      </c>
      <c r="S68" s="7" t="str">
        <f t="shared" si="16"/>
        <v>Hold</v>
      </c>
      <c r="T68" s="8">
        <f t="shared" si="17"/>
        <v>0.10257135086128735</v>
      </c>
      <c r="U68" s="18">
        <f t="shared" si="18"/>
        <v>4713599</v>
      </c>
      <c r="V68" s="7">
        <f t="shared" si="19"/>
        <v>5586.2002000000002</v>
      </c>
      <c r="W68" s="7">
        <f t="shared" si="20"/>
        <v>1615.1</v>
      </c>
      <c r="X68" s="7">
        <f t="shared" si="21"/>
        <v>1761.6</v>
      </c>
      <c r="Y68" s="7">
        <f t="shared" si="22"/>
        <v>471</v>
      </c>
      <c r="Z68" s="7">
        <f t="shared" si="23"/>
        <v>1632817</v>
      </c>
      <c r="AA68" s="7" t="str">
        <f t="shared" si="24"/>
        <v>18-Oct-2021</v>
      </c>
      <c r="AB68" s="7">
        <f t="shared" si="25"/>
        <v>1761.6</v>
      </c>
      <c r="AC68" s="7">
        <f t="shared" si="11"/>
        <v>1</v>
      </c>
      <c r="AD68" s="7">
        <f t="shared" si="27"/>
        <v>2021</v>
      </c>
      <c r="AE68" s="19">
        <f t="shared" si="28"/>
        <v>-1.83</v>
      </c>
      <c r="BA68" s="10">
        <f t="shared" si="29"/>
        <v>84.376900000000006</v>
      </c>
    </row>
    <row r="69" spans="1:53" x14ac:dyDescent="0.3">
      <c r="A69" s="17">
        <v>44488</v>
      </c>
      <c r="B69" s="8">
        <v>1769.7</v>
      </c>
      <c r="C69" s="7">
        <v>1785</v>
      </c>
      <c r="D69" s="7">
        <v>1767.5</v>
      </c>
      <c r="E69" s="7">
        <v>1777.6</v>
      </c>
      <c r="F69" s="18">
        <v>51</v>
      </c>
      <c r="G69" s="7">
        <v>1770.7429</v>
      </c>
      <c r="H69" s="7">
        <v>1767.3333</v>
      </c>
      <c r="I69" s="7">
        <v>1787.0667000000001</v>
      </c>
      <c r="J69" s="8">
        <v>0.9083</v>
      </c>
      <c r="K69" s="7">
        <v>1.1185</v>
      </c>
      <c r="L69" s="7">
        <v>0.93789999999999996</v>
      </c>
      <c r="M69" s="8">
        <v>64.468599999999995</v>
      </c>
      <c r="N69" s="8">
        <v>-0.54110000000000003</v>
      </c>
      <c r="O69" s="7">
        <v>-4.5620000000000003</v>
      </c>
      <c r="P69" s="7">
        <v>1794.2197000000001</v>
      </c>
      <c r="Q69" s="7">
        <v>1725.7203</v>
      </c>
      <c r="R69" s="7" t="str">
        <f t="shared" si="15"/>
        <v>Up</v>
      </c>
      <c r="S69" s="7" t="str">
        <f t="shared" si="16"/>
        <v>Hold</v>
      </c>
      <c r="T69" s="8">
        <f t="shared" si="17"/>
        <v>0.10432813067150631</v>
      </c>
      <c r="U69" s="18">
        <f t="shared" si="18"/>
        <v>4713333</v>
      </c>
      <c r="V69" s="7">
        <f t="shared" si="19"/>
        <v>5586.2002000000002</v>
      </c>
      <c r="W69" s="7">
        <f t="shared" si="20"/>
        <v>1615.1</v>
      </c>
      <c r="X69" s="7">
        <f t="shared" si="21"/>
        <v>1777.6</v>
      </c>
      <c r="Y69" s="7">
        <f t="shared" si="22"/>
        <v>471</v>
      </c>
      <c r="Z69" s="7">
        <f t="shared" si="23"/>
        <v>1632817</v>
      </c>
      <c r="AA69" s="7" t="str">
        <f t="shared" si="24"/>
        <v>19-Oct-2021</v>
      </c>
      <c r="AB69" s="7">
        <f t="shared" si="25"/>
        <v>1777.6</v>
      </c>
      <c r="AC69" s="7">
        <f t="shared" ref="AC69:AC132" si="30">_xlfn.XMATCH(A69,A69:A1237)</f>
        <v>1</v>
      </c>
      <c r="AD69" s="7">
        <f t="shared" si="27"/>
        <v>2021</v>
      </c>
      <c r="AE69" s="19">
        <f t="shared" si="28"/>
        <v>0.91</v>
      </c>
      <c r="BA69" s="10">
        <f t="shared" si="29"/>
        <v>84.376900000000006</v>
      </c>
    </row>
    <row r="70" spans="1:53" x14ac:dyDescent="0.3">
      <c r="A70" s="17">
        <v>44489</v>
      </c>
      <c r="B70" s="8">
        <v>1784.1</v>
      </c>
      <c r="C70" s="7">
        <v>1785.6</v>
      </c>
      <c r="D70" s="7">
        <v>1774</v>
      </c>
      <c r="E70" s="7">
        <v>1774.6</v>
      </c>
      <c r="F70" s="18">
        <v>127</v>
      </c>
      <c r="G70" s="7">
        <v>1773.3143</v>
      </c>
      <c r="H70" s="7">
        <v>1767.0967000000001</v>
      </c>
      <c r="I70" s="7">
        <v>1786.0489</v>
      </c>
      <c r="J70" s="8">
        <v>-0.16880000000000001</v>
      </c>
      <c r="K70" s="7">
        <v>1.1241000000000001</v>
      </c>
      <c r="L70" s="7">
        <v>0.82930000000000004</v>
      </c>
      <c r="M70" s="8">
        <v>66.119500000000002</v>
      </c>
      <c r="N70" s="8">
        <v>-2.0799999999999999E-2</v>
      </c>
      <c r="O70" s="7">
        <v>-3.6537999999999999</v>
      </c>
      <c r="P70" s="7">
        <v>1793.9110000000001</v>
      </c>
      <c r="Q70" s="7">
        <v>1725.819</v>
      </c>
      <c r="R70" s="7" t="str">
        <f t="shared" si="15"/>
        <v>Down</v>
      </c>
      <c r="S70" s="7" t="str">
        <f t="shared" si="16"/>
        <v>Hold</v>
      </c>
      <c r="T70" s="8">
        <f t="shared" si="17"/>
        <v>0.10359791099000905</v>
      </c>
      <c r="U70" s="18">
        <f t="shared" si="18"/>
        <v>4713282</v>
      </c>
      <c r="V70" s="7">
        <f t="shared" si="19"/>
        <v>5586.2002000000002</v>
      </c>
      <c r="W70" s="7">
        <f t="shared" si="20"/>
        <v>1615.1</v>
      </c>
      <c r="X70" s="7">
        <f t="shared" si="21"/>
        <v>1774.6</v>
      </c>
      <c r="Y70" s="7">
        <f t="shared" si="22"/>
        <v>470</v>
      </c>
      <c r="Z70" s="7">
        <f t="shared" si="23"/>
        <v>1632766</v>
      </c>
      <c r="AA70" s="7" t="str">
        <f t="shared" si="24"/>
        <v>20-Oct-2021</v>
      </c>
      <c r="AB70" s="7">
        <f t="shared" si="25"/>
        <v>1774.6</v>
      </c>
      <c r="AC70" s="7">
        <f t="shared" si="30"/>
        <v>1</v>
      </c>
      <c r="AD70" s="7">
        <f t="shared" si="27"/>
        <v>2021</v>
      </c>
      <c r="AE70" s="19">
        <f t="shared" si="28"/>
        <v>-0.17</v>
      </c>
      <c r="BA70" s="10">
        <f t="shared" si="29"/>
        <v>84.376900000000006</v>
      </c>
    </row>
    <row r="71" spans="1:53" x14ac:dyDescent="0.3">
      <c r="A71" s="17">
        <v>44490</v>
      </c>
      <c r="B71" s="8">
        <v>1781.2</v>
      </c>
      <c r="C71" s="7">
        <v>1785.7</v>
      </c>
      <c r="D71" s="7">
        <v>1781</v>
      </c>
      <c r="E71" s="7">
        <v>1782</v>
      </c>
      <c r="F71" s="18">
        <v>146</v>
      </c>
      <c r="G71" s="7">
        <v>1777.6143</v>
      </c>
      <c r="H71" s="7">
        <v>1766.54</v>
      </c>
      <c r="I71" s="7">
        <v>1785.1111000000001</v>
      </c>
      <c r="J71" s="8">
        <v>0.41699999999999998</v>
      </c>
      <c r="K71" s="7">
        <v>1.1113</v>
      </c>
      <c r="L71" s="7">
        <v>0.81340000000000001</v>
      </c>
      <c r="M71" s="8">
        <v>60.580599999999997</v>
      </c>
      <c r="N71" s="8">
        <v>0.97729999999999995</v>
      </c>
      <c r="O71" s="7">
        <v>-2.7275</v>
      </c>
      <c r="P71" s="7">
        <v>1795.9765</v>
      </c>
      <c r="Q71" s="7">
        <v>1725.2735</v>
      </c>
      <c r="R71" s="7" t="str">
        <f t="shared" si="15"/>
        <v>Up</v>
      </c>
      <c r="S71" s="7" t="str">
        <f t="shared" si="16"/>
        <v>Hold</v>
      </c>
      <c r="T71" s="8">
        <f t="shared" si="17"/>
        <v>0.10384554545454543</v>
      </c>
      <c r="U71" s="18">
        <f t="shared" si="18"/>
        <v>4713155</v>
      </c>
      <c r="V71" s="7">
        <f t="shared" si="19"/>
        <v>5586.2002000000002</v>
      </c>
      <c r="W71" s="7">
        <f t="shared" si="20"/>
        <v>1615.1</v>
      </c>
      <c r="X71" s="7">
        <f t="shared" si="21"/>
        <v>1782</v>
      </c>
      <c r="Y71" s="7">
        <f t="shared" si="22"/>
        <v>470</v>
      </c>
      <c r="Z71" s="7">
        <f t="shared" si="23"/>
        <v>1632766</v>
      </c>
      <c r="AA71" s="7" t="str">
        <f t="shared" si="24"/>
        <v>21-Oct-2021</v>
      </c>
      <c r="AB71" s="7">
        <f t="shared" si="25"/>
        <v>1782</v>
      </c>
      <c r="AC71" s="7">
        <f t="shared" si="30"/>
        <v>1</v>
      </c>
      <c r="AD71" s="7">
        <f t="shared" si="27"/>
        <v>2021</v>
      </c>
      <c r="AE71" s="19">
        <f t="shared" si="28"/>
        <v>0.42</v>
      </c>
      <c r="BA71" s="10">
        <f t="shared" si="29"/>
        <v>84.376900000000006</v>
      </c>
    </row>
    <row r="72" spans="1:53" x14ac:dyDescent="0.3">
      <c r="A72" s="17">
        <v>44491</v>
      </c>
      <c r="B72" s="8">
        <v>1795.5</v>
      </c>
      <c r="C72" s="7">
        <v>1806.9</v>
      </c>
      <c r="D72" s="7">
        <v>1784</v>
      </c>
      <c r="E72" s="7">
        <v>1787.1</v>
      </c>
      <c r="F72" s="18">
        <v>532</v>
      </c>
      <c r="G72" s="7">
        <v>1781.3714</v>
      </c>
      <c r="H72" s="7">
        <v>1766.4567</v>
      </c>
      <c r="I72" s="7">
        <v>1784.3078</v>
      </c>
      <c r="J72" s="8">
        <v>0.28620000000000001</v>
      </c>
      <c r="K72" s="7">
        <v>1.1057999999999999</v>
      </c>
      <c r="L72" s="7">
        <v>0.81020000000000003</v>
      </c>
      <c r="M72" s="8">
        <v>58.982500000000002</v>
      </c>
      <c r="N72" s="8">
        <v>2.1549999999999998</v>
      </c>
      <c r="O72" s="7">
        <v>-1.7509999999999999</v>
      </c>
      <c r="P72" s="7">
        <v>1799.3384000000001</v>
      </c>
      <c r="Q72" s="7">
        <v>1725.6515999999999</v>
      </c>
      <c r="R72" s="7" t="str">
        <f t="shared" si="15"/>
        <v>Down</v>
      </c>
      <c r="S72" s="7" t="str">
        <f t="shared" si="16"/>
        <v>Hold</v>
      </c>
      <c r="T72" s="8">
        <f t="shared" si="17"/>
        <v>0.10356060054595083</v>
      </c>
      <c r="U72" s="18">
        <f t="shared" si="18"/>
        <v>4713009</v>
      </c>
      <c r="V72" s="7">
        <f t="shared" si="19"/>
        <v>5586.2002000000002</v>
      </c>
      <c r="W72" s="7">
        <f t="shared" si="20"/>
        <v>1615.1</v>
      </c>
      <c r="X72" s="7">
        <f t="shared" si="21"/>
        <v>1787.1</v>
      </c>
      <c r="Y72" s="7">
        <f t="shared" si="22"/>
        <v>469</v>
      </c>
      <c r="Z72" s="7">
        <f t="shared" si="23"/>
        <v>1632620</v>
      </c>
      <c r="AA72" s="7" t="str">
        <f t="shared" si="24"/>
        <v>22-Oct-2021</v>
      </c>
      <c r="AB72" s="7">
        <f t="shared" si="25"/>
        <v>1787.1</v>
      </c>
      <c r="AC72" s="7">
        <f t="shared" si="30"/>
        <v>1</v>
      </c>
      <c r="AD72" s="7">
        <f t="shared" si="27"/>
        <v>2021</v>
      </c>
      <c r="AE72" s="19">
        <f t="shared" si="28"/>
        <v>0.28999999999999998</v>
      </c>
      <c r="BA72" s="10">
        <f t="shared" si="29"/>
        <v>84.376900000000006</v>
      </c>
    </row>
    <row r="73" spans="1:53" x14ac:dyDescent="0.3">
      <c r="A73" s="17">
        <v>44494</v>
      </c>
      <c r="B73" s="8">
        <v>1806</v>
      </c>
      <c r="C73" s="7">
        <v>1809</v>
      </c>
      <c r="D73" s="7">
        <v>1794</v>
      </c>
      <c r="E73" s="7">
        <v>1794.3</v>
      </c>
      <c r="F73" s="18">
        <v>140</v>
      </c>
      <c r="G73" s="7">
        <v>1781.6713999999999</v>
      </c>
      <c r="H73" s="7">
        <v>1766.6067</v>
      </c>
      <c r="I73" s="7">
        <v>1784.1133</v>
      </c>
      <c r="J73" s="8">
        <v>0.40289999999999998</v>
      </c>
      <c r="K73" s="7">
        <v>0.88</v>
      </c>
      <c r="L73" s="7">
        <v>0.81359999999999999</v>
      </c>
      <c r="M73" s="8">
        <v>61.295200000000001</v>
      </c>
      <c r="N73" s="8">
        <v>3.6274999999999999</v>
      </c>
      <c r="O73" s="7">
        <v>-0.67530000000000001</v>
      </c>
      <c r="P73" s="7">
        <v>1803.6987999999999</v>
      </c>
      <c r="Q73" s="7">
        <v>1725.5512000000001</v>
      </c>
      <c r="R73" s="7" t="str">
        <f t="shared" si="15"/>
        <v>Down</v>
      </c>
      <c r="S73" s="7" t="str">
        <f t="shared" si="16"/>
        <v>Hold</v>
      </c>
      <c r="T73" s="8">
        <f t="shared" si="17"/>
        <v>0.10339426229508193</v>
      </c>
      <c r="U73" s="18">
        <f t="shared" si="18"/>
        <v>4712477</v>
      </c>
      <c r="V73" s="7">
        <f t="shared" si="19"/>
        <v>5586.2002000000002</v>
      </c>
      <c r="W73" s="7">
        <f t="shared" si="20"/>
        <v>1615.1</v>
      </c>
      <c r="X73" s="7">
        <f t="shared" si="21"/>
        <v>1794.3</v>
      </c>
      <c r="Y73" s="7">
        <f t="shared" si="22"/>
        <v>469</v>
      </c>
      <c r="Z73" s="7">
        <f t="shared" si="23"/>
        <v>1632620</v>
      </c>
      <c r="AA73" s="7" t="str">
        <f t="shared" si="24"/>
        <v>25-Oct-2021</v>
      </c>
      <c r="AB73" s="7">
        <f t="shared" si="25"/>
        <v>1794.3</v>
      </c>
      <c r="AC73" s="7">
        <f t="shared" si="30"/>
        <v>1</v>
      </c>
      <c r="AD73" s="7">
        <f t="shared" si="27"/>
        <v>2021</v>
      </c>
      <c r="AE73" s="19">
        <f t="shared" si="28"/>
        <v>0.4</v>
      </c>
      <c r="BA73" s="10">
        <f t="shared" si="29"/>
        <v>84.376900000000006</v>
      </c>
    </row>
    <row r="74" spans="1:53" x14ac:dyDescent="0.3">
      <c r="A74" s="17">
        <v>44495</v>
      </c>
      <c r="B74" s="8">
        <v>1792.7</v>
      </c>
      <c r="C74" s="7">
        <v>1808.8</v>
      </c>
      <c r="D74" s="7">
        <v>1788.6</v>
      </c>
      <c r="E74" s="7">
        <v>1808.8</v>
      </c>
      <c r="F74" s="18">
        <v>359</v>
      </c>
      <c r="G74" s="7">
        <v>1783.7143000000001</v>
      </c>
      <c r="H74" s="7">
        <v>1767.1867</v>
      </c>
      <c r="I74" s="7">
        <v>1784.4811</v>
      </c>
      <c r="J74" s="8">
        <v>0.80810000000000004</v>
      </c>
      <c r="K74" s="7">
        <v>0.93</v>
      </c>
      <c r="L74" s="7">
        <v>0.82640000000000002</v>
      </c>
      <c r="M74" s="8">
        <v>67.392799999999994</v>
      </c>
      <c r="N74" s="8">
        <v>5.8966000000000003</v>
      </c>
      <c r="O74" s="7">
        <v>0.6391</v>
      </c>
      <c r="P74" s="7">
        <v>1809.9818</v>
      </c>
      <c r="Q74" s="7">
        <v>1726.1882000000001</v>
      </c>
      <c r="R74" s="7" t="str">
        <f t="shared" si="15"/>
        <v>Up</v>
      </c>
      <c r="S74" s="7" t="str">
        <f t="shared" si="16"/>
        <v>Hold</v>
      </c>
      <c r="T74" s="8">
        <f t="shared" si="17"/>
        <v>0.1031212397447584</v>
      </c>
      <c r="U74" s="18">
        <f t="shared" si="18"/>
        <v>4712337</v>
      </c>
      <c r="V74" s="7">
        <f t="shared" si="19"/>
        <v>5586.2002000000002</v>
      </c>
      <c r="W74" s="7">
        <f t="shared" si="20"/>
        <v>1615.1</v>
      </c>
      <c r="X74" s="7">
        <f t="shared" si="21"/>
        <v>1808.8</v>
      </c>
      <c r="Y74" s="7">
        <f t="shared" si="22"/>
        <v>469</v>
      </c>
      <c r="Z74" s="7">
        <f t="shared" si="23"/>
        <v>1632620</v>
      </c>
      <c r="AA74" s="7" t="str">
        <f t="shared" si="24"/>
        <v>26-Oct-2021</v>
      </c>
      <c r="AB74" s="7">
        <f t="shared" si="25"/>
        <v>1808.8</v>
      </c>
      <c r="AC74" s="7">
        <f t="shared" si="30"/>
        <v>1</v>
      </c>
      <c r="AD74" s="7">
        <f t="shared" si="27"/>
        <v>2021</v>
      </c>
      <c r="AE74" s="19">
        <f t="shared" si="28"/>
        <v>0.81</v>
      </c>
      <c r="BA74" s="10">
        <f t="shared" si="29"/>
        <v>84.376900000000006</v>
      </c>
    </row>
    <row r="75" spans="1:53" x14ac:dyDescent="0.3">
      <c r="A75" s="17">
        <v>44496</v>
      </c>
      <c r="B75" s="8">
        <v>1797.9</v>
      </c>
      <c r="C75" s="7">
        <v>1798.1</v>
      </c>
      <c r="D75" s="7">
        <v>1791.5</v>
      </c>
      <c r="E75" s="7">
        <v>1791.5</v>
      </c>
      <c r="F75" s="18">
        <v>543</v>
      </c>
      <c r="G75" s="7">
        <v>1787.9857</v>
      </c>
      <c r="H75" s="7">
        <v>1766.78</v>
      </c>
      <c r="I75" s="7">
        <v>1784.7333000000001</v>
      </c>
      <c r="J75" s="8">
        <v>-0.95640000000000003</v>
      </c>
      <c r="K75" s="7">
        <v>0.6361</v>
      </c>
      <c r="L75" s="7">
        <v>0.83620000000000005</v>
      </c>
      <c r="M75" s="8">
        <v>59.2971</v>
      </c>
      <c r="N75" s="8">
        <v>6.2270000000000003</v>
      </c>
      <c r="O75" s="7">
        <v>1.7566999999999999</v>
      </c>
      <c r="P75" s="7">
        <v>1810.6116</v>
      </c>
      <c r="Q75" s="7">
        <v>1731.4684</v>
      </c>
      <c r="R75" s="7" t="str">
        <f t="shared" si="15"/>
        <v>Down</v>
      </c>
      <c r="S75" s="7" t="str">
        <f t="shared" si="16"/>
        <v>Hold</v>
      </c>
      <c r="T75" s="8">
        <f t="shared" si="17"/>
        <v>0.10247801094890506</v>
      </c>
      <c r="U75" s="18">
        <f t="shared" si="18"/>
        <v>4711978</v>
      </c>
      <c r="V75" s="7">
        <f t="shared" si="19"/>
        <v>5586.2002000000002</v>
      </c>
      <c r="W75" s="7">
        <f t="shared" si="20"/>
        <v>1615.1</v>
      </c>
      <c r="X75" s="7">
        <f t="shared" si="21"/>
        <v>1791.5</v>
      </c>
      <c r="Y75" s="7">
        <f t="shared" si="22"/>
        <v>468</v>
      </c>
      <c r="Z75" s="7">
        <f t="shared" si="23"/>
        <v>1632261</v>
      </c>
      <c r="AA75" s="7" t="str">
        <f t="shared" si="24"/>
        <v>27-Oct-2021</v>
      </c>
      <c r="AB75" s="7">
        <f t="shared" si="25"/>
        <v>1791.5</v>
      </c>
      <c r="AC75" s="7">
        <f t="shared" si="30"/>
        <v>1</v>
      </c>
      <c r="AD75" s="7">
        <f t="shared" si="27"/>
        <v>2021</v>
      </c>
      <c r="AE75" s="19">
        <f t="shared" si="28"/>
        <v>-0.96</v>
      </c>
      <c r="BA75" s="10">
        <f t="shared" si="29"/>
        <v>84.376900000000006</v>
      </c>
    </row>
    <row r="76" spans="1:53" x14ac:dyDescent="0.3">
      <c r="A76" s="17">
        <v>44497</v>
      </c>
      <c r="B76" s="8">
        <v>1801.6</v>
      </c>
      <c r="C76" s="7">
        <v>1807.3</v>
      </c>
      <c r="D76" s="7">
        <v>1795.5</v>
      </c>
      <c r="E76" s="7">
        <v>1795.5</v>
      </c>
      <c r="F76" s="18">
        <v>452</v>
      </c>
      <c r="G76" s="7">
        <v>1790.5428999999999</v>
      </c>
      <c r="H76" s="7">
        <v>1766.8667</v>
      </c>
      <c r="I76" s="7">
        <v>1784.8678</v>
      </c>
      <c r="J76" s="8">
        <v>0.2233</v>
      </c>
      <c r="K76" s="7">
        <v>0.56540000000000001</v>
      </c>
      <c r="L76" s="7">
        <v>0.83</v>
      </c>
      <c r="M76" s="8">
        <v>62.411299999999997</v>
      </c>
      <c r="N76" s="8">
        <v>6.7340999999999998</v>
      </c>
      <c r="O76" s="7">
        <v>2.7521</v>
      </c>
      <c r="P76" s="7">
        <v>1809.2340999999999</v>
      </c>
      <c r="Q76" s="7">
        <v>1739.846</v>
      </c>
      <c r="R76" s="7" t="str">
        <f t="shared" si="15"/>
        <v>Down</v>
      </c>
      <c r="S76" s="7" t="str">
        <f t="shared" si="16"/>
        <v>Hold</v>
      </c>
      <c r="T76" s="8">
        <f t="shared" si="17"/>
        <v>0.1034450228310502</v>
      </c>
      <c r="U76" s="18">
        <f t="shared" si="18"/>
        <v>4711435</v>
      </c>
      <c r="V76" s="7">
        <f t="shared" si="19"/>
        <v>5586.2002000000002</v>
      </c>
      <c r="W76" s="7">
        <f t="shared" si="20"/>
        <v>1615.1</v>
      </c>
      <c r="X76" s="7">
        <f t="shared" si="21"/>
        <v>1795.5</v>
      </c>
      <c r="Y76" s="7">
        <f t="shared" si="22"/>
        <v>468</v>
      </c>
      <c r="Z76" s="7">
        <f t="shared" si="23"/>
        <v>1632261</v>
      </c>
      <c r="AA76" s="7" t="str">
        <f t="shared" si="24"/>
        <v>28-Oct-2021</v>
      </c>
      <c r="AB76" s="7">
        <f t="shared" si="25"/>
        <v>1795.5</v>
      </c>
      <c r="AC76" s="7">
        <f t="shared" si="30"/>
        <v>1</v>
      </c>
      <c r="AD76" s="7">
        <f t="shared" si="27"/>
        <v>2021</v>
      </c>
      <c r="AE76" s="19">
        <f t="shared" si="28"/>
        <v>0.22</v>
      </c>
      <c r="BA76" s="10">
        <f t="shared" si="29"/>
        <v>84.376900000000006</v>
      </c>
    </row>
    <row r="77" spans="1:53" x14ac:dyDescent="0.3">
      <c r="A77" s="17">
        <v>44498</v>
      </c>
      <c r="B77" s="8">
        <v>1783</v>
      </c>
      <c r="C77" s="7">
        <v>1797</v>
      </c>
      <c r="D77" s="7">
        <v>1774.6</v>
      </c>
      <c r="E77" s="7">
        <v>1793.1</v>
      </c>
      <c r="F77" s="18">
        <v>583</v>
      </c>
      <c r="G77" s="7">
        <v>1793.1857</v>
      </c>
      <c r="H77" s="7">
        <v>1768.01</v>
      </c>
      <c r="I77" s="7">
        <v>1785.0056</v>
      </c>
      <c r="J77" s="8">
        <v>-0.13370000000000001</v>
      </c>
      <c r="K77" s="7">
        <v>0.56230000000000002</v>
      </c>
      <c r="L77" s="7">
        <v>0.74839999999999995</v>
      </c>
      <c r="M77" s="8">
        <v>61.616799999999998</v>
      </c>
      <c r="N77" s="8">
        <v>6.8631000000000002</v>
      </c>
      <c r="O77" s="7">
        <v>3.5743</v>
      </c>
      <c r="P77" s="7">
        <v>1810.7453</v>
      </c>
      <c r="Q77" s="7">
        <v>1742.2148</v>
      </c>
      <c r="R77" s="7" t="str">
        <f t="shared" si="15"/>
        <v>Up</v>
      </c>
      <c r="S77" s="7" t="str">
        <f t="shared" si="16"/>
        <v>Hold</v>
      </c>
      <c r="T77" s="8">
        <f t="shared" si="17"/>
        <v>0.10333546617915901</v>
      </c>
      <c r="U77" s="18">
        <f t="shared" si="18"/>
        <v>4710983</v>
      </c>
      <c r="V77" s="7">
        <f t="shared" si="19"/>
        <v>5586.2002000000002</v>
      </c>
      <c r="W77" s="7">
        <f t="shared" si="20"/>
        <v>1615.1</v>
      </c>
      <c r="X77" s="7">
        <f t="shared" si="21"/>
        <v>1793.1</v>
      </c>
      <c r="Y77" s="7">
        <f t="shared" si="22"/>
        <v>468</v>
      </c>
      <c r="Z77" s="7">
        <f t="shared" si="23"/>
        <v>1632261</v>
      </c>
      <c r="AA77" s="7" t="str">
        <f t="shared" si="24"/>
        <v>29-Oct-2021</v>
      </c>
      <c r="AB77" s="7">
        <f t="shared" si="25"/>
        <v>1793.1</v>
      </c>
      <c r="AC77" s="7">
        <f t="shared" si="30"/>
        <v>1</v>
      </c>
      <c r="AD77" s="7">
        <f t="shared" si="27"/>
        <v>2021</v>
      </c>
      <c r="AE77" s="19">
        <f t="shared" si="28"/>
        <v>-0.13</v>
      </c>
      <c r="BA77" s="10">
        <f t="shared" si="29"/>
        <v>84.376900000000006</v>
      </c>
    </row>
    <row r="78" spans="1:53" x14ac:dyDescent="0.3">
      <c r="A78" s="17">
        <v>44501</v>
      </c>
      <c r="B78" s="8">
        <v>1795.1</v>
      </c>
      <c r="C78" s="7">
        <v>1795.1</v>
      </c>
      <c r="D78" s="7">
        <v>1786.7</v>
      </c>
      <c r="E78" s="7">
        <v>1787.5</v>
      </c>
      <c r="F78" s="18">
        <v>142</v>
      </c>
      <c r="G78" s="7">
        <v>1793.9713999999999</v>
      </c>
      <c r="H78" s="7">
        <v>1769.2</v>
      </c>
      <c r="I78" s="7">
        <v>1785.1011000000001</v>
      </c>
      <c r="J78" s="8">
        <v>-0.31230000000000002</v>
      </c>
      <c r="K78" s="7">
        <v>0.57199999999999995</v>
      </c>
      <c r="L78" s="7">
        <v>0.74680000000000002</v>
      </c>
      <c r="M78" s="8">
        <v>61.265799999999999</v>
      </c>
      <c r="N78" s="8">
        <v>6.4393000000000002</v>
      </c>
      <c r="O78" s="7">
        <v>4.1473000000000004</v>
      </c>
      <c r="P78" s="7">
        <v>1811.7457999999999</v>
      </c>
      <c r="Q78" s="7">
        <v>1743.5142000000001</v>
      </c>
      <c r="R78" s="7" t="str">
        <f t="shared" si="15"/>
        <v>Down</v>
      </c>
      <c r="S78" s="7" t="str">
        <f t="shared" si="16"/>
        <v>Hold</v>
      </c>
      <c r="T78" s="8">
        <f t="shared" si="17"/>
        <v>0.10355233302836227</v>
      </c>
      <c r="U78" s="18">
        <f t="shared" si="18"/>
        <v>4710400</v>
      </c>
      <c r="V78" s="7">
        <f t="shared" si="19"/>
        <v>5586.2002000000002</v>
      </c>
      <c r="W78" s="7">
        <f t="shared" si="20"/>
        <v>1615.1</v>
      </c>
      <c r="X78" s="7">
        <f t="shared" si="21"/>
        <v>1787.5</v>
      </c>
      <c r="Y78" s="7">
        <f t="shared" si="22"/>
        <v>467</v>
      </c>
      <c r="Z78" s="7">
        <f t="shared" si="23"/>
        <v>1631678</v>
      </c>
      <c r="AA78" s="7" t="str">
        <f t="shared" si="24"/>
        <v>01-Nov-2021</v>
      </c>
      <c r="AB78" s="7">
        <f t="shared" si="25"/>
        <v>1787.5</v>
      </c>
      <c r="AC78" s="7">
        <f t="shared" si="30"/>
        <v>1</v>
      </c>
      <c r="AD78" s="7">
        <f t="shared" si="27"/>
        <v>2021</v>
      </c>
      <c r="AE78" s="19">
        <f t="shared" si="28"/>
        <v>-0.31</v>
      </c>
      <c r="BA78" s="10">
        <f t="shared" si="29"/>
        <v>84.376900000000006</v>
      </c>
    </row>
    <row r="79" spans="1:53" x14ac:dyDescent="0.3">
      <c r="A79" s="17">
        <v>44502</v>
      </c>
      <c r="B79" s="8">
        <v>1788.7</v>
      </c>
      <c r="C79" s="7">
        <v>1795.5</v>
      </c>
      <c r="D79" s="7">
        <v>1787.7</v>
      </c>
      <c r="E79" s="7">
        <v>1790.5</v>
      </c>
      <c r="F79" s="18">
        <v>213</v>
      </c>
      <c r="G79" s="7">
        <v>1794.4572000000001</v>
      </c>
      <c r="H79" s="7">
        <v>1770.1433</v>
      </c>
      <c r="I79" s="7">
        <v>1785.2433000000001</v>
      </c>
      <c r="J79" s="8">
        <v>0.1678</v>
      </c>
      <c r="K79" s="7">
        <v>0.56540000000000001</v>
      </c>
      <c r="L79" s="7">
        <v>0.74050000000000005</v>
      </c>
      <c r="M79" s="8">
        <v>59.763300000000001</v>
      </c>
      <c r="N79" s="8">
        <v>6.2732000000000001</v>
      </c>
      <c r="O79" s="7">
        <v>4.5724999999999998</v>
      </c>
      <c r="P79" s="7">
        <v>1812.9124999999999</v>
      </c>
      <c r="Q79" s="7">
        <v>1744.9675</v>
      </c>
      <c r="R79" s="7" t="str">
        <f t="shared" si="15"/>
        <v>Up</v>
      </c>
      <c r="S79" s="7" t="str">
        <f t="shared" si="16"/>
        <v>Hold</v>
      </c>
      <c r="T79" s="8">
        <f t="shared" si="17"/>
        <v>0.10393315018315014</v>
      </c>
      <c r="U79" s="18">
        <f t="shared" si="18"/>
        <v>4710258</v>
      </c>
      <c r="V79" s="7">
        <f t="shared" si="19"/>
        <v>5586.2002000000002</v>
      </c>
      <c r="W79" s="7">
        <f t="shared" si="20"/>
        <v>1615.1</v>
      </c>
      <c r="X79" s="7">
        <f t="shared" si="21"/>
        <v>1790.5</v>
      </c>
      <c r="Y79" s="7">
        <f t="shared" si="22"/>
        <v>467</v>
      </c>
      <c r="Z79" s="7">
        <f t="shared" si="23"/>
        <v>1631678</v>
      </c>
      <c r="AA79" s="7" t="str">
        <f t="shared" si="24"/>
        <v>02-Nov-2021</v>
      </c>
      <c r="AB79" s="7">
        <f t="shared" si="25"/>
        <v>1790.5</v>
      </c>
      <c r="AC79" s="7">
        <f t="shared" si="30"/>
        <v>1</v>
      </c>
      <c r="AD79" s="7">
        <f t="shared" si="27"/>
        <v>2021</v>
      </c>
      <c r="AE79" s="19">
        <f t="shared" si="28"/>
        <v>0.17</v>
      </c>
      <c r="BA79" s="10">
        <f t="shared" si="29"/>
        <v>84.376900000000006</v>
      </c>
    </row>
    <row r="80" spans="1:53" x14ac:dyDescent="0.3">
      <c r="A80" s="17">
        <v>44503</v>
      </c>
      <c r="B80" s="8">
        <v>1763.6</v>
      </c>
      <c r="C80" s="7">
        <v>1768</v>
      </c>
      <c r="D80" s="7">
        <v>1761.8</v>
      </c>
      <c r="E80" s="7">
        <v>1768</v>
      </c>
      <c r="F80" s="18">
        <v>108</v>
      </c>
      <c r="G80" s="7">
        <v>1790.7</v>
      </c>
      <c r="H80" s="7">
        <v>1769.8533</v>
      </c>
      <c r="I80" s="7">
        <v>1785.1143999999999</v>
      </c>
      <c r="J80" s="8">
        <v>-1.2565999999999999</v>
      </c>
      <c r="K80" s="7">
        <v>0.71130000000000004</v>
      </c>
      <c r="L80" s="7">
        <v>0.76319999999999999</v>
      </c>
      <c r="M80" s="8">
        <v>41.5503</v>
      </c>
      <c r="N80" s="8">
        <v>4.2766999999999999</v>
      </c>
      <c r="O80" s="7">
        <v>4.5133000000000001</v>
      </c>
      <c r="P80" s="7">
        <v>1812.5008</v>
      </c>
      <c r="Q80" s="7">
        <v>1746.2492</v>
      </c>
      <c r="R80" s="7" t="str">
        <f t="shared" si="15"/>
        <v>Up</v>
      </c>
      <c r="S80" s="7" t="str">
        <f t="shared" si="16"/>
        <v>Hold</v>
      </c>
      <c r="T80" s="8">
        <f t="shared" si="17"/>
        <v>0.1038746104491292</v>
      </c>
      <c r="U80" s="18">
        <f t="shared" si="18"/>
        <v>4710045</v>
      </c>
      <c r="V80" s="7">
        <f t="shared" si="19"/>
        <v>5586.2002000000002</v>
      </c>
      <c r="W80" s="7">
        <f t="shared" si="20"/>
        <v>1615.1</v>
      </c>
      <c r="X80" s="7">
        <f t="shared" si="21"/>
        <v>1768</v>
      </c>
      <c r="Y80" s="7">
        <f t="shared" si="22"/>
        <v>466</v>
      </c>
      <c r="Z80" s="7">
        <f t="shared" si="23"/>
        <v>1631465</v>
      </c>
      <c r="AA80" s="7" t="str">
        <f t="shared" si="24"/>
        <v>03-Nov-2021</v>
      </c>
      <c r="AB80" s="7">
        <f t="shared" si="25"/>
        <v>1768</v>
      </c>
      <c r="AC80" s="7">
        <f t="shared" si="30"/>
        <v>1</v>
      </c>
      <c r="AD80" s="7">
        <f t="shared" si="27"/>
        <v>2021</v>
      </c>
      <c r="AE80" s="19">
        <f t="shared" si="28"/>
        <v>-1.26</v>
      </c>
      <c r="BA80" s="10">
        <f t="shared" si="29"/>
        <v>84.376900000000006</v>
      </c>
    </row>
    <row r="81" spans="1:53" x14ac:dyDescent="0.3">
      <c r="A81" s="17">
        <v>44504</v>
      </c>
      <c r="B81" s="8">
        <v>1793</v>
      </c>
      <c r="C81" s="7">
        <v>1798.2</v>
      </c>
      <c r="D81" s="7">
        <v>1776.2</v>
      </c>
      <c r="E81" s="7">
        <v>1776.6</v>
      </c>
      <c r="F81" s="18">
        <v>103</v>
      </c>
      <c r="G81" s="7">
        <v>1786.1</v>
      </c>
      <c r="H81" s="7">
        <v>1770.18</v>
      </c>
      <c r="I81" s="7">
        <v>1785.1122</v>
      </c>
      <c r="J81" s="8">
        <v>0.4864</v>
      </c>
      <c r="K81" s="7">
        <v>0.64170000000000005</v>
      </c>
      <c r="L81" s="7">
        <v>0.76129999999999998</v>
      </c>
      <c r="M81" s="8">
        <v>44.013399999999997</v>
      </c>
      <c r="N81" s="8">
        <v>3.3498000000000001</v>
      </c>
      <c r="O81" s="7">
        <v>4.2805999999999997</v>
      </c>
      <c r="P81" s="7">
        <v>1812.2744</v>
      </c>
      <c r="Q81" s="7">
        <v>1747.8956000000001</v>
      </c>
      <c r="R81" s="7" t="str">
        <f t="shared" si="15"/>
        <v>Down</v>
      </c>
      <c r="S81" s="7" t="str">
        <f t="shared" si="16"/>
        <v>Hold</v>
      </c>
      <c r="T81" s="8">
        <f t="shared" si="17"/>
        <v>0.10512275229357795</v>
      </c>
      <c r="U81" s="18">
        <f t="shared" si="18"/>
        <v>4709937</v>
      </c>
      <c r="V81" s="7">
        <f t="shared" si="19"/>
        <v>5586.2002000000002</v>
      </c>
      <c r="W81" s="7">
        <f t="shared" si="20"/>
        <v>1615.1</v>
      </c>
      <c r="X81" s="7">
        <f t="shared" si="21"/>
        <v>1776.6</v>
      </c>
      <c r="Y81" s="7">
        <f t="shared" si="22"/>
        <v>465</v>
      </c>
      <c r="Z81" s="7">
        <f t="shared" si="23"/>
        <v>1631357</v>
      </c>
      <c r="AA81" s="7" t="str">
        <f t="shared" si="24"/>
        <v>04-Nov-2021</v>
      </c>
      <c r="AB81" s="7">
        <f t="shared" si="25"/>
        <v>1776.6</v>
      </c>
      <c r="AC81" s="7">
        <f t="shared" si="30"/>
        <v>1</v>
      </c>
      <c r="AD81" s="7">
        <f t="shared" si="27"/>
        <v>2021</v>
      </c>
      <c r="AE81" s="19">
        <f t="shared" si="28"/>
        <v>0.49</v>
      </c>
      <c r="BA81" s="10">
        <f t="shared" si="29"/>
        <v>84.376900000000006</v>
      </c>
    </row>
    <row r="82" spans="1:53" x14ac:dyDescent="0.3">
      <c r="A82" s="17">
        <v>44505</v>
      </c>
      <c r="B82" s="8">
        <v>1816.4</v>
      </c>
      <c r="C82" s="7">
        <v>1817.1</v>
      </c>
      <c r="D82" s="7">
        <v>1794.9</v>
      </c>
      <c r="E82" s="7">
        <v>1794.9</v>
      </c>
      <c r="F82" s="18">
        <v>239</v>
      </c>
      <c r="G82" s="7">
        <v>1786.5857000000001</v>
      </c>
      <c r="H82" s="7">
        <v>1771.6867</v>
      </c>
      <c r="I82" s="7">
        <v>1785.4878000000001</v>
      </c>
      <c r="J82" s="8">
        <v>1.0301</v>
      </c>
      <c r="K82" s="7">
        <v>0.71460000000000001</v>
      </c>
      <c r="L82" s="7">
        <v>0.75919999999999999</v>
      </c>
      <c r="M82" s="8">
        <v>62.342500000000001</v>
      </c>
      <c r="N82" s="8">
        <v>4.0452000000000004</v>
      </c>
      <c r="O82" s="7">
        <v>4.2336</v>
      </c>
      <c r="P82" s="7">
        <v>1812.8839</v>
      </c>
      <c r="Q82" s="7">
        <v>1751.0761</v>
      </c>
      <c r="R82" s="7" t="str">
        <f t="shared" si="15"/>
        <v>Down</v>
      </c>
      <c r="S82" s="7" t="str">
        <f t="shared" si="16"/>
        <v>Hold</v>
      </c>
      <c r="T82" s="8">
        <f t="shared" si="17"/>
        <v>0.10477263544536268</v>
      </c>
      <c r="U82" s="18">
        <f t="shared" si="18"/>
        <v>4709834</v>
      </c>
      <c r="V82" s="7">
        <f t="shared" si="19"/>
        <v>5586.2002000000002</v>
      </c>
      <c r="W82" s="7">
        <f t="shared" si="20"/>
        <v>1615.1</v>
      </c>
      <c r="X82" s="7">
        <f t="shared" si="21"/>
        <v>1794.9</v>
      </c>
      <c r="Y82" s="7">
        <f t="shared" si="22"/>
        <v>465</v>
      </c>
      <c r="Z82" s="7">
        <f t="shared" si="23"/>
        <v>1631357</v>
      </c>
      <c r="AA82" s="7" t="str">
        <f t="shared" si="24"/>
        <v>05-Nov-2021</v>
      </c>
      <c r="AB82" s="7">
        <f t="shared" si="25"/>
        <v>1794.9</v>
      </c>
      <c r="AC82" s="7">
        <f t="shared" si="30"/>
        <v>1</v>
      </c>
      <c r="AD82" s="7">
        <f t="shared" si="27"/>
        <v>2021</v>
      </c>
      <c r="AE82" s="19">
        <f t="shared" si="28"/>
        <v>1.03</v>
      </c>
      <c r="BA82" s="10">
        <f t="shared" si="29"/>
        <v>84.376900000000006</v>
      </c>
    </row>
    <row r="83" spans="1:53" x14ac:dyDescent="0.3">
      <c r="A83" s="17">
        <v>44508</v>
      </c>
      <c r="B83" s="8">
        <v>1827.4</v>
      </c>
      <c r="C83" s="7">
        <v>1827.4</v>
      </c>
      <c r="D83" s="7">
        <v>1816.9</v>
      </c>
      <c r="E83" s="7">
        <v>1817</v>
      </c>
      <c r="F83" s="18">
        <v>261</v>
      </c>
      <c r="G83" s="7">
        <v>1789.6570999999999</v>
      </c>
      <c r="H83" s="7">
        <v>1773.8633</v>
      </c>
      <c r="I83" s="7">
        <v>1785.9467</v>
      </c>
      <c r="J83" s="8">
        <v>1.2313000000000001</v>
      </c>
      <c r="K83" s="7">
        <v>0.84909999999999997</v>
      </c>
      <c r="L83" s="7">
        <v>0.78739999999999999</v>
      </c>
      <c r="M83" s="8">
        <v>63.971600000000002</v>
      </c>
      <c r="N83" s="8">
        <v>6.3068999999999997</v>
      </c>
      <c r="O83" s="7">
        <v>4.6482000000000001</v>
      </c>
      <c r="P83" s="7">
        <v>1817.2371000000001</v>
      </c>
      <c r="Q83" s="7">
        <v>1752.7628999999999</v>
      </c>
      <c r="R83" s="7" t="str">
        <f t="shared" si="15"/>
        <v>Down</v>
      </c>
      <c r="S83" s="7" t="str">
        <f t="shared" si="16"/>
        <v>Hold</v>
      </c>
      <c r="T83" s="8">
        <f t="shared" si="17"/>
        <v>0.10392215073529408</v>
      </c>
      <c r="U83" s="18">
        <f t="shared" si="18"/>
        <v>4709595</v>
      </c>
      <c r="V83" s="7">
        <f t="shared" si="19"/>
        <v>5586.2002000000002</v>
      </c>
      <c r="W83" s="7">
        <f t="shared" si="20"/>
        <v>1615.1</v>
      </c>
      <c r="X83" s="7">
        <f t="shared" si="21"/>
        <v>1817</v>
      </c>
      <c r="Y83" s="7">
        <f t="shared" si="22"/>
        <v>465</v>
      </c>
      <c r="Z83" s="7">
        <f t="shared" si="23"/>
        <v>1631357</v>
      </c>
      <c r="AA83" s="7" t="str">
        <f t="shared" si="24"/>
        <v>08-Nov-2021</v>
      </c>
      <c r="AB83" s="7">
        <f t="shared" si="25"/>
        <v>1817</v>
      </c>
      <c r="AC83" s="7">
        <f t="shared" si="30"/>
        <v>1</v>
      </c>
      <c r="AD83" s="7">
        <f t="shared" si="27"/>
        <v>2021</v>
      </c>
      <c r="AE83" s="19">
        <f t="shared" si="28"/>
        <v>1.23</v>
      </c>
      <c r="BA83" s="10">
        <f t="shared" si="29"/>
        <v>84.376900000000006</v>
      </c>
    </row>
    <row r="84" spans="1:53" x14ac:dyDescent="0.3">
      <c r="A84" s="17">
        <v>44509</v>
      </c>
      <c r="B84" s="8">
        <v>1830.2</v>
      </c>
      <c r="C84" s="7">
        <v>1832.7</v>
      </c>
      <c r="D84" s="7">
        <v>1820.7</v>
      </c>
      <c r="E84" s="7">
        <v>1826.1</v>
      </c>
      <c r="F84" s="18">
        <v>170</v>
      </c>
      <c r="G84" s="7">
        <v>1794.3714</v>
      </c>
      <c r="H84" s="7">
        <v>1776.7466999999999</v>
      </c>
      <c r="I84" s="7">
        <v>1786.4733000000001</v>
      </c>
      <c r="J84" s="8">
        <v>0.50080000000000002</v>
      </c>
      <c r="K84" s="7">
        <v>0.8448</v>
      </c>
      <c r="L84" s="7">
        <v>0.77480000000000004</v>
      </c>
      <c r="M84" s="8">
        <v>67.505099999999999</v>
      </c>
      <c r="N84" s="8">
        <v>8.7330000000000005</v>
      </c>
      <c r="O84" s="7">
        <v>5.4652000000000003</v>
      </c>
      <c r="P84" s="7">
        <v>1821.9702</v>
      </c>
      <c r="Q84" s="7">
        <v>1755.4498000000001</v>
      </c>
      <c r="R84" s="7" t="str">
        <f t="shared" si="15"/>
        <v>Down</v>
      </c>
      <c r="S84" s="7" t="str">
        <f t="shared" si="16"/>
        <v>Hold</v>
      </c>
      <c r="T84" s="8">
        <f t="shared" si="17"/>
        <v>0.10288500459981594</v>
      </c>
      <c r="U84" s="18">
        <f t="shared" si="18"/>
        <v>4709334</v>
      </c>
      <c r="V84" s="7">
        <f t="shared" si="19"/>
        <v>5586.2002000000002</v>
      </c>
      <c r="W84" s="7">
        <f t="shared" si="20"/>
        <v>1615.1</v>
      </c>
      <c r="X84" s="7">
        <f t="shared" si="21"/>
        <v>1826.1</v>
      </c>
      <c r="Y84" s="7">
        <f t="shared" si="22"/>
        <v>465</v>
      </c>
      <c r="Z84" s="7">
        <f t="shared" si="23"/>
        <v>1631357</v>
      </c>
      <c r="AA84" s="7" t="str">
        <f t="shared" si="24"/>
        <v>09-Nov-2021</v>
      </c>
      <c r="AB84" s="7">
        <f t="shared" si="25"/>
        <v>1826.1</v>
      </c>
      <c r="AC84" s="7">
        <f t="shared" si="30"/>
        <v>1</v>
      </c>
      <c r="AD84" s="7">
        <f t="shared" si="27"/>
        <v>2021</v>
      </c>
      <c r="AE84" s="19">
        <f t="shared" si="28"/>
        <v>0.5</v>
      </c>
      <c r="BA84" s="10">
        <f t="shared" si="29"/>
        <v>84.376900000000006</v>
      </c>
    </row>
    <row r="85" spans="1:53" x14ac:dyDescent="0.3">
      <c r="A85" s="17">
        <v>44510</v>
      </c>
      <c r="B85" s="8">
        <v>1847.6</v>
      </c>
      <c r="C85" s="7">
        <v>1865</v>
      </c>
      <c r="D85" s="7">
        <v>1824.9</v>
      </c>
      <c r="E85" s="7">
        <v>1825.8</v>
      </c>
      <c r="F85" s="18">
        <v>795</v>
      </c>
      <c r="G85" s="7">
        <v>1799.8429000000001</v>
      </c>
      <c r="H85" s="7">
        <v>1779.86</v>
      </c>
      <c r="I85" s="7">
        <v>1786.9078</v>
      </c>
      <c r="J85" s="8">
        <v>-1.6400000000000001E-2</v>
      </c>
      <c r="K85" s="7">
        <v>0.81810000000000005</v>
      </c>
      <c r="L85" s="7">
        <v>0.76790000000000003</v>
      </c>
      <c r="M85" s="8">
        <v>65.642899999999997</v>
      </c>
      <c r="N85" s="8">
        <v>10.510300000000001</v>
      </c>
      <c r="O85" s="7">
        <v>6.4741999999999997</v>
      </c>
      <c r="P85" s="7">
        <v>1826.4186</v>
      </c>
      <c r="Q85" s="7">
        <v>1757.5014000000001</v>
      </c>
      <c r="R85" s="7" t="str">
        <f t="shared" si="15"/>
        <v>Down</v>
      </c>
      <c r="S85" s="7" t="str">
        <f t="shared" si="16"/>
        <v>Hold</v>
      </c>
      <c r="T85" s="8">
        <f t="shared" si="17"/>
        <v>0.10251860036832408</v>
      </c>
      <c r="U85" s="18">
        <f t="shared" si="18"/>
        <v>4709164</v>
      </c>
      <c r="V85" s="7">
        <f t="shared" si="19"/>
        <v>5586.2002000000002</v>
      </c>
      <c r="W85" s="7">
        <f t="shared" si="20"/>
        <v>1615.1</v>
      </c>
      <c r="X85" s="7">
        <f t="shared" si="21"/>
        <v>1825.8</v>
      </c>
      <c r="Y85" s="7">
        <f t="shared" si="22"/>
        <v>465</v>
      </c>
      <c r="Z85" s="7">
        <f t="shared" si="23"/>
        <v>1631357</v>
      </c>
      <c r="AA85" s="7" t="str">
        <f t="shared" si="24"/>
        <v>10-Nov-2021</v>
      </c>
      <c r="AB85" s="7">
        <f t="shared" si="25"/>
        <v>1825.8</v>
      </c>
      <c r="AC85" s="7">
        <f t="shared" si="30"/>
        <v>1</v>
      </c>
      <c r="AD85" s="7">
        <f t="shared" si="27"/>
        <v>2021</v>
      </c>
      <c r="AE85" s="19">
        <f t="shared" si="28"/>
        <v>-0.02</v>
      </c>
      <c r="BA85" s="10">
        <f t="shared" si="29"/>
        <v>84.376900000000006</v>
      </c>
    </row>
    <row r="86" spans="1:53" x14ac:dyDescent="0.3">
      <c r="A86" s="17">
        <v>44511</v>
      </c>
      <c r="B86" s="8">
        <v>1863.2</v>
      </c>
      <c r="C86" s="7">
        <v>1866.5</v>
      </c>
      <c r="D86" s="7">
        <v>1853.9</v>
      </c>
      <c r="E86" s="7">
        <v>1853.9</v>
      </c>
      <c r="F86" s="18">
        <v>292</v>
      </c>
      <c r="G86" s="7">
        <v>1808.9</v>
      </c>
      <c r="H86" s="7">
        <v>1784.14</v>
      </c>
      <c r="I86" s="7">
        <v>1787.5210999999999</v>
      </c>
      <c r="J86" s="8">
        <v>1.5389999999999999</v>
      </c>
      <c r="K86" s="7">
        <v>0.93520000000000003</v>
      </c>
      <c r="L86" s="7">
        <v>0.79859999999999998</v>
      </c>
      <c r="M86" s="8">
        <v>70.490799999999993</v>
      </c>
      <c r="N86" s="8">
        <v>14.0246</v>
      </c>
      <c r="O86" s="7">
        <v>7.9843000000000002</v>
      </c>
      <c r="P86" s="7">
        <v>1839.2605000000001</v>
      </c>
      <c r="Q86" s="7">
        <v>1750.8295000000001</v>
      </c>
      <c r="R86" s="7" t="str">
        <f t="shared" si="15"/>
        <v>Down</v>
      </c>
      <c r="S86" s="7" t="str">
        <f t="shared" si="16"/>
        <v>Sell</v>
      </c>
      <c r="T86" s="8">
        <f t="shared" si="17"/>
        <v>0.10262820276497692</v>
      </c>
      <c r="U86" s="18">
        <f t="shared" si="18"/>
        <v>4708369</v>
      </c>
      <c r="V86" s="7">
        <f t="shared" si="19"/>
        <v>5586.2002000000002</v>
      </c>
      <c r="W86" s="7">
        <f t="shared" si="20"/>
        <v>1615.1</v>
      </c>
      <c r="X86" s="7">
        <f t="shared" si="21"/>
        <v>1853.9</v>
      </c>
      <c r="Y86" s="7">
        <f t="shared" si="22"/>
        <v>465</v>
      </c>
      <c r="Z86" s="7">
        <f t="shared" si="23"/>
        <v>1631357</v>
      </c>
      <c r="AA86" s="7" t="str">
        <f t="shared" si="24"/>
        <v>11-Nov-2021</v>
      </c>
      <c r="AB86" s="7">
        <f t="shared" si="25"/>
        <v>1853.9</v>
      </c>
      <c r="AC86" s="7">
        <f t="shared" si="30"/>
        <v>1</v>
      </c>
      <c r="AD86" s="7">
        <f t="shared" si="27"/>
        <v>2021</v>
      </c>
      <c r="AE86" s="19">
        <f t="shared" si="28"/>
        <v>1.54</v>
      </c>
      <c r="BA86" s="10">
        <f t="shared" si="29"/>
        <v>84.376900000000006</v>
      </c>
    </row>
    <row r="87" spans="1:53" x14ac:dyDescent="0.3">
      <c r="A87" s="17">
        <v>44512</v>
      </c>
      <c r="B87" s="8">
        <v>1867.9</v>
      </c>
      <c r="C87" s="7">
        <v>1867.9</v>
      </c>
      <c r="D87" s="7">
        <v>1847.6</v>
      </c>
      <c r="E87" s="7">
        <v>1860.8</v>
      </c>
      <c r="F87" s="18">
        <v>210</v>
      </c>
      <c r="G87" s="7">
        <v>1822.1572000000001</v>
      </c>
      <c r="H87" s="7">
        <v>1787.69</v>
      </c>
      <c r="I87" s="7">
        <v>1788.23</v>
      </c>
      <c r="J87" s="8">
        <v>0.37219999999999998</v>
      </c>
      <c r="K87" s="7">
        <v>0.54659999999999997</v>
      </c>
      <c r="L87" s="7">
        <v>0.75249999999999995</v>
      </c>
      <c r="M87" s="8">
        <v>70.436400000000006</v>
      </c>
      <c r="N87" s="8">
        <v>17.168600000000001</v>
      </c>
      <c r="O87" s="7">
        <v>9.8210999999999995</v>
      </c>
      <c r="P87" s="7">
        <v>1851.4536000000001</v>
      </c>
      <c r="Q87" s="7">
        <v>1745.2664</v>
      </c>
      <c r="R87" s="7" t="str">
        <f t="shared" si="15"/>
        <v>Down</v>
      </c>
      <c r="S87" s="7" t="str">
        <f t="shared" si="16"/>
        <v>Sell</v>
      </c>
      <c r="T87" s="8">
        <f t="shared" si="17"/>
        <v>0.10130313653136523</v>
      </c>
      <c r="U87" s="18">
        <f t="shared" si="18"/>
        <v>4708077</v>
      </c>
      <c r="V87" s="7">
        <f t="shared" si="19"/>
        <v>5586.2002000000002</v>
      </c>
      <c r="W87" s="7">
        <f t="shared" si="20"/>
        <v>1615.1</v>
      </c>
      <c r="X87" s="7">
        <f t="shared" si="21"/>
        <v>1860.8</v>
      </c>
      <c r="Y87" s="7">
        <f t="shared" si="22"/>
        <v>465</v>
      </c>
      <c r="Z87" s="7">
        <f t="shared" si="23"/>
        <v>1631357</v>
      </c>
      <c r="AA87" s="7" t="str">
        <f t="shared" si="24"/>
        <v>12-Nov-2021</v>
      </c>
      <c r="AB87" s="7">
        <f t="shared" si="25"/>
        <v>1860.8</v>
      </c>
      <c r="AC87" s="7">
        <f t="shared" si="30"/>
        <v>1</v>
      </c>
      <c r="AD87" s="7">
        <f t="shared" si="27"/>
        <v>2021</v>
      </c>
      <c r="AE87" s="19">
        <f t="shared" si="28"/>
        <v>0.37</v>
      </c>
      <c r="BA87" s="10">
        <f t="shared" si="29"/>
        <v>84.376900000000006</v>
      </c>
    </row>
    <row r="88" spans="1:53" x14ac:dyDescent="0.3">
      <c r="A88" s="17">
        <v>44515</v>
      </c>
      <c r="B88" s="8">
        <v>1866.1</v>
      </c>
      <c r="C88" s="7">
        <v>1866.9</v>
      </c>
      <c r="D88" s="7">
        <v>1864.5</v>
      </c>
      <c r="E88" s="7">
        <v>1864.5</v>
      </c>
      <c r="F88" s="18">
        <v>87</v>
      </c>
      <c r="G88" s="7">
        <v>1834.7143000000001</v>
      </c>
      <c r="H88" s="7">
        <v>1791.0233000000001</v>
      </c>
      <c r="I88" s="7">
        <v>1788.9067</v>
      </c>
      <c r="J88" s="8">
        <v>0.1988</v>
      </c>
      <c r="K88" s="7">
        <v>0.57830000000000004</v>
      </c>
      <c r="L88" s="7">
        <v>0.74909999999999999</v>
      </c>
      <c r="M88" s="8">
        <v>68.334400000000002</v>
      </c>
      <c r="N88" s="8">
        <v>19.731300000000001</v>
      </c>
      <c r="O88" s="7">
        <v>11.8032</v>
      </c>
      <c r="P88" s="7">
        <v>1861.3317999999999</v>
      </c>
      <c r="Q88" s="7">
        <v>1745.6782000000001</v>
      </c>
      <c r="R88" s="7" t="str">
        <f t="shared" si="15"/>
        <v>Down</v>
      </c>
      <c r="S88" s="7" t="str">
        <f t="shared" si="16"/>
        <v>Hold</v>
      </c>
      <c r="T88" s="8">
        <f t="shared" si="17"/>
        <v>0.10105300092336093</v>
      </c>
      <c r="U88" s="18">
        <f t="shared" si="18"/>
        <v>4707867</v>
      </c>
      <c r="V88" s="7">
        <f t="shared" si="19"/>
        <v>5586.2002000000002</v>
      </c>
      <c r="W88" s="7">
        <f t="shared" si="20"/>
        <v>1615.1</v>
      </c>
      <c r="X88" s="7">
        <f t="shared" si="21"/>
        <v>1864.5</v>
      </c>
      <c r="Y88" s="7">
        <f t="shared" si="22"/>
        <v>465</v>
      </c>
      <c r="Z88" s="7">
        <f t="shared" si="23"/>
        <v>1631357</v>
      </c>
      <c r="AA88" s="7" t="str">
        <f t="shared" si="24"/>
        <v>15-Nov-2021</v>
      </c>
      <c r="AB88" s="7">
        <f t="shared" si="25"/>
        <v>1864.5</v>
      </c>
      <c r="AC88" s="7">
        <f t="shared" si="30"/>
        <v>1</v>
      </c>
      <c r="AD88" s="7">
        <f t="shared" si="27"/>
        <v>2021</v>
      </c>
      <c r="AE88" s="19">
        <f t="shared" si="28"/>
        <v>0.2</v>
      </c>
      <c r="BA88" s="10">
        <f t="shared" si="29"/>
        <v>84.376900000000006</v>
      </c>
    </row>
    <row r="89" spans="1:53" x14ac:dyDescent="0.3">
      <c r="A89" s="17">
        <v>44516</v>
      </c>
      <c r="B89" s="8">
        <v>1853.6</v>
      </c>
      <c r="C89" s="7">
        <v>1853.6</v>
      </c>
      <c r="D89" s="7">
        <v>1853.6</v>
      </c>
      <c r="E89" s="7">
        <v>1853.6</v>
      </c>
      <c r="F89" s="18">
        <v>1</v>
      </c>
      <c r="G89" s="7">
        <v>1843.1</v>
      </c>
      <c r="H89" s="7">
        <v>1794</v>
      </c>
      <c r="I89" s="7">
        <v>1789.4733000000001</v>
      </c>
      <c r="J89" s="8">
        <v>-0.58460000000000001</v>
      </c>
      <c r="K89" s="7">
        <v>0.72509999999999997</v>
      </c>
      <c r="L89" s="7">
        <v>0.76149999999999995</v>
      </c>
      <c r="M89" s="8">
        <v>71.340199999999996</v>
      </c>
      <c r="N89" s="8">
        <v>20.6448</v>
      </c>
      <c r="O89" s="7">
        <v>13.5715</v>
      </c>
      <c r="P89" s="7">
        <v>1867.8869999999999</v>
      </c>
      <c r="Q89" s="7">
        <v>1746.723</v>
      </c>
      <c r="R89" s="7" t="str">
        <f t="shared" si="15"/>
        <v>Down</v>
      </c>
      <c r="S89" s="7" t="str">
        <f t="shared" si="16"/>
        <v>Sell</v>
      </c>
      <c r="T89" s="8">
        <f t="shared" si="17"/>
        <v>0.10096266173752304</v>
      </c>
      <c r="U89" s="18">
        <f t="shared" si="18"/>
        <v>4707780</v>
      </c>
      <c r="V89" s="7">
        <f t="shared" si="19"/>
        <v>5586.2002000000002</v>
      </c>
      <c r="W89" s="7">
        <f t="shared" si="20"/>
        <v>1615.1</v>
      </c>
      <c r="X89" s="7">
        <f t="shared" si="21"/>
        <v>1853.6</v>
      </c>
      <c r="Y89" s="7">
        <f t="shared" si="22"/>
        <v>465</v>
      </c>
      <c r="Z89" s="7">
        <f t="shared" si="23"/>
        <v>1631357</v>
      </c>
      <c r="AA89" s="7" t="str">
        <f t="shared" si="24"/>
        <v>16-Nov-2021</v>
      </c>
      <c r="AB89" s="7">
        <f t="shared" si="25"/>
        <v>1853.6</v>
      </c>
      <c r="AC89" s="7">
        <f t="shared" si="30"/>
        <v>1</v>
      </c>
      <c r="AD89" s="7">
        <f t="shared" si="27"/>
        <v>2021</v>
      </c>
      <c r="AE89" s="19">
        <f t="shared" si="28"/>
        <v>-0.57999999999999996</v>
      </c>
      <c r="BA89" s="10">
        <f t="shared" si="29"/>
        <v>84.376900000000006</v>
      </c>
    </row>
    <row r="90" spans="1:53" x14ac:dyDescent="0.3">
      <c r="A90" s="17">
        <v>44517</v>
      </c>
      <c r="B90" s="8">
        <v>1869.7</v>
      </c>
      <c r="C90" s="7">
        <v>1869.7</v>
      </c>
      <c r="D90" s="7">
        <v>1862.6</v>
      </c>
      <c r="E90" s="7">
        <v>1862.6</v>
      </c>
      <c r="F90" s="18">
        <v>2</v>
      </c>
      <c r="G90" s="7">
        <v>1849.6143</v>
      </c>
      <c r="H90" s="7">
        <v>1797.4432999999999</v>
      </c>
      <c r="I90" s="7">
        <v>1790.0789</v>
      </c>
      <c r="J90" s="8">
        <v>0.48549999999999999</v>
      </c>
      <c r="K90" s="7">
        <v>0.64370000000000005</v>
      </c>
      <c r="L90" s="7">
        <v>0.75870000000000004</v>
      </c>
      <c r="M90" s="8">
        <v>72.292400000000001</v>
      </c>
      <c r="N90" s="8">
        <v>21.8431</v>
      </c>
      <c r="O90" s="7">
        <v>15.2258</v>
      </c>
      <c r="P90" s="7">
        <v>1875.0072</v>
      </c>
      <c r="Q90" s="7">
        <v>1748.4028000000001</v>
      </c>
      <c r="R90" s="7" t="str">
        <f t="shared" si="15"/>
        <v>Down</v>
      </c>
      <c r="S90" s="7" t="str">
        <f t="shared" si="16"/>
        <v>Sell</v>
      </c>
      <c r="T90" s="8">
        <f t="shared" si="17"/>
        <v>0.10159685476410724</v>
      </c>
      <c r="U90" s="18">
        <f t="shared" si="18"/>
        <v>4707779</v>
      </c>
      <c r="V90" s="7">
        <f t="shared" si="19"/>
        <v>5586.2002000000002</v>
      </c>
      <c r="W90" s="7">
        <f t="shared" si="20"/>
        <v>1615.1</v>
      </c>
      <c r="X90" s="7">
        <f t="shared" si="21"/>
        <v>1862.6</v>
      </c>
      <c r="Y90" s="7">
        <f t="shared" si="22"/>
        <v>465</v>
      </c>
      <c r="Z90" s="7">
        <f t="shared" si="23"/>
        <v>1631357</v>
      </c>
      <c r="AA90" s="7" t="str">
        <f t="shared" si="24"/>
        <v>17-Nov-2021</v>
      </c>
      <c r="AB90" s="7">
        <f t="shared" si="25"/>
        <v>1862.6</v>
      </c>
      <c r="AC90" s="7">
        <f t="shared" si="30"/>
        <v>1</v>
      </c>
      <c r="AD90" s="7">
        <f t="shared" si="27"/>
        <v>2021</v>
      </c>
      <c r="AE90" s="19">
        <f t="shared" si="28"/>
        <v>0.49</v>
      </c>
      <c r="BA90" s="10">
        <f t="shared" si="29"/>
        <v>84.376900000000006</v>
      </c>
    </row>
    <row r="91" spans="1:53" x14ac:dyDescent="0.3">
      <c r="A91" s="17">
        <v>44518</v>
      </c>
      <c r="B91" s="8">
        <v>1861</v>
      </c>
      <c r="C91" s="7">
        <v>1861</v>
      </c>
      <c r="D91" s="7">
        <v>1861</v>
      </c>
      <c r="E91" s="7">
        <v>1861</v>
      </c>
      <c r="F91" s="18">
        <v>9</v>
      </c>
      <c r="G91" s="7">
        <v>1854.6</v>
      </c>
      <c r="H91" s="7">
        <v>1800.73</v>
      </c>
      <c r="I91" s="7">
        <v>1790.6111000000001</v>
      </c>
      <c r="J91" s="8">
        <v>-8.5900000000000004E-2</v>
      </c>
      <c r="K91" s="7">
        <v>0.65969999999999995</v>
      </c>
      <c r="L91" s="7">
        <v>0.76039999999999996</v>
      </c>
      <c r="M91" s="8">
        <v>72.678700000000006</v>
      </c>
      <c r="N91" s="8">
        <v>22.4054</v>
      </c>
      <c r="O91" s="7">
        <v>16.6617</v>
      </c>
      <c r="P91" s="7">
        <v>1880.9794999999999</v>
      </c>
      <c r="Q91" s="7">
        <v>1750.3305</v>
      </c>
      <c r="R91" s="7" t="str">
        <f t="shared" si="15"/>
        <v>Down</v>
      </c>
      <c r="S91" s="7" t="str">
        <f t="shared" si="16"/>
        <v>Sell</v>
      </c>
      <c r="T91" s="8">
        <f t="shared" si="17"/>
        <v>0.10124138888888878</v>
      </c>
      <c r="U91" s="18">
        <f t="shared" si="18"/>
        <v>4707777</v>
      </c>
      <c r="V91" s="7">
        <f t="shared" si="19"/>
        <v>5586.2002000000002</v>
      </c>
      <c r="W91" s="7">
        <f t="shared" si="20"/>
        <v>1615.1</v>
      </c>
      <c r="X91" s="7">
        <f t="shared" si="21"/>
        <v>1861</v>
      </c>
      <c r="Y91" s="7">
        <f t="shared" si="22"/>
        <v>465</v>
      </c>
      <c r="Z91" s="7">
        <f t="shared" si="23"/>
        <v>1631357</v>
      </c>
      <c r="AA91" s="7" t="str">
        <f t="shared" si="24"/>
        <v>18-Nov-2021</v>
      </c>
      <c r="AB91" s="7">
        <f t="shared" si="25"/>
        <v>1861</v>
      </c>
      <c r="AC91" s="7">
        <f t="shared" si="30"/>
        <v>1</v>
      </c>
      <c r="AD91" s="7">
        <f t="shared" si="27"/>
        <v>2021</v>
      </c>
      <c r="AE91" s="19">
        <f t="shared" si="28"/>
        <v>-0.09</v>
      </c>
      <c r="BA91" s="10">
        <f t="shared" si="29"/>
        <v>84.376900000000006</v>
      </c>
    </row>
    <row r="92" spans="1:53" x14ac:dyDescent="0.3">
      <c r="A92" s="17">
        <v>44519</v>
      </c>
      <c r="B92" s="8">
        <v>1851.2</v>
      </c>
      <c r="C92" s="7">
        <v>1851.2</v>
      </c>
      <c r="D92" s="7">
        <v>1851.2</v>
      </c>
      <c r="E92" s="7">
        <v>1851.2</v>
      </c>
      <c r="F92" s="18">
        <v>21</v>
      </c>
      <c r="G92" s="7">
        <v>1858.2285999999999</v>
      </c>
      <c r="H92" s="7">
        <v>1803.87</v>
      </c>
      <c r="I92" s="7">
        <v>1790.8289</v>
      </c>
      <c r="J92" s="8">
        <v>-0.52659999999999996</v>
      </c>
      <c r="K92" s="7">
        <v>0.72219999999999995</v>
      </c>
      <c r="L92" s="7">
        <v>0.76639999999999997</v>
      </c>
      <c r="M92" s="8">
        <v>70.695300000000003</v>
      </c>
      <c r="N92" s="8">
        <v>21.808900000000001</v>
      </c>
      <c r="O92" s="7">
        <v>17.691199999999998</v>
      </c>
      <c r="P92" s="7">
        <v>1884.5743</v>
      </c>
      <c r="Q92" s="7">
        <v>1753.1457</v>
      </c>
      <c r="R92" s="7" t="str">
        <f t="shared" si="15"/>
        <v>Down</v>
      </c>
      <c r="S92" s="7" t="str">
        <f t="shared" si="16"/>
        <v>Sell</v>
      </c>
      <c r="T92" s="8">
        <f t="shared" si="17"/>
        <v>0.10141482854494893</v>
      </c>
      <c r="U92" s="18">
        <f t="shared" si="18"/>
        <v>4707768</v>
      </c>
      <c r="V92" s="7">
        <f t="shared" si="19"/>
        <v>5586.2002000000002</v>
      </c>
      <c r="W92" s="7">
        <f t="shared" si="20"/>
        <v>1615.1</v>
      </c>
      <c r="X92" s="7">
        <f t="shared" si="21"/>
        <v>1851.2</v>
      </c>
      <c r="Y92" s="7">
        <f t="shared" si="22"/>
        <v>465</v>
      </c>
      <c r="Z92" s="7">
        <f t="shared" si="23"/>
        <v>1631357</v>
      </c>
      <c r="AA92" s="7" t="str">
        <f t="shared" si="24"/>
        <v>19-Nov-2021</v>
      </c>
      <c r="AB92" s="7">
        <f t="shared" si="25"/>
        <v>1851.2</v>
      </c>
      <c r="AC92" s="7">
        <f t="shared" si="30"/>
        <v>1</v>
      </c>
      <c r="AD92" s="7">
        <f t="shared" si="27"/>
        <v>2021</v>
      </c>
      <c r="AE92" s="19">
        <f t="shared" si="28"/>
        <v>-0.53</v>
      </c>
      <c r="BA92" s="10">
        <f t="shared" si="29"/>
        <v>84.376900000000006</v>
      </c>
    </row>
    <row r="93" spans="1:53" x14ac:dyDescent="0.3">
      <c r="A93" s="17">
        <v>44522</v>
      </c>
      <c r="B93" s="8">
        <v>1806</v>
      </c>
      <c r="C93" s="7">
        <v>1841.6</v>
      </c>
      <c r="D93" s="7">
        <v>1805.7</v>
      </c>
      <c r="E93" s="7">
        <v>1841.6</v>
      </c>
      <c r="F93" s="18">
        <v>14</v>
      </c>
      <c r="G93" s="7">
        <v>1856.4713999999999</v>
      </c>
      <c r="H93" s="7">
        <v>1806.7032999999999</v>
      </c>
      <c r="I93" s="7">
        <v>1790.9567</v>
      </c>
      <c r="J93" s="8">
        <v>-0.51859999999999995</v>
      </c>
      <c r="K93" s="7">
        <v>0.45590000000000003</v>
      </c>
      <c r="L93" s="7">
        <v>0.77610000000000001</v>
      </c>
      <c r="M93" s="8">
        <v>65.918999999999997</v>
      </c>
      <c r="N93" s="8">
        <v>20.327200000000001</v>
      </c>
      <c r="O93" s="7">
        <v>18.218399999999999</v>
      </c>
      <c r="P93" s="7">
        <v>1886.6214</v>
      </c>
      <c r="Q93" s="7">
        <v>1755.8286000000001</v>
      </c>
      <c r="R93" s="7" t="str">
        <f t="shared" si="15"/>
        <v>Up</v>
      </c>
      <c r="S93" s="7" t="str">
        <f t="shared" si="16"/>
        <v>Hold</v>
      </c>
      <c r="T93" s="8">
        <f t="shared" si="17"/>
        <v>0.10199740259740253</v>
      </c>
      <c r="U93" s="18">
        <f t="shared" si="18"/>
        <v>4707747</v>
      </c>
      <c r="V93" s="7">
        <f t="shared" si="19"/>
        <v>5586.2002000000002</v>
      </c>
      <c r="W93" s="7">
        <f t="shared" si="20"/>
        <v>1615.1</v>
      </c>
      <c r="X93" s="7">
        <f t="shared" si="21"/>
        <v>1841.6</v>
      </c>
      <c r="Y93" s="7">
        <f t="shared" si="22"/>
        <v>465</v>
      </c>
      <c r="Z93" s="7">
        <f t="shared" si="23"/>
        <v>1631357</v>
      </c>
      <c r="AA93" s="7" t="str">
        <f t="shared" si="24"/>
        <v>22-Nov-2021</v>
      </c>
      <c r="AB93" s="7">
        <f t="shared" si="25"/>
        <v>1841.6</v>
      </c>
      <c r="AC93" s="7">
        <f t="shared" si="30"/>
        <v>1</v>
      </c>
      <c r="AD93" s="7">
        <f t="shared" si="27"/>
        <v>2021</v>
      </c>
      <c r="AE93" s="19">
        <f t="shared" si="28"/>
        <v>-0.52</v>
      </c>
      <c r="BA93" s="10">
        <f t="shared" si="29"/>
        <v>84.376900000000006</v>
      </c>
    </row>
    <row r="94" spans="1:53" x14ac:dyDescent="0.3">
      <c r="A94" s="17">
        <v>44523</v>
      </c>
      <c r="B94" s="8">
        <v>1783.5</v>
      </c>
      <c r="C94" s="7">
        <v>1795.5</v>
      </c>
      <c r="D94" s="7">
        <v>1783.5</v>
      </c>
      <c r="E94" s="7">
        <v>1795.5</v>
      </c>
      <c r="F94" s="18">
        <v>264</v>
      </c>
      <c r="G94" s="7">
        <v>1847.1428000000001</v>
      </c>
      <c r="H94" s="7">
        <v>1808.1567</v>
      </c>
      <c r="I94" s="7">
        <v>1790.87</v>
      </c>
      <c r="J94" s="8">
        <v>-2.5032999999999999</v>
      </c>
      <c r="K94" s="7">
        <v>0.97060000000000002</v>
      </c>
      <c r="L94" s="7">
        <v>0.91379999999999995</v>
      </c>
      <c r="M94" s="8">
        <v>57.468800000000002</v>
      </c>
      <c r="N94" s="8">
        <v>15.257199999999999</v>
      </c>
      <c r="O94" s="7">
        <v>17.626100000000001</v>
      </c>
      <c r="P94" s="7">
        <v>1886.7539999999999</v>
      </c>
      <c r="Q94" s="7">
        <v>1754.366</v>
      </c>
      <c r="R94" s="7" t="str">
        <f t="shared" si="15"/>
        <v>Up</v>
      </c>
      <c r="S94" s="7" t="str">
        <f t="shared" si="16"/>
        <v>Hold</v>
      </c>
      <c r="T94" s="8">
        <f t="shared" si="17"/>
        <v>0.10257363045496745</v>
      </c>
      <c r="U94" s="18">
        <f t="shared" si="18"/>
        <v>4707733</v>
      </c>
      <c r="V94" s="7">
        <f t="shared" si="19"/>
        <v>5586.2002000000002</v>
      </c>
      <c r="W94" s="7">
        <f t="shared" si="20"/>
        <v>1615.1</v>
      </c>
      <c r="X94" s="7">
        <f t="shared" si="21"/>
        <v>1795.5</v>
      </c>
      <c r="Y94" s="7">
        <f t="shared" si="22"/>
        <v>464</v>
      </c>
      <c r="Z94" s="7">
        <f t="shared" si="23"/>
        <v>1631343</v>
      </c>
      <c r="AA94" s="7" t="str">
        <f t="shared" si="24"/>
        <v>23-Nov-2021</v>
      </c>
      <c r="AB94" s="7">
        <f t="shared" si="25"/>
        <v>1795.5</v>
      </c>
      <c r="AC94" s="7">
        <f t="shared" si="30"/>
        <v>1</v>
      </c>
      <c r="AD94" s="7">
        <f t="shared" si="27"/>
        <v>2021</v>
      </c>
      <c r="AE94" s="19">
        <f t="shared" si="28"/>
        <v>-2.5</v>
      </c>
      <c r="BA94" s="10">
        <f t="shared" si="29"/>
        <v>84.376900000000006</v>
      </c>
    </row>
    <row r="95" spans="1:53" x14ac:dyDescent="0.3">
      <c r="A95" s="17">
        <v>44524</v>
      </c>
      <c r="B95" s="8">
        <v>1784.1</v>
      </c>
      <c r="C95" s="7">
        <v>1793</v>
      </c>
      <c r="D95" s="7">
        <v>1781.4</v>
      </c>
      <c r="E95" s="7">
        <v>1793</v>
      </c>
      <c r="F95" s="18">
        <v>188</v>
      </c>
      <c r="G95" s="7">
        <v>1836.9286</v>
      </c>
      <c r="H95" s="7">
        <v>1809.23</v>
      </c>
      <c r="I95" s="7">
        <v>1790.6488999999999</v>
      </c>
      <c r="J95" s="8">
        <v>-0.13919999999999999</v>
      </c>
      <c r="K95" s="7">
        <v>0.93759999999999999</v>
      </c>
      <c r="L95" s="7">
        <v>0.91110000000000002</v>
      </c>
      <c r="M95" s="8">
        <v>54.6068</v>
      </c>
      <c r="N95" s="8">
        <v>10.9116</v>
      </c>
      <c r="O95" s="7">
        <v>16.283200000000001</v>
      </c>
      <c r="P95" s="7">
        <v>1886.6936000000001</v>
      </c>
      <c r="Q95" s="7">
        <v>1754.5763999999999</v>
      </c>
      <c r="R95" s="7" t="str">
        <f t="shared" si="15"/>
        <v>Up</v>
      </c>
      <c r="S95" s="7" t="str">
        <f t="shared" si="16"/>
        <v>Hold</v>
      </c>
      <c r="T95" s="8">
        <f t="shared" si="17"/>
        <v>0.10499544609665425</v>
      </c>
      <c r="U95" s="18">
        <f t="shared" si="18"/>
        <v>4707469</v>
      </c>
      <c r="V95" s="7">
        <f t="shared" si="19"/>
        <v>5586.2002000000002</v>
      </c>
      <c r="W95" s="7">
        <f t="shared" si="20"/>
        <v>1615.1</v>
      </c>
      <c r="X95" s="7">
        <f t="shared" si="21"/>
        <v>1793</v>
      </c>
      <c r="Y95" s="7">
        <f t="shared" si="22"/>
        <v>463</v>
      </c>
      <c r="Z95" s="7">
        <f t="shared" si="23"/>
        <v>1631079</v>
      </c>
      <c r="AA95" s="7" t="str">
        <f t="shared" si="24"/>
        <v>24-Nov-2021</v>
      </c>
      <c r="AB95" s="7">
        <f t="shared" si="25"/>
        <v>1793</v>
      </c>
      <c r="AC95" s="7">
        <f t="shared" si="30"/>
        <v>1</v>
      </c>
      <c r="AD95" s="7">
        <f t="shared" si="27"/>
        <v>2021</v>
      </c>
      <c r="AE95" s="19">
        <f t="shared" si="28"/>
        <v>-0.14000000000000001</v>
      </c>
      <c r="BA95" s="10">
        <f t="shared" si="29"/>
        <v>84.376900000000006</v>
      </c>
    </row>
    <row r="96" spans="1:53" x14ac:dyDescent="0.3">
      <c r="A96" s="17">
        <v>44526</v>
      </c>
      <c r="B96" s="8">
        <v>1785.3</v>
      </c>
      <c r="C96" s="7">
        <v>1791.4</v>
      </c>
      <c r="D96" s="7">
        <v>1785.3</v>
      </c>
      <c r="E96" s="7">
        <v>1791.1</v>
      </c>
      <c r="F96" s="18">
        <v>186800</v>
      </c>
      <c r="G96" s="7">
        <v>1828</v>
      </c>
      <c r="H96" s="7">
        <v>1809.1932999999999</v>
      </c>
      <c r="I96" s="7">
        <v>1790.4721999999999</v>
      </c>
      <c r="J96" s="8">
        <v>-0.106</v>
      </c>
      <c r="K96" s="7">
        <v>0.95220000000000005</v>
      </c>
      <c r="L96" s="7">
        <v>0.85160000000000002</v>
      </c>
      <c r="M96" s="8">
        <v>48.824199999999998</v>
      </c>
      <c r="N96" s="8">
        <v>7.2310999999999996</v>
      </c>
      <c r="O96" s="7">
        <v>14.472799999999999</v>
      </c>
      <c r="P96" s="7">
        <v>1886.8543</v>
      </c>
      <c r="Q96" s="7">
        <v>1753.9757</v>
      </c>
      <c r="R96" s="7" t="str">
        <f t="shared" si="15"/>
        <v>Up</v>
      </c>
      <c r="S96" s="7" t="str">
        <f t="shared" si="16"/>
        <v>Hold</v>
      </c>
      <c r="T96" s="8">
        <f t="shared" si="17"/>
        <v>0.10522260465116275</v>
      </c>
      <c r="U96" s="18">
        <f t="shared" si="18"/>
        <v>4707281</v>
      </c>
      <c r="V96" s="7">
        <f t="shared" si="19"/>
        <v>5586.2002000000002</v>
      </c>
      <c r="W96" s="7">
        <f t="shared" si="20"/>
        <v>1615.1</v>
      </c>
      <c r="X96" s="7">
        <f t="shared" si="21"/>
        <v>1791.1</v>
      </c>
      <c r="Y96" s="7">
        <f t="shared" si="22"/>
        <v>462</v>
      </c>
      <c r="Z96" s="7">
        <f t="shared" si="23"/>
        <v>1630891</v>
      </c>
      <c r="AA96" s="7" t="str">
        <f t="shared" si="24"/>
        <v>26-Nov-2021</v>
      </c>
      <c r="AB96" s="7">
        <f t="shared" si="25"/>
        <v>1791.1</v>
      </c>
      <c r="AC96" s="7">
        <f t="shared" si="30"/>
        <v>1</v>
      </c>
      <c r="AD96" s="7">
        <f t="shared" si="27"/>
        <v>2021</v>
      </c>
      <c r="AE96" s="19">
        <f t="shared" si="28"/>
        <v>-0.11</v>
      </c>
      <c r="BA96" s="10">
        <f t="shared" si="29"/>
        <v>84.376900000000006</v>
      </c>
    </row>
    <row r="97" spans="1:53" x14ac:dyDescent="0.3">
      <c r="A97" s="17">
        <v>44529</v>
      </c>
      <c r="B97" s="8">
        <v>1782.3</v>
      </c>
      <c r="C97" s="7">
        <v>1798.9</v>
      </c>
      <c r="D97" s="7">
        <v>1779.1</v>
      </c>
      <c r="E97" s="7">
        <v>1791.7</v>
      </c>
      <c r="F97" s="18">
        <v>26926</v>
      </c>
      <c r="G97" s="7">
        <v>1817.8714</v>
      </c>
      <c r="H97" s="7">
        <v>1809.1</v>
      </c>
      <c r="I97" s="7">
        <v>1790.4511</v>
      </c>
      <c r="J97" s="8">
        <v>3.3500000000000002E-2</v>
      </c>
      <c r="K97" s="7">
        <v>0.88870000000000005</v>
      </c>
      <c r="L97" s="7">
        <v>0.85119999999999996</v>
      </c>
      <c r="M97" s="8">
        <v>40.970700000000001</v>
      </c>
      <c r="N97" s="8">
        <v>4.3129</v>
      </c>
      <c r="O97" s="7">
        <v>12.440799999999999</v>
      </c>
      <c r="P97" s="7">
        <v>1886.9083000000001</v>
      </c>
      <c r="Q97" s="7">
        <v>1753.7817</v>
      </c>
      <c r="R97" s="7" t="str">
        <f t="shared" si="15"/>
        <v>Up</v>
      </c>
      <c r="S97" s="7" t="str">
        <f t="shared" si="16"/>
        <v>Hold</v>
      </c>
      <c r="T97" s="8">
        <f t="shared" si="17"/>
        <v>0.10541927374301671</v>
      </c>
      <c r="U97" s="18">
        <f t="shared" si="18"/>
        <v>4520481</v>
      </c>
      <c r="V97" s="7">
        <f t="shared" si="19"/>
        <v>5586.2002000000002</v>
      </c>
      <c r="W97" s="7">
        <f t="shared" si="20"/>
        <v>1615.1</v>
      </c>
      <c r="X97" s="7">
        <f t="shared" si="21"/>
        <v>1791.7</v>
      </c>
      <c r="Y97" s="7">
        <f t="shared" si="22"/>
        <v>461</v>
      </c>
      <c r="Z97" s="7">
        <f t="shared" si="23"/>
        <v>1444091</v>
      </c>
      <c r="AA97" s="7" t="str">
        <f t="shared" si="24"/>
        <v>29-Nov-2021</v>
      </c>
      <c r="AB97" s="7">
        <f t="shared" si="25"/>
        <v>1791.7</v>
      </c>
      <c r="AC97" s="7">
        <f t="shared" si="30"/>
        <v>1</v>
      </c>
      <c r="AD97" s="7">
        <f t="shared" si="27"/>
        <v>2021</v>
      </c>
      <c r="AE97" s="19">
        <f t="shared" si="28"/>
        <v>0.03</v>
      </c>
      <c r="BA97" s="10">
        <f t="shared" si="29"/>
        <v>84.376900000000006</v>
      </c>
    </row>
    <row r="98" spans="1:53" x14ac:dyDescent="0.3">
      <c r="A98" s="17">
        <v>44530</v>
      </c>
      <c r="B98" s="8">
        <v>1773.6</v>
      </c>
      <c r="C98" s="7">
        <v>1808.1</v>
      </c>
      <c r="D98" s="7">
        <v>1768.7</v>
      </c>
      <c r="E98" s="7">
        <v>1783.9</v>
      </c>
      <c r="F98" s="18">
        <v>4903</v>
      </c>
      <c r="G98" s="7">
        <v>1806.8570999999999</v>
      </c>
      <c r="H98" s="7">
        <v>1809.8433</v>
      </c>
      <c r="I98" s="7">
        <v>1790.2722000000001</v>
      </c>
      <c r="J98" s="8">
        <v>-0.43530000000000002</v>
      </c>
      <c r="K98" s="7">
        <v>0.8679</v>
      </c>
      <c r="L98" s="7">
        <v>0.78300000000000003</v>
      </c>
      <c r="M98" s="8">
        <v>34.798299999999998</v>
      </c>
      <c r="N98" s="8">
        <v>1.3552</v>
      </c>
      <c r="O98" s="7">
        <v>10.223699999999999</v>
      </c>
      <c r="P98" s="7">
        <v>1887.1206</v>
      </c>
      <c r="Q98" s="7">
        <v>1753.2094</v>
      </c>
      <c r="R98" s="7" t="str">
        <f t="shared" si="15"/>
        <v>Up</v>
      </c>
      <c r="S98" s="7" t="str">
        <f t="shared" si="16"/>
        <v>Hold</v>
      </c>
      <c r="T98" s="8">
        <f t="shared" si="17"/>
        <v>0.10548630009319659</v>
      </c>
      <c r="U98" s="18">
        <f t="shared" si="18"/>
        <v>4493555</v>
      </c>
      <c r="V98" s="7">
        <f t="shared" si="19"/>
        <v>5586.2002000000002</v>
      </c>
      <c r="W98" s="7">
        <f t="shared" si="20"/>
        <v>1615.1</v>
      </c>
      <c r="X98" s="7">
        <f t="shared" si="21"/>
        <v>1783.9</v>
      </c>
      <c r="Y98" s="7">
        <f t="shared" si="22"/>
        <v>460</v>
      </c>
      <c r="Z98" s="7">
        <f t="shared" si="23"/>
        <v>1417165</v>
      </c>
      <c r="AA98" s="7" t="str">
        <f t="shared" si="24"/>
        <v>30-Nov-2021</v>
      </c>
      <c r="AB98" s="7">
        <f t="shared" si="25"/>
        <v>1783.9</v>
      </c>
      <c r="AC98" s="7">
        <f t="shared" si="30"/>
        <v>1</v>
      </c>
      <c r="AD98" s="7">
        <f t="shared" si="27"/>
        <v>2021</v>
      </c>
      <c r="AE98" s="19">
        <f t="shared" si="28"/>
        <v>-0.44</v>
      </c>
      <c r="BA98" s="10">
        <f t="shared" si="29"/>
        <v>84.376900000000006</v>
      </c>
    </row>
    <row r="99" spans="1:53" x14ac:dyDescent="0.3">
      <c r="A99" s="17">
        <v>44531</v>
      </c>
      <c r="B99" s="8">
        <v>1781.6</v>
      </c>
      <c r="C99" s="7">
        <v>1790.5</v>
      </c>
      <c r="D99" s="7">
        <v>1772.3</v>
      </c>
      <c r="E99" s="7">
        <v>1774.8</v>
      </c>
      <c r="F99" s="18">
        <v>1128</v>
      </c>
      <c r="G99" s="7">
        <v>1795.9429</v>
      </c>
      <c r="H99" s="7">
        <v>1809.75</v>
      </c>
      <c r="I99" s="7">
        <v>1789.9644000000001</v>
      </c>
      <c r="J99" s="8">
        <v>-0.5101</v>
      </c>
      <c r="K99" s="7">
        <v>0.86809999999999998</v>
      </c>
      <c r="L99" s="7">
        <v>0.77190000000000003</v>
      </c>
      <c r="M99" s="8">
        <v>32.723599999999998</v>
      </c>
      <c r="N99" s="8">
        <v>-1.7034</v>
      </c>
      <c r="O99" s="7">
        <v>7.8383000000000003</v>
      </c>
      <c r="P99" s="7">
        <v>1888.1437000000001</v>
      </c>
      <c r="Q99" s="7">
        <v>1750.6162999999999</v>
      </c>
      <c r="R99" s="7" t="str">
        <f t="shared" si="15"/>
        <v>Down</v>
      </c>
      <c r="S99" s="7" t="str">
        <f t="shared" si="16"/>
        <v>Hold</v>
      </c>
      <c r="T99" s="8">
        <f t="shared" si="17"/>
        <v>0.1059907649253731</v>
      </c>
      <c r="U99" s="18">
        <f t="shared" si="18"/>
        <v>4488652</v>
      </c>
      <c r="V99" s="7">
        <f t="shared" si="19"/>
        <v>5586.2002000000002</v>
      </c>
      <c r="W99" s="7">
        <f t="shared" si="20"/>
        <v>1615.1</v>
      </c>
      <c r="X99" s="7">
        <f t="shared" si="21"/>
        <v>1774.8</v>
      </c>
      <c r="Y99" s="7">
        <f t="shared" si="22"/>
        <v>459</v>
      </c>
      <c r="Z99" s="7">
        <f t="shared" si="23"/>
        <v>1412262</v>
      </c>
      <c r="AA99" s="7" t="str">
        <f t="shared" si="24"/>
        <v>01-Dec-2021</v>
      </c>
      <c r="AB99" s="7">
        <f t="shared" si="25"/>
        <v>1774.8</v>
      </c>
      <c r="AC99" s="7">
        <f t="shared" si="30"/>
        <v>1</v>
      </c>
      <c r="AD99" s="7">
        <f t="shared" si="27"/>
        <v>2021</v>
      </c>
      <c r="AE99" s="19">
        <f t="shared" si="28"/>
        <v>-0.51</v>
      </c>
      <c r="BA99" s="10">
        <f t="shared" si="29"/>
        <v>84.376900000000006</v>
      </c>
    </row>
    <row r="100" spans="1:53" x14ac:dyDescent="0.3">
      <c r="A100" s="17">
        <v>44532</v>
      </c>
      <c r="B100" s="8">
        <v>1760.7</v>
      </c>
      <c r="C100" s="7">
        <v>1780.9</v>
      </c>
      <c r="D100" s="7">
        <v>1760.6</v>
      </c>
      <c r="E100" s="7">
        <v>1780.9</v>
      </c>
      <c r="F100" s="18">
        <v>1557</v>
      </c>
      <c r="G100" s="7">
        <v>1787.2714000000001</v>
      </c>
      <c r="H100" s="7">
        <v>1809.96</v>
      </c>
      <c r="I100" s="7">
        <v>1789.7111</v>
      </c>
      <c r="J100" s="8">
        <v>0.34370000000000001</v>
      </c>
      <c r="K100" s="7">
        <v>0.93940000000000001</v>
      </c>
      <c r="L100" s="7">
        <v>0.77370000000000005</v>
      </c>
      <c r="M100" s="8">
        <v>20.939499999999999</v>
      </c>
      <c r="N100" s="8">
        <v>-3.5937999999999999</v>
      </c>
      <c r="O100" s="7">
        <v>5.5518999999999998</v>
      </c>
      <c r="P100" s="7">
        <v>1886.9776999999999</v>
      </c>
      <c r="Q100" s="7">
        <v>1753.0723</v>
      </c>
      <c r="R100" s="7" t="str">
        <f t="shared" si="15"/>
        <v>Up</v>
      </c>
      <c r="S100" s="7" t="str">
        <f t="shared" si="16"/>
        <v>Buy</v>
      </c>
      <c r="T100" s="8">
        <f t="shared" si="17"/>
        <v>0.10656601307189541</v>
      </c>
      <c r="U100" s="18">
        <f t="shared" si="18"/>
        <v>4487524</v>
      </c>
      <c r="V100" s="7">
        <f t="shared" si="19"/>
        <v>5586.2002000000002</v>
      </c>
      <c r="W100" s="7">
        <f t="shared" si="20"/>
        <v>1615.1</v>
      </c>
      <c r="X100" s="7">
        <f t="shared" si="21"/>
        <v>1780.9</v>
      </c>
      <c r="Y100" s="7">
        <f t="shared" si="22"/>
        <v>459</v>
      </c>
      <c r="Z100" s="7">
        <f t="shared" si="23"/>
        <v>1412262</v>
      </c>
      <c r="AA100" s="7" t="str">
        <f t="shared" si="24"/>
        <v>02-Dec-2021</v>
      </c>
      <c r="AB100" s="7">
        <f t="shared" si="25"/>
        <v>1780.9</v>
      </c>
      <c r="AC100" s="7">
        <f t="shared" si="30"/>
        <v>1</v>
      </c>
      <c r="AD100" s="7">
        <f t="shared" si="27"/>
        <v>2021</v>
      </c>
      <c r="AE100" s="19">
        <f t="shared" si="28"/>
        <v>0.34</v>
      </c>
      <c r="BA100" s="10">
        <f t="shared" si="29"/>
        <v>84.376900000000006</v>
      </c>
    </row>
    <row r="101" spans="1:53" x14ac:dyDescent="0.3">
      <c r="A101" s="17">
        <v>44533</v>
      </c>
      <c r="B101" s="8">
        <v>1782</v>
      </c>
      <c r="C101" s="7">
        <v>1785.1</v>
      </c>
      <c r="D101" s="7">
        <v>1766.5</v>
      </c>
      <c r="E101" s="7">
        <v>1767.5</v>
      </c>
      <c r="F101" s="18">
        <v>694</v>
      </c>
      <c r="G101" s="7">
        <v>1783.2714000000001</v>
      </c>
      <c r="H101" s="7">
        <v>1809.4766999999999</v>
      </c>
      <c r="I101" s="7">
        <v>1789.3556000000001</v>
      </c>
      <c r="J101" s="8">
        <v>-0.75239999999999996</v>
      </c>
      <c r="K101" s="7">
        <v>0.36870000000000003</v>
      </c>
      <c r="L101" s="7">
        <v>0.78220000000000001</v>
      </c>
      <c r="M101" s="8">
        <v>14.6858</v>
      </c>
      <c r="N101" s="8">
        <v>-6.1028000000000002</v>
      </c>
      <c r="O101" s="7">
        <v>3.2208999999999999</v>
      </c>
      <c r="P101" s="7">
        <v>1887.8752999999999</v>
      </c>
      <c r="Q101" s="7">
        <v>1751.2646999999999</v>
      </c>
      <c r="R101" s="7" t="str">
        <f t="shared" si="15"/>
        <v>Down</v>
      </c>
      <c r="S101" s="7" t="str">
        <f t="shared" si="16"/>
        <v>Buy</v>
      </c>
      <c r="T101" s="8">
        <f t="shared" si="17"/>
        <v>0.10634439252336443</v>
      </c>
      <c r="U101" s="18">
        <f t="shared" si="18"/>
        <v>4485967</v>
      </c>
      <c r="V101" s="7">
        <f t="shared" si="19"/>
        <v>5586.2002000000002</v>
      </c>
      <c r="W101" s="7">
        <f t="shared" si="20"/>
        <v>1615.1</v>
      </c>
      <c r="X101" s="7">
        <f t="shared" si="21"/>
        <v>1767.5</v>
      </c>
      <c r="Y101" s="7">
        <f t="shared" si="22"/>
        <v>458</v>
      </c>
      <c r="Z101" s="7">
        <f t="shared" si="23"/>
        <v>1410705</v>
      </c>
      <c r="AA101" s="7" t="str">
        <f t="shared" si="24"/>
        <v>03-Dec-2021</v>
      </c>
      <c r="AB101" s="7">
        <f t="shared" si="25"/>
        <v>1767.5</v>
      </c>
      <c r="AC101" s="7">
        <f t="shared" si="30"/>
        <v>1</v>
      </c>
      <c r="AD101" s="7">
        <f t="shared" si="27"/>
        <v>2021</v>
      </c>
      <c r="AE101" s="19">
        <f t="shared" si="28"/>
        <v>-0.75</v>
      </c>
      <c r="BA101" s="10">
        <f t="shared" si="29"/>
        <v>84.376900000000006</v>
      </c>
    </row>
    <row r="102" spans="1:53" x14ac:dyDescent="0.3">
      <c r="A102" s="17">
        <v>44536</v>
      </c>
      <c r="B102" s="8">
        <v>1777.5</v>
      </c>
      <c r="C102" s="7">
        <v>1783</v>
      </c>
      <c r="D102" s="7">
        <v>1777.2</v>
      </c>
      <c r="E102" s="7">
        <v>1780.2</v>
      </c>
      <c r="F102" s="18">
        <v>381</v>
      </c>
      <c r="G102" s="7">
        <v>1781.4429</v>
      </c>
      <c r="H102" s="7">
        <v>1809.2466999999999</v>
      </c>
      <c r="I102" s="7">
        <v>1789.0622000000001</v>
      </c>
      <c r="J102" s="8">
        <v>0.71850000000000003</v>
      </c>
      <c r="K102" s="7">
        <v>0.51490000000000002</v>
      </c>
      <c r="L102" s="7">
        <v>0.79200000000000004</v>
      </c>
      <c r="M102" s="8">
        <v>20.127500000000001</v>
      </c>
      <c r="N102" s="8">
        <v>-6.9859</v>
      </c>
      <c r="O102" s="7">
        <v>1.1796</v>
      </c>
      <c r="P102" s="7">
        <v>1888.5596</v>
      </c>
      <c r="Q102" s="7">
        <v>1749.1104</v>
      </c>
      <c r="R102" s="7" t="str">
        <f t="shared" si="15"/>
        <v>Up</v>
      </c>
      <c r="S102" s="7" t="str">
        <f t="shared" si="16"/>
        <v>Buy</v>
      </c>
      <c r="T102" s="8">
        <f t="shared" si="17"/>
        <v>0.10714770813844714</v>
      </c>
      <c r="U102" s="18">
        <f t="shared" si="18"/>
        <v>4485273</v>
      </c>
      <c r="V102" s="7">
        <f t="shared" si="19"/>
        <v>5586.2002000000002</v>
      </c>
      <c r="W102" s="7">
        <f t="shared" si="20"/>
        <v>1615.1</v>
      </c>
      <c r="X102" s="7">
        <f t="shared" si="21"/>
        <v>1780.2</v>
      </c>
      <c r="Y102" s="7">
        <f t="shared" si="22"/>
        <v>458</v>
      </c>
      <c r="Z102" s="7">
        <f t="shared" si="23"/>
        <v>1410705</v>
      </c>
      <c r="AA102" s="7" t="str">
        <f t="shared" si="24"/>
        <v>06-Dec-2021</v>
      </c>
      <c r="AB102" s="7">
        <f t="shared" si="25"/>
        <v>1780.2</v>
      </c>
      <c r="AC102" s="7">
        <f t="shared" si="30"/>
        <v>1</v>
      </c>
      <c r="AD102" s="7">
        <f t="shared" si="27"/>
        <v>2021</v>
      </c>
      <c r="AE102" s="19">
        <f t="shared" si="28"/>
        <v>0.72</v>
      </c>
      <c r="BA102" s="10">
        <f t="shared" si="29"/>
        <v>84.376900000000006</v>
      </c>
    </row>
    <row r="103" spans="1:53" x14ac:dyDescent="0.3">
      <c r="A103" s="17">
        <v>44537</v>
      </c>
      <c r="B103" s="8">
        <v>1782.6</v>
      </c>
      <c r="C103" s="7">
        <v>1786.1</v>
      </c>
      <c r="D103" s="7">
        <v>1772.3</v>
      </c>
      <c r="E103" s="7">
        <v>1779.5</v>
      </c>
      <c r="F103" s="18">
        <v>308</v>
      </c>
      <c r="G103" s="7">
        <v>1779.7856999999999</v>
      </c>
      <c r="H103" s="7">
        <v>1808.7533000000001</v>
      </c>
      <c r="I103" s="7">
        <v>1788.5233000000001</v>
      </c>
      <c r="J103" s="8">
        <v>-3.9300000000000002E-2</v>
      </c>
      <c r="K103" s="7">
        <v>0.51549999999999996</v>
      </c>
      <c r="L103" s="7">
        <v>0.78820000000000001</v>
      </c>
      <c r="M103" s="8">
        <v>21.695900000000002</v>
      </c>
      <c r="N103" s="8">
        <v>-7.6539999999999999</v>
      </c>
      <c r="O103" s="7">
        <v>-0.58720000000000006</v>
      </c>
      <c r="P103" s="7">
        <v>1888.8748000000001</v>
      </c>
      <c r="Q103" s="7">
        <v>1745.0452</v>
      </c>
      <c r="R103" s="7" t="str">
        <f t="shared" si="15"/>
        <v>Down</v>
      </c>
      <c r="S103" s="7" t="str">
        <f t="shared" si="16"/>
        <v>Buy</v>
      </c>
      <c r="T103" s="8">
        <f t="shared" si="17"/>
        <v>0.10657528089887637</v>
      </c>
      <c r="U103" s="18">
        <f t="shared" si="18"/>
        <v>4484892</v>
      </c>
      <c r="V103" s="7">
        <f t="shared" si="19"/>
        <v>5586.2002000000002</v>
      </c>
      <c r="W103" s="7">
        <f t="shared" si="20"/>
        <v>1615.1</v>
      </c>
      <c r="X103" s="7">
        <f t="shared" si="21"/>
        <v>1779.5</v>
      </c>
      <c r="Y103" s="7">
        <f t="shared" si="22"/>
        <v>457</v>
      </c>
      <c r="Z103" s="7">
        <f t="shared" si="23"/>
        <v>1410324</v>
      </c>
      <c r="AA103" s="7" t="str">
        <f t="shared" si="24"/>
        <v>07-Dec-2021</v>
      </c>
      <c r="AB103" s="7">
        <f t="shared" si="25"/>
        <v>1779.5</v>
      </c>
      <c r="AC103" s="7">
        <f t="shared" si="30"/>
        <v>1</v>
      </c>
      <c r="AD103" s="7">
        <f t="shared" si="27"/>
        <v>2021</v>
      </c>
      <c r="AE103" s="19">
        <f t="shared" si="28"/>
        <v>-0.04</v>
      </c>
      <c r="BA103" s="10">
        <f t="shared" si="29"/>
        <v>84.376900000000006</v>
      </c>
    </row>
    <row r="104" spans="1:53" x14ac:dyDescent="0.3">
      <c r="A104" s="17">
        <v>44538</v>
      </c>
      <c r="B104" s="8">
        <v>1783.4</v>
      </c>
      <c r="C104" s="7">
        <v>1789.9</v>
      </c>
      <c r="D104" s="7">
        <v>1779</v>
      </c>
      <c r="E104" s="7">
        <v>1789.9</v>
      </c>
      <c r="F104" s="18">
        <v>1383</v>
      </c>
      <c r="G104" s="7">
        <v>1779.5286000000001</v>
      </c>
      <c r="H104" s="7">
        <v>1808.1233</v>
      </c>
      <c r="I104" s="7">
        <v>1788.2733000000001</v>
      </c>
      <c r="J104" s="8">
        <v>0.58440000000000003</v>
      </c>
      <c r="K104" s="7">
        <v>0.57620000000000005</v>
      </c>
      <c r="L104" s="7">
        <v>0.78100000000000003</v>
      </c>
      <c r="M104" s="8">
        <v>22.5245</v>
      </c>
      <c r="N104" s="8">
        <v>-7.2606999999999999</v>
      </c>
      <c r="O104" s="7">
        <v>-1.9218999999999999</v>
      </c>
      <c r="P104" s="7">
        <v>1887.9133999999999</v>
      </c>
      <c r="Q104" s="7">
        <v>1742.3866</v>
      </c>
      <c r="R104" s="7" t="str">
        <f t="shared" si="15"/>
        <v>Up</v>
      </c>
      <c r="S104" s="7" t="str">
        <f t="shared" si="16"/>
        <v>Buy</v>
      </c>
      <c r="T104" s="8">
        <f t="shared" si="17"/>
        <v>0.10671199625117146</v>
      </c>
      <c r="U104" s="18">
        <f t="shared" si="18"/>
        <v>4484584</v>
      </c>
      <c r="V104" s="7">
        <f t="shared" si="19"/>
        <v>5586.2002000000002</v>
      </c>
      <c r="W104" s="7">
        <f t="shared" si="20"/>
        <v>1615.1</v>
      </c>
      <c r="X104" s="7">
        <f t="shared" si="21"/>
        <v>1789.9</v>
      </c>
      <c r="Y104" s="7">
        <f t="shared" si="22"/>
        <v>457</v>
      </c>
      <c r="Z104" s="7">
        <f t="shared" si="23"/>
        <v>1410324</v>
      </c>
      <c r="AA104" s="7" t="str">
        <f t="shared" si="24"/>
        <v>08-Dec-2021</v>
      </c>
      <c r="AB104" s="7">
        <f t="shared" si="25"/>
        <v>1789.9</v>
      </c>
      <c r="AC104" s="7">
        <f t="shared" si="30"/>
        <v>1</v>
      </c>
      <c r="AD104" s="7">
        <f t="shared" si="27"/>
        <v>2021</v>
      </c>
      <c r="AE104" s="19">
        <f t="shared" si="28"/>
        <v>0.57999999999999996</v>
      </c>
      <c r="BA104" s="10">
        <f t="shared" si="29"/>
        <v>84.376900000000006</v>
      </c>
    </row>
    <row r="105" spans="1:53" x14ac:dyDescent="0.3">
      <c r="A105" s="17">
        <v>44539</v>
      </c>
      <c r="B105" s="8">
        <v>1774.6</v>
      </c>
      <c r="C105" s="7">
        <v>1783.5</v>
      </c>
      <c r="D105" s="7">
        <v>1771.8</v>
      </c>
      <c r="E105" s="7">
        <v>1783.5</v>
      </c>
      <c r="F105" s="18">
        <v>455</v>
      </c>
      <c r="G105" s="7">
        <v>1779.4713999999999</v>
      </c>
      <c r="H105" s="7">
        <v>1807.8567</v>
      </c>
      <c r="I105" s="7">
        <v>1787.9532999999999</v>
      </c>
      <c r="J105" s="8">
        <v>-0.35759999999999997</v>
      </c>
      <c r="K105" s="7">
        <v>0.56740000000000002</v>
      </c>
      <c r="L105" s="7">
        <v>0.7641</v>
      </c>
      <c r="M105" s="8">
        <v>21.735900000000001</v>
      </c>
      <c r="N105" s="8">
        <v>-7.3802000000000003</v>
      </c>
      <c r="O105" s="7">
        <v>-3.0135000000000001</v>
      </c>
      <c r="P105" s="7">
        <v>1886.9449999999999</v>
      </c>
      <c r="Q105" s="7">
        <v>1739.125</v>
      </c>
      <c r="R105" s="7" t="str">
        <f t="shared" si="15"/>
        <v>Up</v>
      </c>
      <c r="S105" s="7" t="str">
        <f t="shared" si="16"/>
        <v>Buy</v>
      </c>
      <c r="T105" s="8">
        <f t="shared" si="17"/>
        <v>0.10626388367729828</v>
      </c>
      <c r="U105" s="18">
        <f t="shared" si="18"/>
        <v>4483201</v>
      </c>
      <c r="V105" s="7">
        <f t="shared" si="19"/>
        <v>5586.2002000000002</v>
      </c>
      <c r="W105" s="7">
        <f t="shared" si="20"/>
        <v>1615.1</v>
      </c>
      <c r="X105" s="7">
        <f t="shared" si="21"/>
        <v>1783.5</v>
      </c>
      <c r="Y105" s="7">
        <f t="shared" si="22"/>
        <v>456</v>
      </c>
      <c r="Z105" s="7">
        <f t="shared" si="23"/>
        <v>1408941</v>
      </c>
      <c r="AA105" s="7" t="str">
        <f t="shared" si="24"/>
        <v>09-Dec-2021</v>
      </c>
      <c r="AB105" s="7">
        <f t="shared" si="25"/>
        <v>1783.5</v>
      </c>
      <c r="AC105" s="7">
        <f t="shared" si="30"/>
        <v>1</v>
      </c>
      <c r="AD105" s="7">
        <f t="shared" si="27"/>
        <v>2021</v>
      </c>
      <c r="AE105" s="19">
        <f t="shared" si="28"/>
        <v>-0.36</v>
      </c>
      <c r="BA105" s="10">
        <f t="shared" si="29"/>
        <v>84.376900000000006</v>
      </c>
    </row>
    <row r="106" spans="1:53" x14ac:dyDescent="0.3">
      <c r="A106" s="17">
        <v>44540</v>
      </c>
      <c r="B106" s="8">
        <v>1782.9</v>
      </c>
      <c r="C106" s="7">
        <v>1785.4</v>
      </c>
      <c r="D106" s="7">
        <v>1769.1</v>
      </c>
      <c r="E106" s="7">
        <v>1773.8</v>
      </c>
      <c r="F106" s="18">
        <v>545</v>
      </c>
      <c r="G106" s="7">
        <v>1779.3286000000001</v>
      </c>
      <c r="H106" s="7">
        <v>1807.1333</v>
      </c>
      <c r="I106" s="7">
        <v>1787.5589</v>
      </c>
      <c r="J106" s="8">
        <v>-0.54390000000000005</v>
      </c>
      <c r="K106" s="7">
        <v>0.5726</v>
      </c>
      <c r="L106" s="7">
        <v>0.76870000000000005</v>
      </c>
      <c r="M106" s="8">
        <v>21.751799999999999</v>
      </c>
      <c r="N106" s="8">
        <v>-8.1636000000000006</v>
      </c>
      <c r="O106" s="7">
        <v>-4.0434999999999999</v>
      </c>
      <c r="P106" s="7">
        <v>1882.2944</v>
      </c>
      <c r="Q106" s="7">
        <v>1735.7655999999999</v>
      </c>
      <c r="R106" s="7" t="str">
        <f t="shared" si="15"/>
        <v>Down</v>
      </c>
      <c r="S106" s="7" t="str">
        <f t="shared" si="16"/>
        <v>Buy</v>
      </c>
      <c r="T106" s="8">
        <f t="shared" si="17"/>
        <v>0.10669943661971827</v>
      </c>
      <c r="U106" s="18">
        <f t="shared" si="18"/>
        <v>4482746</v>
      </c>
      <c r="V106" s="7">
        <f t="shared" si="19"/>
        <v>5586.2002000000002</v>
      </c>
      <c r="W106" s="7">
        <f t="shared" si="20"/>
        <v>1615.1</v>
      </c>
      <c r="X106" s="7">
        <f t="shared" si="21"/>
        <v>1773.8</v>
      </c>
      <c r="Y106" s="7">
        <f t="shared" si="22"/>
        <v>455</v>
      </c>
      <c r="Z106" s="7">
        <f t="shared" si="23"/>
        <v>1408486</v>
      </c>
      <c r="AA106" s="7" t="str">
        <f t="shared" si="24"/>
        <v>10-Dec-2021</v>
      </c>
      <c r="AB106" s="7">
        <f t="shared" si="25"/>
        <v>1773.8</v>
      </c>
      <c r="AC106" s="7">
        <f t="shared" si="30"/>
        <v>1</v>
      </c>
      <c r="AD106" s="7">
        <f t="shared" si="27"/>
        <v>2021</v>
      </c>
      <c r="AE106" s="19">
        <f t="shared" si="28"/>
        <v>-0.54</v>
      </c>
      <c r="BA106" s="10">
        <f t="shared" si="29"/>
        <v>84.376900000000006</v>
      </c>
    </row>
    <row r="107" spans="1:53" x14ac:dyDescent="0.3">
      <c r="A107" s="17">
        <v>44543</v>
      </c>
      <c r="B107" s="8">
        <v>1786.3</v>
      </c>
      <c r="C107" s="7">
        <v>1787.1</v>
      </c>
      <c r="D107" s="7">
        <v>1783.8</v>
      </c>
      <c r="E107" s="7">
        <v>1784.4</v>
      </c>
      <c r="F107" s="18">
        <v>206</v>
      </c>
      <c r="G107" s="7">
        <v>1779.8286000000001</v>
      </c>
      <c r="H107" s="7">
        <v>1806.8433</v>
      </c>
      <c r="I107" s="7">
        <v>1787.2655999999999</v>
      </c>
      <c r="J107" s="8">
        <v>0.59760000000000002</v>
      </c>
      <c r="K107" s="7">
        <v>0.60560000000000003</v>
      </c>
      <c r="L107" s="7">
        <v>0.77710000000000001</v>
      </c>
      <c r="M107" s="8">
        <v>29.275300000000001</v>
      </c>
      <c r="N107" s="8">
        <v>-7.8387000000000002</v>
      </c>
      <c r="O107" s="7">
        <v>-4.8026</v>
      </c>
      <c r="P107" s="7">
        <v>1874.9931999999999</v>
      </c>
      <c r="Q107" s="7">
        <v>1735.4268</v>
      </c>
      <c r="R107" s="7" t="str">
        <f t="shared" si="15"/>
        <v>Down</v>
      </c>
      <c r="S107" s="7" t="str">
        <f t="shared" si="16"/>
        <v>Buy</v>
      </c>
      <c r="T107" s="8">
        <f t="shared" si="17"/>
        <v>0.10731090225563907</v>
      </c>
      <c r="U107" s="18">
        <f t="shared" si="18"/>
        <v>4482201</v>
      </c>
      <c r="V107" s="7">
        <f t="shared" si="19"/>
        <v>5586.2002000000002</v>
      </c>
      <c r="W107" s="7">
        <f t="shared" si="20"/>
        <v>1615.1</v>
      </c>
      <c r="X107" s="7">
        <f t="shared" si="21"/>
        <v>1784.4</v>
      </c>
      <c r="Y107" s="7">
        <f t="shared" si="22"/>
        <v>455</v>
      </c>
      <c r="Z107" s="7">
        <f t="shared" si="23"/>
        <v>1408486</v>
      </c>
      <c r="AA107" s="7" t="str">
        <f t="shared" si="24"/>
        <v>13-Dec-2021</v>
      </c>
      <c r="AB107" s="7">
        <f t="shared" si="25"/>
        <v>1784.4</v>
      </c>
      <c r="AC107" s="7">
        <f t="shared" si="30"/>
        <v>1</v>
      </c>
      <c r="AD107" s="7">
        <f t="shared" si="27"/>
        <v>2021</v>
      </c>
      <c r="AE107" s="19">
        <f t="shared" si="28"/>
        <v>0.6</v>
      </c>
      <c r="BA107" s="10">
        <f t="shared" si="29"/>
        <v>84.376900000000006</v>
      </c>
    </row>
    <row r="108" spans="1:53" x14ac:dyDescent="0.3">
      <c r="A108" s="17">
        <v>44544</v>
      </c>
      <c r="B108" s="8">
        <v>1770.4</v>
      </c>
      <c r="C108" s="7">
        <v>1787</v>
      </c>
      <c r="D108" s="7">
        <v>1769</v>
      </c>
      <c r="E108" s="7">
        <v>1787</v>
      </c>
      <c r="F108" s="18">
        <v>322</v>
      </c>
      <c r="G108" s="7">
        <v>1782.6143</v>
      </c>
      <c r="H108" s="7">
        <v>1806.8267000000001</v>
      </c>
      <c r="I108" s="7">
        <v>1787.1233</v>
      </c>
      <c r="J108" s="8">
        <v>0.1457</v>
      </c>
      <c r="K108" s="7">
        <v>0.49780000000000002</v>
      </c>
      <c r="L108" s="7">
        <v>0.77559999999999996</v>
      </c>
      <c r="M108" s="8">
        <v>45.502600000000001</v>
      </c>
      <c r="N108" s="8">
        <v>-7.2874999999999996</v>
      </c>
      <c r="O108" s="7">
        <v>-5.2995999999999999</v>
      </c>
      <c r="P108" s="7">
        <v>1865.6485</v>
      </c>
      <c r="Q108" s="7">
        <v>1737.0215000000001</v>
      </c>
      <c r="R108" s="7" t="str">
        <f t="shared" si="15"/>
        <v>Up</v>
      </c>
      <c r="S108" s="7" t="str">
        <f t="shared" si="16"/>
        <v>Hold</v>
      </c>
      <c r="T108" s="8">
        <f t="shared" si="17"/>
        <v>0.10684967074317965</v>
      </c>
      <c r="U108" s="18">
        <f t="shared" si="18"/>
        <v>4481995</v>
      </c>
      <c r="V108" s="7">
        <f t="shared" si="19"/>
        <v>5586.2002000000002</v>
      </c>
      <c r="W108" s="7">
        <f t="shared" si="20"/>
        <v>1615.1</v>
      </c>
      <c r="X108" s="7">
        <f t="shared" si="21"/>
        <v>1787</v>
      </c>
      <c r="Y108" s="7">
        <f t="shared" si="22"/>
        <v>455</v>
      </c>
      <c r="Z108" s="7">
        <f t="shared" si="23"/>
        <v>1408486</v>
      </c>
      <c r="AA108" s="7" t="str">
        <f t="shared" si="24"/>
        <v>14-Dec-2021</v>
      </c>
      <c r="AB108" s="7">
        <f t="shared" si="25"/>
        <v>1787</v>
      </c>
      <c r="AC108" s="7">
        <f t="shared" si="30"/>
        <v>1</v>
      </c>
      <c r="AD108" s="7">
        <f t="shared" si="27"/>
        <v>2021</v>
      </c>
      <c r="AE108" s="19">
        <f t="shared" si="28"/>
        <v>0.15</v>
      </c>
      <c r="BA108" s="10">
        <f t="shared" si="29"/>
        <v>84.376900000000006</v>
      </c>
    </row>
    <row r="109" spans="1:53" x14ac:dyDescent="0.3">
      <c r="A109" s="17">
        <v>44545</v>
      </c>
      <c r="B109" s="8">
        <v>1762.6</v>
      </c>
      <c r="C109" s="7">
        <v>1778.7</v>
      </c>
      <c r="D109" s="7">
        <v>1753.9</v>
      </c>
      <c r="E109" s="7">
        <v>1767.4</v>
      </c>
      <c r="F109" s="18">
        <v>283</v>
      </c>
      <c r="G109" s="7">
        <v>1780.7856999999999</v>
      </c>
      <c r="H109" s="7">
        <v>1806.0567000000001</v>
      </c>
      <c r="I109" s="7">
        <v>1787.2778000000001</v>
      </c>
      <c r="J109" s="8">
        <v>-1.0968</v>
      </c>
      <c r="K109" s="7">
        <v>0.6159</v>
      </c>
      <c r="L109" s="7">
        <v>0.80020000000000002</v>
      </c>
      <c r="M109" s="8">
        <v>38.5304</v>
      </c>
      <c r="N109" s="8">
        <v>-8.3361000000000001</v>
      </c>
      <c r="O109" s="7">
        <v>-5.9069000000000003</v>
      </c>
      <c r="P109" s="7">
        <v>1858.0608</v>
      </c>
      <c r="Q109" s="7">
        <v>1735.9892</v>
      </c>
      <c r="R109" s="7" t="str">
        <f t="shared" si="15"/>
        <v>Up</v>
      </c>
      <c r="S109" s="7" t="str">
        <f t="shared" si="16"/>
        <v>Hold</v>
      </c>
      <c r="T109" s="8">
        <f t="shared" si="17"/>
        <v>0.10681308851224101</v>
      </c>
      <c r="U109" s="18">
        <f t="shared" si="18"/>
        <v>4481673</v>
      </c>
      <c r="V109" s="7">
        <f t="shared" si="19"/>
        <v>5586.2002000000002</v>
      </c>
      <c r="W109" s="7">
        <f t="shared" si="20"/>
        <v>1615.1</v>
      </c>
      <c r="X109" s="7">
        <f t="shared" si="21"/>
        <v>1767.4</v>
      </c>
      <c r="Y109" s="7">
        <f t="shared" si="22"/>
        <v>454</v>
      </c>
      <c r="Z109" s="7">
        <f t="shared" si="23"/>
        <v>1408164</v>
      </c>
      <c r="AA109" s="7" t="str">
        <f t="shared" si="24"/>
        <v>15-Dec-2021</v>
      </c>
      <c r="AB109" s="7">
        <f t="shared" si="25"/>
        <v>1767.4</v>
      </c>
      <c r="AC109" s="7">
        <f t="shared" si="30"/>
        <v>1</v>
      </c>
      <c r="AD109" s="7">
        <f t="shared" si="27"/>
        <v>2021</v>
      </c>
      <c r="AE109" s="19">
        <f t="shared" si="28"/>
        <v>-1.1000000000000001</v>
      </c>
      <c r="BA109" s="10">
        <f t="shared" si="29"/>
        <v>84.376900000000006</v>
      </c>
    </row>
    <row r="110" spans="1:53" x14ac:dyDescent="0.3">
      <c r="A110" s="17">
        <v>44546</v>
      </c>
      <c r="B110" s="8">
        <v>1796.6</v>
      </c>
      <c r="C110" s="7">
        <v>1798.1</v>
      </c>
      <c r="D110" s="7">
        <v>1781</v>
      </c>
      <c r="E110" s="7">
        <v>1781</v>
      </c>
      <c r="F110" s="18">
        <v>21</v>
      </c>
      <c r="G110" s="7">
        <v>1781</v>
      </c>
      <c r="H110" s="7">
        <v>1806.49</v>
      </c>
      <c r="I110" s="7">
        <v>1787.86</v>
      </c>
      <c r="J110" s="8">
        <v>0.76949999999999996</v>
      </c>
      <c r="K110" s="7">
        <v>0.69969999999999999</v>
      </c>
      <c r="L110" s="7">
        <v>0.7792</v>
      </c>
      <c r="M110" s="8">
        <v>45.904299999999999</v>
      </c>
      <c r="N110" s="8">
        <v>-7.9776999999999996</v>
      </c>
      <c r="O110" s="7">
        <v>-6.3209999999999997</v>
      </c>
      <c r="P110" s="7">
        <v>1845.8984</v>
      </c>
      <c r="Q110" s="7">
        <v>1739.9916000000001</v>
      </c>
      <c r="R110" s="7" t="str">
        <f t="shared" si="15"/>
        <v>Down</v>
      </c>
      <c r="S110" s="7" t="str">
        <f t="shared" si="16"/>
        <v>Hold</v>
      </c>
      <c r="T110" s="8">
        <f t="shared" si="17"/>
        <v>0.10794750235626767</v>
      </c>
      <c r="U110" s="18">
        <f t="shared" si="18"/>
        <v>4481390</v>
      </c>
      <c r="V110" s="7">
        <f t="shared" si="19"/>
        <v>5586.2002000000002</v>
      </c>
      <c r="W110" s="7">
        <f t="shared" si="20"/>
        <v>1615.1</v>
      </c>
      <c r="X110" s="7">
        <f t="shared" si="21"/>
        <v>1781</v>
      </c>
      <c r="Y110" s="7">
        <f t="shared" si="22"/>
        <v>453</v>
      </c>
      <c r="Z110" s="7">
        <f t="shared" si="23"/>
        <v>1407881</v>
      </c>
      <c r="AA110" s="7" t="str">
        <f t="shared" si="24"/>
        <v>16-Dec-2021</v>
      </c>
      <c r="AB110" s="7">
        <f t="shared" si="25"/>
        <v>1781</v>
      </c>
      <c r="AC110" s="7">
        <f t="shared" si="30"/>
        <v>1</v>
      </c>
      <c r="AD110" s="7">
        <f t="shared" si="27"/>
        <v>2021</v>
      </c>
      <c r="AE110" s="19">
        <f t="shared" si="28"/>
        <v>0.77</v>
      </c>
      <c r="BA110" s="10">
        <f t="shared" si="29"/>
        <v>84.376900000000006</v>
      </c>
    </row>
    <row r="111" spans="1:53" x14ac:dyDescent="0.3">
      <c r="A111" s="17">
        <v>44547</v>
      </c>
      <c r="B111" s="8">
        <v>1803.8</v>
      </c>
      <c r="C111" s="7">
        <v>1812.9</v>
      </c>
      <c r="D111" s="7">
        <v>1803.8</v>
      </c>
      <c r="E111" s="7">
        <v>1804</v>
      </c>
      <c r="F111" s="18">
        <v>654</v>
      </c>
      <c r="G111" s="7">
        <v>1783.0143</v>
      </c>
      <c r="H111" s="7">
        <v>1807.4032999999999</v>
      </c>
      <c r="I111" s="7">
        <v>1788.7121999999999</v>
      </c>
      <c r="J111" s="8">
        <v>1.2914000000000001</v>
      </c>
      <c r="K111" s="7">
        <v>0.83389999999999997</v>
      </c>
      <c r="L111" s="7">
        <v>0.80889999999999995</v>
      </c>
      <c r="M111" s="8">
        <v>54.220999999999997</v>
      </c>
      <c r="N111" s="8">
        <v>-5.7713000000000001</v>
      </c>
      <c r="O111" s="7">
        <v>-6.2111000000000001</v>
      </c>
      <c r="P111" s="7">
        <v>1832.7628</v>
      </c>
      <c r="Q111" s="7">
        <v>1747.4272000000001</v>
      </c>
      <c r="R111" s="7" t="str">
        <f t="shared" si="15"/>
        <v>Up</v>
      </c>
      <c r="S111" s="7" t="str">
        <f t="shared" si="16"/>
        <v>Hold</v>
      </c>
      <c r="T111" s="8">
        <f t="shared" si="17"/>
        <v>0.10732339622641504</v>
      </c>
      <c r="U111" s="18">
        <f t="shared" si="18"/>
        <v>4481369</v>
      </c>
      <c r="V111" s="7">
        <f t="shared" si="19"/>
        <v>5586.2002000000002</v>
      </c>
      <c r="W111" s="7">
        <f t="shared" si="20"/>
        <v>1615.1</v>
      </c>
      <c r="X111" s="7">
        <f t="shared" si="21"/>
        <v>1804</v>
      </c>
      <c r="Y111" s="7">
        <f t="shared" si="22"/>
        <v>453</v>
      </c>
      <c r="Z111" s="7">
        <f t="shared" si="23"/>
        <v>1407881</v>
      </c>
      <c r="AA111" s="7" t="str">
        <f t="shared" si="24"/>
        <v>17-Dec-2021</v>
      </c>
      <c r="AB111" s="7">
        <f t="shared" si="25"/>
        <v>1804</v>
      </c>
      <c r="AC111" s="7">
        <f t="shared" si="30"/>
        <v>1</v>
      </c>
      <c r="AD111" s="7">
        <f t="shared" si="27"/>
        <v>2021</v>
      </c>
      <c r="AE111" s="19">
        <f t="shared" si="28"/>
        <v>1.29</v>
      </c>
      <c r="BA111" s="10">
        <f t="shared" si="29"/>
        <v>84.376900000000006</v>
      </c>
    </row>
    <row r="112" spans="1:53" x14ac:dyDescent="0.3">
      <c r="A112" s="17">
        <v>44550</v>
      </c>
      <c r="B112" s="8">
        <v>1793.7</v>
      </c>
      <c r="C112" s="7">
        <v>1799.8</v>
      </c>
      <c r="D112" s="7">
        <v>1792</v>
      </c>
      <c r="E112" s="7">
        <v>1796.8</v>
      </c>
      <c r="F112" s="18">
        <v>226</v>
      </c>
      <c r="G112" s="7">
        <v>1784.9142999999999</v>
      </c>
      <c r="H112" s="7">
        <v>1807.4666999999999</v>
      </c>
      <c r="I112" s="7">
        <v>1789.2356</v>
      </c>
      <c r="J112" s="8">
        <v>-0.39910000000000001</v>
      </c>
      <c r="K112" s="7">
        <v>0.83789999999999998</v>
      </c>
      <c r="L112" s="7">
        <v>0.7913</v>
      </c>
      <c r="M112" s="8">
        <v>54.4452</v>
      </c>
      <c r="N112" s="8">
        <v>-4.5511999999999997</v>
      </c>
      <c r="O112" s="7">
        <v>-5.8791000000000002</v>
      </c>
      <c r="P112" s="7">
        <v>1819.1994</v>
      </c>
      <c r="Q112" s="7">
        <v>1755.5506</v>
      </c>
      <c r="R112" s="7" t="str">
        <f t="shared" si="15"/>
        <v>Up</v>
      </c>
      <c r="S112" s="7" t="str">
        <f t="shared" si="16"/>
        <v>Hold</v>
      </c>
      <c r="T112" s="8">
        <f t="shared" si="17"/>
        <v>0.10620528800755423</v>
      </c>
      <c r="U112" s="18">
        <f t="shared" si="18"/>
        <v>4480715</v>
      </c>
      <c r="V112" s="7">
        <f t="shared" si="19"/>
        <v>5586.2002000000002</v>
      </c>
      <c r="W112" s="7">
        <f t="shared" si="20"/>
        <v>1615.1</v>
      </c>
      <c r="X112" s="7">
        <f t="shared" si="21"/>
        <v>1796.8</v>
      </c>
      <c r="Y112" s="7">
        <f t="shared" si="22"/>
        <v>452</v>
      </c>
      <c r="Z112" s="7">
        <f t="shared" si="23"/>
        <v>1407227</v>
      </c>
      <c r="AA112" s="7" t="str">
        <f t="shared" si="24"/>
        <v>20-Dec-2021</v>
      </c>
      <c r="AB112" s="7">
        <f t="shared" si="25"/>
        <v>1796.8</v>
      </c>
      <c r="AC112" s="7">
        <f t="shared" si="30"/>
        <v>1</v>
      </c>
      <c r="AD112" s="7">
        <f t="shared" si="27"/>
        <v>2021</v>
      </c>
      <c r="AE112" s="19">
        <f t="shared" si="28"/>
        <v>-0.4</v>
      </c>
      <c r="BA112" s="10">
        <f t="shared" si="29"/>
        <v>84.376900000000006</v>
      </c>
    </row>
    <row r="113" spans="1:53" x14ac:dyDescent="0.3">
      <c r="A113" s="17">
        <v>44551</v>
      </c>
      <c r="B113" s="8">
        <v>1787.9</v>
      </c>
      <c r="C113" s="7">
        <v>1796.5</v>
      </c>
      <c r="D113" s="7">
        <v>1787.9</v>
      </c>
      <c r="E113" s="7">
        <v>1791.4</v>
      </c>
      <c r="F113" s="18">
        <v>575</v>
      </c>
      <c r="G113" s="7">
        <v>1787.4286</v>
      </c>
      <c r="H113" s="7">
        <v>1806.6133</v>
      </c>
      <c r="I113" s="7">
        <v>1789.6033</v>
      </c>
      <c r="J113" s="8">
        <v>-0.30049999999999999</v>
      </c>
      <c r="K113" s="7">
        <v>0.81089999999999995</v>
      </c>
      <c r="L113" s="7">
        <v>0.75829999999999997</v>
      </c>
      <c r="M113" s="8">
        <v>55.869900000000001</v>
      </c>
      <c r="N113" s="8">
        <v>-3.9742000000000002</v>
      </c>
      <c r="O113" s="7">
        <v>-5.4981</v>
      </c>
      <c r="P113" s="7">
        <v>1804.1174000000001</v>
      </c>
      <c r="Q113" s="7">
        <v>1765.6125999999999</v>
      </c>
      <c r="R113" s="7" t="str">
        <f t="shared" si="15"/>
        <v>Up</v>
      </c>
      <c r="S113" s="7" t="str">
        <f t="shared" si="16"/>
        <v>Hold</v>
      </c>
      <c r="T113" s="8">
        <f t="shared" si="17"/>
        <v>0.10668289224952737</v>
      </c>
      <c r="U113" s="18">
        <f t="shared" si="18"/>
        <v>4480489</v>
      </c>
      <c r="V113" s="7">
        <f t="shared" si="19"/>
        <v>5586.2002000000002</v>
      </c>
      <c r="W113" s="7">
        <f t="shared" si="20"/>
        <v>1615.1</v>
      </c>
      <c r="X113" s="7">
        <f t="shared" si="21"/>
        <v>1791.4</v>
      </c>
      <c r="Y113" s="7">
        <f t="shared" si="22"/>
        <v>451</v>
      </c>
      <c r="Z113" s="7">
        <f t="shared" si="23"/>
        <v>1407001</v>
      </c>
      <c r="AA113" s="7" t="str">
        <f t="shared" si="24"/>
        <v>21-Dec-2021</v>
      </c>
      <c r="AB113" s="7">
        <f t="shared" si="25"/>
        <v>1791.4</v>
      </c>
      <c r="AC113" s="7">
        <f t="shared" si="30"/>
        <v>1</v>
      </c>
      <c r="AD113" s="7">
        <f t="shared" si="27"/>
        <v>2021</v>
      </c>
      <c r="AE113" s="19">
        <f t="shared" si="28"/>
        <v>-0.3</v>
      </c>
      <c r="BA113" s="10">
        <f t="shared" si="29"/>
        <v>84.376900000000006</v>
      </c>
    </row>
    <row r="114" spans="1:53" x14ac:dyDescent="0.3">
      <c r="A114" s="17">
        <v>44552</v>
      </c>
      <c r="B114" s="8">
        <v>1801.6</v>
      </c>
      <c r="C114" s="7">
        <v>1805.2</v>
      </c>
      <c r="D114" s="7">
        <v>1785.5</v>
      </c>
      <c r="E114" s="7">
        <v>1786</v>
      </c>
      <c r="F114" s="18">
        <v>567</v>
      </c>
      <c r="G114" s="7">
        <v>1787.6572000000001</v>
      </c>
      <c r="H114" s="7">
        <v>1805.2766999999999</v>
      </c>
      <c r="I114" s="7">
        <v>1789.7044000000001</v>
      </c>
      <c r="J114" s="8">
        <v>-0.3014</v>
      </c>
      <c r="K114" s="7">
        <v>0.79820000000000002</v>
      </c>
      <c r="L114" s="7">
        <v>0.75249999999999995</v>
      </c>
      <c r="M114" s="8">
        <v>51.812399999999997</v>
      </c>
      <c r="N114" s="8">
        <v>-3.9076</v>
      </c>
      <c r="O114" s="7">
        <v>-5.18</v>
      </c>
      <c r="P114" s="7">
        <v>1802.9955</v>
      </c>
      <c r="Q114" s="7">
        <v>1765.7845</v>
      </c>
      <c r="R114" s="7" t="str">
        <f t="shared" si="15"/>
        <v>Down</v>
      </c>
      <c r="S114" s="7" t="str">
        <f t="shared" si="16"/>
        <v>Hold</v>
      </c>
      <c r="T114" s="8">
        <f t="shared" si="17"/>
        <v>0.10706811731315038</v>
      </c>
      <c r="U114" s="18">
        <f t="shared" si="18"/>
        <v>4479914</v>
      </c>
      <c r="V114" s="7">
        <f t="shared" si="19"/>
        <v>5586.2002000000002</v>
      </c>
      <c r="W114" s="7">
        <f t="shared" si="20"/>
        <v>1615.1</v>
      </c>
      <c r="X114" s="7">
        <f t="shared" si="21"/>
        <v>1786</v>
      </c>
      <c r="Y114" s="7">
        <f t="shared" si="22"/>
        <v>450</v>
      </c>
      <c r="Z114" s="7">
        <f t="shared" si="23"/>
        <v>1406426</v>
      </c>
      <c r="AA114" s="7" t="str">
        <f t="shared" si="24"/>
        <v>22-Dec-2021</v>
      </c>
      <c r="AB114" s="7">
        <f t="shared" si="25"/>
        <v>1786</v>
      </c>
      <c r="AC114" s="7">
        <f t="shared" si="30"/>
        <v>1</v>
      </c>
      <c r="AD114" s="7">
        <f t="shared" si="27"/>
        <v>2021</v>
      </c>
      <c r="AE114" s="19">
        <f t="shared" si="28"/>
        <v>-0.3</v>
      </c>
      <c r="BA114" s="10">
        <f t="shared" si="29"/>
        <v>84.376900000000006</v>
      </c>
    </row>
    <row r="115" spans="1:53" x14ac:dyDescent="0.3">
      <c r="A115" s="17">
        <v>44553</v>
      </c>
      <c r="B115" s="8">
        <v>1811.2</v>
      </c>
      <c r="C115" s="7">
        <v>1811.2</v>
      </c>
      <c r="D115" s="7">
        <v>1800.8</v>
      </c>
      <c r="E115" s="7">
        <v>1806</v>
      </c>
      <c r="F115" s="18">
        <v>193</v>
      </c>
      <c r="G115" s="7">
        <v>1790.3714</v>
      </c>
      <c r="H115" s="7">
        <v>1804.6167</v>
      </c>
      <c r="I115" s="7">
        <v>1789.9078</v>
      </c>
      <c r="J115" s="8">
        <v>1.1197999999999999</v>
      </c>
      <c r="K115" s="7">
        <v>0.90280000000000005</v>
      </c>
      <c r="L115" s="7">
        <v>0.7833</v>
      </c>
      <c r="M115" s="8">
        <v>63.068600000000004</v>
      </c>
      <c r="N115" s="8">
        <v>-2.2153999999999998</v>
      </c>
      <c r="O115" s="7">
        <v>-4.5871000000000004</v>
      </c>
      <c r="P115" s="7">
        <v>1805.7062000000001</v>
      </c>
      <c r="Q115" s="7">
        <v>1764.3738000000001</v>
      </c>
      <c r="R115" s="7" t="str">
        <f t="shared" si="15"/>
        <v>Down</v>
      </c>
      <c r="S115" s="7" t="str">
        <f t="shared" si="16"/>
        <v>Hold</v>
      </c>
      <c r="T115" s="8">
        <f t="shared" si="17"/>
        <v>0.10745492424242421</v>
      </c>
      <c r="U115" s="18">
        <f t="shared" si="18"/>
        <v>4479347</v>
      </c>
      <c r="V115" s="7">
        <f t="shared" si="19"/>
        <v>5586.2002000000002</v>
      </c>
      <c r="W115" s="7">
        <f t="shared" si="20"/>
        <v>1615.1</v>
      </c>
      <c r="X115" s="7">
        <f t="shared" si="21"/>
        <v>1806</v>
      </c>
      <c r="Y115" s="7">
        <f t="shared" si="22"/>
        <v>450</v>
      </c>
      <c r="Z115" s="7">
        <f t="shared" si="23"/>
        <v>1406426</v>
      </c>
      <c r="AA115" s="7" t="str">
        <f t="shared" si="24"/>
        <v>23-Dec-2021</v>
      </c>
      <c r="AB115" s="7">
        <f t="shared" si="25"/>
        <v>1806</v>
      </c>
      <c r="AC115" s="7">
        <f t="shared" si="30"/>
        <v>1</v>
      </c>
      <c r="AD115" s="7">
        <f t="shared" si="27"/>
        <v>2021</v>
      </c>
      <c r="AE115" s="19">
        <f t="shared" si="28"/>
        <v>1.1200000000000001</v>
      </c>
      <c r="BA115" s="10">
        <f t="shared" si="29"/>
        <v>84.376900000000006</v>
      </c>
    </row>
    <row r="116" spans="1:53" x14ac:dyDescent="0.3">
      <c r="A116" s="17">
        <v>44557</v>
      </c>
      <c r="B116" s="8">
        <v>1808.1</v>
      </c>
      <c r="C116" s="7">
        <v>1812.1</v>
      </c>
      <c r="D116" s="7">
        <v>1807</v>
      </c>
      <c r="E116" s="7">
        <v>1810</v>
      </c>
      <c r="F116" s="18">
        <v>150</v>
      </c>
      <c r="G116" s="7">
        <v>1796.4572000000001</v>
      </c>
      <c r="H116" s="7">
        <v>1803.1532999999999</v>
      </c>
      <c r="I116" s="7">
        <v>1790.1543999999999</v>
      </c>
      <c r="J116" s="8">
        <v>0.2215</v>
      </c>
      <c r="K116" s="7">
        <v>0.71640000000000004</v>
      </c>
      <c r="L116" s="7">
        <v>0.72709999999999997</v>
      </c>
      <c r="M116" s="8">
        <v>60.750399999999999</v>
      </c>
      <c r="N116" s="8">
        <v>-0.54530000000000001</v>
      </c>
      <c r="O116" s="7">
        <v>-3.7787000000000002</v>
      </c>
      <c r="P116" s="7">
        <v>1809.3679</v>
      </c>
      <c r="Q116" s="7">
        <v>1762.6021000000001</v>
      </c>
      <c r="R116" s="7" t="str">
        <f t="shared" si="15"/>
        <v>Up</v>
      </c>
      <c r="S116" s="7" t="str">
        <f t="shared" si="16"/>
        <v>Hold</v>
      </c>
      <c r="T116" s="8">
        <f t="shared" si="17"/>
        <v>0.1064953554502369</v>
      </c>
      <c r="U116" s="18">
        <f t="shared" si="18"/>
        <v>4479154</v>
      </c>
      <c r="V116" s="7">
        <f t="shared" si="19"/>
        <v>5586.2002000000002</v>
      </c>
      <c r="W116" s="7">
        <f t="shared" si="20"/>
        <v>1615.1</v>
      </c>
      <c r="X116" s="7">
        <f t="shared" si="21"/>
        <v>1810</v>
      </c>
      <c r="Y116" s="7">
        <f t="shared" si="22"/>
        <v>450</v>
      </c>
      <c r="Z116" s="7">
        <f t="shared" si="23"/>
        <v>1406426</v>
      </c>
      <c r="AA116" s="7" t="str">
        <f t="shared" si="24"/>
        <v>27-Dec-2021</v>
      </c>
      <c r="AB116" s="7">
        <f t="shared" si="25"/>
        <v>1810</v>
      </c>
      <c r="AC116" s="7">
        <f t="shared" si="30"/>
        <v>1</v>
      </c>
      <c r="AD116" s="7">
        <f t="shared" si="27"/>
        <v>2021</v>
      </c>
      <c r="AE116" s="19">
        <f t="shared" si="28"/>
        <v>0.22</v>
      </c>
      <c r="BA116" s="10">
        <f t="shared" si="29"/>
        <v>84.376900000000006</v>
      </c>
    </row>
    <row r="117" spans="1:53" x14ac:dyDescent="0.3">
      <c r="A117" s="17">
        <v>44558</v>
      </c>
      <c r="B117" s="8">
        <v>1810.2</v>
      </c>
      <c r="C117" s="7">
        <v>1818</v>
      </c>
      <c r="D117" s="7">
        <v>1805.5</v>
      </c>
      <c r="E117" s="7">
        <v>1812</v>
      </c>
      <c r="F117" s="18">
        <v>146</v>
      </c>
      <c r="G117" s="7">
        <v>1800.8857</v>
      </c>
      <c r="H117" s="7">
        <v>1801.5266999999999</v>
      </c>
      <c r="I117" s="7">
        <v>1790.51</v>
      </c>
      <c r="J117" s="8">
        <v>0.1105</v>
      </c>
      <c r="K117" s="7">
        <v>0.69399999999999995</v>
      </c>
      <c r="L117" s="7">
        <v>0.72299999999999998</v>
      </c>
      <c r="M117" s="8">
        <v>61.615400000000001</v>
      </c>
      <c r="N117" s="8">
        <v>0.92889999999999995</v>
      </c>
      <c r="O117" s="7">
        <v>-2.8372000000000002</v>
      </c>
      <c r="P117" s="7">
        <v>1813.0389</v>
      </c>
      <c r="Q117" s="7">
        <v>1760.9611</v>
      </c>
      <c r="R117" s="7" t="str">
        <f t="shared" si="15"/>
        <v>Up</v>
      </c>
      <c r="S117" s="7" t="str">
        <f t="shared" si="16"/>
        <v>Hold</v>
      </c>
      <c r="T117" s="8">
        <f t="shared" si="17"/>
        <v>0.1063862428842504</v>
      </c>
      <c r="U117" s="18">
        <f t="shared" si="18"/>
        <v>4479004</v>
      </c>
      <c r="V117" s="7">
        <f t="shared" si="19"/>
        <v>5586.2002000000002</v>
      </c>
      <c r="W117" s="7">
        <f t="shared" si="20"/>
        <v>1615.1</v>
      </c>
      <c r="X117" s="7">
        <f t="shared" si="21"/>
        <v>1812</v>
      </c>
      <c r="Y117" s="7">
        <f t="shared" si="22"/>
        <v>449</v>
      </c>
      <c r="Z117" s="7">
        <f t="shared" si="23"/>
        <v>1406276</v>
      </c>
      <c r="AA117" s="7" t="str">
        <f t="shared" si="24"/>
        <v>28-Dec-2021</v>
      </c>
      <c r="AB117" s="7">
        <f t="shared" si="25"/>
        <v>1812</v>
      </c>
      <c r="AC117" s="7">
        <f t="shared" si="30"/>
        <v>1</v>
      </c>
      <c r="AD117" s="7">
        <f t="shared" si="27"/>
        <v>2021</v>
      </c>
      <c r="AE117" s="19">
        <f t="shared" si="28"/>
        <v>0.11</v>
      </c>
      <c r="BA117" s="10">
        <f t="shared" si="29"/>
        <v>84.376900000000006</v>
      </c>
    </row>
    <row r="118" spans="1:53" x14ac:dyDescent="0.3">
      <c r="A118" s="17">
        <v>44559</v>
      </c>
      <c r="B118" s="8">
        <v>1805.1</v>
      </c>
      <c r="C118" s="7">
        <v>1805.1</v>
      </c>
      <c r="D118" s="7">
        <v>1791.4</v>
      </c>
      <c r="E118" s="7">
        <v>1803.2</v>
      </c>
      <c r="F118" s="18">
        <v>623</v>
      </c>
      <c r="G118" s="7">
        <v>1800.7714000000001</v>
      </c>
      <c r="H118" s="7">
        <v>1799.4833000000001</v>
      </c>
      <c r="I118" s="7">
        <v>1790.7221999999999</v>
      </c>
      <c r="J118" s="8">
        <v>-0.48570000000000002</v>
      </c>
      <c r="K118" s="7">
        <v>0.5615</v>
      </c>
      <c r="L118" s="7">
        <v>0.72450000000000003</v>
      </c>
      <c r="M118" s="8">
        <v>54.808399999999999</v>
      </c>
      <c r="N118" s="8">
        <v>1.3713</v>
      </c>
      <c r="O118" s="7">
        <v>-1.9955000000000001</v>
      </c>
      <c r="P118" s="7">
        <v>1814.9340999999999</v>
      </c>
      <c r="Q118" s="7">
        <v>1760.9958999999999</v>
      </c>
      <c r="R118" s="7" t="str">
        <f t="shared" si="15"/>
        <v>Down</v>
      </c>
      <c r="S118" s="7" t="str">
        <f t="shared" si="16"/>
        <v>Hold</v>
      </c>
      <c r="T118" s="8">
        <f t="shared" si="17"/>
        <v>0.1063823361823361</v>
      </c>
      <c r="U118" s="18">
        <f t="shared" si="18"/>
        <v>4478858</v>
      </c>
      <c r="V118" s="7">
        <f t="shared" si="19"/>
        <v>5586.2002000000002</v>
      </c>
      <c r="W118" s="7">
        <f t="shared" si="20"/>
        <v>1615.1</v>
      </c>
      <c r="X118" s="7">
        <f t="shared" si="21"/>
        <v>1803.2</v>
      </c>
      <c r="Y118" s="7">
        <f t="shared" si="22"/>
        <v>448</v>
      </c>
      <c r="Z118" s="7">
        <f t="shared" si="23"/>
        <v>1406130</v>
      </c>
      <c r="AA118" s="7" t="str">
        <f t="shared" si="24"/>
        <v>29-Dec-2021</v>
      </c>
      <c r="AB118" s="7">
        <f t="shared" si="25"/>
        <v>1803.2</v>
      </c>
      <c r="AC118" s="7">
        <f t="shared" si="30"/>
        <v>1</v>
      </c>
      <c r="AD118" s="7">
        <f t="shared" si="27"/>
        <v>2021</v>
      </c>
      <c r="AE118" s="19">
        <f t="shared" si="28"/>
        <v>-0.49</v>
      </c>
      <c r="BA118" s="10">
        <f t="shared" si="29"/>
        <v>84.376900000000006</v>
      </c>
    </row>
    <row r="119" spans="1:53" x14ac:dyDescent="0.3">
      <c r="A119" s="17">
        <v>44560</v>
      </c>
      <c r="B119" s="8">
        <v>1812.7</v>
      </c>
      <c r="C119" s="7">
        <v>1816</v>
      </c>
      <c r="D119" s="7">
        <v>1796</v>
      </c>
      <c r="E119" s="7">
        <v>1801.7</v>
      </c>
      <c r="F119" s="18">
        <v>306</v>
      </c>
      <c r="G119" s="7">
        <v>1801.4713999999999</v>
      </c>
      <c r="H119" s="7">
        <v>1797.7533000000001</v>
      </c>
      <c r="I119" s="7">
        <v>1790.9989</v>
      </c>
      <c r="J119" s="8">
        <v>-8.3199999999999996E-2</v>
      </c>
      <c r="K119" s="7">
        <v>0.53659999999999997</v>
      </c>
      <c r="L119" s="7">
        <v>0.71889999999999998</v>
      </c>
      <c r="M119" s="8">
        <v>56.821599999999997</v>
      </c>
      <c r="N119" s="8">
        <v>1.5827</v>
      </c>
      <c r="O119" s="7">
        <v>-1.2799</v>
      </c>
      <c r="P119" s="7">
        <v>1816.1976</v>
      </c>
      <c r="Q119" s="7">
        <v>1762.4223999999999</v>
      </c>
      <c r="R119" s="7" t="str">
        <f t="shared" si="15"/>
        <v>Down</v>
      </c>
      <c r="S119" s="7" t="str">
        <f t="shared" si="16"/>
        <v>Hold</v>
      </c>
      <c r="T119" s="8">
        <f t="shared" si="17"/>
        <v>0.10694515209125471</v>
      </c>
      <c r="U119" s="18">
        <f t="shared" si="18"/>
        <v>4478235</v>
      </c>
      <c r="V119" s="7">
        <f t="shared" si="19"/>
        <v>5586.2002000000002</v>
      </c>
      <c r="W119" s="7">
        <f t="shared" si="20"/>
        <v>1615.1</v>
      </c>
      <c r="X119" s="7">
        <f t="shared" si="21"/>
        <v>1801.7</v>
      </c>
      <c r="Y119" s="7">
        <f t="shared" si="22"/>
        <v>448</v>
      </c>
      <c r="Z119" s="7">
        <f t="shared" si="23"/>
        <v>1406130</v>
      </c>
      <c r="AA119" s="7" t="str">
        <f t="shared" si="24"/>
        <v>30-Dec-2021</v>
      </c>
      <c r="AB119" s="7">
        <f t="shared" si="25"/>
        <v>1801.7</v>
      </c>
      <c r="AC119" s="7">
        <f t="shared" si="30"/>
        <v>1</v>
      </c>
      <c r="AD119" s="7">
        <f t="shared" si="27"/>
        <v>2021</v>
      </c>
      <c r="AE119" s="19">
        <f t="shared" si="28"/>
        <v>-0.08</v>
      </c>
      <c r="BA119" s="10">
        <f t="shared" si="29"/>
        <v>84.376900000000006</v>
      </c>
    </row>
    <row r="120" spans="1:53" x14ac:dyDescent="0.3">
      <c r="A120" s="17">
        <v>44561</v>
      </c>
      <c r="B120" s="8">
        <v>1827.5</v>
      </c>
      <c r="C120" s="7">
        <v>1827.8</v>
      </c>
      <c r="D120" s="7">
        <v>1821.4</v>
      </c>
      <c r="E120" s="7">
        <v>1825.1</v>
      </c>
      <c r="F120" s="18">
        <v>80</v>
      </c>
      <c r="G120" s="7">
        <v>1806.2856999999999</v>
      </c>
      <c r="H120" s="7">
        <v>1796.5033000000001</v>
      </c>
      <c r="I120" s="7">
        <v>1791.2666999999999</v>
      </c>
      <c r="J120" s="8">
        <v>1.2988</v>
      </c>
      <c r="K120" s="7">
        <v>0.68689999999999996</v>
      </c>
      <c r="L120" s="7">
        <v>0.75590000000000002</v>
      </c>
      <c r="M120" s="8">
        <v>67.437100000000001</v>
      </c>
      <c r="N120" s="8">
        <v>3.5969000000000002</v>
      </c>
      <c r="O120" s="7">
        <v>-0.30449999999999999</v>
      </c>
      <c r="P120" s="7">
        <v>1822.4579000000001</v>
      </c>
      <c r="Q120" s="7">
        <v>1760.5821000000001</v>
      </c>
      <c r="R120" s="7" t="str">
        <f t="shared" si="15"/>
        <v>Down</v>
      </c>
      <c r="S120" s="7" t="str">
        <f t="shared" si="16"/>
        <v>Hold</v>
      </c>
      <c r="T120" s="8">
        <f t="shared" si="17"/>
        <v>0.10712607040913409</v>
      </c>
      <c r="U120" s="18">
        <f t="shared" si="18"/>
        <v>4477929</v>
      </c>
      <c r="V120" s="7">
        <f t="shared" si="19"/>
        <v>5586.2002000000002</v>
      </c>
      <c r="W120" s="7">
        <f t="shared" si="20"/>
        <v>1615.1</v>
      </c>
      <c r="X120" s="7">
        <f t="shared" si="21"/>
        <v>1825.1</v>
      </c>
      <c r="Y120" s="7">
        <f t="shared" si="22"/>
        <v>448</v>
      </c>
      <c r="Z120" s="7">
        <f t="shared" si="23"/>
        <v>1406130</v>
      </c>
      <c r="AA120" s="7" t="str">
        <f t="shared" si="24"/>
        <v>31-Dec-2021</v>
      </c>
      <c r="AB120" s="7">
        <f t="shared" si="25"/>
        <v>1825.1</v>
      </c>
      <c r="AC120" s="7">
        <f t="shared" si="30"/>
        <v>1</v>
      </c>
      <c r="AD120" s="7">
        <f t="shared" si="27"/>
        <v>2021</v>
      </c>
      <c r="AE120" s="19">
        <f t="shared" si="28"/>
        <v>1.3</v>
      </c>
      <c r="BA120" s="10">
        <f t="shared" si="29"/>
        <v>84.376900000000006</v>
      </c>
    </row>
    <row r="121" spans="1:53" x14ac:dyDescent="0.3">
      <c r="A121" s="17">
        <v>44564</v>
      </c>
      <c r="B121" s="8">
        <v>1799.4</v>
      </c>
      <c r="C121" s="7">
        <v>1830.1</v>
      </c>
      <c r="D121" s="7">
        <v>1798.8</v>
      </c>
      <c r="E121" s="7">
        <v>1830.1</v>
      </c>
      <c r="F121" s="18">
        <v>116</v>
      </c>
      <c r="G121" s="7">
        <v>1812.5857000000001</v>
      </c>
      <c r="H121" s="7">
        <v>1795.4733000000001</v>
      </c>
      <c r="I121" s="7">
        <v>1791.69</v>
      </c>
      <c r="J121" s="8">
        <v>0.27400000000000002</v>
      </c>
      <c r="K121" s="7">
        <v>0.6401</v>
      </c>
      <c r="L121" s="7">
        <v>0.75839999999999996</v>
      </c>
      <c r="M121" s="8">
        <v>66.148399999999995</v>
      </c>
      <c r="N121" s="8">
        <v>5.5328999999999997</v>
      </c>
      <c r="O121" s="7">
        <v>0.86299999999999999</v>
      </c>
      <c r="P121" s="7">
        <v>1827.9335000000001</v>
      </c>
      <c r="Q121" s="7">
        <v>1761.3665000000001</v>
      </c>
      <c r="R121" s="7" t="str">
        <f t="shared" si="15"/>
        <v>Up</v>
      </c>
      <c r="S121" s="7" t="str">
        <f t="shared" si="16"/>
        <v>Hold</v>
      </c>
      <c r="T121" s="8">
        <f t="shared" si="17"/>
        <v>0.10599114285714281</v>
      </c>
      <c r="U121" s="18">
        <f t="shared" si="18"/>
        <v>4477849</v>
      </c>
      <c r="V121" s="7">
        <f t="shared" si="19"/>
        <v>5586.2002000000002</v>
      </c>
      <c r="W121" s="7">
        <f t="shared" si="20"/>
        <v>1615.1</v>
      </c>
      <c r="X121" s="7">
        <f t="shared" si="21"/>
        <v>1830.1</v>
      </c>
      <c r="Y121" s="7">
        <f t="shared" si="22"/>
        <v>448</v>
      </c>
      <c r="Z121" s="7">
        <f t="shared" si="23"/>
        <v>1406130</v>
      </c>
      <c r="AA121" s="7" t="str">
        <f t="shared" si="24"/>
        <v>03-Jan-2022</v>
      </c>
      <c r="AB121" s="7">
        <f t="shared" si="25"/>
        <v>1830.1</v>
      </c>
      <c r="AC121" s="7">
        <f t="shared" si="30"/>
        <v>1</v>
      </c>
      <c r="AD121" s="7">
        <f t="shared" si="27"/>
        <v>2022</v>
      </c>
      <c r="AE121" s="19">
        <f t="shared" si="28"/>
        <v>0.27</v>
      </c>
      <c r="BA121" s="10">
        <f t="shared" si="29"/>
        <v>84.376900000000006</v>
      </c>
    </row>
    <row r="122" spans="1:53" x14ac:dyDescent="0.3">
      <c r="A122" s="17">
        <v>44565</v>
      </c>
      <c r="B122" s="8">
        <v>1814</v>
      </c>
      <c r="C122" s="7">
        <v>1815.3</v>
      </c>
      <c r="D122" s="7">
        <v>1800</v>
      </c>
      <c r="E122" s="7">
        <v>1800.5</v>
      </c>
      <c r="F122" s="18">
        <v>38</v>
      </c>
      <c r="G122" s="7">
        <v>1811.8</v>
      </c>
      <c r="H122" s="7">
        <v>1793.7833000000001</v>
      </c>
      <c r="I122" s="7">
        <v>1791.8356000000001</v>
      </c>
      <c r="J122" s="8">
        <v>-1.6173999999999999</v>
      </c>
      <c r="K122" s="7">
        <v>0.88229999999999997</v>
      </c>
      <c r="L122" s="7">
        <v>0.80649999999999999</v>
      </c>
      <c r="M122" s="8">
        <v>54.005899999999997</v>
      </c>
      <c r="N122" s="8">
        <v>4.6254</v>
      </c>
      <c r="O122" s="7">
        <v>1.6154999999999999</v>
      </c>
      <c r="P122" s="7">
        <v>1828.3253</v>
      </c>
      <c r="Q122" s="7">
        <v>1763.0047</v>
      </c>
      <c r="R122" s="7" t="str">
        <f t="shared" si="15"/>
        <v>Down</v>
      </c>
      <c r="S122" s="7" t="str">
        <f t="shared" si="16"/>
        <v>Hold</v>
      </c>
      <c r="T122" s="8">
        <f t="shared" si="17"/>
        <v>0.10583098188751187</v>
      </c>
      <c r="U122" s="18">
        <f t="shared" si="18"/>
        <v>4477733</v>
      </c>
      <c r="V122" s="7">
        <f t="shared" si="19"/>
        <v>5586.2002000000002</v>
      </c>
      <c r="W122" s="7">
        <f t="shared" si="20"/>
        <v>1615.1</v>
      </c>
      <c r="X122" s="7">
        <f t="shared" si="21"/>
        <v>1800.5</v>
      </c>
      <c r="Y122" s="7">
        <f t="shared" si="22"/>
        <v>447</v>
      </c>
      <c r="Z122" s="7">
        <f t="shared" si="23"/>
        <v>1406014</v>
      </c>
      <c r="AA122" s="7" t="str">
        <f t="shared" si="24"/>
        <v>04-Jan-2022</v>
      </c>
      <c r="AB122" s="7">
        <f t="shared" si="25"/>
        <v>1800.5</v>
      </c>
      <c r="AC122" s="7">
        <f t="shared" si="30"/>
        <v>1</v>
      </c>
      <c r="AD122" s="7">
        <f t="shared" si="27"/>
        <v>2022</v>
      </c>
      <c r="AE122" s="19">
        <f t="shared" si="28"/>
        <v>-1.62</v>
      </c>
      <c r="BA122" s="10">
        <f t="shared" si="29"/>
        <v>84.376900000000006</v>
      </c>
    </row>
    <row r="123" spans="1:53" x14ac:dyDescent="0.3">
      <c r="A123" s="17">
        <v>44566</v>
      </c>
      <c r="B123" s="8">
        <v>1824.6</v>
      </c>
      <c r="C123" s="7">
        <v>1824.6</v>
      </c>
      <c r="D123" s="7">
        <v>1813.1</v>
      </c>
      <c r="E123" s="7">
        <v>1813.1</v>
      </c>
      <c r="F123" s="18">
        <v>8</v>
      </c>
      <c r="G123" s="7">
        <v>1812.2428</v>
      </c>
      <c r="H123" s="7">
        <v>1792.8333</v>
      </c>
      <c r="I123" s="7">
        <v>1791.9432999999999</v>
      </c>
      <c r="J123" s="8">
        <v>0.69979999999999998</v>
      </c>
      <c r="K123" s="7">
        <v>0.92349999999999999</v>
      </c>
      <c r="L123" s="7">
        <v>0.81479999999999997</v>
      </c>
      <c r="M123" s="8">
        <v>64.148600000000002</v>
      </c>
      <c r="N123" s="8">
        <v>4.8667999999999996</v>
      </c>
      <c r="O123" s="7">
        <v>2.2656999999999998</v>
      </c>
      <c r="P123" s="7">
        <v>1829.9609</v>
      </c>
      <c r="Q123" s="7">
        <v>1764.7291</v>
      </c>
      <c r="R123" s="7" t="str">
        <f t="shared" si="15"/>
        <v>Down</v>
      </c>
      <c r="S123" s="7" t="str">
        <f t="shared" si="16"/>
        <v>Hold</v>
      </c>
      <c r="T123" s="8">
        <f t="shared" si="17"/>
        <v>0.10747528625954192</v>
      </c>
      <c r="U123" s="18">
        <f t="shared" si="18"/>
        <v>4477695</v>
      </c>
      <c r="V123" s="7">
        <f t="shared" si="19"/>
        <v>5586.2002000000002</v>
      </c>
      <c r="W123" s="7">
        <f t="shared" si="20"/>
        <v>1615.1</v>
      </c>
      <c r="X123" s="7">
        <f t="shared" si="21"/>
        <v>1813.1</v>
      </c>
      <c r="Y123" s="7">
        <f t="shared" si="22"/>
        <v>447</v>
      </c>
      <c r="Z123" s="7">
        <f t="shared" si="23"/>
        <v>1406014</v>
      </c>
      <c r="AA123" s="7" t="str">
        <f t="shared" si="24"/>
        <v>05-Jan-2022</v>
      </c>
      <c r="AB123" s="7">
        <f t="shared" si="25"/>
        <v>1813.1</v>
      </c>
      <c r="AC123" s="7">
        <f t="shared" si="30"/>
        <v>1</v>
      </c>
      <c r="AD123" s="7">
        <f t="shared" si="27"/>
        <v>2022</v>
      </c>
      <c r="AE123" s="19">
        <f t="shared" si="28"/>
        <v>0.7</v>
      </c>
      <c r="BA123" s="10">
        <f t="shared" si="29"/>
        <v>84.376900000000006</v>
      </c>
    </row>
    <row r="124" spans="1:53" x14ac:dyDescent="0.3">
      <c r="A124" s="17">
        <v>44567</v>
      </c>
      <c r="B124" s="8">
        <v>1788.7</v>
      </c>
      <c r="C124" s="7">
        <v>1791.3</v>
      </c>
      <c r="D124" s="7">
        <v>1787.1</v>
      </c>
      <c r="E124" s="7">
        <v>1787.1</v>
      </c>
      <c r="F124" s="18">
        <v>30</v>
      </c>
      <c r="G124" s="7">
        <v>1808.6857</v>
      </c>
      <c r="H124" s="7">
        <v>1792.5533</v>
      </c>
      <c r="I124" s="7">
        <v>1791.5978</v>
      </c>
      <c r="J124" s="8">
        <v>-1.4339999999999999</v>
      </c>
      <c r="K124" s="7">
        <v>1.0729</v>
      </c>
      <c r="L124" s="7">
        <v>0.7218</v>
      </c>
      <c r="M124" s="8">
        <v>51.753900000000002</v>
      </c>
      <c r="N124" s="8">
        <v>2.9264000000000001</v>
      </c>
      <c r="O124" s="7">
        <v>2.3978999999999999</v>
      </c>
      <c r="P124" s="7">
        <v>1829.9791</v>
      </c>
      <c r="Q124" s="7">
        <v>1764.4309000000001</v>
      </c>
      <c r="R124" s="7" t="str">
        <f t="shared" si="15"/>
        <v>Down</v>
      </c>
      <c r="S124" s="7" t="str">
        <f t="shared" si="16"/>
        <v>Hold</v>
      </c>
      <c r="T124" s="8">
        <f t="shared" si="17"/>
        <v>0.10690955109837624</v>
      </c>
      <c r="U124" s="18">
        <f t="shared" si="18"/>
        <v>4477687</v>
      </c>
      <c r="V124" s="7">
        <f t="shared" si="19"/>
        <v>5586.2002000000002</v>
      </c>
      <c r="W124" s="7">
        <f t="shared" si="20"/>
        <v>1615.1</v>
      </c>
      <c r="X124" s="7">
        <f t="shared" si="21"/>
        <v>1787.1</v>
      </c>
      <c r="Y124" s="7">
        <f t="shared" si="22"/>
        <v>447</v>
      </c>
      <c r="Z124" s="7">
        <f t="shared" si="23"/>
        <v>1406014</v>
      </c>
      <c r="AA124" s="7" t="str">
        <f t="shared" si="24"/>
        <v>06-Jan-2022</v>
      </c>
      <c r="AB124" s="7">
        <f t="shared" si="25"/>
        <v>1787.1</v>
      </c>
      <c r="AC124" s="7">
        <f t="shared" si="30"/>
        <v>1</v>
      </c>
      <c r="AD124" s="7">
        <f t="shared" si="27"/>
        <v>2022</v>
      </c>
      <c r="AE124" s="19">
        <f t="shared" si="28"/>
        <v>-1.43</v>
      </c>
      <c r="BA124" s="10">
        <f t="shared" si="29"/>
        <v>84.376900000000006</v>
      </c>
    </row>
    <row r="125" spans="1:53" x14ac:dyDescent="0.3">
      <c r="A125" s="17">
        <v>44568</v>
      </c>
      <c r="B125" s="8">
        <v>1797</v>
      </c>
      <c r="C125" s="7">
        <v>1797</v>
      </c>
      <c r="D125" s="7">
        <v>1784.4</v>
      </c>
      <c r="E125" s="7">
        <v>1791.8</v>
      </c>
      <c r="F125" s="18">
        <v>17</v>
      </c>
      <c r="G125" s="7">
        <v>1807.0571</v>
      </c>
      <c r="H125" s="7">
        <v>1792.5133000000001</v>
      </c>
      <c r="I125" s="7">
        <v>1791.33</v>
      </c>
      <c r="J125" s="8">
        <v>0.26300000000000001</v>
      </c>
      <c r="K125" s="7">
        <v>1.0762</v>
      </c>
      <c r="L125" s="7">
        <v>0.72309999999999997</v>
      </c>
      <c r="M125" s="8">
        <v>46.079700000000003</v>
      </c>
      <c r="N125" s="8">
        <v>1.7477</v>
      </c>
      <c r="O125" s="7">
        <v>2.2677999999999998</v>
      </c>
      <c r="P125" s="7">
        <v>1829.8694</v>
      </c>
      <c r="Q125" s="7">
        <v>1765.3706</v>
      </c>
      <c r="R125" s="7" t="str">
        <f t="shared" si="15"/>
        <v>Down</v>
      </c>
      <c r="S125" s="7" t="str">
        <f t="shared" si="16"/>
        <v>Hold</v>
      </c>
      <c r="T125" s="8">
        <f t="shared" si="17"/>
        <v>0.10838269598470358</v>
      </c>
      <c r="U125" s="18">
        <f t="shared" si="18"/>
        <v>4477657</v>
      </c>
      <c r="V125" s="7">
        <f t="shared" si="19"/>
        <v>5586.2002000000002</v>
      </c>
      <c r="W125" s="7">
        <f t="shared" si="20"/>
        <v>1615.1</v>
      </c>
      <c r="X125" s="7">
        <f t="shared" si="21"/>
        <v>1791.8</v>
      </c>
      <c r="Y125" s="7">
        <f t="shared" si="22"/>
        <v>447</v>
      </c>
      <c r="Z125" s="7">
        <f t="shared" si="23"/>
        <v>1406014</v>
      </c>
      <c r="AA125" s="7" t="str">
        <f t="shared" si="24"/>
        <v>07-Jan-2022</v>
      </c>
      <c r="AB125" s="7">
        <f t="shared" si="25"/>
        <v>1791.8</v>
      </c>
      <c r="AC125" s="7">
        <f t="shared" si="30"/>
        <v>1</v>
      </c>
      <c r="AD125" s="7">
        <f t="shared" si="27"/>
        <v>2022</v>
      </c>
      <c r="AE125" s="19">
        <f t="shared" si="28"/>
        <v>0.26</v>
      </c>
      <c r="BA125" s="10">
        <f t="shared" si="29"/>
        <v>84.376900000000006</v>
      </c>
    </row>
    <row r="126" spans="1:53" x14ac:dyDescent="0.3">
      <c r="A126" s="17">
        <v>44571</v>
      </c>
      <c r="B126" s="8">
        <v>1798.4</v>
      </c>
      <c r="C126" s="7">
        <v>1798.7</v>
      </c>
      <c r="D126" s="7">
        <v>1790.4</v>
      </c>
      <c r="E126" s="7">
        <v>1794.9</v>
      </c>
      <c r="F126" s="18">
        <v>534</v>
      </c>
      <c r="G126" s="7">
        <v>1806.0857000000001</v>
      </c>
      <c r="H126" s="7">
        <v>1792.64</v>
      </c>
      <c r="I126" s="7">
        <v>1791.1233</v>
      </c>
      <c r="J126" s="8">
        <v>0.17299999999999999</v>
      </c>
      <c r="K126" s="7">
        <v>1.0806</v>
      </c>
      <c r="L126" s="7">
        <v>0.72350000000000003</v>
      </c>
      <c r="M126" s="8">
        <v>49.372900000000001</v>
      </c>
      <c r="N126" s="8">
        <v>1.0516000000000001</v>
      </c>
      <c r="O126" s="7">
        <v>2.0246</v>
      </c>
      <c r="P126" s="7">
        <v>1828.9644000000001</v>
      </c>
      <c r="Q126" s="7">
        <v>1768.3856000000001</v>
      </c>
      <c r="R126" s="7" t="str">
        <f t="shared" si="15"/>
        <v>Down</v>
      </c>
      <c r="S126" s="7" t="str">
        <f t="shared" si="16"/>
        <v>Hold</v>
      </c>
      <c r="T126" s="8">
        <f t="shared" si="17"/>
        <v>0.1082347368421052</v>
      </c>
      <c r="U126" s="18">
        <f t="shared" si="18"/>
        <v>4477640</v>
      </c>
      <c r="V126" s="7">
        <f t="shared" si="19"/>
        <v>5586.2002000000002</v>
      </c>
      <c r="W126" s="7">
        <f t="shared" si="20"/>
        <v>1615.1</v>
      </c>
      <c r="X126" s="7">
        <f t="shared" si="21"/>
        <v>1794.9</v>
      </c>
      <c r="Y126" s="7">
        <f t="shared" si="22"/>
        <v>447</v>
      </c>
      <c r="Z126" s="7">
        <f t="shared" si="23"/>
        <v>1406014</v>
      </c>
      <c r="AA126" s="7" t="str">
        <f t="shared" si="24"/>
        <v>10-Jan-2022</v>
      </c>
      <c r="AB126" s="7">
        <f t="shared" si="25"/>
        <v>1794.9</v>
      </c>
      <c r="AC126" s="7">
        <f t="shared" si="30"/>
        <v>1</v>
      </c>
      <c r="AD126" s="7">
        <f t="shared" si="27"/>
        <v>2022</v>
      </c>
      <c r="AE126" s="19">
        <f t="shared" si="28"/>
        <v>0.17</v>
      </c>
      <c r="BA126" s="10">
        <f t="shared" si="29"/>
        <v>84.376900000000006</v>
      </c>
    </row>
    <row r="127" spans="1:53" x14ac:dyDescent="0.3">
      <c r="A127" s="17">
        <v>44572</v>
      </c>
      <c r="B127" s="8">
        <v>1818.6</v>
      </c>
      <c r="C127" s="7">
        <v>1822.5</v>
      </c>
      <c r="D127" s="7">
        <v>1803</v>
      </c>
      <c r="E127" s="7">
        <v>1803.9</v>
      </c>
      <c r="F127" s="18">
        <v>743</v>
      </c>
      <c r="G127" s="7">
        <v>1803.0571</v>
      </c>
      <c r="H127" s="7">
        <v>1793.0467000000001</v>
      </c>
      <c r="I127" s="7">
        <v>1791.02</v>
      </c>
      <c r="J127" s="8">
        <v>0.50139999999999996</v>
      </c>
      <c r="K127" s="7">
        <v>0.94889999999999997</v>
      </c>
      <c r="L127" s="7">
        <v>0.72899999999999998</v>
      </c>
      <c r="M127" s="8">
        <v>54.029699999999998</v>
      </c>
      <c r="N127" s="8">
        <v>1.2121999999999999</v>
      </c>
      <c r="O127" s="7">
        <v>1.8621000000000001</v>
      </c>
      <c r="P127" s="7">
        <v>1829.2521999999999</v>
      </c>
      <c r="Q127" s="7">
        <v>1770.0478000000001</v>
      </c>
      <c r="R127" s="7" t="str">
        <f t="shared" si="15"/>
        <v>Down</v>
      </c>
      <c r="S127" s="7" t="str">
        <f t="shared" si="16"/>
        <v>Hold</v>
      </c>
      <c r="T127" s="8">
        <f t="shared" si="17"/>
        <v>0.10817270114942526</v>
      </c>
      <c r="U127" s="18">
        <f t="shared" si="18"/>
        <v>4477106</v>
      </c>
      <c r="V127" s="7">
        <f t="shared" si="19"/>
        <v>5586.2002000000002</v>
      </c>
      <c r="W127" s="7">
        <f t="shared" si="20"/>
        <v>1615.1</v>
      </c>
      <c r="X127" s="7">
        <f t="shared" si="21"/>
        <v>1803.9</v>
      </c>
      <c r="Y127" s="7">
        <f t="shared" si="22"/>
        <v>447</v>
      </c>
      <c r="Z127" s="7">
        <f t="shared" si="23"/>
        <v>1406014</v>
      </c>
      <c r="AA127" s="7" t="str">
        <f t="shared" si="24"/>
        <v>11-Jan-2022</v>
      </c>
      <c r="AB127" s="7">
        <f t="shared" si="25"/>
        <v>1803.9</v>
      </c>
      <c r="AC127" s="7">
        <f t="shared" si="30"/>
        <v>1</v>
      </c>
      <c r="AD127" s="7">
        <f t="shared" si="27"/>
        <v>2022</v>
      </c>
      <c r="AE127" s="19">
        <f t="shared" si="28"/>
        <v>0.5</v>
      </c>
      <c r="BA127" s="10">
        <f t="shared" si="29"/>
        <v>84.376900000000006</v>
      </c>
    </row>
    <row r="128" spans="1:53" x14ac:dyDescent="0.3">
      <c r="A128" s="17">
        <v>44573</v>
      </c>
      <c r="B128" s="8">
        <v>1827.2</v>
      </c>
      <c r="C128" s="7">
        <v>1827.2</v>
      </c>
      <c r="D128" s="7">
        <v>1816.9</v>
      </c>
      <c r="E128" s="7">
        <v>1819</v>
      </c>
      <c r="F128" s="18">
        <v>1547</v>
      </c>
      <c r="G128" s="7">
        <v>1801.4713999999999</v>
      </c>
      <c r="H128" s="7">
        <v>1794.2166999999999</v>
      </c>
      <c r="I128" s="7">
        <v>1790.9989</v>
      </c>
      <c r="J128" s="8">
        <v>0.83709999999999996</v>
      </c>
      <c r="K128" s="7">
        <v>1.0137</v>
      </c>
      <c r="L128" s="7">
        <v>0.73819999999999997</v>
      </c>
      <c r="M128" s="8">
        <v>60.012099999999997</v>
      </c>
      <c r="N128" s="8">
        <v>2.5287999999999999</v>
      </c>
      <c r="O128" s="7">
        <v>1.9954000000000001</v>
      </c>
      <c r="P128" s="7">
        <v>1831.4269999999999</v>
      </c>
      <c r="Q128" s="7">
        <v>1771.0730000000001</v>
      </c>
      <c r="R128" s="7" t="str">
        <f t="shared" si="15"/>
        <v>Down</v>
      </c>
      <c r="S128" s="7" t="str">
        <f t="shared" si="16"/>
        <v>Hold</v>
      </c>
      <c r="T128" s="8">
        <f t="shared" si="17"/>
        <v>0.10779568552253112</v>
      </c>
      <c r="U128" s="18">
        <f t="shared" si="18"/>
        <v>4476363</v>
      </c>
      <c r="V128" s="7">
        <f t="shared" si="19"/>
        <v>5586.2002000000002</v>
      </c>
      <c r="W128" s="7">
        <f t="shared" si="20"/>
        <v>1615.1</v>
      </c>
      <c r="X128" s="7">
        <f t="shared" si="21"/>
        <v>1819</v>
      </c>
      <c r="Y128" s="7">
        <f t="shared" si="22"/>
        <v>447</v>
      </c>
      <c r="Z128" s="7">
        <f t="shared" si="23"/>
        <v>1406014</v>
      </c>
      <c r="AA128" s="7" t="str">
        <f t="shared" si="24"/>
        <v>12-Jan-2022</v>
      </c>
      <c r="AB128" s="7">
        <f t="shared" si="25"/>
        <v>1819</v>
      </c>
      <c r="AC128" s="7">
        <f t="shared" si="30"/>
        <v>1</v>
      </c>
      <c r="AD128" s="7">
        <f t="shared" si="27"/>
        <v>2022</v>
      </c>
      <c r="AE128" s="19">
        <f t="shared" si="28"/>
        <v>0.84</v>
      </c>
      <c r="BA128" s="10">
        <f t="shared" si="29"/>
        <v>84.376900000000006</v>
      </c>
    </row>
    <row r="129" spans="1:53" x14ac:dyDescent="0.3">
      <c r="A129" s="17">
        <v>44574</v>
      </c>
      <c r="B129" s="8">
        <v>1821.2</v>
      </c>
      <c r="C129" s="7">
        <v>1823</v>
      </c>
      <c r="D129" s="7">
        <v>1815.4</v>
      </c>
      <c r="E129" s="7">
        <v>1819.8</v>
      </c>
      <c r="F129" s="18">
        <v>40</v>
      </c>
      <c r="G129" s="7">
        <v>1804.2285999999999</v>
      </c>
      <c r="H129" s="7">
        <v>1795.7166999999999</v>
      </c>
      <c r="I129" s="7">
        <v>1790.9332999999999</v>
      </c>
      <c r="J129" s="8">
        <v>4.3999999999999997E-2</v>
      </c>
      <c r="K129" s="7">
        <v>0.75619999999999998</v>
      </c>
      <c r="L129" s="7">
        <v>0.73019999999999996</v>
      </c>
      <c r="M129" s="8">
        <v>54.738999999999997</v>
      </c>
      <c r="N129" s="8">
        <v>3.5952999999999999</v>
      </c>
      <c r="O129" s="7">
        <v>2.3153999999999999</v>
      </c>
      <c r="P129" s="7">
        <v>1830.5714</v>
      </c>
      <c r="Q129" s="7">
        <v>1777.1686</v>
      </c>
      <c r="R129" s="7" t="str">
        <f t="shared" si="15"/>
        <v>Down</v>
      </c>
      <c r="S129" s="7" t="str">
        <f t="shared" si="16"/>
        <v>Hold</v>
      </c>
      <c r="T129" s="8">
        <f t="shared" si="17"/>
        <v>0.10709577735124759</v>
      </c>
      <c r="U129" s="18">
        <f t="shared" si="18"/>
        <v>4474816</v>
      </c>
      <c r="V129" s="7">
        <f t="shared" si="19"/>
        <v>5586.2002000000002</v>
      </c>
      <c r="W129" s="7">
        <f t="shared" si="20"/>
        <v>1615.1</v>
      </c>
      <c r="X129" s="7">
        <f t="shared" si="21"/>
        <v>1819.8</v>
      </c>
      <c r="Y129" s="7">
        <f t="shared" si="22"/>
        <v>447</v>
      </c>
      <c r="Z129" s="7">
        <f t="shared" si="23"/>
        <v>1406014</v>
      </c>
      <c r="AA129" s="7" t="str">
        <f t="shared" si="24"/>
        <v>13-Jan-2022</v>
      </c>
      <c r="AB129" s="7">
        <f t="shared" si="25"/>
        <v>1819.8</v>
      </c>
      <c r="AC129" s="7">
        <f t="shared" si="30"/>
        <v>1</v>
      </c>
      <c r="AD129" s="7">
        <f t="shared" si="27"/>
        <v>2022</v>
      </c>
      <c r="AE129" s="19">
        <f t="shared" si="28"/>
        <v>0.04</v>
      </c>
      <c r="BA129" s="10">
        <f t="shared" si="29"/>
        <v>84.376900000000006</v>
      </c>
    </row>
    <row r="130" spans="1:53" x14ac:dyDescent="0.3">
      <c r="A130" s="17">
        <v>44575</v>
      </c>
      <c r="B130" s="8">
        <v>1816.5</v>
      </c>
      <c r="C130" s="7">
        <v>1822</v>
      </c>
      <c r="D130" s="7">
        <v>1816.5</v>
      </c>
      <c r="E130" s="7">
        <v>1821.5</v>
      </c>
      <c r="F130" s="18">
        <v>816</v>
      </c>
      <c r="G130" s="7">
        <v>1805.4286</v>
      </c>
      <c r="H130" s="7">
        <v>1797.07</v>
      </c>
      <c r="I130" s="7">
        <v>1791.3756000000001</v>
      </c>
      <c r="J130" s="8">
        <v>9.3399999999999997E-2</v>
      </c>
      <c r="K130" s="7">
        <v>0.71709999999999996</v>
      </c>
      <c r="L130" s="7">
        <v>0.72860000000000003</v>
      </c>
      <c r="M130" s="8">
        <v>54.012599999999999</v>
      </c>
      <c r="N130" s="8">
        <v>4.5255000000000001</v>
      </c>
      <c r="O130" s="7">
        <v>2.7574000000000001</v>
      </c>
      <c r="P130" s="7">
        <v>1831.4101000000001</v>
      </c>
      <c r="Q130" s="7">
        <v>1780.3798999999999</v>
      </c>
      <c r="R130" s="7" t="str">
        <f t="shared" si="15"/>
        <v>Up</v>
      </c>
      <c r="S130" s="7" t="str">
        <f t="shared" si="16"/>
        <v>Hold</v>
      </c>
      <c r="T130" s="8">
        <f t="shared" si="17"/>
        <v>0.10715638808837651</v>
      </c>
      <c r="U130" s="18">
        <f t="shared" si="18"/>
        <v>4474776</v>
      </c>
      <c r="V130" s="7">
        <f t="shared" si="19"/>
        <v>5586.2002000000002</v>
      </c>
      <c r="W130" s="7">
        <f t="shared" si="20"/>
        <v>1615.1</v>
      </c>
      <c r="X130" s="7">
        <f t="shared" si="21"/>
        <v>1821.5</v>
      </c>
      <c r="Y130" s="7">
        <f t="shared" si="22"/>
        <v>447</v>
      </c>
      <c r="Z130" s="7">
        <f t="shared" si="23"/>
        <v>1406014</v>
      </c>
      <c r="AA130" s="7" t="str">
        <f t="shared" si="24"/>
        <v>14-Jan-2022</v>
      </c>
      <c r="AB130" s="7">
        <f t="shared" si="25"/>
        <v>1821.5</v>
      </c>
      <c r="AC130" s="7">
        <f t="shared" si="30"/>
        <v>1</v>
      </c>
      <c r="AD130" s="7">
        <f t="shared" si="27"/>
        <v>2022</v>
      </c>
      <c r="AE130" s="19">
        <f t="shared" si="28"/>
        <v>0.09</v>
      </c>
      <c r="BA130" s="10">
        <f t="shared" si="29"/>
        <v>84.376900000000006</v>
      </c>
    </row>
    <row r="131" spans="1:53" x14ac:dyDescent="0.3">
      <c r="A131" s="17">
        <v>44579</v>
      </c>
      <c r="B131" s="8">
        <v>1812.3</v>
      </c>
      <c r="C131" s="7">
        <v>1820.1</v>
      </c>
      <c r="D131" s="7">
        <v>1812.3</v>
      </c>
      <c r="E131" s="7">
        <v>1816.8</v>
      </c>
      <c r="F131" s="18">
        <v>900</v>
      </c>
      <c r="G131" s="7">
        <v>1809.6714999999999</v>
      </c>
      <c r="H131" s="7">
        <v>1798.7132999999999</v>
      </c>
      <c r="I131" s="7">
        <v>1791.5767000000001</v>
      </c>
      <c r="J131" s="8">
        <v>-0.25800000000000001</v>
      </c>
      <c r="K131" s="7">
        <v>0.35060000000000002</v>
      </c>
      <c r="L131" s="7">
        <v>0.71460000000000001</v>
      </c>
      <c r="M131" s="8">
        <v>51.643900000000002</v>
      </c>
      <c r="N131" s="8">
        <v>4.8277999999999999</v>
      </c>
      <c r="O131" s="7">
        <v>3.1715</v>
      </c>
      <c r="P131" s="7">
        <v>1832.4883</v>
      </c>
      <c r="Q131" s="7">
        <v>1780.5817</v>
      </c>
      <c r="R131" s="7" t="str">
        <f t="shared" ref="R131:R194" si="31">IF(E131&gt;B131,"Up","Down")</f>
        <v>Up</v>
      </c>
      <c r="S131" s="7" t="str">
        <f t="shared" ref="S131:S194" si="32">IF(M131&gt;70,"Sell",IF(M131&lt;30,"Buy","Hold"))</f>
        <v>Hold</v>
      </c>
      <c r="T131" s="8">
        <f t="shared" ref="T131:T194" si="33">AVERAGE(J131:J1299)</f>
        <v>0.10716961538461534</v>
      </c>
      <c r="U131" s="18">
        <f t="shared" ref="U131:U194" si="34">SUM(F131:F1299)</f>
        <v>4473960</v>
      </c>
      <c r="V131" s="7">
        <f t="shared" ref="V131:V194" si="35">MAX(C131:C1299)</f>
        <v>5586.2002000000002</v>
      </c>
      <c r="W131" s="7">
        <f t="shared" ref="W131:W194" si="36">MIN(D131:D1299)</f>
        <v>1615.1</v>
      </c>
      <c r="X131" s="7">
        <f t="shared" ref="X131:X194" si="37">INDEX(E131:E1299,MATCH(A131,A131:A1299,0))</f>
        <v>1816.8</v>
      </c>
      <c r="Y131" s="7">
        <f t="shared" ref="Y131:Y194" si="38">COUNTIF(R131:R1299,"Up")</f>
        <v>446</v>
      </c>
      <c r="Z131" s="7">
        <f t="shared" ref="Z131:Z194" si="39">SUMIF(R131:R1299,"Up",F131:F1299)</f>
        <v>1405198</v>
      </c>
      <c r="AA131" s="7" t="str">
        <f t="shared" ref="AA131:AA194" si="40">TEXT(A131,"DD-MMM-YYYY")</f>
        <v>18-Jan-2022</v>
      </c>
      <c r="AB131" s="7">
        <f t="shared" ref="AB131:AB194" si="41">_xlfn.XLOOKUP(A131,A131:A1299,E131:E1299)</f>
        <v>1816.8</v>
      </c>
      <c r="AC131" s="7">
        <f t="shared" si="30"/>
        <v>1</v>
      </c>
      <c r="AD131" s="7">
        <f t="shared" ref="AD131:AD194" si="42">YEAR(A131)</f>
        <v>2022</v>
      </c>
      <c r="AE131" s="19">
        <f t="shared" ref="AE131:AE194" si="43">ROUND(J131,2)</f>
        <v>-0.26</v>
      </c>
      <c r="BA131" s="10">
        <f t="shared" ref="BA131:BA194" si="44">MODE(M131:M1299)</f>
        <v>84.376900000000006</v>
      </c>
    </row>
    <row r="132" spans="1:53" x14ac:dyDescent="0.3">
      <c r="A132" s="17">
        <v>44580</v>
      </c>
      <c r="B132" s="8">
        <v>1843.1</v>
      </c>
      <c r="C132" s="7">
        <v>1843.1</v>
      </c>
      <c r="D132" s="7">
        <v>1817.4</v>
      </c>
      <c r="E132" s="7">
        <v>1817.4</v>
      </c>
      <c r="F132" s="18">
        <v>4</v>
      </c>
      <c r="G132" s="7">
        <v>1813.3286000000001</v>
      </c>
      <c r="H132" s="7">
        <v>1799.9532999999999</v>
      </c>
      <c r="I132" s="7">
        <v>1791.8856000000001</v>
      </c>
      <c r="J132" s="8">
        <v>3.3000000000000002E-2</v>
      </c>
      <c r="K132" s="7">
        <v>0.3584</v>
      </c>
      <c r="L132" s="7">
        <v>0.70479999999999998</v>
      </c>
      <c r="M132" s="8">
        <v>55.1524</v>
      </c>
      <c r="N132" s="8">
        <v>5.0575000000000001</v>
      </c>
      <c r="O132" s="7">
        <v>3.5487000000000002</v>
      </c>
      <c r="P132" s="7">
        <v>1833.5266999999999</v>
      </c>
      <c r="Q132" s="7">
        <v>1781.6033</v>
      </c>
      <c r="R132" s="7" t="str">
        <f t="shared" si="31"/>
        <v>Down</v>
      </c>
      <c r="S132" s="7" t="str">
        <f t="shared" si="32"/>
        <v>Hold</v>
      </c>
      <c r="T132" s="8">
        <f t="shared" si="33"/>
        <v>0.10752107795957647</v>
      </c>
      <c r="U132" s="18">
        <f t="shared" si="34"/>
        <v>4473060</v>
      </c>
      <c r="V132" s="7">
        <f t="shared" si="35"/>
        <v>5586.2002000000002</v>
      </c>
      <c r="W132" s="7">
        <f t="shared" si="36"/>
        <v>1615.1</v>
      </c>
      <c r="X132" s="7">
        <f t="shared" si="37"/>
        <v>1817.4</v>
      </c>
      <c r="Y132" s="7">
        <f t="shared" si="38"/>
        <v>445</v>
      </c>
      <c r="Z132" s="7">
        <f t="shared" si="39"/>
        <v>1404298</v>
      </c>
      <c r="AA132" s="7" t="str">
        <f t="shared" si="40"/>
        <v>19-Jan-2022</v>
      </c>
      <c r="AB132" s="7">
        <f t="shared" si="41"/>
        <v>1817.4</v>
      </c>
      <c r="AC132" s="7">
        <f t="shared" si="30"/>
        <v>1</v>
      </c>
      <c r="AD132" s="7">
        <f t="shared" si="42"/>
        <v>2022</v>
      </c>
      <c r="AE132" s="19">
        <f t="shared" si="43"/>
        <v>0.03</v>
      </c>
      <c r="BA132" s="10">
        <f t="shared" si="44"/>
        <v>84.376900000000006</v>
      </c>
    </row>
    <row r="133" spans="1:53" x14ac:dyDescent="0.3">
      <c r="A133" s="17">
        <v>44581</v>
      </c>
      <c r="B133" s="8">
        <v>1842.5</v>
      </c>
      <c r="C133" s="7">
        <v>1843</v>
      </c>
      <c r="D133" s="7">
        <v>1838.2</v>
      </c>
      <c r="E133" s="7">
        <v>1840.6</v>
      </c>
      <c r="F133" s="18">
        <v>20</v>
      </c>
      <c r="G133" s="7">
        <v>1819.8571999999999</v>
      </c>
      <c r="H133" s="7">
        <v>1801.99</v>
      </c>
      <c r="I133" s="7">
        <v>1792.45</v>
      </c>
      <c r="J133" s="8">
        <v>1.2765</v>
      </c>
      <c r="K133" s="7">
        <v>0.53969999999999996</v>
      </c>
      <c r="L133" s="7">
        <v>0.7379</v>
      </c>
      <c r="M133" s="8">
        <v>62.194400000000002</v>
      </c>
      <c r="N133" s="8">
        <v>7.0305</v>
      </c>
      <c r="O133" s="7">
        <v>4.2450000000000001</v>
      </c>
      <c r="P133" s="7">
        <v>1838.7175999999999</v>
      </c>
      <c r="Q133" s="7">
        <v>1781.3324</v>
      </c>
      <c r="R133" s="7" t="str">
        <f t="shared" si="31"/>
        <v>Down</v>
      </c>
      <c r="S133" s="7" t="str">
        <f t="shared" si="32"/>
        <v>Hold</v>
      </c>
      <c r="T133" s="8">
        <f t="shared" si="33"/>
        <v>0.10759287090558764</v>
      </c>
      <c r="U133" s="18">
        <f t="shared" si="34"/>
        <v>4473056</v>
      </c>
      <c r="V133" s="7">
        <f t="shared" si="35"/>
        <v>5586.2002000000002</v>
      </c>
      <c r="W133" s="7">
        <f t="shared" si="36"/>
        <v>1615.1</v>
      </c>
      <c r="X133" s="7">
        <f t="shared" si="37"/>
        <v>1840.6</v>
      </c>
      <c r="Y133" s="7">
        <f t="shared" si="38"/>
        <v>445</v>
      </c>
      <c r="Z133" s="7">
        <f t="shared" si="39"/>
        <v>1404298</v>
      </c>
      <c r="AA133" s="7" t="str">
        <f t="shared" si="40"/>
        <v>20-Jan-2022</v>
      </c>
      <c r="AB133" s="7">
        <f t="shared" si="41"/>
        <v>1840.6</v>
      </c>
      <c r="AC133" s="7">
        <f t="shared" ref="AC133:AC196" si="45">_xlfn.XMATCH(A133,A133:A1301)</f>
        <v>1</v>
      </c>
      <c r="AD133" s="7">
        <f t="shared" si="42"/>
        <v>2022</v>
      </c>
      <c r="AE133" s="19">
        <f t="shared" si="43"/>
        <v>1.28</v>
      </c>
      <c r="BA133" s="10">
        <f t="shared" si="44"/>
        <v>84.376900000000006</v>
      </c>
    </row>
    <row r="134" spans="1:53" x14ac:dyDescent="0.3">
      <c r="A134" s="17">
        <v>44582</v>
      </c>
      <c r="B134" s="8">
        <v>1831.8</v>
      </c>
      <c r="C134" s="7">
        <v>1842.4</v>
      </c>
      <c r="D134" s="7">
        <v>1828.9</v>
      </c>
      <c r="E134" s="7">
        <v>1838</v>
      </c>
      <c r="F134" s="18">
        <v>19</v>
      </c>
      <c r="G134" s="7">
        <v>1824.7285999999999</v>
      </c>
      <c r="H134" s="7">
        <v>1803.5933</v>
      </c>
      <c r="I134" s="7">
        <v>1792.9677999999999</v>
      </c>
      <c r="J134" s="8">
        <v>-0.14130000000000001</v>
      </c>
      <c r="K134" s="7">
        <v>0.56579999999999997</v>
      </c>
      <c r="L134" s="7">
        <v>0.7339</v>
      </c>
      <c r="M134" s="8">
        <v>54.650300000000001</v>
      </c>
      <c r="N134" s="8">
        <v>8.2888000000000002</v>
      </c>
      <c r="O134" s="7">
        <v>5.0537999999999998</v>
      </c>
      <c r="P134" s="7">
        <v>1841.5740000000001</v>
      </c>
      <c r="Q134" s="7">
        <v>1783.6759999999999</v>
      </c>
      <c r="R134" s="7" t="str">
        <f t="shared" si="31"/>
        <v>Up</v>
      </c>
      <c r="S134" s="7" t="str">
        <f t="shared" si="32"/>
        <v>Hold</v>
      </c>
      <c r="T134" s="8">
        <f t="shared" si="33"/>
        <v>0.10646567020250718</v>
      </c>
      <c r="U134" s="18">
        <f t="shared" si="34"/>
        <v>4473036</v>
      </c>
      <c r="V134" s="7">
        <f t="shared" si="35"/>
        <v>5586.2002000000002</v>
      </c>
      <c r="W134" s="7">
        <f t="shared" si="36"/>
        <v>1615.1</v>
      </c>
      <c r="X134" s="7">
        <f t="shared" si="37"/>
        <v>1838</v>
      </c>
      <c r="Y134" s="7">
        <f t="shared" si="38"/>
        <v>445</v>
      </c>
      <c r="Z134" s="7">
        <f t="shared" si="39"/>
        <v>1404298</v>
      </c>
      <c r="AA134" s="7" t="str">
        <f t="shared" si="40"/>
        <v>21-Jan-2022</v>
      </c>
      <c r="AB134" s="7">
        <f t="shared" si="41"/>
        <v>1838</v>
      </c>
      <c r="AC134" s="7">
        <f t="shared" si="45"/>
        <v>1</v>
      </c>
      <c r="AD134" s="7">
        <f t="shared" si="42"/>
        <v>2022</v>
      </c>
      <c r="AE134" s="19">
        <f t="shared" si="43"/>
        <v>-0.14000000000000001</v>
      </c>
      <c r="BA134" s="10">
        <f t="shared" si="44"/>
        <v>84.376900000000006</v>
      </c>
    </row>
    <row r="135" spans="1:53" x14ac:dyDescent="0.3">
      <c r="A135" s="17">
        <v>44585</v>
      </c>
      <c r="B135" s="8">
        <v>1841.7</v>
      </c>
      <c r="C135" s="7">
        <v>1842.1</v>
      </c>
      <c r="D135" s="7">
        <v>1837.9</v>
      </c>
      <c r="E135" s="7">
        <v>1837.9</v>
      </c>
      <c r="F135" s="18">
        <v>8</v>
      </c>
      <c r="G135" s="7">
        <v>1827.4286</v>
      </c>
      <c r="H135" s="7">
        <v>1805.4067</v>
      </c>
      <c r="I135" s="7">
        <v>1793.3478</v>
      </c>
      <c r="J135" s="8">
        <v>-5.4000000000000003E-3</v>
      </c>
      <c r="K135" s="7">
        <v>0.51200000000000001</v>
      </c>
      <c r="L135" s="7">
        <v>0.72919999999999996</v>
      </c>
      <c r="M135" s="8">
        <v>52.9148</v>
      </c>
      <c r="N135" s="8">
        <v>9.1722000000000001</v>
      </c>
      <c r="O135" s="7">
        <v>5.8775000000000004</v>
      </c>
      <c r="P135" s="7">
        <v>1845.0840000000001</v>
      </c>
      <c r="Q135" s="7">
        <v>1783.356</v>
      </c>
      <c r="R135" s="7" t="str">
        <f t="shared" si="31"/>
        <v>Down</v>
      </c>
      <c r="S135" s="7" t="str">
        <f t="shared" si="32"/>
        <v>Hold</v>
      </c>
      <c r="T135" s="8">
        <f t="shared" si="33"/>
        <v>0.1067048262548262</v>
      </c>
      <c r="U135" s="18">
        <f t="shared" si="34"/>
        <v>4473017</v>
      </c>
      <c r="V135" s="7">
        <f t="shared" si="35"/>
        <v>5586.2002000000002</v>
      </c>
      <c r="W135" s="7">
        <f t="shared" si="36"/>
        <v>1615.1</v>
      </c>
      <c r="X135" s="7">
        <f t="shared" si="37"/>
        <v>1837.9</v>
      </c>
      <c r="Y135" s="7">
        <f t="shared" si="38"/>
        <v>444</v>
      </c>
      <c r="Z135" s="7">
        <f t="shared" si="39"/>
        <v>1404279</v>
      </c>
      <c r="AA135" s="7" t="str">
        <f t="shared" si="40"/>
        <v>24-Jan-2022</v>
      </c>
      <c r="AB135" s="7">
        <f t="shared" si="41"/>
        <v>1837.9</v>
      </c>
      <c r="AC135" s="7">
        <f t="shared" si="45"/>
        <v>1</v>
      </c>
      <c r="AD135" s="7">
        <f t="shared" si="42"/>
        <v>2022</v>
      </c>
      <c r="AE135" s="19">
        <f t="shared" si="43"/>
        <v>-0.01</v>
      </c>
      <c r="BA135" s="10">
        <f t="shared" si="44"/>
        <v>84.376900000000006</v>
      </c>
    </row>
    <row r="136" spans="1:53" x14ac:dyDescent="0.3">
      <c r="A136" s="17">
        <v>44586</v>
      </c>
      <c r="B136" s="8">
        <v>1852.7</v>
      </c>
      <c r="C136" s="7">
        <v>1852.7</v>
      </c>
      <c r="D136" s="7">
        <v>1842</v>
      </c>
      <c r="E136" s="7">
        <v>1843</v>
      </c>
      <c r="F136" s="18">
        <v>11</v>
      </c>
      <c r="G136" s="7">
        <v>1830.7429</v>
      </c>
      <c r="H136" s="7">
        <v>1807.7132999999999</v>
      </c>
      <c r="I136" s="7">
        <v>1793.9043999999999</v>
      </c>
      <c r="J136" s="8">
        <v>0.27750000000000002</v>
      </c>
      <c r="K136" s="7">
        <v>0.51160000000000005</v>
      </c>
      <c r="L136" s="7">
        <v>0.71950000000000003</v>
      </c>
      <c r="M136" s="8">
        <v>69.441900000000004</v>
      </c>
      <c r="N136" s="8">
        <v>10.166600000000001</v>
      </c>
      <c r="O136" s="7">
        <v>6.7352999999999996</v>
      </c>
      <c r="P136" s="7">
        <v>1849.2129</v>
      </c>
      <c r="Q136" s="7">
        <v>1782.5271</v>
      </c>
      <c r="R136" s="7" t="str">
        <f t="shared" si="31"/>
        <v>Down</v>
      </c>
      <c r="S136" s="7" t="str">
        <f t="shared" si="32"/>
        <v>Hold</v>
      </c>
      <c r="T136" s="8">
        <f t="shared" si="33"/>
        <v>0.10681314009661831</v>
      </c>
      <c r="U136" s="18">
        <f t="shared" si="34"/>
        <v>4473009</v>
      </c>
      <c r="V136" s="7">
        <f t="shared" si="35"/>
        <v>5586.2002000000002</v>
      </c>
      <c r="W136" s="7">
        <f t="shared" si="36"/>
        <v>1615.1</v>
      </c>
      <c r="X136" s="7">
        <f t="shared" si="37"/>
        <v>1843</v>
      </c>
      <c r="Y136" s="7">
        <f t="shared" si="38"/>
        <v>444</v>
      </c>
      <c r="Z136" s="7">
        <f t="shared" si="39"/>
        <v>1404279</v>
      </c>
      <c r="AA136" s="7" t="str">
        <f t="shared" si="40"/>
        <v>25-Jan-2022</v>
      </c>
      <c r="AB136" s="7">
        <f t="shared" si="41"/>
        <v>1843</v>
      </c>
      <c r="AC136" s="7">
        <f t="shared" si="45"/>
        <v>1</v>
      </c>
      <c r="AD136" s="7">
        <f t="shared" si="42"/>
        <v>2022</v>
      </c>
      <c r="AE136" s="19">
        <f t="shared" si="43"/>
        <v>0.28000000000000003</v>
      </c>
      <c r="BA136" s="10">
        <f t="shared" si="44"/>
        <v>84.376900000000006</v>
      </c>
    </row>
    <row r="137" spans="1:53" x14ac:dyDescent="0.3">
      <c r="A137" s="17">
        <v>44587</v>
      </c>
      <c r="B137" s="8">
        <v>1829.9</v>
      </c>
      <c r="C137" s="7">
        <v>1829.9</v>
      </c>
      <c r="D137" s="7">
        <v>1829.9</v>
      </c>
      <c r="E137" s="7">
        <v>1829.9</v>
      </c>
      <c r="F137" s="18">
        <v>55</v>
      </c>
      <c r="G137" s="7">
        <v>1831.9429</v>
      </c>
      <c r="H137" s="7">
        <v>1809.23</v>
      </c>
      <c r="I137" s="7">
        <v>1794.6944000000001</v>
      </c>
      <c r="J137" s="8">
        <v>-0.71079999999999999</v>
      </c>
      <c r="K137" s="7">
        <v>0.61480000000000001</v>
      </c>
      <c r="L137" s="7">
        <v>0.72970000000000002</v>
      </c>
      <c r="M137" s="8">
        <v>57.650300000000001</v>
      </c>
      <c r="N137" s="8">
        <v>9.7849000000000004</v>
      </c>
      <c r="O137" s="7">
        <v>7.3452000000000002</v>
      </c>
      <c r="P137" s="7">
        <v>1850.6274000000001</v>
      </c>
      <c r="Q137" s="7">
        <v>1782.9025999999999</v>
      </c>
      <c r="R137" s="7" t="str">
        <f t="shared" si="31"/>
        <v>Down</v>
      </c>
      <c r="S137" s="7" t="str">
        <f t="shared" si="32"/>
        <v>Hold</v>
      </c>
      <c r="T137" s="8">
        <f t="shared" si="33"/>
        <v>0.10664806576402314</v>
      </c>
      <c r="U137" s="18">
        <f t="shared" si="34"/>
        <v>4472998</v>
      </c>
      <c r="V137" s="7">
        <f t="shared" si="35"/>
        <v>5586.2002000000002</v>
      </c>
      <c r="W137" s="7">
        <f t="shared" si="36"/>
        <v>1615.1</v>
      </c>
      <c r="X137" s="7">
        <f t="shared" si="37"/>
        <v>1829.9</v>
      </c>
      <c r="Y137" s="7">
        <f t="shared" si="38"/>
        <v>444</v>
      </c>
      <c r="Z137" s="7">
        <f t="shared" si="39"/>
        <v>1404279</v>
      </c>
      <c r="AA137" s="7" t="str">
        <f t="shared" si="40"/>
        <v>26-Jan-2022</v>
      </c>
      <c r="AB137" s="7">
        <f t="shared" si="41"/>
        <v>1829.9</v>
      </c>
      <c r="AC137" s="7">
        <f t="shared" si="45"/>
        <v>1</v>
      </c>
      <c r="AD137" s="7">
        <f t="shared" si="42"/>
        <v>2022</v>
      </c>
      <c r="AE137" s="19">
        <f t="shared" si="43"/>
        <v>-0.71</v>
      </c>
      <c r="BA137" s="10">
        <f t="shared" si="44"/>
        <v>84.376900000000006</v>
      </c>
    </row>
    <row r="138" spans="1:53" x14ac:dyDescent="0.3">
      <c r="A138" s="17">
        <v>44588</v>
      </c>
      <c r="B138" s="8">
        <v>1793.3</v>
      </c>
      <c r="C138" s="7">
        <v>1793.3</v>
      </c>
      <c r="D138" s="7">
        <v>1793.3</v>
      </c>
      <c r="E138" s="7">
        <v>1793.3</v>
      </c>
      <c r="F138" s="18">
        <v>196036</v>
      </c>
      <c r="G138" s="7">
        <v>1828.5857000000001</v>
      </c>
      <c r="H138" s="7">
        <v>1809.44</v>
      </c>
      <c r="I138" s="7">
        <v>1795.1556</v>
      </c>
      <c r="J138" s="8">
        <v>-2.0001000000000002</v>
      </c>
      <c r="K138" s="7">
        <v>1.0002</v>
      </c>
      <c r="L138" s="7">
        <v>0.82299999999999995</v>
      </c>
      <c r="M138" s="8">
        <v>52.574800000000003</v>
      </c>
      <c r="N138" s="8">
        <v>6.4546000000000001</v>
      </c>
      <c r="O138" s="7">
        <v>7.1670999999999996</v>
      </c>
      <c r="P138" s="7">
        <v>1851.2387000000001</v>
      </c>
      <c r="Q138" s="7">
        <v>1781.3013000000001</v>
      </c>
      <c r="R138" s="7" t="str">
        <f t="shared" si="31"/>
        <v>Down</v>
      </c>
      <c r="S138" s="7" t="str">
        <f t="shared" si="32"/>
        <v>Hold</v>
      </c>
      <c r="T138" s="8">
        <f t="shared" si="33"/>
        <v>0.10743939980638909</v>
      </c>
      <c r="U138" s="18">
        <f t="shared" si="34"/>
        <v>4472943</v>
      </c>
      <c r="V138" s="7">
        <f t="shared" si="35"/>
        <v>5586.2002000000002</v>
      </c>
      <c r="W138" s="7">
        <f t="shared" si="36"/>
        <v>1615.1</v>
      </c>
      <c r="X138" s="7">
        <f t="shared" si="37"/>
        <v>1793.3</v>
      </c>
      <c r="Y138" s="7">
        <f t="shared" si="38"/>
        <v>444</v>
      </c>
      <c r="Z138" s="7">
        <f t="shared" si="39"/>
        <v>1404279</v>
      </c>
      <c r="AA138" s="7" t="str">
        <f t="shared" si="40"/>
        <v>27-Jan-2022</v>
      </c>
      <c r="AB138" s="7">
        <f t="shared" si="41"/>
        <v>1793.3</v>
      </c>
      <c r="AC138" s="7">
        <f t="shared" si="45"/>
        <v>1</v>
      </c>
      <c r="AD138" s="7">
        <f t="shared" si="42"/>
        <v>2022</v>
      </c>
      <c r="AE138" s="19">
        <f t="shared" si="43"/>
        <v>-2</v>
      </c>
      <c r="BA138" s="10">
        <f t="shared" si="44"/>
        <v>84.376900000000006</v>
      </c>
    </row>
    <row r="139" spans="1:53" x14ac:dyDescent="0.3">
      <c r="A139" s="17">
        <v>44589</v>
      </c>
      <c r="B139" s="8">
        <v>1784.9</v>
      </c>
      <c r="C139" s="7">
        <v>1798.4</v>
      </c>
      <c r="D139" s="7">
        <v>1778.8</v>
      </c>
      <c r="E139" s="7">
        <v>1797.5</v>
      </c>
      <c r="F139" s="18">
        <v>28521</v>
      </c>
      <c r="G139" s="7">
        <v>1825.7429</v>
      </c>
      <c r="H139" s="7">
        <v>1810.4432999999999</v>
      </c>
      <c r="I139" s="7">
        <v>1795.5478000000001</v>
      </c>
      <c r="J139" s="8">
        <v>0.23419999999999999</v>
      </c>
      <c r="K139" s="7">
        <v>1.0103</v>
      </c>
      <c r="L139" s="7">
        <v>0.7964</v>
      </c>
      <c r="M139" s="8">
        <v>52.377000000000002</v>
      </c>
      <c r="N139" s="8">
        <v>4.1069000000000004</v>
      </c>
      <c r="O139" s="7">
        <v>6.5551000000000004</v>
      </c>
      <c r="P139" s="7">
        <v>1851.4450999999999</v>
      </c>
      <c r="Q139" s="7">
        <v>1780.675</v>
      </c>
      <c r="R139" s="7" t="str">
        <f t="shared" si="31"/>
        <v>Up</v>
      </c>
      <c r="S139" s="7" t="str">
        <f t="shared" si="32"/>
        <v>Hold</v>
      </c>
      <c r="T139" s="8">
        <f t="shared" si="33"/>
        <v>0.10948158914728678</v>
      </c>
      <c r="U139" s="18">
        <f t="shared" si="34"/>
        <v>4276907</v>
      </c>
      <c r="V139" s="7">
        <f t="shared" si="35"/>
        <v>5586.2002000000002</v>
      </c>
      <c r="W139" s="7">
        <f t="shared" si="36"/>
        <v>1615.1</v>
      </c>
      <c r="X139" s="7">
        <f t="shared" si="37"/>
        <v>1797.5</v>
      </c>
      <c r="Y139" s="7">
        <f t="shared" si="38"/>
        <v>444</v>
      </c>
      <c r="Z139" s="7">
        <f t="shared" si="39"/>
        <v>1404279</v>
      </c>
      <c r="AA139" s="7" t="str">
        <f t="shared" si="40"/>
        <v>28-Jan-2022</v>
      </c>
      <c r="AB139" s="7">
        <f t="shared" si="41"/>
        <v>1797.5</v>
      </c>
      <c r="AC139" s="7">
        <f t="shared" si="45"/>
        <v>1</v>
      </c>
      <c r="AD139" s="7">
        <f t="shared" si="42"/>
        <v>2022</v>
      </c>
      <c r="AE139" s="19">
        <f t="shared" si="43"/>
        <v>0.23</v>
      </c>
      <c r="BA139" s="10">
        <f t="shared" si="44"/>
        <v>84.376900000000006</v>
      </c>
    </row>
    <row r="140" spans="1:53" x14ac:dyDescent="0.3">
      <c r="A140" s="17">
        <v>44592</v>
      </c>
      <c r="B140" s="8">
        <v>1795</v>
      </c>
      <c r="C140" s="7">
        <v>1798.5</v>
      </c>
      <c r="D140" s="7">
        <v>1785.1</v>
      </c>
      <c r="E140" s="7">
        <v>1788.5</v>
      </c>
      <c r="F140" s="18">
        <v>1735</v>
      </c>
      <c r="G140" s="7">
        <v>1818.3</v>
      </c>
      <c r="H140" s="7">
        <v>1810.6932999999999</v>
      </c>
      <c r="I140" s="7">
        <v>1795.6789000000001</v>
      </c>
      <c r="J140" s="8">
        <v>-0.50070000000000003</v>
      </c>
      <c r="K140" s="7">
        <v>0.79059999999999997</v>
      </c>
      <c r="L140" s="7">
        <v>0.79110000000000003</v>
      </c>
      <c r="M140" s="8">
        <v>47.456299999999999</v>
      </c>
      <c r="N140" s="8">
        <v>1.5027999999999999</v>
      </c>
      <c r="O140" s="7">
        <v>5.5446</v>
      </c>
      <c r="P140" s="7">
        <v>1851.3878</v>
      </c>
      <c r="Q140" s="7">
        <v>1777.0722000000001</v>
      </c>
      <c r="R140" s="7" t="str">
        <f t="shared" si="31"/>
        <v>Down</v>
      </c>
      <c r="S140" s="7" t="str">
        <f t="shared" si="32"/>
        <v>Hold</v>
      </c>
      <c r="T140" s="8">
        <f t="shared" si="33"/>
        <v>0.10936062075654701</v>
      </c>
      <c r="U140" s="18">
        <f t="shared" si="34"/>
        <v>4248386</v>
      </c>
      <c r="V140" s="7">
        <f t="shared" si="35"/>
        <v>5586.2002000000002</v>
      </c>
      <c r="W140" s="7">
        <f t="shared" si="36"/>
        <v>1615.1</v>
      </c>
      <c r="X140" s="7">
        <f t="shared" si="37"/>
        <v>1788.5</v>
      </c>
      <c r="Y140" s="7">
        <f t="shared" si="38"/>
        <v>443</v>
      </c>
      <c r="Z140" s="7">
        <f t="shared" si="39"/>
        <v>1375758</v>
      </c>
      <c r="AA140" s="7" t="str">
        <f t="shared" si="40"/>
        <v>31-Jan-2022</v>
      </c>
      <c r="AB140" s="7">
        <f t="shared" si="41"/>
        <v>1788.5</v>
      </c>
      <c r="AC140" s="7">
        <f t="shared" si="45"/>
        <v>1</v>
      </c>
      <c r="AD140" s="7">
        <f t="shared" si="42"/>
        <v>2022</v>
      </c>
      <c r="AE140" s="19">
        <f t="shared" si="43"/>
        <v>-0.5</v>
      </c>
      <c r="BA140" s="10">
        <f t="shared" si="44"/>
        <v>84.376900000000006</v>
      </c>
    </row>
    <row r="141" spans="1:53" x14ac:dyDescent="0.3">
      <c r="A141" s="17">
        <v>44593</v>
      </c>
      <c r="B141" s="8">
        <v>1800.3</v>
      </c>
      <c r="C141" s="7">
        <v>1806.1</v>
      </c>
      <c r="D141" s="7">
        <v>1797.1</v>
      </c>
      <c r="E141" s="7">
        <v>1797.2</v>
      </c>
      <c r="F141" s="18">
        <v>223</v>
      </c>
      <c r="G141" s="7">
        <v>1812.4713999999999</v>
      </c>
      <c r="H141" s="7">
        <v>1810.4666999999999</v>
      </c>
      <c r="I141" s="7">
        <v>1796.0166999999999</v>
      </c>
      <c r="J141" s="8">
        <v>0.4864</v>
      </c>
      <c r="K141" s="7">
        <v>0.85840000000000005</v>
      </c>
      <c r="L141" s="7">
        <v>0.75939999999999996</v>
      </c>
      <c r="M141" s="8">
        <v>47.330599999999997</v>
      </c>
      <c r="N141" s="8">
        <v>0.1394</v>
      </c>
      <c r="O141" s="7">
        <v>4.4635999999999996</v>
      </c>
      <c r="P141" s="7">
        <v>1849.6976</v>
      </c>
      <c r="Q141" s="7">
        <v>1775.4724000000001</v>
      </c>
      <c r="R141" s="7" t="str">
        <f t="shared" si="31"/>
        <v>Down</v>
      </c>
      <c r="S141" s="7" t="str">
        <f t="shared" si="32"/>
        <v>Hold</v>
      </c>
      <c r="T141" s="8">
        <f t="shared" si="33"/>
        <v>0.10995291262135919</v>
      </c>
      <c r="U141" s="18">
        <f t="shared" si="34"/>
        <v>4246651</v>
      </c>
      <c r="V141" s="7">
        <f t="shared" si="35"/>
        <v>5586.2002000000002</v>
      </c>
      <c r="W141" s="7">
        <f t="shared" si="36"/>
        <v>1615.1</v>
      </c>
      <c r="X141" s="7">
        <f t="shared" si="37"/>
        <v>1797.2</v>
      </c>
      <c r="Y141" s="7">
        <f t="shared" si="38"/>
        <v>443</v>
      </c>
      <c r="Z141" s="7">
        <f t="shared" si="39"/>
        <v>1375758</v>
      </c>
      <c r="AA141" s="7" t="str">
        <f t="shared" si="40"/>
        <v>01-Feb-2022</v>
      </c>
      <c r="AB141" s="7">
        <f t="shared" si="41"/>
        <v>1797.2</v>
      </c>
      <c r="AC141" s="7">
        <f t="shared" si="45"/>
        <v>1</v>
      </c>
      <c r="AD141" s="7">
        <f t="shared" si="42"/>
        <v>2022</v>
      </c>
      <c r="AE141" s="19">
        <f t="shared" si="43"/>
        <v>0.49</v>
      </c>
      <c r="BA141" s="10">
        <f t="shared" si="44"/>
        <v>84.376900000000006</v>
      </c>
    </row>
    <row r="142" spans="1:53" x14ac:dyDescent="0.3">
      <c r="A142" s="17">
        <v>44594</v>
      </c>
      <c r="B142" s="8">
        <v>1809.2</v>
      </c>
      <c r="C142" s="7">
        <v>1810.1</v>
      </c>
      <c r="D142" s="7">
        <v>1795.1</v>
      </c>
      <c r="E142" s="7">
        <v>1797.8</v>
      </c>
      <c r="F142" s="18">
        <v>1690</v>
      </c>
      <c r="G142" s="7">
        <v>1806.7429</v>
      </c>
      <c r="H142" s="7">
        <v>1810.5</v>
      </c>
      <c r="I142" s="7">
        <v>1796.5510999999999</v>
      </c>
      <c r="J142" s="8">
        <v>3.3399999999999999E-2</v>
      </c>
      <c r="K142" s="7">
        <v>0.8609</v>
      </c>
      <c r="L142" s="7">
        <v>0.75580000000000003</v>
      </c>
      <c r="M142" s="8">
        <v>40.450499999999998</v>
      </c>
      <c r="N142" s="8">
        <v>-0.88239999999999996</v>
      </c>
      <c r="O142" s="7">
        <v>3.3944000000000001</v>
      </c>
      <c r="P142" s="7">
        <v>1849.7668000000001</v>
      </c>
      <c r="Q142" s="7">
        <v>1775.1333</v>
      </c>
      <c r="R142" s="7" t="str">
        <f t="shared" si="31"/>
        <v>Down</v>
      </c>
      <c r="S142" s="7" t="str">
        <f t="shared" si="32"/>
        <v>Hold</v>
      </c>
      <c r="T142" s="8">
        <f t="shared" si="33"/>
        <v>0.10958707482993194</v>
      </c>
      <c r="U142" s="18">
        <f t="shared" si="34"/>
        <v>4246428</v>
      </c>
      <c r="V142" s="7">
        <f t="shared" si="35"/>
        <v>5586.2002000000002</v>
      </c>
      <c r="W142" s="7">
        <f t="shared" si="36"/>
        <v>1615.1</v>
      </c>
      <c r="X142" s="7">
        <f t="shared" si="37"/>
        <v>1797.8</v>
      </c>
      <c r="Y142" s="7">
        <f t="shared" si="38"/>
        <v>443</v>
      </c>
      <c r="Z142" s="7">
        <f t="shared" si="39"/>
        <v>1375758</v>
      </c>
      <c r="AA142" s="7" t="str">
        <f t="shared" si="40"/>
        <v>02-Feb-2022</v>
      </c>
      <c r="AB142" s="7">
        <f t="shared" si="41"/>
        <v>1797.8</v>
      </c>
      <c r="AC142" s="7">
        <f t="shared" si="45"/>
        <v>1</v>
      </c>
      <c r="AD142" s="7">
        <f t="shared" si="42"/>
        <v>2022</v>
      </c>
      <c r="AE142" s="19">
        <f t="shared" si="43"/>
        <v>0.03</v>
      </c>
      <c r="BA142" s="10">
        <f t="shared" si="44"/>
        <v>84.376900000000006</v>
      </c>
    </row>
    <row r="143" spans="1:53" x14ac:dyDescent="0.3">
      <c r="A143" s="17">
        <v>44595</v>
      </c>
      <c r="B143" s="8">
        <v>1803</v>
      </c>
      <c r="C143" s="7">
        <v>1808.1</v>
      </c>
      <c r="D143" s="7">
        <v>1787.9</v>
      </c>
      <c r="E143" s="7">
        <v>1805.8</v>
      </c>
      <c r="F143" s="18">
        <v>466</v>
      </c>
      <c r="G143" s="7">
        <v>1801.4286</v>
      </c>
      <c r="H143" s="7">
        <v>1810.98</v>
      </c>
      <c r="I143" s="7">
        <v>1797.1522</v>
      </c>
      <c r="J143" s="8">
        <v>0.44500000000000001</v>
      </c>
      <c r="K143" s="7">
        <v>0.8821</v>
      </c>
      <c r="L143" s="7">
        <v>0.75770000000000004</v>
      </c>
      <c r="M143" s="8">
        <v>44.077800000000003</v>
      </c>
      <c r="N143" s="8">
        <v>-1.0347999999999999</v>
      </c>
      <c r="O143" s="7">
        <v>2.5085000000000002</v>
      </c>
      <c r="P143" s="7">
        <v>1849.5175999999999</v>
      </c>
      <c r="Q143" s="7">
        <v>1774.6523999999999</v>
      </c>
      <c r="R143" s="7" t="str">
        <f t="shared" si="31"/>
        <v>Up</v>
      </c>
      <c r="S143" s="7" t="str">
        <f t="shared" si="32"/>
        <v>Hold</v>
      </c>
      <c r="T143" s="8">
        <f t="shared" si="33"/>
        <v>0.10966118677042798</v>
      </c>
      <c r="U143" s="18">
        <f t="shared" si="34"/>
        <v>4244738</v>
      </c>
      <c r="V143" s="7">
        <f t="shared" si="35"/>
        <v>5586.2002000000002</v>
      </c>
      <c r="W143" s="7">
        <f t="shared" si="36"/>
        <v>1615.1</v>
      </c>
      <c r="X143" s="7">
        <f t="shared" si="37"/>
        <v>1805.8</v>
      </c>
      <c r="Y143" s="7">
        <f t="shared" si="38"/>
        <v>443</v>
      </c>
      <c r="Z143" s="7">
        <f t="shared" si="39"/>
        <v>1375758</v>
      </c>
      <c r="AA143" s="7" t="str">
        <f t="shared" si="40"/>
        <v>03-Feb-2022</v>
      </c>
      <c r="AB143" s="7">
        <f t="shared" si="41"/>
        <v>1805.8</v>
      </c>
      <c r="AC143" s="7">
        <f t="shared" si="45"/>
        <v>1</v>
      </c>
      <c r="AD143" s="7">
        <f t="shared" si="42"/>
        <v>2022</v>
      </c>
      <c r="AE143" s="19">
        <f t="shared" si="43"/>
        <v>0.45</v>
      </c>
      <c r="BA143" s="10">
        <f t="shared" si="44"/>
        <v>84.376900000000006</v>
      </c>
    </row>
    <row r="144" spans="1:53" x14ac:dyDescent="0.3">
      <c r="A144" s="17">
        <v>44596</v>
      </c>
      <c r="B144" s="8">
        <v>1806.6</v>
      </c>
      <c r="C144" s="7">
        <v>1813.7</v>
      </c>
      <c r="D144" s="7">
        <v>1792.5</v>
      </c>
      <c r="E144" s="7">
        <v>1806</v>
      </c>
      <c r="F144" s="18">
        <v>571</v>
      </c>
      <c r="G144" s="7">
        <v>1798.0143</v>
      </c>
      <c r="H144" s="7">
        <v>1811.6467</v>
      </c>
      <c r="I144" s="7">
        <v>1797.89</v>
      </c>
      <c r="J144" s="8">
        <v>1.11E-2</v>
      </c>
      <c r="K144" s="7">
        <v>0.86639999999999995</v>
      </c>
      <c r="L144" s="7">
        <v>0.75519999999999998</v>
      </c>
      <c r="M144" s="8">
        <v>43.359000000000002</v>
      </c>
      <c r="N144" s="8">
        <v>-1.1265000000000001</v>
      </c>
      <c r="O144" s="7">
        <v>1.7815000000000001</v>
      </c>
      <c r="P144" s="7">
        <v>1848.7206000000001</v>
      </c>
      <c r="Q144" s="7">
        <v>1777.3395</v>
      </c>
      <c r="R144" s="7" t="str">
        <f t="shared" si="31"/>
        <v>Down</v>
      </c>
      <c r="S144" s="7" t="str">
        <f t="shared" si="32"/>
        <v>Hold</v>
      </c>
      <c r="T144" s="8">
        <f t="shared" si="33"/>
        <v>0.10933466407010704</v>
      </c>
      <c r="U144" s="18">
        <f t="shared" si="34"/>
        <v>4244272</v>
      </c>
      <c r="V144" s="7">
        <f t="shared" si="35"/>
        <v>5586.2002000000002</v>
      </c>
      <c r="W144" s="7">
        <f t="shared" si="36"/>
        <v>1615.1</v>
      </c>
      <c r="X144" s="7">
        <f t="shared" si="37"/>
        <v>1806</v>
      </c>
      <c r="Y144" s="7">
        <f t="shared" si="38"/>
        <v>442</v>
      </c>
      <c r="Z144" s="7">
        <f t="shared" si="39"/>
        <v>1375292</v>
      </c>
      <c r="AA144" s="7" t="str">
        <f t="shared" si="40"/>
        <v>04-Feb-2022</v>
      </c>
      <c r="AB144" s="7">
        <f t="shared" si="41"/>
        <v>1806</v>
      </c>
      <c r="AC144" s="7">
        <f t="shared" si="45"/>
        <v>1</v>
      </c>
      <c r="AD144" s="7">
        <f t="shared" si="42"/>
        <v>2022</v>
      </c>
      <c r="AE144" s="19">
        <f t="shared" si="43"/>
        <v>0.01</v>
      </c>
      <c r="BA144" s="10">
        <f t="shared" si="44"/>
        <v>84.376900000000006</v>
      </c>
    </row>
    <row r="145" spans="1:53" x14ac:dyDescent="0.3">
      <c r="A145" s="17">
        <v>44599</v>
      </c>
      <c r="B145" s="8">
        <v>1820.6</v>
      </c>
      <c r="C145" s="7">
        <v>1821.3</v>
      </c>
      <c r="D145" s="7">
        <v>1809.1</v>
      </c>
      <c r="E145" s="7">
        <v>1812.2</v>
      </c>
      <c r="F145" s="18">
        <v>601</v>
      </c>
      <c r="G145" s="7">
        <v>1800.7143000000001</v>
      </c>
      <c r="H145" s="7">
        <v>1811.8533</v>
      </c>
      <c r="I145" s="7">
        <v>1798.7766999999999</v>
      </c>
      <c r="J145" s="8">
        <v>0.34329999999999999</v>
      </c>
      <c r="K145" s="7">
        <v>0.34179999999999999</v>
      </c>
      <c r="L145" s="7">
        <v>0.72970000000000002</v>
      </c>
      <c r="M145" s="8">
        <v>48.054099999999998</v>
      </c>
      <c r="N145" s="8">
        <v>-0.69089999999999996</v>
      </c>
      <c r="O145" s="7">
        <v>1.2870999999999999</v>
      </c>
      <c r="P145" s="7">
        <v>1848.3237999999999</v>
      </c>
      <c r="Q145" s="7">
        <v>1779.7762</v>
      </c>
      <c r="R145" s="7" t="str">
        <f t="shared" si="31"/>
        <v>Down</v>
      </c>
      <c r="S145" s="7" t="str">
        <f t="shared" si="32"/>
        <v>Hold</v>
      </c>
      <c r="T145" s="8">
        <f t="shared" si="33"/>
        <v>0.10943040935672509</v>
      </c>
      <c r="U145" s="18">
        <f t="shared" si="34"/>
        <v>4243701</v>
      </c>
      <c r="V145" s="7">
        <f t="shared" si="35"/>
        <v>5586.2002000000002</v>
      </c>
      <c r="W145" s="7">
        <f t="shared" si="36"/>
        <v>1615.1</v>
      </c>
      <c r="X145" s="7">
        <f t="shared" si="37"/>
        <v>1812.2</v>
      </c>
      <c r="Y145" s="7">
        <f t="shared" si="38"/>
        <v>442</v>
      </c>
      <c r="Z145" s="7">
        <f t="shared" si="39"/>
        <v>1375292</v>
      </c>
      <c r="AA145" s="7" t="str">
        <f t="shared" si="40"/>
        <v>07-Feb-2022</v>
      </c>
      <c r="AB145" s="7">
        <f t="shared" si="41"/>
        <v>1812.2</v>
      </c>
      <c r="AC145" s="7">
        <f t="shared" si="45"/>
        <v>1</v>
      </c>
      <c r="AD145" s="7">
        <f t="shared" si="42"/>
        <v>2022</v>
      </c>
      <c r="AE145" s="19">
        <f t="shared" si="43"/>
        <v>0.34</v>
      </c>
      <c r="BA145" s="10">
        <f t="shared" si="44"/>
        <v>84.376900000000006</v>
      </c>
    </row>
    <row r="146" spans="1:53" x14ac:dyDescent="0.3">
      <c r="A146" s="17">
        <v>44600</v>
      </c>
      <c r="B146" s="8">
        <v>1826.6</v>
      </c>
      <c r="C146" s="7">
        <v>1827.6</v>
      </c>
      <c r="D146" s="7">
        <v>1815</v>
      </c>
      <c r="E146" s="7">
        <v>1818.9</v>
      </c>
      <c r="F146" s="18">
        <v>108</v>
      </c>
      <c r="G146" s="7">
        <v>1803.7714000000001</v>
      </c>
      <c r="H146" s="7">
        <v>1812.15</v>
      </c>
      <c r="I146" s="7">
        <v>1799.8144</v>
      </c>
      <c r="J146" s="8">
        <v>0.36969999999999997</v>
      </c>
      <c r="K146" s="7">
        <v>0.35110000000000002</v>
      </c>
      <c r="L146" s="7">
        <v>0.73170000000000002</v>
      </c>
      <c r="M146" s="8">
        <v>50.603400000000001</v>
      </c>
      <c r="N146" s="8">
        <v>0.1928</v>
      </c>
      <c r="O146" s="7">
        <v>1.0682</v>
      </c>
      <c r="P146" s="7">
        <v>1848.3616</v>
      </c>
      <c r="Q146" s="7">
        <v>1782.1384</v>
      </c>
      <c r="R146" s="7" t="str">
        <f t="shared" si="31"/>
        <v>Down</v>
      </c>
      <c r="S146" s="7" t="str">
        <f t="shared" si="32"/>
        <v>Hold</v>
      </c>
      <c r="T146" s="8">
        <f t="shared" si="33"/>
        <v>0.10920224390243896</v>
      </c>
      <c r="U146" s="18">
        <f t="shared" si="34"/>
        <v>4243100</v>
      </c>
      <c r="V146" s="7">
        <f t="shared" si="35"/>
        <v>5586.2002000000002</v>
      </c>
      <c r="W146" s="7">
        <f t="shared" si="36"/>
        <v>1615.1</v>
      </c>
      <c r="X146" s="7">
        <f t="shared" si="37"/>
        <v>1818.9</v>
      </c>
      <c r="Y146" s="7">
        <f t="shared" si="38"/>
        <v>442</v>
      </c>
      <c r="Z146" s="7">
        <f t="shared" si="39"/>
        <v>1375292</v>
      </c>
      <c r="AA146" s="7" t="str">
        <f t="shared" si="40"/>
        <v>08-Feb-2022</v>
      </c>
      <c r="AB146" s="7">
        <f t="shared" si="41"/>
        <v>1818.9</v>
      </c>
      <c r="AC146" s="7">
        <f t="shared" si="45"/>
        <v>1</v>
      </c>
      <c r="AD146" s="7">
        <f t="shared" si="42"/>
        <v>2022</v>
      </c>
      <c r="AE146" s="19">
        <f t="shared" si="43"/>
        <v>0.37</v>
      </c>
      <c r="BA146" s="10">
        <f t="shared" si="44"/>
        <v>84.376900000000006</v>
      </c>
    </row>
    <row r="147" spans="1:53" x14ac:dyDescent="0.3">
      <c r="A147" s="17">
        <v>44601</v>
      </c>
      <c r="B147" s="8">
        <v>1835.2</v>
      </c>
      <c r="C147" s="7">
        <v>1835.2</v>
      </c>
      <c r="D147" s="7">
        <v>1825.3</v>
      </c>
      <c r="E147" s="7">
        <v>1825.4</v>
      </c>
      <c r="F147" s="18">
        <v>683</v>
      </c>
      <c r="G147" s="7">
        <v>1809.0428999999999</v>
      </c>
      <c r="H147" s="7">
        <v>1812.5967000000001</v>
      </c>
      <c r="I147" s="7">
        <v>1800.6043999999999</v>
      </c>
      <c r="J147" s="8">
        <v>0.3574</v>
      </c>
      <c r="K147" s="7">
        <v>0.1915</v>
      </c>
      <c r="L147" s="7">
        <v>0.73409999999999997</v>
      </c>
      <c r="M147" s="8">
        <v>42.936799999999998</v>
      </c>
      <c r="N147" s="8">
        <v>1.4014</v>
      </c>
      <c r="O147" s="7">
        <v>1.1348</v>
      </c>
      <c r="P147" s="7">
        <v>1849.2807</v>
      </c>
      <c r="Q147" s="7">
        <v>1783.3693000000001</v>
      </c>
      <c r="R147" s="7" t="str">
        <f t="shared" si="31"/>
        <v>Down</v>
      </c>
      <c r="S147" s="7" t="str">
        <f t="shared" si="32"/>
        <v>Hold</v>
      </c>
      <c r="T147" s="8">
        <f t="shared" si="33"/>
        <v>0.10894785156249998</v>
      </c>
      <c r="U147" s="18">
        <f t="shared" si="34"/>
        <v>4242992</v>
      </c>
      <c r="V147" s="7">
        <f t="shared" si="35"/>
        <v>5586.2002000000002</v>
      </c>
      <c r="W147" s="7">
        <f t="shared" si="36"/>
        <v>1615.1</v>
      </c>
      <c r="X147" s="7">
        <f t="shared" si="37"/>
        <v>1825.4</v>
      </c>
      <c r="Y147" s="7">
        <f t="shared" si="38"/>
        <v>442</v>
      </c>
      <c r="Z147" s="7">
        <f t="shared" si="39"/>
        <v>1375292</v>
      </c>
      <c r="AA147" s="7" t="str">
        <f t="shared" si="40"/>
        <v>09-Feb-2022</v>
      </c>
      <c r="AB147" s="7">
        <f t="shared" si="41"/>
        <v>1825.4</v>
      </c>
      <c r="AC147" s="7">
        <f t="shared" si="45"/>
        <v>1</v>
      </c>
      <c r="AD147" s="7">
        <f t="shared" si="42"/>
        <v>2022</v>
      </c>
      <c r="AE147" s="19">
        <f t="shared" si="43"/>
        <v>0.36</v>
      </c>
      <c r="BA147" s="10">
        <f t="shared" si="44"/>
        <v>84.376900000000006</v>
      </c>
    </row>
    <row r="148" spans="1:53" x14ac:dyDescent="0.3">
      <c r="A148" s="17">
        <v>44602</v>
      </c>
      <c r="B148" s="8">
        <v>1836.2</v>
      </c>
      <c r="C148" s="7">
        <v>1842.1</v>
      </c>
      <c r="D148" s="7">
        <v>1820.8</v>
      </c>
      <c r="E148" s="7">
        <v>1833.3</v>
      </c>
      <c r="F148" s="18">
        <v>365</v>
      </c>
      <c r="G148" s="7">
        <v>1814.2</v>
      </c>
      <c r="H148" s="7">
        <v>1813.6</v>
      </c>
      <c r="I148" s="7">
        <v>1801.3688999999999</v>
      </c>
      <c r="J148" s="8">
        <v>0.43280000000000002</v>
      </c>
      <c r="K148" s="7">
        <v>0.18329999999999999</v>
      </c>
      <c r="L148" s="7">
        <v>0.73119999999999996</v>
      </c>
      <c r="M148" s="8">
        <v>47.918500000000002</v>
      </c>
      <c r="N148" s="8">
        <v>2.9626000000000001</v>
      </c>
      <c r="O148" s="7">
        <v>1.5004</v>
      </c>
      <c r="P148" s="7">
        <v>1850.8495</v>
      </c>
      <c r="Q148" s="7">
        <v>1783.2304999999999</v>
      </c>
      <c r="R148" s="7" t="str">
        <f t="shared" si="31"/>
        <v>Down</v>
      </c>
      <c r="S148" s="7" t="str">
        <f t="shared" si="32"/>
        <v>Hold</v>
      </c>
      <c r="T148" s="8">
        <f t="shared" si="33"/>
        <v>0.10870498533724339</v>
      </c>
      <c r="U148" s="18">
        <f t="shared" si="34"/>
        <v>4242309</v>
      </c>
      <c r="V148" s="7">
        <f t="shared" si="35"/>
        <v>5586.2002000000002</v>
      </c>
      <c r="W148" s="7">
        <f t="shared" si="36"/>
        <v>1615.1</v>
      </c>
      <c r="X148" s="7">
        <f t="shared" si="37"/>
        <v>1833.3</v>
      </c>
      <c r="Y148" s="7">
        <f t="shared" si="38"/>
        <v>442</v>
      </c>
      <c r="Z148" s="7">
        <f t="shared" si="39"/>
        <v>1375292</v>
      </c>
      <c r="AA148" s="7" t="str">
        <f t="shared" si="40"/>
        <v>10-Feb-2022</v>
      </c>
      <c r="AB148" s="7">
        <f t="shared" si="41"/>
        <v>1833.3</v>
      </c>
      <c r="AC148" s="7">
        <f t="shared" si="45"/>
        <v>1</v>
      </c>
      <c r="AD148" s="7">
        <f t="shared" si="42"/>
        <v>2022</v>
      </c>
      <c r="AE148" s="19">
        <f t="shared" si="43"/>
        <v>0.43</v>
      </c>
      <c r="BA148" s="10">
        <f t="shared" si="44"/>
        <v>84.376900000000006</v>
      </c>
    </row>
    <row r="149" spans="1:53" x14ac:dyDescent="0.3">
      <c r="A149" s="17">
        <v>44603</v>
      </c>
      <c r="B149" s="8">
        <v>1840.8</v>
      </c>
      <c r="C149" s="7">
        <v>1864.8</v>
      </c>
      <c r="D149" s="7">
        <v>1822</v>
      </c>
      <c r="E149" s="7">
        <v>1822</v>
      </c>
      <c r="F149" s="18">
        <v>181</v>
      </c>
      <c r="G149" s="7">
        <v>1817.6572000000001</v>
      </c>
      <c r="H149" s="7">
        <v>1814.2766999999999</v>
      </c>
      <c r="I149" s="7">
        <v>1802.01</v>
      </c>
      <c r="J149" s="8">
        <v>-0.61639999999999995</v>
      </c>
      <c r="K149" s="7">
        <v>0.3851</v>
      </c>
      <c r="L149" s="7">
        <v>0.74109999999999998</v>
      </c>
      <c r="M149" s="8">
        <v>43.593899999999998</v>
      </c>
      <c r="N149" s="8">
        <v>3.2505000000000002</v>
      </c>
      <c r="O149" s="7">
        <v>1.8504</v>
      </c>
      <c r="P149" s="7">
        <v>1851.0116</v>
      </c>
      <c r="Q149" s="7">
        <v>1783.2883999999999</v>
      </c>
      <c r="R149" s="7" t="str">
        <f t="shared" si="31"/>
        <v>Down</v>
      </c>
      <c r="S149" s="7" t="str">
        <f t="shared" si="32"/>
        <v>Hold</v>
      </c>
      <c r="T149" s="8">
        <f t="shared" si="33"/>
        <v>0.1083878669275929</v>
      </c>
      <c r="U149" s="18">
        <f t="shared" si="34"/>
        <v>4241944</v>
      </c>
      <c r="V149" s="7">
        <f t="shared" si="35"/>
        <v>5586.2002000000002</v>
      </c>
      <c r="W149" s="7">
        <f t="shared" si="36"/>
        <v>1615.1</v>
      </c>
      <c r="X149" s="7">
        <f t="shared" si="37"/>
        <v>1822</v>
      </c>
      <c r="Y149" s="7">
        <f t="shared" si="38"/>
        <v>442</v>
      </c>
      <c r="Z149" s="7">
        <f t="shared" si="39"/>
        <v>1375292</v>
      </c>
      <c r="AA149" s="7" t="str">
        <f t="shared" si="40"/>
        <v>11-Feb-2022</v>
      </c>
      <c r="AB149" s="7">
        <f t="shared" si="41"/>
        <v>1822</v>
      </c>
      <c r="AC149" s="7">
        <f t="shared" si="45"/>
        <v>1</v>
      </c>
      <c r="AD149" s="7">
        <f t="shared" si="42"/>
        <v>2022</v>
      </c>
      <c r="AE149" s="19">
        <f t="shared" si="43"/>
        <v>-0.62</v>
      </c>
      <c r="BA149" s="10">
        <f t="shared" si="44"/>
        <v>84.376900000000006</v>
      </c>
    </row>
    <row r="150" spans="1:53" x14ac:dyDescent="0.3">
      <c r="A150" s="17">
        <v>44606</v>
      </c>
      <c r="B150" s="8">
        <v>1868</v>
      </c>
      <c r="C150" s="7">
        <v>1870.6</v>
      </c>
      <c r="D150" s="7">
        <v>1854.6</v>
      </c>
      <c r="E150" s="7">
        <v>1861.8</v>
      </c>
      <c r="F150" s="18">
        <v>79</v>
      </c>
      <c r="G150" s="7">
        <v>1825.6572000000001</v>
      </c>
      <c r="H150" s="7">
        <v>1815.5</v>
      </c>
      <c r="I150" s="7">
        <v>1803.1488999999999</v>
      </c>
      <c r="J150" s="8">
        <v>2.1844000000000001</v>
      </c>
      <c r="K150" s="7">
        <v>0.8528</v>
      </c>
      <c r="L150" s="7">
        <v>0.80759999999999998</v>
      </c>
      <c r="M150" s="8">
        <v>55.919400000000003</v>
      </c>
      <c r="N150" s="8">
        <v>6.6139999999999999</v>
      </c>
      <c r="O150" s="7">
        <v>2.8031000000000001</v>
      </c>
      <c r="P150" s="7">
        <v>1858.4746</v>
      </c>
      <c r="Q150" s="7">
        <v>1779.8554999999999</v>
      </c>
      <c r="R150" s="7" t="str">
        <f t="shared" si="31"/>
        <v>Down</v>
      </c>
      <c r="S150" s="7" t="str">
        <f t="shared" si="32"/>
        <v>Hold</v>
      </c>
      <c r="T150" s="8">
        <f t="shared" si="33"/>
        <v>0.10909774730656217</v>
      </c>
      <c r="U150" s="18">
        <f t="shared" si="34"/>
        <v>4241763</v>
      </c>
      <c r="V150" s="7">
        <f t="shared" si="35"/>
        <v>5586.2002000000002</v>
      </c>
      <c r="W150" s="7">
        <f t="shared" si="36"/>
        <v>1615.1</v>
      </c>
      <c r="X150" s="7">
        <f t="shared" si="37"/>
        <v>1861.8</v>
      </c>
      <c r="Y150" s="7">
        <f t="shared" si="38"/>
        <v>442</v>
      </c>
      <c r="Z150" s="7">
        <f t="shared" si="39"/>
        <v>1375292</v>
      </c>
      <c r="AA150" s="7" t="str">
        <f t="shared" si="40"/>
        <v>14-Feb-2022</v>
      </c>
      <c r="AB150" s="7">
        <f t="shared" si="41"/>
        <v>1861.8</v>
      </c>
      <c r="AC150" s="7">
        <f t="shared" si="45"/>
        <v>1</v>
      </c>
      <c r="AD150" s="7">
        <f t="shared" si="42"/>
        <v>2022</v>
      </c>
      <c r="AE150" s="19">
        <f t="shared" si="43"/>
        <v>2.1800000000000002</v>
      </c>
      <c r="BA150" s="10">
        <f t="shared" si="44"/>
        <v>84.376900000000006</v>
      </c>
    </row>
    <row r="151" spans="1:53" x14ac:dyDescent="0.3">
      <c r="A151" s="17">
        <v>44607</v>
      </c>
      <c r="B151" s="8">
        <v>1854.8</v>
      </c>
      <c r="C151" s="7">
        <v>1879.7</v>
      </c>
      <c r="D151" s="7">
        <v>1847.4</v>
      </c>
      <c r="E151" s="7">
        <v>1872.6</v>
      </c>
      <c r="F151" s="18">
        <v>86</v>
      </c>
      <c r="G151" s="7">
        <v>1835.1713999999999</v>
      </c>
      <c r="H151" s="7">
        <v>1816.9167</v>
      </c>
      <c r="I151" s="7">
        <v>1804.3733</v>
      </c>
      <c r="J151" s="8">
        <v>0.58009999999999995</v>
      </c>
      <c r="K151" s="7">
        <v>0.83199999999999996</v>
      </c>
      <c r="L151" s="7">
        <v>0.81220000000000003</v>
      </c>
      <c r="M151" s="8">
        <v>63.642200000000003</v>
      </c>
      <c r="N151" s="8">
        <v>10.035399999999999</v>
      </c>
      <c r="O151" s="7">
        <v>4.2496</v>
      </c>
      <c r="P151" s="7">
        <v>1867.9159</v>
      </c>
      <c r="Q151" s="7">
        <v>1775.9940999999999</v>
      </c>
      <c r="R151" s="7" t="str">
        <f t="shared" si="31"/>
        <v>Up</v>
      </c>
      <c r="S151" s="7" t="str">
        <f t="shared" si="32"/>
        <v>Hold</v>
      </c>
      <c r="T151" s="8">
        <f t="shared" si="33"/>
        <v>0.10706313725490187</v>
      </c>
      <c r="U151" s="18">
        <f t="shared" si="34"/>
        <v>4241684</v>
      </c>
      <c r="V151" s="7">
        <f t="shared" si="35"/>
        <v>5586.2002000000002</v>
      </c>
      <c r="W151" s="7">
        <f t="shared" si="36"/>
        <v>1615.1</v>
      </c>
      <c r="X151" s="7">
        <f t="shared" si="37"/>
        <v>1872.6</v>
      </c>
      <c r="Y151" s="7">
        <f t="shared" si="38"/>
        <v>442</v>
      </c>
      <c r="Z151" s="7">
        <f t="shared" si="39"/>
        <v>1375292</v>
      </c>
      <c r="AA151" s="7" t="str">
        <f t="shared" si="40"/>
        <v>15-Feb-2022</v>
      </c>
      <c r="AB151" s="7">
        <f t="shared" si="41"/>
        <v>1872.6</v>
      </c>
      <c r="AC151" s="7">
        <f t="shared" si="45"/>
        <v>1</v>
      </c>
      <c r="AD151" s="7">
        <f t="shared" si="42"/>
        <v>2022</v>
      </c>
      <c r="AE151" s="19">
        <f t="shared" si="43"/>
        <v>0.57999999999999996</v>
      </c>
      <c r="BA151" s="10">
        <f t="shared" si="44"/>
        <v>84.376900000000006</v>
      </c>
    </row>
    <row r="152" spans="1:53" x14ac:dyDescent="0.3">
      <c r="A152" s="17">
        <v>44608</v>
      </c>
      <c r="B152" s="8">
        <v>1870.2</v>
      </c>
      <c r="C152" s="7">
        <v>1870.2</v>
      </c>
      <c r="D152" s="7">
        <v>1856.3</v>
      </c>
      <c r="E152" s="7">
        <v>1858.7</v>
      </c>
      <c r="F152" s="18">
        <v>34</v>
      </c>
      <c r="G152" s="7">
        <v>1841.8143</v>
      </c>
      <c r="H152" s="7">
        <v>1818.8567</v>
      </c>
      <c r="I152" s="7">
        <v>1805.5033000000001</v>
      </c>
      <c r="J152" s="8">
        <v>-0.74229999999999996</v>
      </c>
      <c r="K152" s="7">
        <v>0.96179999999999999</v>
      </c>
      <c r="L152" s="7">
        <v>0.76339999999999997</v>
      </c>
      <c r="M152" s="8">
        <v>74.439400000000006</v>
      </c>
      <c r="N152" s="8">
        <v>11.492800000000001</v>
      </c>
      <c r="O152" s="7">
        <v>5.6981999999999999</v>
      </c>
      <c r="P152" s="7">
        <v>1872.7471</v>
      </c>
      <c r="Q152" s="7">
        <v>1775.2928999999999</v>
      </c>
      <c r="R152" s="7" t="str">
        <f t="shared" si="31"/>
        <v>Down</v>
      </c>
      <c r="S152" s="7" t="str">
        <f t="shared" si="32"/>
        <v>Sell</v>
      </c>
      <c r="T152" s="8">
        <f t="shared" si="33"/>
        <v>0.10659892051030415</v>
      </c>
      <c r="U152" s="18">
        <f t="shared" si="34"/>
        <v>4241598</v>
      </c>
      <c r="V152" s="7">
        <f t="shared" si="35"/>
        <v>5586.2002000000002</v>
      </c>
      <c r="W152" s="7">
        <f t="shared" si="36"/>
        <v>1615.1</v>
      </c>
      <c r="X152" s="7">
        <f t="shared" si="37"/>
        <v>1858.7</v>
      </c>
      <c r="Y152" s="7">
        <f t="shared" si="38"/>
        <v>441</v>
      </c>
      <c r="Z152" s="7">
        <f t="shared" si="39"/>
        <v>1375206</v>
      </c>
      <c r="AA152" s="7" t="str">
        <f t="shared" si="40"/>
        <v>16-Feb-2022</v>
      </c>
      <c r="AB152" s="7">
        <f t="shared" si="41"/>
        <v>1858.7</v>
      </c>
      <c r="AC152" s="7">
        <f t="shared" si="45"/>
        <v>1</v>
      </c>
      <c r="AD152" s="7">
        <f t="shared" si="42"/>
        <v>2022</v>
      </c>
      <c r="AE152" s="19">
        <f t="shared" si="43"/>
        <v>-0.74</v>
      </c>
      <c r="BA152" s="10">
        <f t="shared" si="44"/>
        <v>84.376900000000006</v>
      </c>
    </row>
    <row r="153" spans="1:53" x14ac:dyDescent="0.3">
      <c r="A153" s="17">
        <v>44609</v>
      </c>
      <c r="B153" s="8">
        <v>1900.7</v>
      </c>
      <c r="C153" s="7">
        <v>1900.7</v>
      </c>
      <c r="D153" s="7">
        <v>1876.2</v>
      </c>
      <c r="E153" s="7">
        <v>1876.3</v>
      </c>
      <c r="F153" s="18">
        <v>393</v>
      </c>
      <c r="G153" s="7">
        <v>1850.0143</v>
      </c>
      <c r="H153" s="7">
        <v>1820.9632999999999</v>
      </c>
      <c r="I153" s="7">
        <v>1806.8333</v>
      </c>
      <c r="J153" s="8">
        <v>0.94689999999999996</v>
      </c>
      <c r="K153" s="7">
        <v>0.98650000000000004</v>
      </c>
      <c r="L153" s="7">
        <v>0.77129999999999999</v>
      </c>
      <c r="M153" s="8">
        <v>76.766300000000001</v>
      </c>
      <c r="N153" s="8">
        <v>13.9076</v>
      </c>
      <c r="O153" s="7">
        <v>7.3400999999999996</v>
      </c>
      <c r="P153" s="7">
        <v>1879.4562000000001</v>
      </c>
      <c r="Q153" s="7">
        <v>1772.1538</v>
      </c>
      <c r="R153" s="7" t="str">
        <f t="shared" si="31"/>
        <v>Down</v>
      </c>
      <c r="S153" s="7" t="str">
        <f t="shared" si="32"/>
        <v>Sell</v>
      </c>
      <c r="T153" s="8">
        <f t="shared" si="33"/>
        <v>0.10743280943025529</v>
      </c>
      <c r="U153" s="18">
        <f t="shared" si="34"/>
        <v>4241564</v>
      </c>
      <c r="V153" s="7">
        <f t="shared" si="35"/>
        <v>5586.2002000000002</v>
      </c>
      <c r="W153" s="7">
        <f t="shared" si="36"/>
        <v>1615.1</v>
      </c>
      <c r="X153" s="7">
        <f t="shared" si="37"/>
        <v>1876.3</v>
      </c>
      <c r="Y153" s="7">
        <f t="shared" si="38"/>
        <v>441</v>
      </c>
      <c r="Z153" s="7">
        <f t="shared" si="39"/>
        <v>1375206</v>
      </c>
      <c r="AA153" s="7" t="str">
        <f t="shared" si="40"/>
        <v>17-Feb-2022</v>
      </c>
      <c r="AB153" s="7">
        <f t="shared" si="41"/>
        <v>1876.3</v>
      </c>
      <c r="AC153" s="7">
        <f t="shared" si="45"/>
        <v>1</v>
      </c>
      <c r="AD153" s="7">
        <f t="shared" si="42"/>
        <v>2022</v>
      </c>
      <c r="AE153" s="19">
        <f t="shared" si="43"/>
        <v>0.95</v>
      </c>
      <c r="BA153" s="10">
        <f t="shared" si="44"/>
        <v>84.376900000000006</v>
      </c>
    </row>
    <row r="154" spans="1:53" x14ac:dyDescent="0.3">
      <c r="A154" s="17">
        <v>44610</v>
      </c>
      <c r="B154" s="8">
        <v>1898.6</v>
      </c>
      <c r="C154" s="7">
        <v>1899.4</v>
      </c>
      <c r="D154" s="7">
        <v>1890.7</v>
      </c>
      <c r="E154" s="7">
        <v>1899.4</v>
      </c>
      <c r="F154" s="18">
        <v>51</v>
      </c>
      <c r="G154" s="7">
        <v>1860.5857000000001</v>
      </c>
      <c r="H154" s="7">
        <v>1824.7067</v>
      </c>
      <c r="I154" s="7">
        <v>1808.4721999999999</v>
      </c>
      <c r="J154" s="8">
        <v>1.2311000000000001</v>
      </c>
      <c r="K154" s="7">
        <v>1.0274000000000001</v>
      </c>
      <c r="L154" s="7">
        <v>0.73929999999999996</v>
      </c>
      <c r="M154" s="8">
        <v>84.376900000000006</v>
      </c>
      <c r="N154" s="8">
        <v>17.483799999999999</v>
      </c>
      <c r="O154" s="7">
        <v>9.3688000000000002</v>
      </c>
      <c r="P154" s="7">
        <v>1891.7058999999999</v>
      </c>
      <c r="Q154" s="7">
        <v>1766.0441000000001</v>
      </c>
      <c r="R154" s="7" t="str">
        <f t="shared" si="31"/>
        <v>Up</v>
      </c>
      <c r="S154" s="7" t="str">
        <f t="shared" si="32"/>
        <v>Sell</v>
      </c>
      <c r="T154" s="8">
        <f t="shared" si="33"/>
        <v>0.10660737463126836</v>
      </c>
      <c r="U154" s="18">
        <f t="shared" si="34"/>
        <v>4241171</v>
      </c>
      <c r="V154" s="7">
        <f t="shared" si="35"/>
        <v>5586.2002000000002</v>
      </c>
      <c r="W154" s="7">
        <f t="shared" si="36"/>
        <v>1615.1</v>
      </c>
      <c r="X154" s="7">
        <f t="shared" si="37"/>
        <v>1899.4</v>
      </c>
      <c r="Y154" s="7">
        <f t="shared" si="38"/>
        <v>441</v>
      </c>
      <c r="Z154" s="7">
        <f t="shared" si="39"/>
        <v>1375206</v>
      </c>
      <c r="AA154" s="7" t="str">
        <f t="shared" si="40"/>
        <v>18-Feb-2022</v>
      </c>
      <c r="AB154" s="7">
        <f t="shared" si="41"/>
        <v>1899.4</v>
      </c>
      <c r="AC154" s="7">
        <f t="shared" si="45"/>
        <v>1</v>
      </c>
      <c r="AD154" s="7">
        <f t="shared" si="42"/>
        <v>2022</v>
      </c>
      <c r="AE154" s="19">
        <f t="shared" si="43"/>
        <v>1.23</v>
      </c>
      <c r="BA154" s="10">
        <f t="shared" si="44"/>
        <v>84.376900000000006</v>
      </c>
    </row>
    <row r="155" spans="1:53" x14ac:dyDescent="0.3">
      <c r="A155" s="17">
        <v>44614</v>
      </c>
      <c r="B155" s="8">
        <v>1906.1</v>
      </c>
      <c r="C155" s="7">
        <v>1912</v>
      </c>
      <c r="D155" s="7">
        <v>1890.8</v>
      </c>
      <c r="E155" s="7">
        <v>1908.1</v>
      </c>
      <c r="F155" s="18">
        <v>173</v>
      </c>
      <c r="G155" s="7">
        <v>1871.2714000000001</v>
      </c>
      <c r="H155" s="7">
        <v>1828.5833</v>
      </c>
      <c r="I155" s="7">
        <v>1810.1088999999999</v>
      </c>
      <c r="J155" s="8">
        <v>0.45800000000000002</v>
      </c>
      <c r="K155" s="7">
        <v>1.0268999999999999</v>
      </c>
      <c r="L155" s="7">
        <v>0.74070000000000003</v>
      </c>
      <c r="M155" s="8">
        <v>84.376900000000006</v>
      </c>
      <c r="N155" s="8">
        <v>20.7804</v>
      </c>
      <c r="O155" s="7">
        <v>11.651199999999999</v>
      </c>
      <c r="P155" s="7">
        <v>1904.4965999999999</v>
      </c>
      <c r="Q155" s="7">
        <v>1760.2734</v>
      </c>
      <c r="R155" s="7" t="str">
        <f t="shared" si="31"/>
        <v>Up</v>
      </c>
      <c r="S155" s="7" t="str">
        <f t="shared" si="32"/>
        <v>Sell</v>
      </c>
      <c r="T155" s="8">
        <f t="shared" si="33"/>
        <v>0.10550059055118102</v>
      </c>
      <c r="U155" s="18">
        <f t="shared" si="34"/>
        <v>4241120</v>
      </c>
      <c r="V155" s="7">
        <f t="shared" si="35"/>
        <v>5586.2002000000002</v>
      </c>
      <c r="W155" s="7">
        <f t="shared" si="36"/>
        <v>1615.1</v>
      </c>
      <c r="X155" s="7">
        <f t="shared" si="37"/>
        <v>1908.1</v>
      </c>
      <c r="Y155" s="7">
        <f t="shared" si="38"/>
        <v>440</v>
      </c>
      <c r="Z155" s="7">
        <f t="shared" si="39"/>
        <v>1375155</v>
      </c>
      <c r="AA155" s="7" t="str">
        <f t="shared" si="40"/>
        <v>22-Feb-2022</v>
      </c>
      <c r="AB155" s="7">
        <f t="shared" si="41"/>
        <v>1908.1</v>
      </c>
      <c r="AC155" s="7">
        <f t="shared" si="45"/>
        <v>1</v>
      </c>
      <c r="AD155" s="7">
        <f t="shared" si="42"/>
        <v>2022</v>
      </c>
      <c r="AE155" s="19">
        <f t="shared" si="43"/>
        <v>0.46</v>
      </c>
      <c r="BA155" s="10">
        <f t="shared" si="44"/>
        <v>80.523600000000002</v>
      </c>
    </row>
    <row r="156" spans="1:53" x14ac:dyDescent="0.3">
      <c r="A156" s="17">
        <v>44615</v>
      </c>
      <c r="B156" s="8">
        <v>1909.2</v>
      </c>
      <c r="C156" s="7">
        <v>1910.6</v>
      </c>
      <c r="D156" s="7">
        <v>1895.7</v>
      </c>
      <c r="E156" s="7">
        <v>1896.6</v>
      </c>
      <c r="F156" s="18">
        <v>73</v>
      </c>
      <c r="G156" s="7">
        <v>1881.9286</v>
      </c>
      <c r="H156" s="7">
        <v>1831.9733000000001</v>
      </c>
      <c r="I156" s="7">
        <v>1811.2689</v>
      </c>
      <c r="J156" s="8">
        <v>-0.60270000000000001</v>
      </c>
      <c r="K156" s="7">
        <v>1.0243</v>
      </c>
      <c r="L156" s="7">
        <v>0.75549999999999995</v>
      </c>
      <c r="M156" s="8">
        <v>78.6875</v>
      </c>
      <c r="N156" s="8">
        <v>22.209099999999999</v>
      </c>
      <c r="O156" s="7">
        <v>13.762700000000001</v>
      </c>
      <c r="P156" s="7">
        <v>1912.6165000000001</v>
      </c>
      <c r="Q156" s="7">
        <v>1757.5135</v>
      </c>
      <c r="R156" s="7" t="str">
        <f t="shared" si="31"/>
        <v>Down</v>
      </c>
      <c r="S156" s="7" t="str">
        <f t="shared" si="32"/>
        <v>Sell</v>
      </c>
      <c r="T156" s="8">
        <f t="shared" si="33"/>
        <v>0.10515330049261076</v>
      </c>
      <c r="U156" s="18">
        <f t="shared" si="34"/>
        <v>4240947</v>
      </c>
      <c r="V156" s="7">
        <f t="shared" si="35"/>
        <v>5586.2002000000002</v>
      </c>
      <c r="W156" s="7">
        <f t="shared" si="36"/>
        <v>1615.1</v>
      </c>
      <c r="X156" s="7">
        <f t="shared" si="37"/>
        <v>1896.6</v>
      </c>
      <c r="Y156" s="7">
        <f t="shared" si="38"/>
        <v>439</v>
      </c>
      <c r="Z156" s="7">
        <f t="shared" si="39"/>
        <v>1374982</v>
      </c>
      <c r="AA156" s="7" t="str">
        <f t="shared" si="40"/>
        <v>23-Feb-2022</v>
      </c>
      <c r="AB156" s="7">
        <f t="shared" si="41"/>
        <v>1896.6</v>
      </c>
      <c r="AC156" s="7">
        <f t="shared" si="45"/>
        <v>1</v>
      </c>
      <c r="AD156" s="7">
        <f t="shared" si="42"/>
        <v>2022</v>
      </c>
      <c r="AE156" s="19">
        <f t="shared" si="43"/>
        <v>-0.6</v>
      </c>
      <c r="BA156" s="10">
        <f t="shared" si="44"/>
        <v>80.523600000000002</v>
      </c>
    </row>
    <row r="157" spans="1:53" x14ac:dyDescent="0.3">
      <c r="A157" s="17">
        <v>44616</v>
      </c>
      <c r="B157" s="8">
        <v>1925.1</v>
      </c>
      <c r="C157" s="7">
        <v>1972.5</v>
      </c>
      <c r="D157" s="7">
        <v>1911.7</v>
      </c>
      <c r="E157" s="7">
        <v>1911.9</v>
      </c>
      <c r="F157" s="18">
        <v>2706</v>
      </c>
      <c r="G157" s="7">
        <v>1889.0857000000001</v>
      </c>
      <c r="H157" s="7">
        <v>1835.5733</v>
      </c>
      <c r="I157" s="7">
        <v>1812.5733</v>
      </c>
      <c r="J157" s="8">
        <v>0.80669999999999997</v>
      </c>
      <c r="K157" s="7">
        <v>0.76370000000000005</v>
      </c>
      <c r="L157" s="7">
        <v>0.76190000000000002</v>
      </c>
      <c r="M157" s="8">
        <v>79.554299999999998</v>
      </c>
      <c r="N157" s="8">
        <v>24.2958</v>
      </c>
      <c r="O157" s="7">
        <v>15.869400000000001</v>
      </c>
      <c r="P157" s="7">
        <v>1923.9041</v>
      </c>
      <c r="Q157" s="7">
        <v>1754.4259</v>
      </c>
      <c r="R157" s="7" t="str">
        <f t="shared" si="31"/>
        <v>Down</v>
      </c>
      <c r="S157" s="7" t="str">
        <f t="shared" si="32"/>
        <v>Sell</v>
      </c>
      <c r="T157" s="8">
        <f t="shared" si="33"/>
        <v>0.10585138067061137</v>
      </c>
      <c r="U157" s="18">
        <f t="shared" si="34"/>
        <v>4240874</v>
      </c>
      <c r="V157" s="7">
        <f t="shared" si="35"/>
        <v>5586.2002000000002</v>
      </c>
      <c r="W157" s="7">
        <f t="shared" si="36"/>
        <v>1615.1</v>
      </c>
      <c r="X157" s="7">
        <f t="shared" si="37"/>
        <v>1911.9</v>
      </c>
      <c r="Y157" s="7">
        <f t="shared" si="38"/>
        <v>439</v>
      </c>
      <c r="Z157" s="7">
        <f t="shared" si="39"/>
        <v>1374982</v>
      </c>
      <c r="AA157" s="7" t="str">
        <f t="shared" si="40"/>
        <v>24-Feb-2022</v>
      </c>
      <c r="AB157" s="7">
        <f t="shared" si="41"/>
        <v>1911.9</v>
      </c>
      <c r="AC157" s="7">
        <f t="shared" si="45"/>
        <v>1</v>
      </c>
      <c r="AD157" s="7">
        <f t="shared" si="42"/>
        <v>2022</v>
      </c>
      <c r="AE157" s="19">
        <f t="shared" si="43"/>
        <v>0.81</v>
      </c>
      <c r="BA157" s="10">
        <f t="shared" si="44"/>
        <v>80.523600000000002</v>
      </c>
    </row>
    <row r="158" spans="1:53" x14ac:dyDescent="0.3">
      <c r="A158" s="17">
        <v>44617</v>
      </c>
      <c r="B158" s="8">
        <v>1886.5</v>
      </c>
      <c r="C158" s="7">
        <v>1920</v>
      </c>
      <c r="D158" s="7">
        <v>1883.6</v>
      </c>
      <c r="E158" s="7">
        <v>1906.9</v>
      </c>
      <c r="F158" s="18">
        <v>586</v>
      </c>
      <c r="G158" s="7">
        <v>1893.9857</v>
      </c>
      <c r="H158" s="7">
        <v>1838.5033000000001</v>
      </c>
      <c r="I158" s="7">
        <v>1814.1877999999999</v>
      </c>
      <c r="J158" s="8">
        <v>-0.26150000000000001</v>
      </c>
      <c r="K158" s="7">
        <v>0.79310000000000003</v>
      </c>
      <c r="L158" s="7">
        <v>0.75649999999999995</v>
      </c>
      <c r="M158" s="8">
        <v>77.373800000000003</v>
      </c>
      <c r="N158" s="8">
        <v>25.254999999999999</v>
      </c>
      <c r="O158" s="7">
        <v>17.746500000000001</v>
      </c>
      <c r="P158" s="7">
        <v>1931.8387</v>
      </c>
      <c r="Q158" s="7">
        <v>1757.8513</v>
      </c>
      <c r="R158" s="7" t="str">
        <f t="shared" si="31"/>
        <v>Up</v>
      </c>
      <c r="S158" s="7" t="str">
        <f t="shared" si="32"/>
        <v>Sell</v>
      </c>
      <c r="T158" s="8">
        <f t="shared" si="33"/>
        <v>0.10515952615992094</v>
      </c>
      <c r="U158" s="18">
        <f t="shared" si="34"/>
        <v>4238168</v>
      </c>
      <c r="V158" s="7">
        <f t="shared" si="35"/>
        <v>5586.2002000000002</v>
      </c>
      <c r="W158" s="7">
        <f t="shared" si="36"/>
        <v>1615.1</v>
      </c>
      <c r="X158" s="7">
        <f t="shared" si="37"/>
        <v>1906.9</v>
      </c>
      <c r="Y158" s="7">
        <f t="shared" si="38"/>
        <v>439</v>
      </c>
      <c r="Z158" s="7">
        <f t="shared" si="39"/>
        <v>1374982</v>
      </c>
      <c r="AA158" s="7" t="str">
        <f t="shared" si="40"/>
        <v>25-Feb-2022</v>
      </c>
      <c r="AB158" s="7">
        <f t="shared" si="41"/>
        <v>1906.9</v>
      </c>
      <c r="AC158" s="7">
        <f t="shared" si="45"/>
        <v>1</v>
      </c>
      <c r="AD158" s="7">
        <f t="shared" si="42"/>
        <v>2022</v>
      </c>
      <c r="AE158" s="19">
        <f t="shared" si="43"/>
        <v>-0.26</v>
      </c>
      <c r="BA158" s="10">
        <f t="shared" si="44"/>
        <v>80.523600000000002</v>
      </c>
    </row>
    <row r="159" spans="1:53" x14ac:dyDescent="0.3">
      <c r="A159" s="17">
        <v>44620</v>
      </c>
      <c r="B159" s="8">
        <v>1899.4</v>
      </c>
      <c r="C159" s="7">
        <v>1928.4</v>
      </c>
      <c r="D159" s="7">
        <v>1894.2</v>
      </c>
      <c r="E159" s="7">
        <v>1928.3</v>
      </c>
      <c r="F159" s="18">
        <v>390</v>
      </c>
      <c r="G159" s="7">
        <v>1903.9286</v>
      </c>
      <c r="H159" s="7">
        <v>1842.12</v>
      </c>
      <c r="I159" s="7">
        <v>1815.8622</v>
      </c>
      <c r="J159" s="8">
        <v>1.1222000000000001</v>
      </c>
      <c r="K159" s="7">
        <v>0.70799999999999996</v>
      </c>
      <c r="L159" s="7">
        <v>0.77610000000000001</v>
      </c>
      <c r="M159" s="8">
        <v>79.097700000000003</v>
      </c>
      <c r="N159" s="8">
        <v>27.425799999999999</v>
      </c>
      <c r="O159" s="7">
        <v>19.682300000000001</v>
      </c>
      <c r="P159" s="7">
        <v>1942.9392</v>
      </c>
      <c r="Q159" s="7">
        <v>1759.8308</v>
      </c>
      <c r="R159" s="7" t="str">
        <f t="shared" si="31"/>
        <v>Up</v>
      </c>
      <c r="S159" s="7" t="str">
        <f t="shared" si="32"/>
        <v>Sell</v>
      </c>
      <c r="T159" s="8">
        <f t="shared" si="33"/>
        <v>0.10552183794466394</v>
      </c>
      <c r="U159" s="18">
        <f t="shared" si="34"/>
        <v>4237582</v>
      </c>
      <c r="V159" s="7">
        <f t="shared" si="35"/>
        <v>5586.2002000000002</v>
      </c>
      <c r="W159" s="7">
        <f t="shared" si="36"/>
        <v>1615.1</v>
      </c>
      <c r="X159" s="7">
        <f t="shared" si="37"/>
        <v>1928.3</v>
      </c>
      <c r="Y159" s="7">
        <f t="shared" si="38"/>
        <v>438</v>
      </c>
      <c r="Z159" s="7">
        <f t="shared" si="39"/>
        <v>1374396</v>
      </c>
      <c r="AA159" s="7" t="str">
        <f t="shared" si="40"/>
        <v>28-Feb-2022</v>
      </c>
      <c r="AB159" s="7">
        <f t="shared" si="41"/>
        <v>1928.3</v>
      </c>
      <c r="AC159" s="7">
        <f t="shared" si="45"/>
        <v>1</v>
      </c>
      <c r="AD159" s="7">
        <f t="shared" si="42"/>
        <v>2022</v>
      </c>
      <c r="AE159" s="19">
        <f t="shared" si="43"/>
        <v>1.1200000000000001</v>
      </c>
      <c r="BA159" s="10">
        <f t="shared" si="44"/>
        <v>80.523600000000002</v>
      </c>
    </row>
    <row r="160" spans="1:53" x14ac:dyDescent="0.3">
      <c r="A160" s="17">
        <v>44621</v>
      </c>
      <c r="B160" s="8">
        <v>1942.4</v>
      </c>
      <c r="C160" s="7">
        <v>1942.4</v>
      </c>
      <c r="D160" s="7">
        <v>1903.8</v>
      </c>
      <c r="E160" s="7">
        <v>1908.3</v>
      </c>
      <c r="F160" s="18">
        <v>547</v>
      </c>
      <c r="G160" s="7">
        <v>1908.5</v>
      </c>
      <c r="H160" s="7">
        <v>1845.0133000000001</v>
      </c>
      <c r="I160" s="7">
        <v>1817.3478</v>
      </c>
      <c r="J160" s="8">
        <v>-1.0371999999999999</v>
      </c>
      <c r="K160" s="7">
        <v>0.8871</v>
      </c>
      <c r="L160" s="7">
        <v>0.80810000000000004</v>
      </c>
      <c r="M160" s="8">
        <v>71.005600000000001</v>
      </c>
      <c r="N160" s="8">
        <v>27.218599999999999</v>
      </c>
      <c r="O160" s="7">
        <v>21.189599999999999</v>
      </c>
      <c r="P160" s="7">
        <v>1947.2668000000001</v>
      </c>
      <c r="Q160" s="7">
        <v>1767.4831999999999</v>
      </c>
      <c r="R160" s="7" t="str">
        <f t="shared" si="31"/>
        <v>Down</v>
      </c>
      <c r="S160" s="7" t="str">
        <f t="shared" si="32"/>
        <v>Sell</v>
      </c>
      <c r="T160" s="8">
        <f t="shared" si="33"/>
        <v>0.10451622156280904</v>
      </c>
      <c r="U160" s="18">
        <f t="shared" si="34"/>
        <v>4237192</v>
      </c>
      <c r="V160" s="7">
        <f t="shared" si="35"/>
        <v>5586.2002000000002</v>
      </c>
      <c r="W160" s="7">
        <f t="shared" si="36"/>
        <v>1615.1</v>
      </c>
      <c r="X160" s="7">
        <f t="shared" si="37"/>
        <v>1908.3</v>
      </c>
      <c r="Y160" s="7">
        <f t="shared" si="38"/>
        <v>437</v>
      </c>
      <c r="Z160" s="7">
        <f t="shared" si="39"/>
        <v>1374006</v>
      </c>
      <c r="AA160" s="7" t="str">
        <f t="shared" si="40"/>
        <v>01-Mar-2022</v>
      </c>
      <c r="AB160" s="7">
        <f t="shared" si="41"/>
        <v>1908.3</v>
      </c>
      <c r="AC160" s="7">
        <f t="shared" si="45"/>
        <v>1</v>
      </c>
      <c r="AD160" s="7">
        <f t="shared" si="42"/>
        <v>2022</v>
      </c>
      <c r="AE160" s="19">
        <f t="shared" si="43"/>
        <v>-1.04</v>
      </c>
      <c r="BA160" s="10">
        <f t="shared" si="44"/>
        <v>80.523600000000002</v>
      </c>
    </row>
    <row r="161" spans="1:53" x14ac:dyDescent="0.3">
      <c r="A161" s="17">
        <v>44622</v>
      </c>
      <c r="B161" s="8">
        <v>1920.9</v>
      </c>
      <c r="C161" s="7">
        <v>1948.2</v>
      </c>
      <c r="D161" s="7">
        <v>1919.8</v>
      </c>
      <c r="E161" s="7">
        <v>1945.6</v>
      </c>
      <c r="F161" s="18">
        <v>109</v>
      </c>
      <c r="G161" s="7">
        <v>1915.1</v>
      </c>
      <c r="H161" s="7">
        <v>1849.3067000000001</v>
      </c>
      <c r="I161" s="7">
        <v>1819.1656</v>
      </c>
      <c r="J161" s="8">
        <v>1.9545999999999999</v>
      </c>
      <c r="K161" s="7">
        <v>1.0486</v>
      </c>
      <c r="L161" s="7">
        <v>0.86750000000000005</v>
      </c>
      <c r="M161" s="8">
        <v>74.671599999999998</v>
      </c>
      <c r="N161" s="8">
        <v>29.721499999999999</v>
      </c>
      <c r="O161" s="7">
        <v>22.896000000000001</v>
      </c>
      <c r="P161" s="7">
        <v>1958.203</v>
      </c>
      <c r="Q161" s="7">
        <v>1771.3869999999999</v>
      </c>
      <c r="R161" s="7" t="str">
        <f t="shared" si="31"/>
        <v>Up</v>
      </c>
      <c r="S161" s="7" t="str">
        <f t="shared" si="32"/>
        <v>Sell</v>
      </c>
      <c r="T161" s="8">
        <f t="shared" si="33"/>
        <v>0.10564663366336625</v>
      </c>
      <c r="U161" s="18">
        <f t="shared" si="34"/>
        <v>4236645</v>
      </c>
      <c r="V161" s="7">
        <f t="shared" si="35"/>
        <v>5586.2002000000002</v>
      </c>
      <c r="W161" s="7">
        <f t="shared" si="36"/>
        <v>1615.1</v>
      </c>
      <c r="X161" s="7">
        <f t="shared" si="37"/>
        <v>1945.6</v>
      </c>
      <c r="Y161" s="7">
        <f t="shared" si="38"/>
        <v>437</v>
      </c>
      <c r="Z161" s="7">
        <f t="shared" si="39"/>
        <v>1374006</v>
      </c>
      <c r="AA161" s="7" t="str">
        <f t="shared" si="40"/>
        <v>02-Mar-2022</v>
      </c>
      <c r="AB161" s="7">
        <f t="shared" si="41"/>
        <v>1945.6</v>
      </c>
      <c r="AC161" s="7">
        <f t="shared" si="45"/>
        <v>1</v>
      </c>
      <c r="AD161" s="7">
        <f t="shared" si="42"/>
        <v>2022</v>
      </c>
      <c r="AE161" s="19">
        <f t="shared" si="43"/>
        <v>1.95</v>
      </c>
      <c r="BA161" s="10">
        <f t="shared" si="44"/>
        <v>80.523600000000002</v>
      </c>
    </row>
    <row r="162" spans="1:53" x14ac:dyDescent="0.3">
      <c r="A162" s="17">
        <v>44623</v>
      </c>
      <c r="B162" s="8">
        <v>1934.4</v>
      </c>
      <c r="C162" s="7">
        <v>1940.3</v>
      </c>
      <c r="D162" s="7">
        <v>1924.8</v>
      </c>
      <c r="E162" s="7">
        <v>1930.5</v>
      </c>
      <c r="F162" s="18">
        <v>122</v>
      </c>
      <c r="G162" s="7">
        <v>1918.3</v>
      </c>
      <c r="H162" s="7">
        <v>1853.0767000000001</v>
      </c>
      <c r="I162" s="7">
        <v>1820.7589</v>
      </c>
      <c r="J162" s="8">
        <v>-0.77610000000000001</v>
      </c>
      <c r="K162" s="7">
        <v>1.1278999999999999</v>
      </c>
      <c r="L162" s="7">
        <v>0.88629999999999998</v>
      </c>
      <c r="M162" s="8">
        <v>69.378</v>
      </c>
      <c r="N162" s="8">
        <v>30.139299999999999</v>
      </c>
      <c r="O162" s="7">
        <v>24.3446</v>
      </c>
      <c r="P162" s="7">
        <v>1963.6452999999999</v>
      </c>
      <c r="Q162" s="7">
        <v>1779.2147</v>
      </c>
      <c r="R162" s="7" t="str">
        <f t="shared" si="31"/>
        <v>Down</v>
      </c>
      <c r="S162" s="7" t="str">
        <f t="shared" si="32"/>
        <v>Hold</v>
      </c>
      <c r="T162" s="8">
        <f t="shared" si="33"/>
        <v>0.10381417244796821</v>
      </c>
      <c r="U162" s="18">
        <f t="shared" si="34"/>
        <v>4236536</v>
      </c>
      <c r="V162" s="7">
        <f t="shared" si="35"/>
        <v>5586.2002000000002</v>
      </c>
      <c r="W162" s="7">
        <f t="shared" si="36"/>
        <v>1615.1</v>
      </c>
      <c r="X162" s="7">
        <f t="shared" si="37"/>
        <v>1930.5</v>
      </c>
      <c r="Y162" s="7">
        <f t="shared" si="38"/>
        <v>436</v>
      </c>
      <c r="Z162" s="7">
        <f t="shared" si="39"/>
        <v>1373897</v>
      </c>
      <c r="AA162" s="7" t="str">
        <f t="shared" si="40"/>
        <v>03-Mar-2022</v>
      </c>
      <c r="AB162" s="7">
        <f t="shared" si="41"/>
        <v>1930.5</v>
      </c>
      <c r="AC162" s="7">
        <f t="shared" si="45"/>
        <v>1</v>
      </c>
      <c r="AD162" s="7">
        <f t="shared" si="42"/>
        <v>2022</v>
      </c>
      <c r="AE162" s="19">
        <f t="shared" si="43"/>
        <v>-0.78</v>
      </c>
      <c r="BA162" s="10">
        <f t="shared" si="44"/>
        <v>80.523600000000002</v>
      </c>
    </row>
    <row r="163" spans="1:53" x14ac:dyDescent="0.3">
      <c r="A163" s="17">
        <v>44624</v>
      </c>
      <c r="B163" s="8">
        <v>1965.1</v>
      </c>
      <c r="C163" s="7">
        <v>1970.9</v>
      </c>
      <c r="D163" s="7">
        <v>1935.6</v>
      </c>
      <c r="E163" s="7">
        <v>1937</v>
      </c>
      <c r="F163" s="18">
        <v>47</v>
      </c>
      <c r="G163" s="7">
        <v>1924.0714</v>
      </c>
      <c r="H163" s="7">
        <v>1856.29</v>
      </c>
      <c r="I163" s="7">
        <v>1822.3444</v>
      </c>
      <c r="J163" s="8">
        <v>0.3367</v>
      </c>
      <c r="K163" s="7">
        <v>1.0749</v>
      </c>
      <c r="L163" s="7">
        <v>0.86350000000000005</v>
      </c>
      <c r="M163" s="8">
        <v>73.373999999999995</v>
      </c>
      <c r="N163" s="8">
        <v>30.6416</v>
      </c>
      <c r="O163" s="7">
        <v>25.603999999999999</v>
      </c>
      <c r="P163" s="7">
        <v>1969.2085</v>
      </c>
      <c r="Q163" s="7">
        <v>1786.7716</v>
      </c>
      <c r="R163" s="7" t="str">
        <f t="shared" si="31"/>
        <v>Down</v>
      </c>
      <c r="S163" s="7" t="str">
        <f t="shared" si="32"/>
        <v>Sell</v>
      </c>
      <c r="T163" s="8">
        <f t="shared" si="33"/>
        <v>0.10468710317460311</v>
      </c>
      <c r="U163" s="18">
        <f t="shared" si="34"/>
        <v>4236414</v>
      </c>
      <c r="V163" s="7">
        <f t="shared" si="35"/>
        <v>5586.2002000000002</v>
      </c>
      <c r="W163" s="7">
        <f t="shared" si="36"/>
        <v>1615.1</v>
      </c>
      <c r="X163" s="7">
        <f t="shared" si="37"/>
        <v>1937</v>
      </c>
      <c r="Y163" s="7">
        <f t="shared" si="38"/>
        <v>436</v>
      </c>
      <c r="Z163" s="7">
        <f t="shared" si="39"/>
        <v>1373897</v>
      </c>
      <c r="AA163" s="7" t="str">
        <f t="shared" si="40"/>
        <v>04-Mar-2022</v>
      </c>
      <c r="AB163" s="7">
        <f t="shared" si="41"/>
        <v>1937</v>
      </c>
      <c r="AC163" s="7">
        <f t="shared" si="45"/>
        <v>1</v>
      </c>
      <c r="AD163" s="7">
        <f t="shared" si="42"/>
        <v>2022</v>
      </c>
      <c r="AE163" s="19">
        <f t="shared" si="43"/>
        <v>0.34</v>
      </c>
      <c r="BA163" s="10">
        <f t="shared" si="44"/>
        <v>80.523600000000002</v>
      </c>
    </row>
    <row r="164" spans="1:53" x14ac:dyDescent="0.3">
      <c r="A164" s="17">
        <v>44627</v>
      </c>
      <c r="B164" s="8">
        <v>1993.9</v>
      </c>
      <c r="C164" s="7">
        <v>2001.1</v>
      </c>
      <c r="D164" s="7">
        <v>1963</v>
      </c>
      <c r="E164" s="7">
        <v>1989</v>
      </c>
      <c r="F164" s="18">
        <v>2516</v>
      </c>
      <c r="G164" s="7">
        <v>1935.0857000000001</v>
      </c>
      <c r="H164" s="7">
        <v>1861.3233</v>
      </c>
      <c r="I164" s="7">
        <v>1824.3467000000001</v>
      </c>
      <c r="J164" s="8">
        <v>2.6846000000000001</v>
      </c>
      <c r="K164" s="7">
        <v>1.4044000000000001</v>
      </c>
      <c r="L164" s="7">
        <v>0.9748</v>
      </c>
      <c r="M164" s="8">
        <v>74.632099999999994</v>
      </c>
      <c r="N164" s="8">
        <v>34.834099999999999</v>
      </c>
      <c r="O164" s="7">
        <v>27.45</v>
      </c>
      <c r="P164" s="7">
        <v>1984.4621</v>
      </c>
      <c r="Q164" s="7">
        <v>1789.8179</v>
      </c>
      <c r="R164" s="7" t="str">
        <f t="shared" si="31"/>
        <v>Down</v>
      </c>
      <c r="S164" s="7" t="str">
        <f t="shared" si="32"/>
        <v>Sell</v>
      </c>
      <c r="T164" s="8">
        <f t="shared" si="33"/>
        <v>0.10445670307845077</v>
      </c>
      <c r="U164" s="18">
        <f t="shared" si="34"/>
        <v>4236367</v>
      </c>
      <c r="V164" s="7">
        <f t="shared" si="35"/>
        <v>5586.2002000000002</v>
      </c>
      <c r="W164" s="7">
        <f t="shared" si="36"/>
        <v>1615.1</v>
      </c>
      <c r="X164" s="7">
        <f t="shared" si="37"/>
        <v>1989</v>
      </c>
      <c r="Y164" s="7">
        <f t="shared" si="38"/>
        <v>436</v>
      </c>
      <c r="Z164" s="7">
        <f t="shared" si="39"/>
        <v>1373897</v>
      </c>
      <c r="AA164" s="7" t="str">
        <f t="shared" si="40"/>
        <v>07-Mar-2022</v>
      </c>
      <c r="AB164" s="7">
        <f t="shared" si="41"/>
        <v>1989</v>
      </c>
      <c r="AC164" s="7">
        <f t="shared" si="45"/>
        <v>1</v>
      </c>
      <c r="AD164" s="7">
        <f t="shared" si="42"/>
        <v>2022</v>
      </c>
      <c r="AE164" s="19">
        <f t="shared" si="43"/>
        <v>2.68</v>
      </c>
      <c r="BA164" s="10">
        <f t="shared" si="44"/>
        <v>80.523600000000002</v>
      </c>
    </row>
    <row r="165" spans="1:53" x14ac:dyDescent="0.3">
      <c r="A165" s="17">
        <v>44628</v>
      </c>
      <c r="B165" s="8">
        <v>2040.1</v>
      </c>
      <c r="C165" s="7">
        <v>2072</v>
      </c>
      <c r="D165" s="7">
        <v>1998</v>
      </c>
      <c r="E165" s="7">
        <v>1999.4</v>
      </c>
      <c r="F165" s="18">
        <v>1813</v>
      </c>
      <c r="G165" s="7">
        <v>1948.3</v>
      </c>
      <c r="H165" s="7">
        <v>1866.7067</v>
      </c>
      <c r="I165" s="7">
        <v>1826.6567</v>
      </c>
      <c r="J165" s="8">
        <v>0.52290000000000003</v>
      </c>
      <c r="K165" s="7">
        <v>1.3571</v>
      </c>
      <c r="L165" s="7">
        <v>0.97450000000000003</v>
      </c>
      <c r="M165" s="8">
        <v>74.592699999999994</v>
      </c>
      <c r="N165" s="8">
        <v>38.551600000000001</v>
      </c>
      <c r="O165" s="7">
        <v>29.670400000000001</v>
      </c>
      <c r="P165" s="7">
        <v>1999.3275000000001</v>
      </c>
      <c r="Q165" s="7">
        <v>1793.6724999999999</v>
      </c>
      <c r="R165" s="7" t="str">
        <f t="shared" si="31"/>
        <v>Down</v>
      </c>
      <c r="S165" s="7" t="str">
        <f t="shared" si="32"/>
        <v>Sell</v>
      </c>
      <c r="T165" s="8">
        <f t="shared" si="33"/>
        <v>0.10189194831013905</v>
      </c>
      <c r="U165" s="18">
        <f t="shared" si="34"/>
        <v>4233851</v>
      </c>
      <c r="V165" s="7">
        <f t="shared" si="35"/>
        <v>5586.2002000000002</v>
      </c>
      <c r="W165" s="7">
        <f t="shared" si="36"/>
        <v>1615.1</v>
      </c>
      <c r="X165" s="7">
        <f t="shared" si="37"/>
        <v>1999.4</v>
      </c>
      <c r="Y165" s="7">
        <f t="shared" si="38"/>
        <v>436</v>
      </c>
      <c r="Z165" s="7">
        <f t="shared" si="39"/>
        <v>1373897</v>
      </c>
      <c r="AA165" s="7" t="str">
        <f t="shared" si="40"/>
        <v>08-Mar-2022</v>
      </c>
      <c r="AB165" s="7">
        <f t="shared" si="41"/>
        <v>1999.4</v>
      </c>
      <c r="AC165" s="7">
        <f t="shared" si="45"/>
        <v>1</v>
      </c>
      <c r="AD165" s="7">
        <f t="shared" si="42"/>
        <v>2022</v>
      </c>
      <c r="AE165" s="19">
        <f t="shared" si="43"/>
        <v>0.52</v>
      </c>
      <c r="BA165" s="10">
        <f t="shared" si="44"/>
        <v>80.523600000000002</v>
      </c>
    </row>
    <row r="166" spans="1:53" x14ac:dyDescent="0.3">
      <c r="A166" s="17">
        <v>44629</v>
      </c>
      <c r="B166" s="8">
        <v>1985.9</v>
      </c>
      <c r="C166" s="7">
        <v>2063</v>
      </c>
      <c r="D166" s="7">
        <v>1980.8</v>
      </c>
      <c r="E166" s="7">
        <v>2053.6001000000001</v>
      </c>
      <c r="F166" s="18">
        <v>1022</v>
      </c>
      <c r="G166" s="7">
        <v>1966.2</v>
      </c>
      <c r="H166" s="7">
        <v>1873.7266999999999</v>
      </c>
      <c r="I166" s="7">
        <v>1829.5245</v>
      </c>
      <c r="J166" s="8">
        <v>2.7107999999999999</v>
      </c>
      <c r="K166" s="7">
        <v>1.5597000000000001</v>
      </c>
      <c r="L166" s="7">
        <v>1.0703</v>
      </c>
      <c r="M166" s="8">
        <v>82.690399999999997</v>
      </c>
      <c r="N166" s="8">
        <v>45.348399999999998</v>
      </c>
      <c r="O166" s="7">
        <v>32.805999999999997</v>
      </c>
      <c r="P166" s="7">
        <v>2026.2257</v>
      </c>
      <c r="Q166" s="7">
        <v>1790.2443000000001</v>
      </c>
      <c r="R166" s="7" t="str">
        <f t="shared" si="31"/>
        <v>Up</v>
      </c>
      <c r="S166" s="7" t="str">
        <f t="shared" si="32"/>
        <v>Sell</v>
      </c>
      <c r="T166" s="8">
        <f t="shared" si="33"/>
        <v>0.10147303482587051</v>
      </c>
      <c r="U166" s="18">
        <f t="shared" si="34"/>
        <v>4232038</v>
      </c>
      <c r="V166" s="7">
        <f t="shared" si="35"/>
        <v>5586.2002000000002</v>
      </c>
      <c r="W166" s="7">
        <f t="shared" si="36"/>
        <v>1615.1</v>
      </c>
      <c r="X166" s="7">
        <f t="shared" si="37"/>
        <v>2053.6001000000001</v>
      </c>
      <c r="Y166" s="7">
        <f t="shared" si="38"/>
        <v>436</v>
      </c>
      <c r="Z166" s="7">
        <f t="shared" si="39"/>
        <v>1373897</v>
      </c>
      <c r="AA166" s="7" t="str">
        <f t="shared" si="40"/>
        <v>09-Mar-2022</v>
      </c>
      <c r="AB166" s="7">
        <f t="shared" si="41"/>
        <v>2053.6001000000001</v>
      </c>
      <c r="AC166" s="7">
        <f t="shared" si="45"/>
        <v>1</v>
      </c>
      <c r="AD166" s="7">
        <f t="shared" si="42"/>
        <v>2022</v>
      </c>
      <c r="AE166" s="19">
        <f t="shared" si="43"/>
        <v>2.71</v>
      </c>
      <c r="BA166" s="10">
        <f t="shared" si="44"/>
        <v>80.523600000000002</v>
      </c>
    </row>
    <row r="167" spans="1:53" x14ac:dyDescent="0.3">
      <c r="A167" s="17">
        <v>44630</v>
      </c>
      <c r="B167" s="8">
        <v>1998.1</v>
      </c>
      <c r="C167" s="7">
        <v>2010.5</v>
      </c>
      <c r="D167" s="7">
        <v>1978.1</v>
      </c>
      <c r="E167" s="7">
        <v>1978.1</v>
      </c>
      <c r="F167" s="18">
        <v>670</v>
      </c>
      <c r="G167" s="7">
        <v>1976.1713999999999</v>
      </c>
      <c r="H167" s="7">
        <v>1878.6667</v>
      </c>
      <c r="I167" s="7">
        <v>1831.58</v>
      </c>
      <c r="J167" s="8">
        <v>-3.6764999999999999</v>
      </c>
      <c r="K167" s="7">
        <v>2.2681</v>
      </c>
      <c r="L167" s="7">
        <v>1.2881</v>
      </c>
      <c r="M167" s="8">
        <v>64.297700000000006</v>
      </c>
      <c r="N167" s="8">
        <v>44.133899999999997</v>
      </c>
      <c r="O167" s="7">
        <v>35.0715</v>
      </c>
      <c r="P167" s="7">
        <v>2031.0195000000001</v>
      </c>
      <c r="Q167" s="7">
        <v>1800.7204999999999</v>
      </c>
      <c r="R167" s="7" t="str">
        <f t="shared" si="31"/>
        <v>Down</v>
      </c>
      <c r="S167" s="7" t="str">
        <f t="shared" si="32"/>
        <v>Hold</v>
      </c>
      <c r="T167" s="8">
        <f t="shared" si="33"/>
        <v>9.887410358565725E-2</v>
      </c>
      <c r="U167" s="18">
        <f t="shared" si="34"/>
        <v>4231016</v>
      </c>
      <c r="V167" s="7">
        <f t="shared" si="35"/>
        <v>5586.2002000000002</v>
      </c>
      <c r="W167" s="7">
        <f t="shared" si="36"/>
        <v>1615.1</v>
      </c>
      <c r="X167" s="7">
        <f t="shared" si="37"/>
        <v>1978.1</v>
      </c>
      <c r="Y167" s="7">
        <f t="shared" si="38"/>
        <v>435</v>
      </c>
      <c r="Z167" s="7">
        <f t="shared" si="39"/>
        <v>1372875</v>
      </c>
      <c r="AA167" s="7" t="str">
        <f t="shared" si="40"/>
        <v>10-Mar-2022</v>
      </c>
      <c r="AB167" s="7">
        <f t="shared" si="41"/>
        <v>1978.1</v>
      </c>
      <c r="AC167" s="7">
        <f t="shared" si="45"/>
        <v>1</v>
      </c>
      <c r="AD167" s="7">
        <f t="shared" si="42"/>
        <v>2022</v>
      </c>
      <c r="AE167" s="19">
        <f t="shared" si="43"/>
        <v>-3.68</v>
      </c>
      <c r="BA167" s="10">
        <f t="shared" si="44"/>
        <v>80.523600000000002</v>
      </c>
    </row>
    <row r="168" spans="1:53" x14ac:dyDescent="0.3">
      <c r="A168" s="17">
        <v>44631</v>
      </c>
      <c r="B168" s="8">
        <v>1982.7</v>
      </c>
      <c r="C168" s="7">
        <v>1996</v>
      </c>
      <c r="D168" s="7">
        <v>1959.9</v>
      </c>
      <c r="E168" s="7">
        <v>1985</v>
      </c>
      <c r="F168" s="18">
        <v>865</v>
      </c>
      <c r="G168" s="7">
        <v>1981.8</v>
      </c>
      <c r="H168" s="7">
        <v>1885.0567000000001</v>
      </c>
      <c r="I168" s="7">
        <v>1833.7745</v>
      </c>
      <c r="J168" s="8">
        <v>0.3488</v>
      </c>
      <c r="K168" s="7">
        <v>2.1802999999999999</v>
      </c>
      <c r="L168" s="7">
        <v>1.2148000000000001</v>
      </c>
      <c r="M168" s="8">
        <v>62.595599999999997</v>
      </c>
      <c r="N168" s="8">
        <v>43.229900000000001</v>
      </c>
      <c r="O168" s="7">
        <v>36.703200000000002</v>
      </c>
      <c r="P168" s="7">
        <v>2035.6510000000001</v>
      </c>
      <c r="Q168" s="7">
        <v>1811.259</v>
      </c>
      <c r="R168" s="7" t="str">
        <f t="shared" si="31"/>
        <v>Up</v>
      </c>
      <c r="S168" s="7" t="str">
        <f t="shared" si="32"/>
        <v>Hold</v>
      </c>
      <c r="T168" s="8">
        <f t="shared" si="33"/>
        <v>0.10263818544366889</v>
      </c>
      <c r="U168" s="18">
        <f t="shared" si="34"/>
        <v>4230346</v>
      </c>
      <c r="V168" s="7">
        <f t="shared" si="35"/>
        <v>5586.2002000000002</v>
      </c>
      <c r="W168" s="7">
        <f t="shared" si="36"/>
        <v>1615.1</v>
      </c>
      <c r="X168" s="7">
        <f t="shared" si="37"/>
        <v>1985</v>
      </c>
      <c r="Y168" s="7">
        <f t="shared" si="38"/>
        <v>435</v>
      </c>
      <c r="Z168" s="7">
        <f t="shared" si="39"/>
        <v>1372875</v>
      </c>
      <c r="AA168" s="7" t="str">
        <f t="shared" si="40"/>
        <v>11-Mar-2022</v>
      </c>
      <c r="AB168" s="7">
        <f t="shared" si="41"/>
        <v>1985</v>
      </c>
      <c r="AC168" s="7">
        <f t="shared" si="45"/>
        <v>1</v>
      </c>
      <c r="AD168" s="7">
        <f t="shared" si="42"/>
        <v>2022</v>
      </c>
      <c r="AE168" s="19">
        <f t="shared" si="43"/>
        <v>0.35</v>
      </c>
      <c r="BA168" s="10">
        <f t="shared" si="44"/>
        <v>80.523600000000002</v>
      </c>
    </row>
    <row r="169" spans="1:53" x14ac:dyDescent="0.3">
      <c r="A169" s="17">
        <v>44634</v>
      </c>
      <c r="B169" s="8">
        <v>1959.6</v>
      </c>
      <c r="C169" s="7">
        <v>1977.7</v>
      </c>
      <c r="D169" s="7">
        <v>1959.6</v>
      </c>
      <c r="E169" s="7">
        <v>1976.5</v>
      </c>
      <c r="F169" s="18">
        <v>145</v>
      </c>
      <c r="G169" s="7">
        <v>1988.3714</v>
      </c>
      <c r="H169" s="7">
        <v>1891.0233000000001</v>
      </c>
      <c r="I169" s="7">
        <v>1835.8411000000001</v>
      </c>
      <c r="J169" s="8">
        <v>-0.42820000000000003</v>
      </c>
      <c r="K169" s="7">
        <v>2.1553</v>
      </c>
      <c r="L169" s="7">
        <v>1.2229000000000001</v>
      </c>
      <c r="M169" s="8">
        <v>60.070700000000002</v>
      </c>
      <c r="N169" s="8">
        <v>41.350900000000003</v>
      </c>
      <c r="O169" s="7">
        <v>37.632800000000003</v>
      </c>
      <c r="P169" s="7">
        <v>2034.9204</v>
      </c>
      <c r="Q169" s="7">
        <v>1827.4395999999999</v>
      </c>
      <c r="R169" s="7" t="str">
        <f t="shared" si="31"/>
        <v>Up</v>
      </c>
      <c r="S169" s="7" t="str">
        <f t="shared" si="32"/>
        <v>Hold</v>
      </c>
      <c r="T169" s="8">
        <f t="shared" si="33"/>
        <v>0.10239251497005979</v>
      </c>
      <c r="U169" s="18">
        <f t="shared" si="34"/>
        <v>4229481</v>
      </c>
      <c r="V169" s="7">
        <f t="shared" si="35"/>
        <v>5586.2002000000002</v>
      </c>
      <c r="W169" s="7">
        <f t="shared" si="36"/>
        <v>1615.1</v>
      </c>
      <c r="X169" s="7">
        <f t="shared" si="37"/>
        <v>1976.5</v>
      </c>
      <c r="Y169" s="7">
        <f t="shared" si="38"/>
        <v>434</v>
      </c>
      <c r="Z169" s="7">
        <f t="shared" si="39"/>
        <v>1372010</v>
      </c>
      <c r="AA169" s="7" t="str">
        <f t="shared" si="40"/>
        <v>14-Mar-2022</v>
      </c>
      <c r="AB169" s="7">
        <f t="shared" si="41"/>
        <v>1976.5</v>
      </c>
      <c r="AC169" s="7">
        <f t="shared" si="45"/>
        <v>1</v>
      </c>
      <c r="AD169" s="7">
        <f t="shared" si="42"/>
        <v>2022</v>
      </c>
      <c r="AE169" s="19">
        <f t="shared" si="43"/>
        <v>-0.43</v>
      </c>
      <c r="BA169" s="10">
        <f t="shared" si="44"/>
        <v>80.523600000000002</v>
      </c>
    </row>
    <row r="170" spans="1:53" x14ac:dyDescent="0.3">
      <c r="A170" s="17">
        <v>44635</v>
      </c>
      <c r="B170" s="8">
        <v>1928.5</v>
      </c>
      <c r="C170" s="7">
        <v>1939.9</v>
      </c>
      <c r="D170" s="7">
        <v>1910.7</v>
      </c>
      <c r="E170" s="7">
        <v>1939.8</v>
      </c>
      <c r="F170" s="18">
        <v>71</v>
      </c>
      <c r="G170" s="7">
        <v>1988.7714000000001</v>
      </c>
      <c r="H170" s="7">
        <v>1896.0667000000001</v>
      </c>
      <c r="I170" s="7">
        <v>1837.75</v>
      </c>
      <c r="J170" s="8">
        <v>-1.8568</v>
      </c>
      <c r="K170" s="7">
        <v>2.3125</v>
      </c>
      <c r="L170" s="7">
        <v>1.2782</v>
      </c>
      <c r="M170" s="8">
        <v>55.921100000000003</v>
      </c>
      <c r="N170" s="8">
        <v>36.479900000000001</v>
      </c>
      <c r="O170" s="7">
        <v>37.402200000000001</v>
      </c>
      <c r="P170" s="7">
        <v>2033.5700999999999</v>
      </c>
      <c r="Q170" s="7">
        <v>1836.5898999999999</v>
      </c>
      <c r="R170" s="7" t="str">
        <f t="shared" si="31"/>
        <v>Up</v>
      </c>
      <c r="S170" s="7" t="str">
        <f t="shared" si="32"/>
        <v>Hold</v>
      </c>
      <c r="T170" s="8">
        <f t="shared" si="33"/>
        <v>0.10292257742257731</v>
      </c>
      <c r="U170" s="18">
        <f t="shared" si="34"/>
        <v>4229336</v>
      </c>
      <c r="V170" s="7">
        <f t="shared" si="35"/>
        <v>5586.2002000000002</v>
      </c>
      <c r="W170" s="7">
        <f t="shared" si="36"/>
        <v>1615.1</v>
      </c>
      <c r="X170" s="7">
        <f t="shared" si="37"/>
        <v>1939.8</v>
      </c>
      <c r="Y170" s="7">
        <f t="shared" si="38"/>
        <v>433</v>
      </c>
      <c r="Z170" s="7">
        <f t="shared" si="39"/>
        <v>1371865</v>
      </c>
      <c r="AA170" s="7" t="str">
        <f t="shared" si="40"/>
        <v>15-Mar-2022</v>
      </c>
      <c r="AB170" s="7">
        <f t="shared" si="41"/>
        <v>1939.8</v>
      </c>
      <c r="AC170" s="7">
        <f t="shared" si="45"/>
        <v>1</v>
      </c>
      <c r="AD170" s="7">
        <f t="shared" si="42"/>
        <v>2022</v>
      </c>
      <c r="AE170" s="19">
        <f t="shared" si="43"/>
        <v>-1.86</v>
      </c>
      <c r="BA170" s="10">
        <f t="shared" si="44"/>
        <v>80.523600000000002</v>
      </c>
    </row>
    <row r="171" spans="1:53" x14ac:dyDescent="0.3">
      <c r="A171" s="17">
        <v>44636</v>
      </c>
      <c r="B171" s="8">
        <v>1908</v>
      </c>
      <c r="C171" s="7">
        <v>1922.4</v>
      </c>
      <c r="D171" s="7">
        <v>1907.2</v>
      </c>
      <c r="E171" s="7">
        <v>1922.4</v>
      </c>
      <c r="F171" s="18">
        <v>104</v>
      </c>
      <c r="G171" s="7">
        <v>1979.2572</v>
      </c>
      <c r="H171" s="7">
        <v>1900.24</v>
      </c>
      <c r="I171" s="7">
        <v>1839.37</v>
      </c>
      <c r="J171" s="8">
        <v>-0.89700000000000002</v>
      </c>
      <c r="K171" s="7">
        <v>2.0068000000000001</v>
      </c>
      <c r="L171" s="7">
        <v>1.2952999999999999</v>
      </c>
      <c r="M171" s="8">
        <v>51.430900000000001</v>
      </c>
      <c r="N171" s="8">
        <v>30.8598</v>
      </c>
      <c r="O171" s="7">
        <v>36.093699999999998</v>
      </c>
      <c r="P171" s="7">
        <v>2031.8366000000001</v>
      </c>
      <c r="Q171" s="7">
        <v>1843.3034</v>
      </c>
      <c r="R171" s="7" t="str">
        <f t="shared" si="31"/>
        <v>Up</v>
      </c>
      <c r="S171" s="7" t="str">
        <f t="shared" si="32"/>
        <v>Hold</v>
      </c>
      <c r="T171" s="8">
        <f t="shared" si="33"/>
        <v>0.10488229999999993</v>
      </c>
      <c r="U171" s="18">
        <f t="shared" si="34"/>
        <v>4229265</v>
      </c>
      <c r="V171" s="7">
        <f t="shared" si="35"/>
        <v>5586.2002000000002</v>
      </c>
      <c r="W171" s="7">
        <f t="shared" si="36"/>
        <v>1615.1</v>
      </c>
      <c r="X171" s="7">
        <f t="shared" si="37"/>
        <v>1922.4</v>
      </c>
      <c r="Y171" s="7">
        <f t="shared" si="38"/>
        <v>432</v>
      </c>
      <c r="Z171" s="7">
        <f t="shared" si="39"/>
        <v>1371794</v>
      </c>
      <c r="AA171" s="7" t="str">
        <f t="shared" si="40"/>
        <v>16-Mar-2022</v>
      </c>
      <c r="AB171" s="7">
        <f t="shared" si="41"/>
        <v>1922.4</v>
      </c>
      <c r="AC171" s="7">
        <f t="shared" si="45"/>
        <v>1</v>
      </c>
      <c r="AD171" s="7">
        <f t="shared" si="42"/>
        <v>2022</v>
      </c>
      <c r="AE171" s="19">
        <f t="shared" si="43"/>
        <v>-0.9</v>
      </c>
      <c r="BA171" s="10">
        <f t="shared" si="44"/>
        <v>80.523600000000002</v>
      </c>
    </row>
    <row r="172" spans="1:53" x14ac:dyDescent="0.3">
      <c r="A172" s="17">
        <v>44637</v>
      </c>
      <c r="B172" s="8">
        <v>1942.1</v>
      </c>
      <c r="C172" s="7">
        <v>1947.2</v>
      </c>
      <c r="D172" s="7">
        <v>1933.9</v>
      </c>
      <c r="E172" s="7">
        <v>1933.9</v>
      </c>
      <c r="F172" s="18">
        <v>39</v>
      </c>
      <c r="G172" s="7">
        <v>1969.9</v>
      </c>
      <c r="H172" s="7">
        <v>1904.7766999999999</v>
      </c>
      <c r="I172" s="7">
        <v>1840.9145000000001</v>
      </c>
      <c r="J172" s="8">
        <v>0.59819999999999995</v>
      </c>
      <c r="K172" s="7">
        <v>2.0131999999999999</v>
      </c>
      <c r="L172" s="7">
        <v>1.2965</v>
      </c>
      <c r="M172" s="8">
        <v>53.615400000000001</v>
      </c>
      <c r="N172" s="8">
        <v>27.022300000000001</v>
      </c>
      <c r="O172" s="7">
        <v>34.279400000000003</v>
      </c>
      <c r="P172" s="7">
        <v>2028.0474999999999</v>
      </c>
      <c r="Q172" s="7">
        <v>1854.6125</v>
      </c>
      <c r="R172" s="7" t="str">
        <f t="shared" si="31"/>
        <v>Down</v>
      </c>
      <c r="S172" s="7" t="str">
        <f t="shared" si="32"/>
        <v>Hold</v>
      </c>
      <c r="T172" s="8">
        <f t="shared" si="33"/>
        <v>0.10588518518518511</v>
      </c>
      <c r="U172" s="18">
        <f t="shared" si="34"/>
        <v>4229161</v>
      </c>
      <c r="V172" s="7">
        <f t="shared" si="35"/>
        <v>5586.2002000000002</v>
      </c>
      <c r="W172" s="7">
        <f t="shared" si="36"/>
        <v>1615.1</v>
      </c>
      <c r="X172" s="7">
        <f t="shared" si="37"/>
        <v>1933.9</v>
      </c>
      <c r="Y172" s="7">
        <f t="shared" si="38"/>
        <v>431</v>
      </c>
      <c r="Z172" s="7">
        <f t="shared" si="39"/>
        <v>1371690</v>
      </c>
      <c r="AA172" s="7" t="str">
        <f t="shared" si="40"/>
        <v>17-Mar-2022</v>
      </c>
      <c r="AB172" s="7">
        <f t="shared" si="41"/>
        <v>1933.9</v>
      </c>
      <c r="AC172" s="7">
        <f t="shared" si="45"/>
        <v>1</v>
      </c>
      <c r="AD172" s="7">
        <f t="shared" si="42"/>
        <v>2022</v>
      </c>
      <c r="AE172" s="19">
        <f t="shared" si="43"/>
        <v>0.6</v>
      </c>
      <c r="BA172" s="10">
        <f t="shared" si="44"/>
        <v>80.523600000000002</v>
      </c>
    </row>
    <row r="173" spans="1:53" x14ac:dyDescent="0.3">
      <c r="A173" s="17">
        <v>44638</v>
      </c>
      <c r="B173" s="8">
        <v>1928.2</v>
      </c>
      <c r="C173" s="7">
        <v>1939.3</v>
      </c>
      <c r="D173" s="7">
        <v>1928.2</v>
      </c>
      <c r="E173" s="7">
        <v>1934.5</v>
      </c>
      <c r="F173" s="18">
        <v>28</v>
      </c>
      <c r="G173" s="7">
        <v>1952.8857</v>
      </c>
      <c r="H173" s="7">
        <v>1909.0667000000001</v>
      </c>
      <c r="I173" s="7">
        <v>1842.22</v>
      </c>
      <c r="J173" s="8">
        <v>3.1E-2</v>
      </c>
      <c r="K173" s="7">
        <v>1.4996</v>
      </c>
      <c r="L173" s="7">
        <v>1.2965</v>
      </c>
      <c r="M173" s="8">
        <v>50.879199999999997</v>
      </c>
      <c r="N173" s="8">
        <v>23.755700000000001</v>
      </c>
      <c r="O173" s="7">
        <v>32.174700000000001</v>
      </c>
      <c r="P173" s="7">
        <v>2025.5038</v>
      </c>
      <c r="Q173" s="7">
        <v>1862.9763</v>
      </c>
      <c r="R173" s="7" t="str">
        <f t="shared" si="31"/>
        <v>Up</v>
      </c>
      <c r="S173" s="7" t="str">
        <f t="shared" si="32"/>
        <v>Hold</v>
      </c>
      <c r="T173" s="8">
        <f t="shared" si="33"/>
        <v>0.105391883767535</v>
      </c>
      <c r="U173" s="18">
        <f t="shared" si="34"/>
        <v>4229122</v>
      </c>
      <c r="V173" s="7">
        <f t="shared" si="35"/>
        <v>5586.2002000000002</v>
      </c>
      <c r="W173" s="7">
        <f t="shared" si="36"/>
        <v>1615.1</v>
      </c>
      <c r="X173" s="7">
        <f t="shared" si="37"/>
        <v>1934.5</v>
      </c>
      <c r="Y173" s="7">
        <f t="shared" si="38"/>
        <v>431</v>
      </c>
      <c r="Z173" s="7">
        <f t="shared" si="39"/>
        <v>1371690</v>
      </c>
      <c r="AA173" s="7" t="str">
        <f t="shared" si="40"/>
        <v>18-Mar-2022</v>
      </c>
      <c r="AB173" s="7">
        <f t="shared" si="41"/>
        <v>1934.5</v>
      </c>
      <c r="AC173" s="7">
        <f t="shared" si="45"/>
        <v>1</v>
      </c>
      <c r="AD173" s="7">
        <f t="shared" si="42"/>
        <v>2022</v>
      </c>
      <c r="AE173" s="19">
        <f t="shared" si="43"/>
        <v>0.03</v>
      </c>
      <c r="BA173" s="10">
        <f t="shared" si="44"/>
        <v>80.523600000000002</v>
      </c>
    </row>
    <row r="174" spans="1:53" x14ac:dyDescent="0.3">
      <c r="A174" s="17">
        <v>44641</v>
      </c>
      <c r="B174" s="8">
        <v>1928.6</v>
      </c>
      <c r="C174" s="7">
        <v>1928.6</v>
      </c>
      <c r="D174" s="7">
        <v>1925</v>
      </c>
      <c r="E174" s="7">
        <v>1925.4</v>
      </c>
      <c r="F174" s="18">
        <v>5</v>
      </c>
      <c r="G174" s="7">
        <v>1945.3571999999999</v>
      </c>
      <c r="H174" s="7">
        <v>1913.0467000000001</v>
      </c>
      <c r="I174" s="7">
        <v>1843.3233</v>
      </c>
      <c r="J174" s="8">
        <v>-0.47039999999999998</v>
      </c>
      <c r="K174" s="7">
        <v>0.82820000000000005</v>
      </c>
      <c r="L174" s="7">
        <v>1.3024</v>
      </c>
      <c r="M174" s="8">
        <v>52.502200000000002</v>
      </c>
      <c r="N174" s="8">
        <v>20.1997</v>
      </c>
      <c r="O174" s="7">
        <v>29.779699999999998</v>
      </c>
      <c r="P174" s="7">
        <v>2024.5851</v>
      </c>
      <c r="Q174" s="7">
        <v>1866.4949999999999</v>
      </c>
      <c r="R174" s="7" t="str">
        <f t="shared" si="31"/>
        <v>Down</v>
      </c>
      <c r="S174" s="7" t="str">
        <f t="shared" si="32"/>
        <v>Hold</v>
      </c>
      <c r="T174" s="8">
        <f t="shared" si="33"/>
        <v>0.10546649949849542</v>
      </c>
      <c r="U174" s="18">
        <f t="shared" si="34"/>
        <v>4229094</v>
      </c>
      <c r="V174" s="7">
        <f t="shared" si="35"/>
        <v>5586.2002000000002</v>
      </c>
      <c r="W174" s="7">
        <f t="shared" si="36"/>
        <v>1615.1</v>
      </c>
      <c r="X174" s="7">
        <f t="shared" si="37"/>
        <v>1925.4</v>
      </c>
      <c r="Y174" s="7">
        <f t="shared" si="38"/>
        <v>430</v>
      </c>
      <c r="Z174" s="7">
        <f t="shared" si="39"/>
        <v>1371662</v>
      </c>
      <c r="AA174" s="7" t="str">
        <f t="shared" si="40"/>
        <v>21-Mar-2022</v>
      </c>
      <c r="AB174" s="7">
        <f t="shared" si="41"/>
        <v>1925.4</v>
      </c>
      <c r="AC174" s="7">
        <f t="shared" si="45"/>
        <v>1</v>
      </c>
      <c r="AD174" s="7">
        <f t="shared" si="42"/>
        <v>2022</v>
      </c>
      <c r="AE174" s="19">
        <f t="shared" si="43"/>
        <v>-0.47</v>
      </c>
      <c r="BA174" s="10">
        <f t="shared" si="44"/>
        <v>80.523600000000002</v>
      </c>
    </row>
    <row r="175" spans="1:53" x14ac:dyDescent="0.3">
      <c r="A175" s="17">
        <v>44642</v>
      </c>
      <c r="B175" s="8">
        <v>1920.7</v>
      </c>
      <c r="C175" s="7">
        <v>1920.7</v>
      </c>
      <c r="D175" s="7">
        <v>1920.7</v>
      </c>
      <c r="E175" s="7">
        <v>1920.7</v>
      </c>
      <c r="F175" s="18">
        <v>26</v>
      </c>
      <c r="G175" s="7">
        <v>1936.1713999999999</v>
      </c>
      <c r="H175" s="7">
        <v>1916.6632999999999</v>
      </c>
      <c r="I175" s="7">
        <v>1844.3778</v>
      </c>
      <c r="J175" s="8">
        <v>-0.24410000000000001</v>
      </c>
      <c r="K175" s="7">
        <v>0.76919999999999999</v>
      </c>
      <c r="L175" s="7">
        <v>1.3048999999999999</v>
      </c>
      <c r="M175" s="8">
        <v>45.972200000000001</v>
      </c>
      <c r="N175" s="8">
        <v>16.808499999999999</v>
      </c>
      <c r="O175" s="7">
        <v>27.185500000000001</v>
      </c>
      <c r="P175" s="7">
        <v>2024.1523</v>
      </c>
      <c r="Q175" s="7">
        <v>1868.1876999999999</v>
      </c>
      <c r="R175" s="7" t="str">
        <f t="shared" si="31"/>
        <v>Down</v>
      </c>
      <c r="S175" s="7" t="str">
        <f t="shared" si="32"/>
        <v>Hold</v>
      </c>
      <c r="T175" s="8">
        <f t="shared" si="33"/>
        <v>0.10604467871485937</v>
      </c>
      <c r="U175" s="18">
        <f t="shared" si="34"/>
        <v>4229089</v>
      </c>
      <c r="V175" s="7">
        <f t="shared" si="35"/>
        <v>5586.2002000000002</v>
      </c>
      <c r="W175" s="7">
        <f t="shared" si="36"/>
        <v>1615.1</v>
      </c>
      <c r="X175" s="7">
        <f t="shared" si="37"/>
        <v>1920.7</v>
      </c>
      <c r="Y175" s="7">
        <f t="shared" si="38"/>
        <v>430</v>
      </c>
      <c r="Z175" s="7">
        <f t="shared" si="39"/>
        <v>1371662</v>
      </c>
      <c r="AA175" s="7" t="str">
        <f t="shared" si="40"/>
        <v>22-Mar-2022</v>
      </c>
      <c r="AB175" s="7">
        <f t="shared" si="41"/>
        <v>1920.7</v>
      </c>
      <c r="AC175" s="7">
        <f t="shared" si="45"/>
        <v>1</v>
      </c>
      <c r="AD175" s="7">
        <f t="shared" si="42"/>
        <v>2022</v>
      </c>
      <c r="AE175" s="19">
        <f t="shared" si="43"/>
        <v>-0.24</v>
      </c>
      <c r="BA175" s="10">
        <f t="shared" si="44"/>
        <v>80.523600000000002</v>
      </c>
    </row>
    <row r="176" spans="1:53" x14ac:dyDescent="0.3">
      <c r="A176" s="17">
        <v>44643</v>
      </c>
      <c r="B176" s="8">
        <v>1936.6</v>
      </c>
      <c r="C176" s="7">
        <v>1936.6</v>
      </c>
      <c r="D176" s="7">
        <v>1936.6</v>
      </c>
      <c r="E176" s="7">
        <v>1936.6</v>
      </c>
      <c r="F176" s="18">
        <v>204</v>
      </c>
      <c r="G176" s="7">
        <v>1930.4713999999999</v>
      </c>
      <c r="H176" s="7">
        <v>1920.5867000000001</v>
      </c>
      <c r="I176" s="7">
        <v>1845.2967000000001</v>
      </c>
      <c r="J176" s="8">
        <v>0.82779999999999998</v>
      </c>
      <c r="K176" s="7">
        <v>0.91279999999999994</v>
      </c>
      <c r="L176" s="7">
        <v>1.3096000000000001</v>
      </c>
      <c r="M176" s="8">
        <v>50.984200000000001</v>
      </c>
      <c r="N176" s="8">
        <v>15.228400000000001</v>
      </c>
      <c r="O176" s="7">
        <v>24.7941</v>
      </c>
      <c r="P176" s="7">
        <v>2022.7782</v>
      </c>
      <c r="Q176" s="7">
        <v>1873.5618999999999</v>
      </c>
      <c r="R176" s="7" t="str">
        <f t="shared" si="31"/>
        <v>Down</v>
      </c>
      <c r="S176" s="7" t="str">
        <f t="shared" si="32"/>
        <v>Hold</v>
      </c>
      <c r="T176" s="8">
        <f t="shared" si="33"/>
        <v>0.10639658291457281</v>
      </c>
      <c r="U176" s="18">
        <f t="shared" si="34"/>
        <v>4229063</v>
      </c>
      <c r="V176" s="7">
        <f t="shared" si="35"/>
        <v>5586.2002000000002</v>
      </c>
      <c r="W176" s="7">
        <f t="shared" si="36"/>
        <v>1615.1</v>
      </c>
      <c r="X176" s="7">
        <f t="shared" si="37"/>
        <v>1936.6</v>
      </c>
      <c r="Y176" s="7">
        <f t="shared" si="38"/>
        <v>430</v>
      </c>
      <c r="Z176" s="7">
        <f t="shared" si="39"/>
        <v>1371662</v>
      </c>
      <c r="AA176" s="7" t="str">
        <f t="shared" si="40"/>
        <v>23-Mar-2022</v>
      </c>
      <c r="AB176" s="7">
        <f t="shared" si="41"/>
        <v>1936.6</v>
      </c>
      <c r="AC176" s="7">
        <f t="shared" si="45"/>
        <v>1</v>
      </c>
      <c r="AD176" s="7">
        <f t="shared" si="42"/>
        <v>2022</v>
      </c>
      <c r="AE176" s="19">
        <f t="shared" si="43"/>
        <v>0.83</v>
      </c>
      <c r="BA176" s="10">
        <f t="shared" si="44"/>
        <v>80.523600000000002</v>
      </c>
    </row>
    <row r="177" spans="1:53" x14ac:dyDescent="0.3">
      <c r="A177" s="17">
        <v>44644</v>
      </c>
      <c r="B177" s="8">
        <v>1961.6</v>
      </c>
      <c r="C177" s="7">
        <v>1964</v>
      </c>
      <c r="D177" s="7">
        <v>1961.6</v>
      </c>
      <c r="E177" s="7">
        <v>1963.6</v>
      </c>
      <c r="F177" s="18">
        <v>8</v>
      </c>
      <c r="G177" s="7">
        <v>1933.8714</v>
      </c>
      <c r="H177" s="7">
        <v>1925.1932999999999</v>
      </c>
      <c r="I177" s="7">
        <v>1846.4389000000001</v>
      </c>
      <c r="J177" s="8">
        <v>1.3942000000000001</v>
      </c>
      <c r="K177" s="7">
        <v>0.8014</v>
      </c>
      <c r="L177" s="7">
        <v>1.327</v>
      </c>
      <c r="M177" s="8">
        <v>54.025399999999998</v>
      </c>
      <c r="N177" s="8">
        <v>15.970800000000001</v>
      </c>
      <c r="O177" s="7">
        <v>23.029399999999999</v>
      </c>
      <c r="P177" s="7">
        <v>2023.6344999999999</v>
      </c>
      <c r="Q177" s="7">
        <v>1877.8756000000001</v>
      </c>
      <c r="R177" s="7" t="str">
        <f t="shared" si="31"/>
        <v>Up</v>
      </c>
      <c r="S177" s="7" t="str">
        <f t="shared" si="32"/>
        <v>Hold</v>
      </c>
      <c r="T177" s="8">
        <f t="shared" si="33"/>
        <v>0.10567082494969814</v>
      </c>
      <c r="U177" s="18">
        <f t="shared" si="34"/>
        <v>4228859</v>
      </c>
      <c r="V177" s="7">
        <f t="shared" si="35"/>
        <v>5586.2002000000002</v>
      </c>
      <c r="W177" s="7">
        <f t="shared" si="36"/>
        <v>1615.1</v>
      </c>
      <c r="X177" s="7">
        <f t="shared" si="37"/>
        <v>1963.6</v>
      </c>
      <c r="Y177" s="7">
        <f t="shared" si="38"/>
        <v>430</v>
      </c>
      <c r="Z177" s="7">
        <f t="shared" si="39"/>
        <v>1371662</v>
      </c>
      <c r="AA177" s="7" t="str">
        <f t="shared" si="40"/>
        <v>24-Mar-2022</v>
      </c>
      <c r="AB177" s="7">
        <f t="shared" si="41"/>
        <v>1963.6</v>
      </c>
      <c r="AC177" s="7">
        <f t="shared" si="45"/>
        <v>1</v>
      </c>
      <c r="AD177" s="7">
        <f t="shared" si="42"/>
        <v>2022</v>
      </c>
      <c r="AE177" s="19">
        <f t="shared" si="43"/>
        <v>1.39</v>
      </c>
      <c r="BA177" s="10">
        <f t="shared" si="44"/>
        <v>80.523600000000002</v>
      </c>
    </row>
    <row r="178" spans="1:53" x14ac:dyDescent="0.3">
      <c r="A178" s="17">
        <v>44645</v>
      </c>
      <c r="B178" s="8">
        <v>1953.8</v>
      </c>
      <c r="C178" s="7">
        <v>1953.8</v>
      </c>
      <c r="D178" s="7">
        <v>1953.8</v>
      </c>
      <c r="E178" s="7">
        <v>1953.8</v>
      </c>
      <c r="F178" s="18">
        <v>83</v>
      </c>
      <c r="G178" s="7">
        <v>1938.3570999999999</v>
      </c>
      <c r="H178" s="7">
        <v>1929.21</v>
      </c>
      <c r="I178" s="7">
        <v>1847.4311</v>
      </c>
      <c r="J178" s="8">
        <v>-0.49909999999999999</v>
      </c>
      <c r="K178" s="7">
        <v>0.7228</v>
      </c>
      <c r="L178" s="7">
        <v>1.3334999999999999</v>
      </c>
      <c r="M178" s="8">
        <v>43.893099999999997</v>
      </c>
      <c r="N178" s="8">
        <v>15.5886</v>
      </c>
      <c r="O178" s="7">
        <v>21.5412</v>
      </c>
      <c r="P178" s="7">
        <v>2022.9951000000001</v>
      </c>
      <c r="Q178" s="7">
        <v>1883.2049999999999</v>
      </c>
      <c r="R178" s="7" t="str">
        <f t="shared" si="31"/>
        <v>Down</v>
      </c>
      <c r="S178" s="7" t="str">
        <f t="shared" si="32"/>
        <v>Hold</v>
      </c>
      <c r="T178" s="8">
        <f t="shared" si="33"/>
        <v>0.10437321248741178</v>
      </c>
      <c r="U178" s="18">
        <f t="shared" si="34"/>
        <v>4228851</v>
      </c>
      <c r="V178" s="7">
        <f t="shared" si="35"/>
        <v>5586.2002000000002</v>
      </c>
      <c r="W178" s="7">
        <f t="shared" si="36"/>
        <v>1615.1</v>
      </c>
      <c r="X178" s="7">
        <f t="shared" si="37"/>
        <v>1953.8</v>
      </c>
      <c r="Y178" s="7">
        <f t="shared" si="38"/>
        <v>429</v>
      </c>
      <c r="Z178" s="7">
        <f t="shared" si="39"/>
        <v>1371654</v>
      </c>
      <c r="AA178" s="7" t="str">
        <f t="shared" si="40"/>
        <v>25-Mar-2022</v>
      </c>
      <c r="AB178" s="7">
        <f t="shared" si="41"/>
        <v>1953.8</v>
      </c>
      <c r="AC178" s="7">
        <f t="shared" si="45"/>
        <v>1</v>
      </c>
      <c r="AD178" s="7">
        <f t="shared" si="42"/>
        <v>2022</v>
      </c>
      <c r="AE178" s="19">
        <f t="shared" si="43"/>
        <v>-0.5</v>
      </c>
      <c r="BA178" s="10">
        <f t="shared" si="44"/>
        <v>80.523600000000002</v>
      </c>
    </row>
    <row r="179" spans="1:53" x14ac:dyDescent="0.3">
      <c r="A179" s="17">
        <v>44648</v>
      </c>
      <c r="B179" s="8">
        <v>1939.6</v>
      </c>
      <c r="C179" s="7">
        <v>1939.6</v>
      </c>
      <c r="D179" s="7">
        <v>1932.6</v>
      </c>
      <c r="E179" s="7">
        <v>1932.6</v>
      </c>
      <c r="F179" s="18">
        <v>7</v>
      </c>
      <c r="G179" s="7">
        <v>1938.1713999999999</v>
      </c>
      <c r="H179" s="7">
        <v>1932.8967</v>
      </c>
      <c r="I179" s="7">
        <v>1848.3089</v>
      </c>
      <c r="J179" s="8">
        <v>-1.0851</v>
      </c>
      <c r="K179" s="7">
        <v>0.85019999999999996</v>
      </c>
      <c r="L179" s="7">
        <v>1.3464</v>
      </c>
      <c r="M179" s="8">
        <v>38.8294</v>
      </c>
      <c r="N179" s="8">
        <v>13.420400000000001</v>
      </c>
      <c r="O179" s="7">
        <v>19.917100000000001</v>
      </c>
      <c r="P179" s="7">
        <v>2022.9147</v>
      </c>
      <c r="Q179" s="7">
        <v>1883.7153000000001</v>
      </c>
      <c r="R179" s="7" t="str">
        <f t="shared" si="31"/>
        <v>Down</v>
      </c>
      <c r="S179" s="7" t="str">
        <f t="shared" si="32"/>
        <v>Hold</v>
      </c>
      <c r="T179" s="8">
        <f t="shared" si="33"/>
        <v>0.10498155241935477</v>
      </c>
      <c r="U179" s="18">
        <f t="shared" si="34"/>
        <v>4228768</v>
      </c>
      <c r="V179" s="7">
        <f t="shared" si="35"/>
        <v>5586.2002000000002</v>
      </c>
      <c r="W179" s="7">
        <f t="shared" si="36"/>
        <v>1615.1</v>
      </c>
      <c r="X179" s="7">
        <f t="shared" si="37"/>
        <v>1932.6</v>
      </c>
      <c r="Y179" s="7">
        <f t="shared" si="38"/>
        <v>429</v>
      </c>
      <c r="Z179" s="7">
        <f t="shared" si="39"/>
        <v>1371654</v>
      </c>
      <c r="AA179" s="7" t="str">
        <f t="shared" si="40"/>
        <v>28-Mar-2022</v>
      </c>
      <c r="AB179" s="7">
        <f t="shared" si="41"/>
        <v>1932.6</v>
      </c>
      <c r="AC179" s="7">
        <f t="shared" si="45"/>
        <v>1</v>
      </c>
      <c r="AD179" s="7">
        <f t="shared" si="42"/>
        <v>2022</v>
      </c>
      <c r="AE179" s="19">
        <f t="shared" si="43"/>
        <v>-1.0900000000000001</v>
      </c>
      <c r="BA179" s="10">
        <f t="shared" si="44"/>
        <v>80.523600000000002</v>
      </c>
    </row>
    <row r="180" spans="1:53" x14ac:dyDescent="0.3">
      <c r="A180" s="17">
        <v>44649</v>
      </c>
      <c r="B180" s="8">
        <v>1912</v>
      </c>
      <c r="C180" s="7">
        <v>1912</v>
      </c>
      <c r="D180" s="7">
        <v>1893.5</v>
      </c>
      <c r="E180" s="7">
        <v>1893.5</v>
      </c>
      <c r="F180" s="18">
        <v>128051</v>
      </c>
      <c r="G180" s="7">
        <v>1932.3143</v>
      </c>
      <c r="H180" s="7">
        <v>1933.9532999999999</v>
      </c>
      <c r="I180" s="7">
        <v>1848.6522</v>
      </c>
      <c r="J180" s="8">
        <v>-2.0232000000000001</v>
      </c>
      <c r="K180" s="7">
        <v>1.1402000000000001</v>
      </c>
      <c r="L180" s="7">
        <v>1.3522000000000001</v>
      </c>
      <c r="M180" s="8">
        <v>21.8034</v>
      </c>
      <c r="N180" s="8">
        <v>8.4496000000000002</v>
      </c>
      <c r="O180" s="7">
        <v>17.6236</v>
      </c>
      <c r="P180" s="7">
        <v>2024.4668999999999</v>
      </c>
      <c r="Q180" s="7">
        <v>1880.6831999999999</v>
      </c>
      <c r="R180" s="7" t="str">
        <f t="shared" si="31"/>
        <v>Down</v>
      </c>
      <c r="S180" s="7" t="str">
        <f t="shared" si="32"/>
        <v>Buy</v>
      </c>
      <c r="T180" s="8">
        <f t="shared" si="33"/>
        <v>0.10618244197780013</v>
      </c>
      <c r="U180" s="18">
        <f t="shared" si="34"/>
        <v>4228761</v>
      </c>
      <c r="V180" s="7">
        <f t="shared" si="35"/>
        <v>5586.2002000000002</v>
      </c>
      <c r="W180" s="7">
        <f t="shared" si="36"/>
        <v>1615.1</v>
      </c>
      <c r="X180" s="7">
        <f t="shared" si="37"/>
        <v>1893.5</v>
      </c>
      <c r="Y180" s="7">
        <f t="shared" si="38"/>
        <v>429</v>
      </c>
      <c r="Z180" s="7">
        <f t="shared" si="39"/>
        <v>1371654</v>
      </c>
      <c r="AA180" s="7" t="str">
        <f t="shared" si="40"/>
        <v>29-Mar-2022</v>
      </c>
      <c r="AB180" s="7">
        <f t="shared" si="41"/>
        <v>1893.5</v>
      </c>
      <c r="AC180" s="7">
        <f t="shared" si="45"/>
        <v>1</v>
      </c>
      <c r="AD180" s="7">
        <f t="shared" si="42"/>
        <v>2022</v>
      </c>
      <c r="AE180" s="19">
        <f t="shared" si="43"/>
        <v>-2.02</v>
      </c>
      <c r="BA180" s="10">
        <f t="shared" si="44"/>
        <v>80.523600000000002</v>
      </c>
    </row>
    <row r="181" spans="1:53" x14ac:dyDescent="0.3">
      <c r="A181" s="17">
        <v>44650</v>
      </c>
      <c r="B181" s="8">
        <v>1933.5</v>
      </c>
      <c r="C181" s="7">
        <v>1937</v>
      </c>
      <c r="D181" s="7">
        <v>1914.5</v>
      </c>
      <c r="E181" s="7">
        <v>1918.4</v>
      </c>
      <c r="F181" s="18">
        <v>17765</v>
      </c>
      <c r="G181" s="7">
        <v>1931.3143</v>
      </c>
      <c r="H181" s="7">
        <v>1935.48</v>
      </c>
      <c r="I181" s="7">
        <v>1849.29</v>
      </c>
      <c r="J181" s="8">
        <v>1.3149999999999999</v>
      </c>
      <c r="K181" s="7">
        <v>1.2861</v>
      </c>
      <c r="L181" s="7">
        <v>1.3684000000000001</v>
      </c>
      <c r="M181" s="8">
        <v>37.205300000000001</v>
      </c>
      <c r="N181" s="8">
        <v>6.4451999999999998</v>
      </c>
      <c r="O181" s="7">
        <v>15.3879</v>
      </c>
      <c r="P181" s="7">
        <v>2024.6744000000001</v>
      </c>
      <c r="Q181" s="7">
        <v>1877.7556</v>
      </c>
      <c r="R181" s="7" t="str">
        <f t="shared" si="31"/>
        <v>Down</v>
      </c>
      <c r="S181" s="7" t="str">
        <f t="shared" si="32"/>
        <v>Hold</v>
      </c>
      <c r="T181" s="8">
        <f t="shared" si="33"/>
        <v>0.10833333333333325</v>
      </c>
      <c r="U181" s="18">
        <f t="shared" si="34"/>
        <v>4100710</v>
      </c>
      <c r="V181" s="7">
        <f t="shared" si="35"/>
        <v>5586.2002000000002</v>
      </c>
      <c r="W181" s="7">
        <f t="shared" si="36"/>
        <v>1615.1</v>
      </c>
      <c r="X181" s="7">
        <f t="shared" si="37"/>
        <v>1918.4</v>
      </c>
      <c r="Y181" s="7">
        <f t="shared" si="38"/>
        <v>429</v>
      </c>
      <c r="Z181" s="7">
        <f t="shared" si="39"/>
        <v>1371654</v>
      </c>
      <c r="AA181" s="7" t="str">
        <f t="shared" si="40"/>
        <v>30-Mar-2022</v>
      </c>
      <c r="AB181" s="7">
        <f t="shared" si="41"/>
        <v>1918.4</v>
      </c>
      <c r="AC181" s="7">
        <f t="shared" si="45"/>
        <v>1</v>
      </c>
      <c r="AD181" s="7">
        <f t="shared" si="42"/>
        <v>2022</v>
      </c>
      <c r="AE181" s="19">
        <f t="shared" si="43"/>
        <v>1.32</v>
      </c>
      <c r="BA181" s="10">
        <f t="shared" si="44"/>
        <v>80.523600000000002</v>
      </c>
    </row>
    <row r="182" spans="1:53" x14ac:dyDescent="0.3">
      <c r="A182" s="17">
        <v>44651</v>
      </c>
      <c r="B182" s="8">
        <v>1949.2</v>
      </c>
      <c r="C182" s="7">
        <v>1949.9</v>
      </c>
      <c r="D182" s="7">
        <v>1919.1</v>
      </c>
      <c r="E182" s="7">
        <v>1933.5</v>
      </c>
      <c r="F182" s="18">
        <v>3617</v>
      </c>
      <c r="G182" s="7">
        <v>1933.1429000000001</v>
      </c>
      <c r="H182" s="7">
        <v>1937.9733000000001</v>
      </c>
      <c r="I182" s="7">
        <v>1850.2045000000001</v>
      </c>
      <c r="J182" s="8">
        <v>0.78710000000000002</v>
      </c>
      <c r="K182" s="7">
        <v>1.3181</v>
      </c>
      <c r="L182" s="7">
        <v>1.3649</v>
      </c>
      <c r="M182" s="8">
        <v>39.337499999999999</v>
      </c>
      <c r="N182" s="8">
        <v>6.0058999999999996</v>
      </c>
      <c r="O182" s="7">
        <v>13.5115</v>
      </c>
      <c r="P182" s="7">
        <v>2024.6584</v>
      </c>
      <c r="Q182" s="7">
        <v>1878.0716</v>
      </c>
      <c r="R182" s="7" t="str">
        <f t="shared" si="31"/>
        <v>Down</v>
      </c>
      <c r="S182" s="7" t="str">
        <f t="shared" si="32"/>
        <v>Hold</v>
      </c>
      <c r="T182" s="8">
        <f t="shared" si="33"/>
        <v>0.10711324570272994</v>
      </c>
      <c r="U182" s="18">
        <f t="shared" si="34"/>
        <v>4082945</v>
      </c>
      <c r="V182" s="7">
        <f t="shared" si="35"/>
        <v>5586.2002000000002</v>
      </c>
      <c r="W182" s="7">
        <f t="shared" si="36"/>
        <v>1615.1</v>
      </c>
      <c r="X182" s="7">
        <f t="shared" si="37"/>
        <v>1933.5</v>
      </c>
      <c r="Y182" s="7">
        <f t="shared" si="38"/>
        <v>429</v>
      </c>
      <c r="Z182" s="7">
        <f t="shared" si="39"/>
        <v>1371654</v>
      </c>
      <c r="AA182" s="7" t="str">
        <f t="shared" si="40"/>
        <v>31-Mar-2022</v>
      </c>
      <c r="AB182" s="7">
        <f t="shared" si="41"/>
        <v>1933.5</v>
      </c>
      <c r="AC182" s="7">
        <f t="shared" si="45"/>
        <v>1</v>
      </c>
      <c r="AD182" s="7">
        <f t="shared" si="42"/>
        <v>2022</v>
      </c>
      <c r="AE182" s="19">
        <f t="shared" si="43"/>
        <v>0.79</v>
      </c>
      <c r="BA182" s="10">
        <f t="shared" si="44"/>
        <v>80.523600000000002</v>
      </c>
    </row>
    <row r="183" spans="1:53" x14ac:dyDescent="0.3">
      <c r="A183" s="17">
        <v>44652</v>
      </c>
      <c r="B183" s="8">
        <v>1919.1</v>
      </c>
      <c r="C183" s="7">
        <v>1938</v>
      </c>
      <c r="D183" s="7">
        <v>1917</v>
      </c>
      <c r="E183" s="7">
        <v>1935</v>
      </c>
      <c r="F183" s="18">
        <v>1016</v>
      </c>
      <c r="G183" s="7">
        <v>1932.9142999999999</v>
      </c>
      <c r="H183" s="7">
        <v>1939.93</v>
      </c>
      <c r="I183" s="7">
        <v>1851.2421999999999</v>
      </c>
      <c r="J183" s="8">
        <v>7.7600000000000002E-2</v>
      </c>
      <c r="K183" s="7">
        <v>1.2791999999999999</v>
      </c>
      <c r="L183" s="7">
        <v>1.3564000000000001</v>
      </c>
      <c r="M183" s="8">
        <v>41.151400000000002</v>
      </c>
      <c r="N183" s="8">
        <v>5.7129000000000003</v>
      </c>
      <c r="O183" s="7">
        <v>11.9518</v>
      </c>
      <c r="P183" s="7">
        <v>2024.6463000000001</v>
      </c>
      <c r="Q183" s="7">
        <v>1877.8837000000001</v>
      </c>
      <c r="R183" s="7" t="str">
        <f t="shared" si="31"/>
        <v>Up</v>
      </c>
      <c r="S183" s="7" t="str">
        <f t="shared" si="32"/>
        <v>Hold</v>
      </c>
      <c r="T183" s="8">
        <f t="shared" si="33"/>
        <v>0.10642499999999994</v>
      </c>
      <c r="U183" s="18">
        <f t="shared" si="34"/>
        <v>4079328</v>
      </c>
      <c r="V183" s="7">
        <f t="shared" si="35"/>
        <v>5586.2002000000002</v>
      </c>
      <c r="W183" s="7">
        <f t="shared" si="36"/>
        <v>1615.1</v>
      </c>
      <c r="X183" s="7">
        <f t="shared" si="37"/>
        <v>1935</v>
      </c>
      <c r="Y183" s="7">
        <f t="shared" si="38"/>
        <v>429</v>
      </c>
      <c r="Z183" s="7">
        <f t="shared" si="39"/>
        <v>1371654</v>
      </c>
      <c r="AA183" s="7" t="str">
        <f t="shared" si="40"/>
        <v>01-Apr-2022</v>
      </c>
      <c r="AB183" s="7">
        <f t="shared" si="41"/>
        <v>1935</v>
      </c>
      <c r="AC183" s="7">
        <f t="shared" si="45"/>
        <v>1</v>
      </c>
      <c r="AD183" s="7">
        <f t="shared" si="42"/>
        <v>2022</v>
      </c>
      <c r="AE183" s="19">
        <f t="shared" si="43"/>
        <v>0.08</v>
      </c>
      <c r="BA183" s="10">
        <f t="shared" si="44"/>
        <v>80.523600000000002</v>
      </c>
    </row>
    <row r="184" spans="1:53" x14ac:dyDescent="0.3">
      <c r="A184" s="17">
        <v>44655</v>
      </c>
      <c r="B184" s="8">
        <v>1929.2</v>
      </c>
      <c r="C184" s="7">
        <v>1936.1</v>
      </c>
      <c r="D184" s="7">
        <v>1915.6</v>
      </c>
      <c r="E184" s="7">
        <v>1921.2</v>
      </c>
      <c r="F184" s="18">
        <v>371</v>
      </c>
      <c r="G184" s="7">
        <v>1926.8570999999999</v>
      </c>
      <c r="H184" s="7">
        <v>1940.6567</v>
      </c>
      <c r="I184" s="7">
        <v>1852.6388999999999</v>
      </c>
      <c r="J184" s="8">
        <v>-0.71319999999999995</v>
      </c>
      <c r="K184" s="7">
        <v>1.1349</v>
      </c>
      <c r="L184" s="7">
        <v>1.3473999999999999</v>
      </c>
      <c r="M184" s="8">
        <v>45.604900000000001</v>
      </c>
      <c r="N184" s="8">
        <v>4.3174000000000001</v>
      </c>
      <c r="O184" s="7">
        <v>10.424899999999999</v>
      </c>
      <c r="P184" s="7">
        <v>2020.1727000000001</v>
      </c>
      <c r="Q184" s="7">
        <v>1875.5772999999999</v>
      </c>
      <c r="R184" s="7" t="str">
        <f t="shared" si="31"/>
        <v>Down</v>
      </c>
      <c r="S184" s="7" t="str">
        <f t="shared" si="32"/>
        <v>Hold</v>
      </c>
      <c r="T184" s="8">
        <f t="shared" si="33"/>
        <v>0.10645420466058758</v>
      </c>
      <c r="U184" s="18">
        <f t="shared" si="34"/>
        <v>4078312</v>
      </c>
      <c r="V184" s="7">
        <f t="shared" si="35"/>
        <v>5586.2002000000002</v>
      </c>
      <c r="W184" s="7">
        <f t="shared" si="36"/>
        <v>1615.1</v>
      </c>
      <c r="X184" s="7">
        <f t="shared" si="37"/>
        <v>1921.2</v>
      </c>
      <c r="Y184" s="7">
        <f t="shared" si="38"/>
        <v>428</v>
      </c>
      <c r="Z184" s="7">
        <f t="shared" si="39"/>
        <v>1370638</v>
      </c>
      <c r="AA184" s="7" t="str">
        <f t="shared" si="40"/>
        <v>04-Apr-2022</v>
      </c>
      <c r="AB184" s="7">
        <f t="shared" si="41"/>
        <v>1921.2</v>
      </c>
      <c r="AC184" s="7">
        <f t="shared" si="45"/>
        <v>1</v>
      </c>
      <c r="AD184" s="7">
        <f t="shared" si="42"/>
        <v>2022</v>
      </c>
      <c r="AE184" s="19">
        <f t="shared" si="43"/>
        <v>-0.71</v>
      </c>
      <c r="BA184" s="10">
        <f t="shared" si="44"/>
        <v>80.523600000000002</v>
      </c>
    </row>
    <row r="185" spans="1:53" x14ac:dyDescent="0.3">
      <c r="A185" s="17">
        <v>44656</v>
      </c>
      <c r="B185" s="8">
        <v>1922.9</v>
      </c>
      <c r="C185" s="7">
        <v>1943.5</v>
      </c>
      <c r="D185" s="7">
        <v>1918.4</v>
      </c>
      <c r="E185" s="7">
        <v>1927.1</v>
      </c>
      <c r="F185" s="18">
        <v>412</v>
      </c>
      <c r="G185" s="7">
        <v>1923.0427999999999</v>
      </c>
      <c r="H185" s="7">
        <v>1941.29</v>
      </c>
      <c r="I185" s="7">
        <v>1854.1288999999999</v>
      </c>
      <c r="J185" s="8">
        <v>0.30709999999999998</v>
      </c>
      <c r="K185" s="7">
        <v>1.1528</v>
      </c>
      <c r="L185" s="7">
        <v>1.3461000000000001</v>
      </c>
      <c r="M185" s="8">
        <v>51.174399999999999</v>
      </c>
      <c r="N185" s="8">
        <v>3.6455000000000002</v>
      </c>
      <c r="O185" s="7">
        <v>9.0690000000000008</v>
      </c>
      <c r="P185" s="7">
        <v>2012.8448000000001</v>
      </c>
      <c r="Q185" s="7">
        <v>1875.6751999999999</v>
      </c>
      <c r="R185" s="7" t="str">
        <f t="shared" si="31"/>
        <v>Up</v>
      </c>
      <c r="S185" s="7" t="str">
        <f t="shared" si="32"/>
        <v>Hold</v>
      </c>
      <c r="T185" s="8">
        <f t="shared" si="33"/>
        <v>0.10728549695740357</v>
      </c>
      <c r="U185" s="18">
        <f t="shared" si="34"/>
        <v>4077941</v>
      </c>
      <c r="V185" s="7">
        <f t="shared" si="35"/>
        <v>5586.2002000000002</v>
      </c>
      <c r="W185" s="7">
        <f t="shared" si="36"/>
        <v>1615.1</v>
      </c>
      <c r="X185" s="7">
        <f t="shared" si="37"/>
        <v>1927.1</v>
      </c>
      <c r="Y185" s="7">
        <f t="shared" si="38"/>
        <v>428</v>
      </c>
      <c r="Z185" s="7">
        <f t="shared" si="39"/>
        <v>1370638</v>
      </c>
      <c r="AA185" s="7" t="str">
        <f t="shared" si="40"/>
        <v>05-Apr-2022</v>
      </c>
      <c r="AB185" s="7">
        <f t="shared" si="41"/>
        <v>1927.1</v>
      </c>
      <c r="AC185" s="7">
        <f t="shared" si="45"/>
        <v>1</v>
      </c>
      <c r="AD185" s="7">
        <f t="shared" si="42"/>
        <v>2022</v>
      </c>
      <c r="AE185" s="19">
        <f t="shared" si="43"/>
        <v>0.31</v>
      </c>
      <c r="BA185" s="10">
        <f t="shared" si="44"/>
        <v>80.523600000000002</v>
      </c>
    </row>
    <row r="186" spans="1:53" x14ac:dyDescent="0.3">
      <c r="A186" s="17">
        <v>44657</v>
      </c>
      <c r="B186" s="8">
        <v>1918.4</v>
      </c>
      <c r="C186" s="7">
        <v>1931.8</v>
      </c>
      <c r="D186" s="7">
        <v>1916.7</v>
      </c>
      <c r="E186" s="7">
        <v>1916.7</v>
      </c>
      <c r="F186" s="18">
        <v>138</v>
      </c>
      <c r="G186" s="7">
        <v>1920.7714000000001</v>
      </c>
      <c r="H186" s="7">
        <v>1941.96</v>
      </c>
      <c r="I186" s="7">
        <v>1855.5245</v>
      </c>
      <c r="J186" s="8">
        <v>-0.53969999999999996</v>
      </c>
      <c r="K186" s="7">
        <v>1.0994999999999999</v>
      </c>
      <c r="L186" s="7">
        <v>1.3451</v>
      </c>
      <c r="M186" s="8">
        <v>45.678400000000003</v>
      </c>
      <c r="N186" s="8">
        <v>2.2479</v>
      </c>
      <c r="O186" s="7">
        <v>7.7047999999999996</v>
      </c>
      <c r="P186" s="7">
        <v>1983.7789</v>
      </c>
      <c r="Q186" s="7">
        <v>1891.0510999999999</v>
      </c>
      <c r="R186" s="7" t="str">
        <f t="shared" si="31"/>
        <v>Down</v>
      </c>
      <c r="S186" s="7" t="str">
        <f t="shared" si="32"/>
        <v>Hold</v>
      </c>
      <c r="T186" s="8">
        <f t="shared" si="33"/>
        <v>0.10708263959390855</v>
      </c>
      <c r="U186" s="18">
        <f t="shared" si="34"/>
        <v>4077529</v>
      </c>
      <c r="V186" s="7">
        <f t="shared" si="35"/>
        <v>5586.2002000000002</v>
      </c>
      <c r="W186" s="7">
        <f t="shared" si="36"/>
        <v>1615.1</v>
      </c>
      <c r="X186" s="7">
        <f t="shared" si="37"/>
        <v>1916.7</v>
      </c>
      <c r="Y186" s="7">
        <f t="shared" si="38"/>
        <v>427</v>
      </c>
      <c r="Z186" s="7">
        <f t="shared" si="39"/>
        <v>1370226</v>
      </c>
      <c r="AA186" s="7" t="str">
        <f t="shared" si="40"/>
        <v>06-Apr-2022</v>
      </c>
      <c r="AB186" s="7">
        <f t="shared" si="41"/>
        <v>1916.7</v>
      </c>
      <c r="AC186" s="7">
        <f t="shared" si="45"/>
        <v>1</v>
      </c>
      <c r="AD186" s="7">
        <f t="shared" si="42"/>
        <v>2022</v>
      </c>
      <c r="AE186" s="19">
        <f t="shared" si="43"/>
        <v>-0.54</v>
      </c>
      <c r="BA186" s="10">
        <f t="shared" si="44"/>
        <v>80.523600000000002</v>
      </c>
    </row>
    <row r="187" spans="1:53" x14ac:dyDescent="0.3">
      <c r="A187" s="17">
        <v>44658</v>
      </c>
      <c r="B187" s="8">
        <v>1933.8</v>
      </c>
      <c r="C187" s="7">
        <v>1934.8</v>
      </c>
      <c r="D187" s="7">
        <v>1919.5</v>
      </c>
      <c r="E187" s="7">
        <v>1919.5</v>
      </c>
      <c r="F187" s="18">
        <v>311</v>
      </c>
      <c r="G187" s="7">
        <v>1924.4857</v>
      </c>
      <c r="H187" s="7">
        <v>1942.2132999999999</v>
      </c>
      <c r="I187" s="7">
        <v>1856.9445000000001</v>
      </c>
      <c r="J187" s="8">
        <v>0.14610000000000001</v>
      </c>
      <c r="K187" s="7">
        <v>0.70689999999999997</v>
      </c>
      <c r="L187" s="7">
        <v>1.3375999999999999</v>
      </c>
      <c r="M187" s="8">
        <v>46.272399999999998</v>
      </c>
      <c r="N187" s="8">
        <v>1.3506</v>
      </c>
      <c r="O187" s="7">
        <v>6.4340000000000002</v>
      </c>
      <c r="P187" s="7">
        <v>1977.2933</v>
      </c>
      <c r="Q187" s="7">
        <v>1891.6767</v>
      </c>
      <c r="R187" s="7" t="str">
        <f t="shared" si="31"/>
        <v>Down</v>
      </c>
      <c r="S187" s="7" t="str">
        <f t="shared" si="32"/>
        <v>Hold</v>
      </c>
      <c r="T187" s="8">
        <f t="shared" si="33"/>
        <v>0.10773993902439018</v>
      </c>
      <c r="U187" s="18">
        <f t="shared" si="34"/>
        <v>4077391</v>
      </c>
      <c r="V187" s="7">
        <f t="shared" si="35"/>
        <v>5586.2002000000002</v>
      </c>
      <c r="W187" s="7">
        <f t="shared" si="36"/>
        <v>1615.1</v>
      </c>
      <c r="X187" s="7">
        <f t="shared" si="37"/>
        <v>1919.5</v>
      </c>
      <c r="Y187" s="7">
        <f t="shared" si="38"/>
        <v>427</v>
      </c>
      <c r="Z187" s="7">
        <f t="shared" si="39"/>
        <v>1370226</v>
      </c>
      <c r="AA187" s="7" t="str">
        <f t="shared" si="40"/>
        <v>07-Apr-2022</v>
      </c>
      <c r="AB187" s="7">
        <f t="shared" si="41"/>
        <v>1919.5</v>
      </c>
      <c r="AC187" s="7">
        <f t="shared" si="45"/>
        <v>1</v>
      </c>
      <c r="AD187" s="7">
        <f t="shared" si="42"/>
        <v>2022</v>
      </c>
      <c r="AE187" s="19">
        <f t="shared" si="43"/>
        <v>0.15</v>
      </c>
      <c r="BA187" s="10">
        <f t="shared" si="44"/>
        <v>80.523600000000002</v>
      </c>
    </row>
    <row r="188" spans="1:53" x14ac:dyDescent="0.3">
      <c r="A188" s="17">
        <v>44659</v>
      </c>
      <c r="B188" s="8">
        <v>1941.6</v>
      </c>
      <c r="C188" s="7">
        <v>1947.7</v>
      </c>
      <c r="D188" s="7">
        <v>1928.8</v>
      </c>
      <c r="E188" s="7">
        <v>1928.8</v>
      </c>
      <c r="F188" s="18">
        <v>153</v>
      </c>
      <c r="G188" s="7">
        <v>1925.9713999999999</v>
      </c>
      <c r="H188" s="7">
        <v>1942.9432999999999</v>
      </c>
      <c r="I188" s="7">
        <v>1858.5545</v>
      </c>
      <c r="J188" s="8">
        <v>0.48449999999999999</v>
      </c>
      <c r="K188" s="7">
        <v>0.53739999999999999</v>
      </c>
      <c r="L188" s="7">
        <v>1.3391</v>
      </c>
      <c r="M188" s="8">
        <v>50.844099999999997</v>
      </c>
      <c r="N188" s="8">
        <v>1.3742000000000001</v>
      </c>
      <c r="O188" s="7">
        <v>5.4219999999999997</v>
      </c>
      <c r="P188" s="7">
        <v>1967.2965999999999</v>
      </c>
      <c r="Q188" s="7">
        <v>1896.0534</v>
      </c>
      <c r="R188" s="7" t="str">
        <f t="shared" si="31"/>
        <v>Down</v>
      </c>
      <c r="S188" s="7" t="str">
        <f t="shared" si="32"/>
        <v>Hold</v>
      </c>
      <c r="T188" s="8">
        <f t="shared" si="33"/>
        <v>0.10770091556459808</v>
      </c>
      <c r="U188" s="18">
        <f t="shared" si="34"/>
        <v>4077080</v>
      </c>
      <c r="V188" s="7">
        <f t="shared" si="35"/>
        <v>5586.2002000000002</v>
      </c>
      <c r="W188" s="7">
        <f t="shared" si="36"/>
        <v>1615.1</v>
      </c>
      <c r="X188" s="7">
        <f t="shared" si="37"/>
        <v>1928.8</v>
      </c>
      <c r="Y188" s="7">
        <f t="shared" si="38"/>
        <v>427</v>
      </c>
      <c r="Z188" s="7">
        <f t="shared" si="39"/>
        <v>1370226</v>
      </c>
      <c r="AA188" s="7" t="str">
        <f t="shared" si="40"/>
        <v>08-Apr-2022</v>
      </c>
      <c r="AB188" s="7">
        <f t="shared" si="41"/>
        <v>1928.8</v>
      </c>
      <c r="AC188" s="7">
        <f t="shared" si="45"/>
        <v>1</v>
      </c>
      <c r="AD188" s="7">
        <f t="shared" si="42"/>
        <v>2022</v>
      </c>
      <c r="AE188" s="19">
        <f t="shared" si="43"/>
        <v>0.48</v>
      </c>
      <c r="BA188" s="10">
        <f t="shared" si="44"/>
        <v>80.523600000000002</v>
      </c>
    </row>
    <row r="189" spans="1:53" x14ac:dyDescent="0.3">
      <c r="A189" s="17">
        <v>44662</v>
      </c>
      <c r="B189" s="8">
        <v>1944.3</v>
      </c>
      <c r="C189" s="7">
        <v>1968.4</v>
      </c>
      <c r="D189" s="7">
        <v>1941.8</v>
      </c>
      <c r="E189" s="7">
        <v>1946.6</v>
      </c>
      <c r="F189" s="18">
        <v>163</v>
      </c>
      <c r="G189" s="7">
        <v>1927.8427999999999</v>
      </c>
      <c r="H189" s="7">
        <v>1943.5533</v>
      </c>
      <c r="I189" s="7">
        <v>1860.4632999999999</v>
      </c>
      <c r="J189" s="8">
        <v>0.92279999999999995</v>
      </c>
      <c r="K189" s="7">
        <v>0.56869999999999998</v>
      </c>
      <c r="L189" s="7">
        <v>1.3341000000000001</v>
      </c>
      <c r="M189" s="8">
        <v>56.037300000000002</v>
      </c>
      <c r="N189" s="8">
        <v>2.7968999999999999</v>
      </c>
      <c r="O189" s="7">
        <v>4.8970000000000002</v>
      </c>
      <c r="P189" s="7">
        <v>1959.9015999999999</v>
      </c>
      <c r="Q189" s="7">
        <v>1900.4584</v>
      </c>
      <c r="R189" s="7" t="str">
        <f t="shared" si="31"/>
        <v>Up</v>
      </c>
      <c r="S189" s="7" t="str">
        <f t="shared" si="32"/>
        <v>Hold</v>
      </c>
      <c r="T189" s="8">
        <f t="shared" si="33"/>
        <v>0.10731720977596733</v>
      </c>
      <c r="U189" s="18">
        <f t="shared" si="34"/>
        <v>4076927</v>
      </c>
      <c r="V189" s="7">
        <f t="shared" si="35"/>
        <v>5586.2002000000002</v>
      </c>
      <c r="W189" s="7">
        <f t="shared" si="36"/>
        <v>1615.1</v>
      </c>
      <c r="X189" s="7">
        <f t="shared" si="37"/>
        <v>1946.6</v>
      </c>
      <c r="Y189" s="7">
        <f t="shared" si="38"/>
        <v>427</v>
      </c>
      <c r="Z189" s="7">
        <f t="shared" si="39"/>
        <v>1370226</v>
      </c>
      <c r="AA189" s="7" t="str">
        <f t="shared" si="40"/>
        <v>11-Apr-2022</v>
      </c>
      <c r="AB189" s="7">
        <f t="shared" si="41"/>
        <v>1946.6</v>
      </c>
      <c r="AC189" s="7">
        <f t="shared" si="45"/>
        <v>1</v>
      </c>
      <c r="AD189" s="7">
        <f t="shared" si="42"/>
        <v>2022</v>
      </c>
      <c r="AE189" s="19">
        <f t="shared" si="43"/>
        <v>0.92</v>
      </c>
      <c r="BA189" s="10">
        <f t="shared" si="44"/>
        <v>80.523600000000002</v>
      </c>
    </row>
    <row r="190" spans="1:53" x14ac:dyDescent="0.3">
      <c r="A190" s="17">
        <v>44663</v>
      </c>
      <c r="B190" s="8">
        <v>1972.1</v>
      </c>
      <c r="C190" s="7">
        <v>1977.1</v>
      </c>
      <c r="D190" s="7">
        <v>1950.6</v>
      </c>
      <c r="E190" s="7">
        <v>1952.5</v>
      </c>
      <c r="F190" s="18">
        <v>246</v>
      </c>
      <c r="G190" s="7">
        <v>1930.3427999999999</v>
      </c>
      <c r="H190" s="7">
        <v>1945.0266999999999</v>
      </c>
      <c r="I190" s="7">
        <v>1862.37</v>
      </c>
      <c r="J190" s="8">
        <v>0.30309999999999998</v>
      </c>
      <c r="K190" s="7">
        <v>0.57379999999999998</v>
      </c>
      <c r="L190" s="7">
        <v>1.3190999999999999</v>
      </c>
      <c r="M190" s="8">
        <v>53.887500000000003</v>
      </c>
      <c r="N190" s="8">
        <v>4.3503999999999996</v>
      </c>
      <c r="O190" s="7">
        <v>4.7877000000000001</v>
      </c>
      <c r="P190" s="7">
        <v>1961.9128000000001</v>
      </c>
      <c r="Q190" s="7">
        <v>1899.7172</v>
      </c>
      <c r="R190" s="7" t="str">
        <f t="shared" si="31"/>
        <v>Down</v>
      </c>
      <c r="S190" s="7" t="str">
        <f t="shared" si="32"/>
        <v>Hold</v>
      </c>
      <c r="T190" s="8">
        <f t="shared" si="33"/>
        <v>0.10648593272171246</v>
      </c>
      <c r="U190" s="18">
        <f t="shared" si="34"/>
        <v>4076764</v>
      </c>
      <c r="V190" s="7">
        <f t="shared" si="35"/>
        <v>5586.2002000000002</v>
      </c>
      <c r="W190" s="7">
        <f t="shared" si="36"/>
        <v>1615.1</v>
      </c>
      <c r="X190" s="7">
        <f t="shared" si="37"/>
        <v>1952.5</v>
      </c>
      <c r="Y190" s="7">
        <f t="shared" si="38"/>
        <v>426</v>
      </c>
      <c r="Z190" s="7">
        <f t="shared" si="39"/>
        <v>1370063</v>
      </c>
      <c r="AA190" s="7" t="str">
        <f t="shared" si="40"/>
        <v>12-Apr-2022</v>
      </c>
      <c r="AB190" s="7">
        <f t="shared" si="41"/>
        <v>1952.5</v>
      </c>
      <c r="AC190" s="7">
        <f t="shared" si="45"/>
        <v>1</v>
      </c>
      <c r="AD190" s="7">
        <f t="shared" si="42"/>
        <v>2022</v>
      </c>
      <c r="AE190" s="19">
        <f t="shared" si="43"/>
        <v>0.3</v>
      </c>
      <c r="BA190" s="10">
        <f t="shared" si="44"/>
        <v>80.523600000000002</v>
      </c>
    </row>
    <row r="191" spans="1:53" x14ac:dyDescent="0.3">
      <c r="A191" s="17">
        <v>44664</v>
      </c>
      <c r="B191" s="8">
        <v>1981</v>
      </c>
      <c r="C191" s="7">
        <v>1981</v>
      </c>
      <c r="D191" s="7">
        <v>1969.5</v>
      </c>
      <c r="E191" s="7">
        <v>1969.5</v>
      </c>
      <c r="F191" s="18">
        <v>204</v>
      </c>
      <c r="G191" s="7">
        <v>1937.2429</v>
      </c>
      <c r="H191" s="7">
        <v>1945.8233</v>
      </c>
      <c r="I191" s="7">
        <v>1864.6144999999999</v>
      </c>
      <c r="J191" s="8">
        <v>0.87070000000000003</v>
      </c>
      <c r="K191" s="7">
        <v>0.49230000000000002</v>
      </c>
      <c r="L191" s="7">
        <v>1.2804</v>
      </c>
      <c r="M191" s="8">
        <v>51.5167</v>
      </c>
      <c r="N191" s="8">
        <v>6.8739999999999997</v>
      </c>
      <c r="O191" s="7">
        <v>5.2049000000000003</v>
      </c>
      <c r="P191" s="7">
        <v>1968.4386</v>
      </c>
      <c r="Q191" s="7">
        <v>1897.9014</v>
      </c>
      <c r="R191" s="7" t="str">
        <f t="shared" si="31"/>
        <v>Down</v>
      </c>
      <c r="S191" s="7" t="str">
        <f t="shared" si="32"/>
        <v>Hold</v>
      </c>
      <c r="T191" s="8">
        <f t="shared" si="33"/>
        <v>0.10628530612244891</v>
      </c>
      <c r="U191" s="18">
        <f t="shared" si="34"/>
        <v>4076518</v>
      </c>
      <c r="V191" s="7">
        <f t="shared" si="35"/>
        <v>5586.2002000000002</v>
      </c>
      <c r="W191" s="7">
        <f t="shared" si="36"/>
        <v>1615.1</v>
      </c>
      <c r="X191" s="7">
        <f t="shared" si="37"/>
        <v>1969.5</v>
      </c>
      <c r="Y191" s="7">
        <f t="shared" si="38"/>
        <v>426</v>
      </c>
      <c r="Z191" s="7">
        <f t="shared" si="39"/>
        <v>1370063</v>
      </c>
      <c r="AA191" s="7" t="str">
        <f t="shared" si="40"/>
        <v>13-Apr-2022</v>
      </c>
      <c r="AB191" s="7">
        <f t="shared" si="41"/>
        <v>1969.5</v>
      </c>
      <c r="AC191" s="7">
        <f t="shared" si="45"/>
        <v>1</v>
      </c>
      <c r="AD191" s="7">
        <f t="shared" si="42"/>
        <v>2022</v>
      </c>
      <c r="AE191" s="19">
        <f t="shared" si="43"/>
        <v>0.87</v>
      </c>
      <c r="BA191" s="10">
        <f t="shared" si="44"/>
        <v>80.523600000000002</v>
      </c>
    </row>
    <row r="192" spans="1:53" x14ac:dyDescent="0.3">
      <c r="A192" s="17">
        <v>44665</v>
      </c>
      <c r="B192" s="8">
        <v>1970.9</v>
      </c>
      <c r="C192" s="7">
        <v>1978.7</v>
      </c>
      <c r="D192" s="7">
        <v>1963</v>
      </c>
      <c r="E192" s="7">
        <v>1977.2</v>
      </c>
      <c r="F192" s="18">
        <v>101</v>
      </c>
      <c r="G192" s="7">
        <v>1944.4</v>
      </c>
      <c r="H192" s="7">
        <v>1947.38</v>
      </c>
      <c r="I192" s="7">
        <v>1866.8033</v>
      </c>
      <c r="J192" s="8">
        <v>0.39100000000000001</v>
      </c>
      <c r="K192" s="7">
        <v>0.4919</v>
      </c>
      <c r="L192" s="7">
        <v>1.2722</v>
      </c>
      <c r="M192" s="8">
        <v>56.081099999999999</v>
      </c>
      <c r="N192" s="8">
        <v>9.3871000000000002</v>
      </c>
      <c r="O192" s="7">
        <v>6.0414000000000003</v>
      </c>
      <c r="P192" s="7">
        <v>1975.7349999999999</v>
      </c>
      <c r="Q192" s="7">
        <v>1894.9349999999999</v>
      </c>
      <c r="R192" s="7" t="str">
        <f t="shared" si="31"/>
        <v>Up</v>
      </c>
      <c r="S192" s="7" t="str">
        <f t="shared" si="32"/>
        <v>Hold</v>
      </c>
      <c r="T192" s="8">
        <f t="shared" si="33"/>
        <v>0.10550449438202236</v>
      </c>
      <c r="U192" s="18">
        <f t="shared" si="34"/>
        <v>4076314</v>
      </c>
      <c r="V192" s="7">
        <f t="shared" si="35"/>
        <v>5586.2002000000002</v>
      </c>
      <c r="W192" s="7">
        <f t="shared" si="36"/>
        <v>1615.1</v>
      </c>
      <c r="X192" s="7">
        <f t="shared" si="37"/>
        <v>1977.2</v>
      </c>
      <c r="Y192" s="7">
        <f t="shared" si="38"/>
        <v>426</v>
      </c>
      <c r="Z192" s="7">
        <f t="shared" si="39"/>
        <v>1370063</v>
      </c>
      <c r="AA192" s="7" t="str">
        <f t="shared" si="40"/>
        <v>14-Apr-2022</v>
      </c>
      <c r="AB192" s="7">
        <f t="shared" si="41"/>
        <v>1977.2</v>
      </c>
      <c r="AC192" s="7">
        <f t="shared" si="45"/>
        <v>1</v>
      </c>
      <c r="AD192" s="7">
        <f t="shared" si="42"/>
        <v>2022</v>
      </c>
      <c r="AE192" s="19">
        <f t="shared" si="43"/>
        <v>0.39</v>
      </c>
      <c r="BA192" s="10">
        <f t="shared" si="44"/>
        <v>80.523600000000002</v>
      </c>
    </row>
    <row r="193" spans="1:53" x14ac:dyDescent="0.3">
      <c r="A193" s="17">
        <v>44669</v>
      </c>
      <c r="B193" s="8">
        <v>1982.9</v>
      </c>
      <c r="C193" s="7">
        <v>1997.1</v>
      </c>
      <c r="D193" s="7">
        <v>1972.8</v>
      </c>
      <c r="E193" s="7">
        <v>1973.4</v>
      </c>
      <c r="F193" s="18">
        <v>196</v>
      </c>
      <c r="G193" s="7">
        <v>1952.5</v>
      </c>
      <c r="H193" s="7">
        <v>1948.5933</v>
      </c>
      <c r="I193" s="7">
        <v>1868.9577999999999</v>
      </c>
      <c r="J193" s="8">
        <v>-0.19220000000000001</v>
      </c>
      <c r="K193" s="7">
        <v>0.39250000000000002</v>
      </c>
      <c r="L193" s="7">
        <v>1.2723</v>
      </c>
      <c r="M193" s="8">
        <v>61.657200000000003</v>
      </c>
      <c r="N193" s="8">
        <v>10.946</v>
      </c>
      <c r="O193" s="7">
        <v>7.0223000000000004</v>
      </c>
      <c r="P193" s="7">
        <v>1981.1107</v>
      </c>
      <c r="Q193" s="7">
        <v>1893.4493</v>
      </c>
      <c r="R193" s="7" t="str">
        <f t="shared" si="31"/>
        <v>Down</v>
      </c>
      <c r="S193" s="7" t="str">
        <f t="shared" si="32"/>
        <v>Hold</v>
      </c>
      <c r="T193" s="8">
        <f t="shared" si="33"/>
        <v>0.10521257668711644</v>
      </c>
      <c r="U193" s="18">
        <f t="shared" si="34"/>
        <v>4076213</v>
      </c>
      <c r="V193" s="7">
        <f t="shared" si="35"/>
        <v>5586.2002000000002</v>
      </c>
      <c r="W193" s="7">
        <f t="shared" si="36"/>
        <v>1615.1</v>
      </c>
      <c r="X193" s="7">
        <f t="shared" si="37"/>
        <v>1973.4</v>
      </c>
      <c r="Y193" s="7">
        <f t="shared" si="38"/>
        <v>425</v>
      </c>
      <c r="Z193" s="7">
        <f t="shared" si="39"/>
        <v>1369962</v>
      </c>
      <c r="AA193" s="7" t="str">
        <f t="shared" si="40"/>
        <v>18-Apr-2022</v>
      </c>
      <c r="AB193" s="7">
        <f t="shared" si="41"/>
        <v>1973.4</v>
      </c>
      <c r="AC193" s="7">
        <f t="shared" si="45"/>
        <v>1</v>
      </c>
      <c r="AD193" s="7">
        <f t="shared" si="42"/>
        <v>2022</v>
      </c>
      <c r="AE193" s="19">
        <f t="shared" si="43"/>
        <v>-0.19</v>
      </c>
      <c r="BA193" s="10">
        <f t="shared" si="44"/>
        <v>80.523600000000002</v>
      </c>
    </row>
    <row r="194" spans="1:53" x14ac:dyDescent="0.3">
      <c r="A194" s="17">
        <v>44670</v>
      </c>
      <c r="B194" s="8">
        <v>1955.7</v>
      </c>
      <c r="C194" s="7">
        <v>1978.3</v>
      </c>
      <c r="D194" s="7">
        <v>1945.7</v>
      </c>
      <c r="E194" s="7">
        <v>1973.8</v>
      </c>
      <c r="F194" s="18">
        <v>130</v>
      </c>
      <c r="G194" s="7">
        <v>1960.2571</v>
      </c>
      <c r="H194" s="7">
        <v>1948.0867000000001</v>
      </c>
      <c r="I194" s="7">
        <v>1871.0011</v>
      </c>
      <c r="J194" s="8">
        <v>2.0299999999999999E-2</v>
      </c>
      <c r="K194" s="7">
        <v>0.40960000000000002</v>
      </c>
      <c r="L194" s="7">
        <v>1.1725000000000001</v>
      </c>
      <c r="M194" s="8">
        <v>79.457099999999997</v>
      </c>
      <c r="N194" s="8">
        <v>12.0745</v>
      </c>
      <c r="O194" s="7">
        <v>8.0327000000000002</v>
      </c>
      <c r="P194" s="7">
        <v>1986.0415</v>
      </c>
      <c r="Q194" s="7">
        <v>1893.3585</v>
      </c>
      <c r="R194" s="7" t="str">
        <f t="shared" si="31"/>
        <v>Up</v>
      </c>
      <c r="S194" s="7" t="str">
        <f t="shared" si="32"/>
        <v>Sell</v>
      </c>
      <c r="T194" s="8">
        <f t="shared" si="33"/>
        <v>0.1055169907881268</v>
      </c>
      <c r="U194" s="18">
        <f t="shared" si="34"/>
        <v>4076017</v>
      </c>
      <c r="V194" s="7">
        <f t="shared" si="35"/>
        <v>5586.2002000000002</v>
      </c>
      <c r="W194" s="7">
        <f t="shared" si="36"/>
        <v>1615.1</v>
      </c>
      <c r="X194" s="7">
        <f t="shared" si="37"/>
        <v>1973.8</v>
      </c>
      <c r="Y194" s="7">
        <f t="shared" si="38"/>
        <v>425</v>
      </c>
      <c r="Z194" s="7">
        <f t="shared" si="39"/>
        <v>1369962</v>
      </c>
      <c r="AA194" s="7" t="str">
        <f t="shared" si="40"/>
        <v>19-Apr-2022</v>
      </c>
      <c r="AB194" s="7">
        <f t="shared" si="41"/>
        <v>1973.8</v>
      </c>
      <c r="AC194" s="7">
        <f t="shared" si="45"/>
        <v>1</v>
      </c>
      <c r="AD194" s="7">
        <f t="shared" si="42"/>
        <v>2022</v>
      </c>
      <c r="AE194" s="19">
        <f t="shared" si="43"/>
        <v>0.02</v>
      </c>
      <c r="BA194" s="10">
        <f t="shared" si="44"/>
        <v>80.523600000000002</v>
      </c>
    </row>
    <row r="195" spans="1:53" x14ac:dyDescent="0.3">
      <c r="A195" s="17">
        <v>44671</v>
      </c>
      <c r="B195" s="8">
        <v>1952.3</v>
      </c>
      <c r="C195" s="7">
        <v>1953.6</v>
      </c>
      <c r="D195" s="7">
        <v>1945.5</v>
      </c>
      <c r="E195" s="7">
        <v>1945.5</v>
      </c>
      <c r="F195" s="18">
        <v>621</v>
      </c>
      <c r="G195" s="7">
        <v>1962.6429000000001</v>
      </c>
      <c r="H195" s="7">
        <v>1946.29</v>
      </c>
      <c r="I195" s="7">
        <v>1872.8010999999999</v>
      </c>
      <c r="J195" s="8">
        <v>-1.4338</v>
      </c>
      <c r="K195" s="7">
        <v>0.79959999999999998</v>
      </c>
      <c r="L195" s="7">
        <v>1.1956</v>
      </c>
      <c r="M195" s="8">
        <v>59.699300000000001</v>
      </c>
      <c r="N195" s="8">
        <v>10.563499999999999</v>
      </c>
      <c r="O195" s="7">
        <v>8.5388999999999999</v>
      </c>
      <c r="P195" s="7">
        <v>1986.4608000000001</v>
      </c>
      <c r="Q195" s="7">
        <v>1895.4192</v>
      </c>
      <c r="R195" s="7" t="str">
        <f t="shared" ref="R195:R258" si="46">IF(E195&gt;B195,"Up","Down")</f>
        <v>Down</v>
      </c>
      <c r="S195" s="7" t="str">
        <f t="shared" ref="S195:S258" si="47">IF(M195&gt;70,"Sell",IF(M195&lt;30,"Buy","Hold"))</f>
        <v>Hold</v>
      </c>
      <c r="T195" s="8">
        <f t="shared" ref="T195:T258" si="48">AVERAGE(J195:J1363)</f>
        <v>0.10560430327868843</v>
      </c>
      <c r="U195" s="18">
        <f t="shared" ref="U195:U258" si="49">SUM(F195:F1363)</f>
        <v>4075887</v>
      </c>
      <c r="V195" s="7">
        <f t="shared" ref="V195:V258" si="50">MAX(C195:C1363)</f>
        <v>5586.2002000000002</v>
      </c>
      <c r="W195" s="7">
        <f t="shared" ref="W195:W258" si="51">MIN(D195:D1363)</f>
        <v>1615.1</v>
      </c>
      <c r="X195" s="7">
        <f t="shared" ref="X195:X258" si="52">INDEX(E195:E1363,MATCH(A195,A195:A1363,0))</f>
        <v>1945.5</v>
      </c>
      <c r="Y195" s="7">
        <f t="shared" ref="Y195:Y258" si="53">COUNTIF(R195:R1363,"Up")</f>
        <v>424</v>
      </c>
      <c r="Z195" s="7">
        <f t="shared" ref="Z195:Z258" si="54">SUMIF(R195:R1363,"Up",F195:F1363)</f>
        <v>1369832</v>
      </c>
      <c r="AA195" s="7" t="str">
        <f t="shared" ref="AA195:AA258" si="55">TEXT(A195,"DD-MMM-YYYY")</f>
        <v>20-Apr-2022</v>
      </c>
      <c r="AB195" s="7">
        <f t="shared" ref="AB195:AB258" si="56">_xlfn.XLOOKUP(A195,A195:A1363,E195:E1363)</f>
        <v>1945.5</v>
      </c>
      <c r="AC195" s="7">
        <f t="shared" si="45"/>
        <v>1</v>
      </c>
      <c r="AD195" s="7">
        <f t="shared" ref="AD195:AD258" si="57">YEAR(A195)</f>
        <v>2022</v>
      </c>
      <c r="AE195" s="19">
        <f t="shared" ref="AE195:AE258" si="58">ROUND(J195,2)</f>
        <v>-1.43</v>
      </c>
      <c r="BA195" s="10">
        <f t="shared" ref="BA195:BA258" si="59">MODE(M195:M1363)</f>
        <v>80.523600000000002</v>
      </c>
    </row>
    <row r="196" spans="1:53" x14ac:dyDescent="0.3">
      <c r="A196" s="17">
        <v>44672</v>
      </c>
      <c r="B196" s="8">
        <v>1944.9</v>
      </c>
      <c r="C196" s="7">
        <v>1944.9</v>
      </c>
      <c r="D196" s="7">
        <v>1942.5</v>
      </c>
      <c r="E196" s="7">
        <v>1942.5</v>
      </c>
      <c r="F196" s="18">
        <v>4</v>
      </c>
      <c r="G196" s="7">
        <v>1962.0571</v>
      </c>
      <c r="H196" s="7">
        <v>1942.5867000000001</v>
      </c>
      <c r="I196" s="7">
        <v>1874.6756</v>
      </c>
      <c r="J196" s="8">
        <v>-0.1542</v>
      </c>
      <c r="K196" s="7">
        <v>0.72040000000000004</v>
      </c>
      <c r="L196" s="7">
        <v>1.0727</v>
      </c>
      <c r="M196" s="8">
        <v>53.526600000000002</v>
      </c>
      <c r="N196" s="8">
        <v>9.0198999999999998</v>
      </c>
      <c r="O196" s="7">
        <v>8.6350999999999996</v>
      </c>
      <c r="P196" s="7">
        <v>1986.7139</v>
      </c>
      <c r="Q196" s="7">
        <v>1895.7561000000001</v>
      </c>
      <c r="R196" s="7" t="str">
        <f t="shared" si="46"/>
        <v>Down</v>
      </c>
      <c r="S196" s="7" t="str">
        <f t="shared" si="47"/>
        <v>Hold</v>
      </c>
      <c r="T196" s="8">
        <f t="shared" si="48"/>
        <v>0.10718317948717941</v>
      </c>
      <c r="U196" s="18">
        <f t="shared" si="49"/>
        <v>4075266</v>
      </c>
      <c r="V196" s="7">
        <f t="shared" si="50"/>
        <v>5586.2002000000002</v>
      </c>
      <c r="W196" s="7">
        <f t="shared" si="51"/>
        <v>1615.1</v>
      </c>
      <c r="X196" s="7">
        <f t="shared" si="52"/>
        <v>1942.5</v>
      </c>
      <c r="Y196" s="7">
        <f t="shared" si="53"/>
        <v>424</v>
      </c>
      <c r="Z196" s="7">
        <f t="shared" si="54"/>
        <v>1369832</v>
      </c>
      <c r="AA196" s="7" t="str">
        <f t="shared" si="55"/>
        <v>21-Apr-2022</v>
      </c>
      <c r="AB196" s="7">
        <f t="shared" si="56"/>
        <v>1942.5</v>
      </c>
      <c r="AC196" s="7">
        <f t="shared" si="45"/>
        <v>1</v>
      </c>
      <c r="AD196" s="7">
        <f t="shared" si="57"/>
        <v>2022</v>
      </c>
      <c r="AE196" s="19">
        <f t="shared" si="58"/>
        <v>-0.15</v>
      </c>
      <c r="BA196" s="10">
        <f t="shared" si="59"/>
        <v>80.523600000000002</v>
      </c>
    </row>
    <row r="197" spans="1:53" x14ac:dyDescent="0.3">
      <c r="A197" s="17">
        <v>44673</v>
      </c>
      <c r="B197" s="8">
        <v>1931</v>
      </c>
      <c r="C197" s="7">
        <v>1950.4</v>
      </c>
      <c r="D197" s="7">
        <v>1930.2</v>
      </c>
      <c r="E197" s="7">
        <v>1949.6</v>
      </c>
      <c r="F197" s="18">
        <v>178</v>
      </c>
      <c r="G197" s="7">
        <v>1961.6429000000001</v>
      </c>
      <c r="H197" s="7">
        <v>1941.6367</v>
      </c>
      <c r="I197" s="7">
        <v>1876.5110999999999</v>
      </c>
      <c r="J197" s="8">
        <v>0.36549999999999999</v>
      </c>
      <c r="K197" s="7">
        <v>0.72560000000000002</v>
      </c>
      <c r="L197" s="7">
        <v>0.8488</v>
      </c>
      <c r="M197" s="8">
        <v>55.480499999999999</v>
      </c>
      <c r="N197" s="8">
        <v>8.2742000000000004</v>
      </c>
      <c r="O197" s="7">
        <v>8.5629000000000008</v>
      </c>
      <c r="P197" s="7">
        <v>1984.9837</v>
      </c>
      <c r="Q197" s="7">
        <v>1896.0862999999999</v>
      </c>
      <c r="R197" s="7" t="str">
        <f t="shared" si="46"/>
        <v>Up</v>
      </c>
      <c r="S197" s="7" t="str">
        <f t="shared" si="47"/>
        <v>Hold</v>
      </c>
      <c r="T197" s="8">
        <f t="shared" si="48"/>
        <v>0.10745154004106769</v>
      </c>
      <c r="U197" s="18">
        <f t="shared" si="49"/>
        <v>4075262</v>
      </c>
      <c r="V197" s="7">
        <f t="shared" si="50"/>
        <v>5586.2002000000002</v>
      </c>
      <c r="W197" s="7">
        <f t="shared" si="51"/>
        <v>1615.1</v>
      </c>
      <c r="X197" s="7">
        <f t="shared" si="52"/>
        <v>1949.6</v>
      </c>
      <c r="Y197" s="7">
        <f t="shared" si="53"/>
        <v>424</v>
      </c>
      <c r="Z197" s="7">
        <f t="shared" si="54"/>
        <v>1369832</v>
      </c>
      <c r="AA197" s="7" t="str">
        <f t="shared" si="55"/>
        <v>22-Apr-2022</v>
      </c>
      <c r="AB197" s="7">
        <f t="shared" si="56"/>
        <v>1949.6</v>
      </c>
      <c r="AC197" s="7">
        <f t="shared" ref="AC197:AC260" si="60">_xlfn.XMATCH(A197,A197:A1365)</f>
        <v>1</v>
      </c>
      <c r="AD197" s="7">
        <f t="shared" si="57"/>
        <v>2022</v>
      </c>
      <c r="AE197" s="19">
        <f t="shared" si="58"/>
        <v>0.37</v>
      </c>
      <c r="BA197" s="10">
        <f t="shared" si="59"/>
        <v>80.523600000000002</v>
      </c>
    </row>
    <row r="198" spans="1:53" x14ac:dyDescent="0.3">
      <c r="A198" s="17">
        <v>44676</v>
      </c>
      <c r="B198" s="8">
        <v>1893.2</v>
      </c>
      <c r="C198" s="7">
        <v>1925</v>
      </c>
      <c r="D198" s="7">
        <v>1889.3</v>
      </c>
      <c r="E198" s="7">
        <v>1925</v>
      </c>
      <c r="F198" s="18">
        <v>748</v>
      </c>
      <c r="G198" s="7">
        <v>1955.2856999999999</v>
      </c>
      <c r="H198" s="7">
        <v>1939.6367</v>
      </c>
      <c r="I198" s="7">
        <v>1878.0444</v>
      </c>
      <c r="J198" s="8">
        <v>-1.2618</v>
      </c>
      <c r="K198" s="7">
        <v>0.73740000000000006</v>
      </c>
      <c r="L198" s="7">
        <v>0.87370000000000003</v>
      </c>
      <c r="M198" s="8">
        <v>51.319499999999998</v>
      </c>
      <c r="N198" s="8">
        <v>5.6333000000000002</v>
      </c>
      <c r="O198" s="7">
        <v>7.9770000000000003</v>
      </c>
      <c r="P198" s="7">
        <v>1983.6003000000001</v>
      </c>
      <c r="Q198" s="7">
        <v>1894.5897</v>
      </c>
      <c r="R198" s="7" t="str">
        <f t="shared" si="46"/>
        <v>Up</v>
      </c>
      <c r="S198" s="7" t="str">
        <f t="shared" si="47"/>
        <v>Hold</v>
      </c>
      <c r="T198" s="8">
        <f t="shared" si="48"/>
        <v>0.10718633093525172</v>
      </c>
      <c r="U198" s="18">
        <f t="shared" si="49"/>
        <v>4075084</v>
      </c>
      <c r="V198" s="7">
        <f t="shared" si="50"/>
        <v>5586.2002000000002</v>
      </c>
      <c r="W198" s="7">
        <f t="shared" si="51"/>
        <v>1615.1</v>
      </c>
      <c r="X198" s="7">
        <f t="shared" si="52"/>
        <v>1925</v>
      </c>
      <c r="Y198" s="7">
        <f t="shared" si="53"/>
        <v>423</v>
      </c>
      <c r="Z198" s="7">
        <f t="shared" si="54"/>
        <v>1369654</v>
      </c>
      <c r="AA198" s="7" t="str">
        <f t="shared" si="55"/>
        <v>25-Apr-2022</v>
      </c>
      <c r="AB198" s="7">
        <f t="shared" si="56"/>
        <v>1925</v>
      </c>
      <c r="AC198" s="7">
        <f t="shared" si="60"/>
        <v>1</v>
      </c>
      <c r="AD198" s="7">
        <f t="shared" si="57"/>
        <v>2022</v>
      </c>
      <c r="AE198" s="19">
        <f t="shared" si="58"/>
        <v>-1.26</v>
      </c>
      <c r="BA198" s="10">
        <f t="shared" si="59"/>
        <v>80.523600000000002</v>
      </c>
    </row>
    <row r="199" spans="1:53" x14ac:dyDescent="0.3">
      <c r="A199" s="17">
        <v>44677</v>
      </c>
      <c r="B199" s="8">
        <v>1901.4</v>
      </c>
      <c r="C199" s="7">
        <v>1909.1</v>
      </c>
      <c r="D199" s="7">
        <v>1894</v>
      </c>
      <c r="E199" s="7">
        <v>1900.5</v>
      </c>
      <c r="F199" s="18">
        <v>302</v>
      </c>
      <c r="G199" s="7">
        <v>1944.3286000000001</v>
      </c>
      <c r="H199" s="7">
        <v>1937.1033</v>
      </c>
      <c r="I199" s="7">
        <v>1879.5233000000001</v>
      </c>
      <c r="J199" s="8">
        <v>-1.2726999999999999</v>
      </c>
      <c r="K199" s="7">
        <v>0.73680000000000001</v>
      </c>
      <c r="L199" s="7">
        <v>0.89790000000000003</v>
      </c>
      <c r="M199" s="8">
        <v>41.820399999999999</v>
      </c>
      <c r="N199" s="8">
        <v>1.5455000000000001</v>
      </c>
      <c r="O199" s="7">
        <v>6.6906999999999996</v>
      </c>
      <c r="P199" s="7">
        <v>1985.1827000000001</v>
      </c>
      <c r="Q199" s="7">
        <v>1889.7973</v>
      </c>
      <c r="R199" s="7" t="str">
        <f t="shared" si="46"/>
        <v>Down</v>
      </c>
      <c r="S199" s="7" t="str">
        <f t="shared" si="47"/>
        <v>Hold</v>
      </c>
      <c r="T199" s="8">
        <f t="shared" si="48"/>
        <v>0.10859475308641967</v>
      </c>
      <c r="U199" s="18">
        <f t="shared" si="49"/>
        <v>4074336</v>
      </c>
      <c r="V199" s="7">
        <f t="shared" si="50"/>
        <v>5586.2002000000002</v>
      </c>
      <c r="W199" s="7">
        <f t="shared" si="51"/>
        <v>1615.1</v>
      </c>
      <c r="X199" s="7">
        <f t="shared" si="52"/>
        <v>1900.5</v>
      </c>
      <c r="Y199" s="7">
        <f t="shared" si="53"/>
        <v>422</v>
      </c>
      <c r="Z199" s="7">
        <f t="shared" si="54"/>
        <v>1368906</v>
      </c>
      <c r="AA199" s="7" t="str">
        <f t="shared" si="55"/>
        <v>26-Apr-2022</v>
      </c>
      <c r="AB199" s="7">
        <f t="shared" si="56"/>
        <v>1900.5</v>
      </c>
      <c r="AC199" s="7">
        <f t="shared" si="60"/>
        <v>1</v>
      </c>
      <c r="AD199" s="7">
        <f t="shared" si="57"/>
        <v>2022</v>
      </c>
      <c r="AE199" s="19">
        <f t="shared" si="58"/>
        <v>-1.27</v>
      </c>
      <c r="BA199" s="10">
        <f t="shared" si="59"/>
        <v>80.523600000000002</v>
      </c>
    </row>
    <row r="200" spans="1:53" x14ac:dyDescent="0.3">
      <c r="A200" s="17">
        <v>44678</v>
      </c>
      <c r="B200" s="8">
        <v>1885.9</v>
      </c>
      <c r="C200" s="7">
        <v>1900.6</v>
      </c>
      <c r="D200" s="7">
        <v>1882.2</v>
      </c>
      <c r="E200" s="7">
        <v>1897.8</v>
      </c>
      <c r="F200" s="18">
        <v>1786</v>
      </c>
      <c r="G200" s="7">
        <v>1933.5286000000001</v>
      </c>
      <c r="H200" s="7">
        <v>1935.7032999999999</v>
      </c>
      <c r="I200" s="7">
        <v>1880.8210999999999</v>
      </c>
      <c r="J200" s="8">
        <v>-0.1421</v>
      </c>
      <c r="K200" s="7">
        <v>0.74119999999999997</v>
      </c>
      <c r="L200" s="7">
        <v>0.83650000000000002</v>
      </c>
      <c r="M200" s="8">
        <v>43.899299999999997</v>
      </c>
      <c r="N200" s="8">
        <v>-1.8900999999999999</v>
      </c>
      <c r="O200" s="7">
        <v>4.9744999999999999</v>
      </c>
      <c r="P200" s="7">
        <v>1984.5947000000001</v>
      </c>
      <c r="Q200" s="7">
        <v>1890.8153</v>
      </c>
      <c r="R200" s="7" t="str">
        <f t="shared" si="46"/>
        <v>Up</v>
      </c>
      <c r="S200" s="7" t="str">
        <f t="shared" si="47"/>
        <v>Hold</v>
      </c>
      <c r="T200" s="8">
        <f t="shared" si="48"/>
        <v>0.1100173017507723</v>
      </c>
      <c r="U200" s="18">
        <f t="shared" si="49"/>
        <v>4074034</v>
      </c>
      <c r="V200" s="7">
        <f t="shared" si="50"/>
        <v>5586.2002000000002</v>
      </c>
      <c r="W200" s="7">
        <f t="shared" si="51"/>
        <v>1615.1</v>
      </c>
      <c r="X200" s="7">
        <f t="shared" si="52"/>
        <v>1897.8</v>
      </c>
      <c r="Y200" s="7">
        <f t="shared" si="53"/>
        <v>422</v>
      </c>
      <c r="Z200" s="7">
        <f t="shared" si="54"/>
        <v>1368906</v>
      </c>
      <c r="AA200" s="7" t="str">
        <f t="shared" si="55"/>
        <v>27-Apr-2022</v>
      </c>
      <c r="AB200" s="7">
        <f t="shared" si="56"/>
        <v>1897.8</v>
      </c>
      <c r="AC200" s="7">
        <f t="shared" si="60"/>
        <v>1</v>
      </c>
      <c r="AD200" s="7">
        <f t="shared" si="57"/>
        <v>2022</v>
      </c>
      <c r="AE200" s="19">
        <f t="shared" si="58"/>
        <v>-0.14000000000000001</v>
      </c>
      <c r="BA200" s="10">
        <f t="shared" si="59"/>
        <v>80.523600000000002</v>
      </c>
    </row>
    <row r="201" spans="1:53" x14ac:dyDescent="0.3">
      <c r="A201" s="17">
        <v>44679</v>
      </c>
      <c r="B201" s="8">
        <v>1888.7</v>
      </c>
      <c r="C201" s="7">
        <v>1893</v>
      </c>
      <c r="D201" s="7">
        <v>1872.9</v>
      </c>
      <c r="E201" s="7">
        <v>1883.8</v>
      </c>
      <c r="F201" s="18">
        <v>513</v>
      </c>
      <c r="G201" s="7">
        <v>1920.6713999999999</v>
      </c>
      <c r="H201" s="7">
        <v>1934.4167</v>
      </c>
      <c r="I201" s="7">
        <v>1881.7077999999999</v>
      </c>
      <c r="J201" s="8">
        <v>-0.73770000000000002</v>
      </c>
      <c r="K201" s="7">
        <v>0.69740000000000002</v>
      </c>
      <c r="L201" s="7">
        <v>0.83150000000000002</v>
      </c>
      <c r="M201" s="8">
        <v>39.253500000000003</v>
      </c>
      <c r="N201" s="8">
        <v>-5.6771000000000003</v>
      </c>
      <c r="O201" s="7">
        <v>2.8441999999999998</v>
      </c>
      <c r="P201" s="7">
        <v>1988.1221</v>
      </c>
      <c r="Q201" s="7">
        <v>1883.8279</v>
      </c>
      <c r="R201" s="7" t="str">
        <f t="shared" si="46"/>
        <v>Down</v>
      </c>
      <c r="S201" s="7" t="str">
        <f t="shared" si="47"/>
        <v>Hold</v>
      </c>
      <c r="T201" s="8">
        <f t="shared" si="48"/>
        <v>0.11027721649484526</v>
      </c>
      <c r="U201" s="18">
        <f t="shared" si="49"/>
        <v>4072248</v>
      </c>
      <c r="V201" s="7">
        <f t="shared" si="50"/>
        <v>5586.2002000000002</v>
      </c>
      <c r="W201" s="7">
        <f t="shared" si="51"/>
        <v>1615.1</v>
      </c>
      <c r="X201" s="7">
        <f t="shared" si="52"/>
        <v>1883.8</v>
      </c>
      <c r="Y201" s="7">
        <f t="shared" si="53"/>
        <v>421</v>
      </c>
      <c r="Z201" s="7">
        <f t="shared" si="54"/>
        <v>1367120</v>
      </c>
      <c r="AA201" s="7" t="str">
        <f t="shared" si="55"/>
        <v>28-Apr-2022</v>
      </c>
      <c r="AB201" s="7">
        <f t="shared" si="56"/>
        <v>1883.8</v>
      </c>
      <c r="AC201" s="7">
        <f t="shared" si="60"/>
        <v>1</v>
      </c>
      <c r="AD201" s="7">
        <f t="shared" si="57"/>
        <v>2022</v>
      </c>
      <c r="AE201" s="19">
        <f t="shared" si="58"/>
        <v>-0.74</v>
      </c>
      <c r="BA201" s="10">
        <f t="shared" si="59"/>
        <v>80.523600000000002</v>
      </c>
    </row>
    <row r="202" spans="1:53" x14ac:dyDescent="0.3">
      <c r="A202" s="17">
        <v>44680</v>
      </c>
      <c r="B202" s="8">
        <v>1909.3</v>
      </c>
      <c r="C202" s="7">
        <v>1918.2</v>
      </c>
      <c r="D202" s="7">
        <v>1902.4</v>
      </c>
      <c r="E202" s="7">
        <v>1902.7</v>
      </c>
      <c r="F202" s="18">
        <v>132</v>
      </c>
      <c r="G202" s="7">
        <v>1914.5571</v>
      </c>
      <c r="H202" s="7">
        <v>1933.3767</v>
      </c>
      <c r="I202" s="7">
        <v>1882.8843999999999</v>
      </c>
      <c r="J202" s="8">
        <v>1.0033000000000001</v>
      </c>
      <c r="K202" s="7">
        <v>0.84150000000000003</v>
      </c>
      <c r="L202" s="7">
        <v>0.8458</v>
      </c>
      <c r="M202" s="8">
        <v>42.572499999999998</v>
      </c>
      <c r="N202" s="8">
        <v>-7.0717999999999996</v>
      </c>
      <c r="O202" s="7">
        <v>0.86099999999999999</v>
      </c>
      <c r="P202" s="7">
        <v>1988.6673000000001</v>
      </c>
      <c r="Q202" s="7">
        <v>1880.2027</v>
      </c>
      <c r="R202" s="7" t="str">
        <f t="shared" si="46"/>
        <v>Down</v>
      </c>
      <c r="S202" s="7" t="str">
        <f t="shared" si="47"/>
        <v>Hold</v>
      </c>
      <c r="T202" s="8">
        <f t="shared" si="48"/>
        <v>0.11115232198142407</v>
      </c>
      <c r="U202" s="18">
        <f t="shared" si="49"/>
        <v>4071735</v>
      </c>
      <c r="V202" s="7">
        <f t="shared" si="50"/>
        <v>5586.2002000000002</v>
      </c>
      <c r="W202" s="7">
        <f t="shared" si="51"/>
        <v>1615.1</v>
      </c>
      <c r="X202" s="7">
        <f t="shared" si="52"/>
        <v>1902.7</v>
      </c>
      <c r="Y202" s="7">
        <f t="shared" si="53"/>
        <v>421</v>
      </c>
      <c r="Z202" s="7">
        <f t="shared" si="54"/>
        <v>1367120</v>
      </c>
      <c r="AA202" s="7" t="str">
        <f t="shared" si="55"/>
        <v>29-Apr-2022</v>
      </c>
      <c r="AB202" s="7">
        <f t="shared" si="56"/>
        <v>1902.7</v>
      </c>
      <c r="AC202" s="7">
        <f t="shared" si="60"/>
        <v>1</v>
      </c>
      <c r="AD202" s="7">
        <f t="shared" si="57"/>
        <v>2022</v>
      </c>
      <c r="AE202" s="19">
        <f t="shared" si="58"/>
        <v>1</v>
      </c>
      <c r="BA202" s="10">
        <f t="shared" si="59"/>
        <v>80.523600000000002</v>
      </c>
    </row>
    <row r="203" spans="1:53" x14ac:dyDescent="0.3">
      <c r="A203" s="17">
        <v>44683</v>
      </c>
      <c r="B203" s="8">
        <v>1861.8</v>
      </c>
      <c r="C203" s="7">
        <v>1896.8</v>
      </c>
      <c r="D203" s="7">
        <v>1853</v>
      </c>
      <c r="E203" s="7">
        <v>1896.7</v>
      </c>
      <c r="F203" s="18">
        <v>385</v>
      </c>
      <c r="G203" s="7">
        <v>1908.0143</v>
      </c>
      <c r="H203" s="7">
        <v>1932.1167</v>
      </c>
      <c r="I203" s="7">
        <v>1884.0544</v>
      </c>
      <c r="J203" s="8">
        <v>-0.31530000000000002</v>
      </c>
      <c r="K203" s="7">
        <v>0.83860000000000001</v>
      </c>
      <c r="L203" s="7">
        <v>0.84699999999999998</v>
      </c>
      <c r="M203" s="8">
        <v>34.777299999999997</v>
      </c>
      <c r="N203" s="8">
        <v>-8.5625</v>
      </c>
      <c r="O203" s="7">
        <v>-1.0237000000000001</v>
      </c>
      <c r="P203" s="7">
        <v>1989.3126999999999</v>
      </c>
      <c r="Q203" s="7">
        <v>1875.7273</v>
      </c>
      <c r="R203" s="7" t="str">
        <f t="shared" si="46"/>
        <v>Up</v>
      </c>
      <c r="S203" s="7" t="str">
        <f t="shared" si="47"/>
        <v>Hold</v>
      </c>
      <c r="T203" s="8">
        <f t="shared" si="48"/>
        <v>0.11023068181818174</v>
      </c>
      <c r="U203" s="18">
        <f t="shared" si="49"/>
        <v>4071603</v>
      </c>
      <c r="V203" s="7">
        <f t="shared" si="50"/>
        <v>5586.2002000000002</v>
      </c>
      <c r="W203" s="7">
        <f t="shared" si="51"/>
        <v>1615.1</v>
      </c>
      <c r="X203" s="7">
        <f t="shared" si="52"/>
        <v>1896.7</v>
      </c>
      <c r="Y203" s="7">
        <f t="shared" si="53"/>
        <v>421</v>
      </c>
      <c r="Z203" s="7">
        <f t="shared" si="54"/>
        <v>1367120</v>
      </c>
      <c r="AA203" s="7" t="str">
        <f t="shared" si="55"/>
        <v>02-May-2022</v>
      </c>
      <c r="AB203" s="7">
        <f t="shared" si="56"/>
        <v>1896.7</v>
      </c>
      <c r="AC203" s="7">
        <f t="shared" si="60"/>
        <v>1</v>
      </c>
      <c r="AD203" s="7">
        <f t="shared" si="57"/>
        <v>2022</v>
      </c>
      <c r="AE203" s="19">
        <f t="shared" si="58"/>
        <v>-0.32</v>
      </c>
      <c r="BA203" s="10">
        <f t="shared" si="59"/>
        <v>80.523600000000002</v>
      </c>
    </row>
    <row r="204" spans="1:53" x14ac:dyDescent="0.3">
      <c r="A204" s="17">
        <v>44684</v>
      </c>
      <c r="B204" s="8">
        <v>1868.8</v>
      </c>
      <c r="C204" s="7">
        <v>1868.8</v>
      </c>
      <c r="D204" s="7">
        <v>1868.8</v>
      </c>
      <c r="E204" s="7">
        <v>1868.8</v>
      </c>
      <c r="F204" s="18">
        <v>466</v>
      </c>
      <c r="G204" s="7">
        <v>1896.4713999999999</v>
      </c>
      <c r="H204" s="7">
        <v>1930.23</v>
      </c>
      <c r="I204" s="7">
        <v>1884.9744000000001</v>
      </c>
      <c r="J204" s="8">
        <v>-1.4710000000000001</v>
      </c>
      <c r="K204" s="7">
        <v>0.86880000000000002</v>
      </c>
      <c r="L204" s="7">
        <v>0.88260000000000005</v>
      </c>
      <c r="M204" s="8">
        <v>27.4879</v>
      </c>
      <c r="N204" s="8">
        <v>-11.858499999999999</v>
      </c>
      <c r="O204" s="7">
        <v>-3.1905999999999999</v>
      </c>
      <c r="P204" s="7">
        <v>1993.3375000000001</v>
      </c>
      <c r="Q204" s="7">
        <v>1866.4625000000001</v>
      </c>
      <c r="R204" s="7" t="str">
        <f t="shared" si="46"/>
        <v>Down</v>
      </c>
      <c r="S204" s="7" t="str">
        <f t="shared" si="47"/>
        <v>Buy</v>
      </c>
      <c r="T204" s="8">
        <f t="shared" si="48"/>
        <v>0.11067073422957591</v>
      </c>
      <c r="U204" s="18">
        <f t="shared" si="49"/>
        <v>4071218</v>
      </c>
      <c r="V204" s="7">
        <f t="shared" si="50"/>
        <v>5586.2002000000002</v>
      </c>
      <c r="W204" s="7">
        <f t="shared" si="51"/>
        <v>1615.1</v>
      </c>
      <c r="X204" s="7">
        <f t="shared" si="52"/>
        <v>1868.8</v>
      </c>
      <c r="Y204" s="7">
        <f t="shared" si="53"/>
        <v>420</v>
      </c>
      <c r="Z204" s="7">
        <f t="shared" si="54"/>
        <v>1366735</v>
      </c>
      <c r="AA204" s="7" t="str">
        <f t="shared" si="55"/>
        <v>03-May-2022</v>
      </c>
      <c r="AB204" s="7">
        <f t="shared" si="56"/>
        <v>1868.8</v>
      </c>
      <c r="AC204" s="7">
        <f t="shared" si="60"/>
        <v>1</v>
      </c>
      <c r="AD204" s="7">
        <f t="shared" si="57"/>
        <v>2022</v>
      </c>
      <c r="AE204" s="19">
        <f t="shared" si="58"/>
        <v>-1.47</v>
      </c>
      <c r="BA204" s="10">
        <f t="shared" si="59"/>
        <v>80.523600000000002</v>
      </c>
    </row>
    <row r="205" spans="1:53" x14ac:dyDescent="0.3">
      <c r="A205" s="17">
        <v>44685</v>
      </c>
      <c r="B205" s="8">
        <v>1867</v>
      </c>
      <c r="C205" s="7">
        <v>1867</v>
      </c>
      <c r="D205" s="7">
        <v>1867</v>
      </c>
      <c r="E205" s="7">
        <v>1867</v>
      </c>
      <c r="F205" s="18">
        <v>1</v>
      </c>
      <c r="G205" s="7">
        <v>1888.1857</v>
      </c>
      <c r="H205" s="7">
        <v>1928.44</v>
      </c>
      <c r="I205" s="7">
        <v>1885.6522</v>
      </c>
      <c r="J205" s="8">
        <v>-9.6299999999999997E-2</v>
      </c>
      <c r="K205" s="7">
        <v>0.83169999999999999</v>
      </c>
      <c r="L205" s="7">
        <v>0.8821</v>
      </c>
      <c r="M205" s="8">
        <v>19.976500000000001</v>
      </c>
      <c r="N205" s="8">
        <v>-14.449199999999999</v>
      </c>
      <c r="O205" s="7">
        <v>-5.4424000000000001</v>
      </c>
      <c r="P205" s="7">
        <v>1996.3036999999999</v>
      </c>
      <c r="Q205" s="7">
        <v>1857.4863</v>
      </c>
      <c r="R205" s="7" t="str">
        <f t="shared" si="46"/>
        <v>Down</v>
      </c>
      <c r="S205" s="7" t="str">
        <f t="shared" si="47"/>
        <v>Buy</v>
      </c>
      <c r="T205" s="8">
        <f t="shared" si="48"/>
        <v>0.1123080745341614</v>
      </c>
      <c r="U205" s="18">
        <f t="shared" si="49"/>
        <v>4070752</v>
      </c>
      <c r="V205" s="7">
        <f t="shared" si="50"/>
        <v>5586.2002000000002</v>
      </c>
      <c r="W205" s="7">
        <f t="shared" si="51"/>
        <v>1615.1</v>
      </c>
      <c r="X205" s="7">
        <f t="shared" si="52"/>
        <v>1867</v>
      </c>
      <c r="Y205" s="7">
        <f t="shared" si="53"/>
        <v>420</v>
      </c>
      <c r="Z205" s="7">
        <f t="shared" si="54"/>
        <v>1366735</v>
      </c>
      <c r="AA205" s="7" t="str">
        <f t="shared" si="55"/>
        <v>04-May-2022</v>
      </c>
      <c r="AB205" s="7">
        <f t="shared" si="56"/>
        <v>1867</v>
      </c>
      <c r="AC205" s="7">
        <f t="shared" si="60"/>
        <v>1</v>
      </c>
      <c r="AD205" s="7">
        <f t="shared" si="57"/>
        <v>2022</v>
      </c>
      <c r="AE205" s="19">
        <f t="shared" si="58"/>
        <v>-0.1</v>
      </c>
      <c r="BA205" s="10">
        <f t="shared" si="59"/>
        <v>80.523600000000002</v>
      </c>
    </row>
    <row r="206" spans="1:53" x14ac:dyDescent="0.3">
      <c r="A206" s="17">
        <v>44686</v>
      </c>
      <c r="B206" s="8">
        <v>1874</v>
      </c>
      <c r="C206" s="7">
        <v>1904.3</v>
      </c>
      <c r="D206" s="7">
        <v>1874</v>
      </c>
      <c r="E206" s="7">
        <v>1897</v>
      </c>
      <c r="F206" s="18">
        <v>80</v>
      </c>
      <c r="G206" s="7">
        <v>1887.6857</v>
      </c>
      <c r="H206" s="7">
        <v>1927.12</v>
      </c>
      <c r="I206" s="7">
        <v>1886.6188999999999</v>
      </c>
      <c r="J206" s="8">
        <v>1.6069</v>
      </c>
      <c r="K206" s="7">
        <v>1.0346</v>
      </c>
      <c r="L206" s="7">
        <v>0.92069999999999996</v>
      </c>
      <c r="M206" s="8">
        <v>29.222799999999999</v>
      </c>
      <c r="N206" s="8">
        <v>-13.921200000000001</v>
      </c>
      <c r="O206" s="7">
        <v>-7.1380999999999997</v>
      </c>
      <c r="P206" s="7">
        <v>1996.4774</v>
      </c>
      <c r="Q206" s="7">
        <v>1855.3425999999999</v>
      </c>
      <c r="R206" s="7" t="str">
        <f t="shared" si="46"/>
        <v>Up</v>
      </c>
      <c r="S206" s="7" t="str">
        <f t="shared" si="47"/>
        <v>Buy</v>
      </c>
      <c r="T206" s="8">
        <f t="shared" si="48"/>
        <v>0.11252424870466314</v>
      </c>
      <c r="U206" s="18">
        <f t="shared" si="49"/>
        <v>4070751</v>
      </c>
      <c r="V206" s="7">
        <f t="shared" si="50"/>
        <v>5586.2002000000002</v>
      </c>
      <c r="W206" s="7">
        <f t="shared" si="51"/>
        <v>1615.1</v>
      </c>
      <c r="X206" s="7">
        <f t="shared" si="52"/>
        <v>1897</v>
      </c>
      <c r="Y206" s="7">
        <f t="shared" si="53"/>
        <v>420</v>
      </c>
      <c r="Z206" s="7">
        <f t="shared" si="54"/>
        <v>1366735</v>
      </c>
      <c r="AA206" s="7" t="str">
        <f t="shared" si="55"/>
        <v>05-May-2022</v>
      </c>
      <c r="AB206" s="7">
        <f t="shared" si="56"/>
        <v>1897</v>
      </c>
      <c r="AC206" s="7">
        <f t="shared" si="60"/>
        <v>1</v>
      </c>
      <c r="AD206" s="7">
        <f t="shared" si="57"/>
        <v>2022</v>
      </c>
      <c r="AE206" s="19">
        <f t="shared" si="58"/>
        <v>1.61</v>
      </c>
      <c r="BA206" s="10">
        <f t="shared" si="59"/>
        <v>80.523600000000002</v>
      </c>
    </row>
    <row r="207" spans="1:53" x14ac:dyDescent="0.3">
      <c r="A207" s="17">
        <v>44687</v>
      </c>
      <c r="B207" s="8">
        <v>1881.2</v>
      </c>
      <c r="C207" s="7">
        <v>1890.3</v>
      </c>
      <c r="D207" s="7">
        <v>1871.5</v>
      </c>
      <c r="E207" s="7">
        <v>1874.7</v>
      </c>
      <c r="F207" s="18">
        <v>214</v>
      </c>
      <c r="G207" s="7">
        <v>1884.3857</v>
      </c>
      <c r="H207" s="7">
        <v>1924.1567</v>
      </c>
      <c r="I207" s="7">
        <v>1887.3155999999999</v>
      </c>
      <c r="J207" s="8">
        <v>-1.1755</v>
      </c>
      <c r="K207" s="7">
        <v>1.1244000000000001</v>
      </c>
      <c r="L207" s="7">
        <v>0.89959999999999996</v>
      </c>
      <c r="M207" s="8">
        <v>26.666599999999999</v>
      </c>
      <c r="N207" s="8">
        <v>-15.127800000000001</v>
      </c>
      <c r="O207" s="7">
        <v>-8.7361000000000004</v>
      </c>
      <c r="P207" s="7">
        <v>1997.846</v>
      </c>
      <c r="Q207" s="7">
        <v>1849.4939999999999</v>
      </c>
      <c r="R207" s="7" t="str">
        <f t="shared" si="46"/>
        <v>Down</v>
      </c>
      <c r="S207" s="7" t="str">
        <f t="shared" si="47"/>
        <v>Buy</v>
      </c>
      <c r="T207" s="8">
        <f t="shared" si="48"/>
        <v>0.11097406639004138</v>
      </c>
      <c r="U207" s="18">
        <f t="shared" si="49"/>
        <v>4070671</v>
      </c>
      <c r="V207" s="7">
        <f t="shared" si="50"/>
        <v>5586.2002000000002</v>
      </c>
      <c r="W207" s="7">
        <f t="shared" si="51"/>
        <v>1615.1</v>
      </c>
      <c r="X207" s="7">
        <f t="shared" si="52"/>
        <v>1874.7</v>
      </c>
      <c r="Y207" s="7">
        <f t="shared" si="53"/>
        <v>419</v>
      </c>
      <c r="Z207" s="7">
        <f t="shared" si="54"/>
        <v>1366655</v>
      </c>
      <c r="AA207" s="7" t="str">
        <f t="shared" si="55"/>
        <v>06-May-2022</v>
      </c>
      <c r="AB207" s="7">
        <f t="shared" si="56"/>
        <v>1874.7</v>
      </c>
      <c r="AC207" s="7">
        <f t="shared" si="60"/>
        <v>1</v>
      </c>
      <c r="AD207" s="7">
        <f t="shared" si="57"/>
        <v>2022</v>
      </c>
      <c r="AE207" s="19">
        <f t="shared" si="58"/>
        <v>-1.18</v>
      </c>
      <c r="BA207" s="10">
        <f t="shared" si="59"/>
        <v>80.523600000000002</v>
      </c>
    </row>
    <row r="208" spans="1:53" x14ac:dyDescent="0.3">
      <c r="A208" s="17">
        <v>44690</v>
      </c>
      <c r="B208" s="8">
        <v>1857.1</v>
      </c>
      <c r="C208" s="7">
        <v>1867.5</v>
      </c>
      <c r="D208" s="7">
        <v>1854</v>
      </c>
      <c r="E208" s="7">
        <v>1866.6</v>
      </c>
      <c r="F208" s="18">
        <v>304</v>
      </c>
      <c r="G208" s="7">
        <v>1881.9286</v>
      </c>
      <c r="H208" s="7">
        <v>1921.25</v>
      </c>
      <c r="I208" s="7">
        <v>1888.02</v>
      </c>
      <c r="J208" s="8">
        <v>-0.43209999999999998</v>
      </c>
      <c r="K208" s="7">
        <v>1.1045</v>
      </c>
      <c r="L208" s="7">
        <v>0.89880000000000004</v>
      </c>
      <c r="M208" s="8">
        <v>25.5474</v>
      </c>
      <c r="N208" s="8">
        <v>-16.546900000000001</v>
      </c>
      <c r="O208" s="7">
        <v>-10.2982</v>
      </c>
      <c r="P208" s="7">
        <v>1998.9277</v>
      </c>
      <c r="Q208" s="7">
        <v>1842.1922999999999</v>
      </c>
      <c r="R208" s="7" t="str">
        <f t="shared" si="46"/>
        <v>Up</v>
      </c>
      <c r="S208" s="7" t="str">
        <f t="shared" si="47"/>
        <v>Buy</v>
      </c>
      <c r="T208" s="8">
        <f t="shared" si="48"/>
        <v>0.11230996884735195</v>
      </c>
      <c r="U208" s="18">
        <f t="shared" si="49"/>
        <v>4070457</v>
      </c>
      <c r="V208" s="7">
        <f t="shared" si="50"/>
        <v>5586.2002000000002</v>
      </c>
      <c r="W208" s="7">
        <f t="shared" si="51"/>
        <v>1615.1</v>
      </c>
      <c r="X208" s="7">
        <f t="shared" si="52"/>
        <v>1866.6</v>
      </c>
      <c r="Y208" s="7">
        <f t="shared" si="53"/>
        <v>419</v>
      </c>
      <c r="Z208" s="7">
        <f t="shared" si="54"/>
        <v>1366655</v>
      </c>
      <c r="AA208" s="7" t="str">
        <f t="shared" si="55"/>
        <v>09-May-2022</v>
      </c>
      <c r="AB208" s="7">
        <f t="shared" si="56"/>
        <v>1866.6</v>
      </c>
      <c r="AC208" s="7">
        <f t="shared" si="60"/>
        <v>1</v>
      </c>
      <c r="AD208" s="7">
        <f t="shared" si="57"/>
        <v>2022</v>
      </c>
      <c r="AE208" s="19">
        <f t="shared" si="58"/>
        <v>-0.43</v>
      </c>
      <c r="BA208" s="10">
        <f t="shared" si="59"/>
        <v>80.523600000000002</v>
      </c>
    </row>
    <row r="209" spans="1:53" x14ac:dyDescent="0.3">
      <c r="A209" s="17">
        <v>44691</v>
      </c>
      <c r="B209" s="8">
        <v>1839.9</v>
      </c>
      <c r="C209" s="7">
        <v>1839.9</v>
      </c>
      <c r="D209" s="7">
        <v>1839.9</v>
      </c>
      <c r="E209" s="7">
        <v>1839.9</v>
      </c>
      <c r="F209" s="18">
        <v>1540</v>
      </c>
      <c r="G209" s="7">
        <v>1872.9571000000001</v>
      </c>
      <c r="H209" s="7">
        <v>1918.16</v>
      </c>
      <c r="I209" s="7">
        <v>1888.4444000000001</v>
      </c>
      <c r="J209" s="8">
        <v>-1.4303999999999999</v>
      </c>
      <c r="K209" s="7">
        <v>1.0724</v>
      </c>
      <c r="L209" s="7">
        <v>0.9133</v>
      </c>
      <c r="M209" s="8">
        <v>25.735299999999999</v>
      </c>
      <c r="N209" s="8">
        <v>-19.600100000000001</v>
      </c>
      <c r="O209" s="7">
        <v>-12.1586</v>
      </c>
      <c r="P209" s="7">
        <v>2000.3635999999999</v>
      </c>
      <c r="Q209" s="7">
        <v>1830.0863999999999</v>
      </c>
      <c r="R209" s="7" t="str">
        <f t="shared" si="46"/>
        <v>Down</v>
      </c>
      <c r="S209" s="7" t="str">
        <f t="shared" si="47"/>
        <v>Buy</v>
      </c>
      <c r="T209" s="8">
        <f t="shared" si="48"/>
        <v>0.11287588357588349</v>
      </c>
      <c r="U209" s="18">
        <f t="shared" si="49"/>
        <v>4070153</v>
      </c>
      <c r="V209" s="7">
        <f t="shared" si="50"/>
        <v>5586.2002000000002</v>
      </c>
      <c r="W209" s="7">
        <f t="shared" si="51"/>
        <v>1615.1</v>
      </c>
      <c r="X209" s="7">
        <f t="shared" si="52"/>
        <v>1839.9</v>
      </c>
      <c r="Y209" s="7">
        <f t="shared" si="53"/>
        <v>418</v>
      </c>
      <c r="Z209" s="7">
        <f t="shared" si="54"/>
        <v>1366351</v>
      </c>
      <c r="AA209" s="7" t="str">
        <f t="shared" si="55"/>
        <v>10-May-2022</v>
      </c>
      <c r="AB209" s="7">
        <f t="shared" si="56"/>
        <v>1839.9</v>
      </c>
      <c r="AC209" s="7">
        <f t="shared" si="60"/>
        <v>1</v>
      </c>
      <c r="AD209" s="7">
        <f t="shared" si="57"/>
        <v>2022</v>
      </c>
      <c r="AE209" s="19">
        <f t="shared" si="58"/>
        <v>-1.43</v>
      </c>
      <c r="BA209" s="10">
        <f t="shared" si="59"/>
        <v>80.523600000000002</v>
      </c>
    </row>
    <row r="210" spans="1:53" x14ac:dyDescent="0.3">
      <c r="A210" s="17">
        <v>44692</v>
      </c>
      <c r="B210" s="8">
        <v>1852.6</v>
      </c>
      <c r="C210" s="7">
        <v>1852.6</v>
      </c>
      <c r="D210" s="7">
        <v>1841</v>
      </c>
      <c r="E210" s="7">
        <v>1841.5</v>
      </c>
      <c r="F210" s="18">
        <v>892</v>
      </c>
      <c r="G210" s="7">
        <v>1865.0714</v>
      </c>
      <c r="H210" s="7">
        <v>1916.4267</v>
      </c>
      <c r="I210" s="7">
        <v>1888.6267</v>
      </c>
      <c r="J210" s="8">
        <v>8.6999999999999994E-2</v>
      </c>
      <c r="K210" s="7">
        <v>1.0929</v>
      </c>
      <c r="L210" s="7">
        <v>0.84340000000000004</v>
      </c>
      <c r="M210" s="8">
        <v>26.641999999999999</v>
      </c>
      <c r="N210" s="8">
        <v>-21.641200000000001</v>
      </c>
      <c r="O210" s="7">
        <v>-14.055099999999999</v>
      </c>
      <c r="P210" s="7">
        <v>1998.9536000000001</v>
      </c>
      <c r="Q210" s="7">
        <v>1820.3964000000001</v>
      </c>
      <c r="R210" s="7" t="str">
        <f t="shared" si="46"/>
        <v>Down</v>
      </c>
      <c r="S210" s="7" t="str">
        <f t="shared" si="47"/>
        <v>Buy</v>
      </c>
      <c r="T210" s="8">
        <f t="shared" si="48"/>
        <v>0.11448178980228922</v>
      </c>
      <c r="U210" s="18">
        <f t="shared" si="49"/>
        <v>4068613</v>
      </c>
      <c r="V210" s="7">
        <f t="shared" si="50"/>
        <v>5586.2002000000002</v>
      </c>
      <c r="W210" s="7">
        <f t="shared" si="51"/>
        <v>1615.1</v>
      </c>
      <c r="X210" s="7">
        <f t="shared" si="52"/>
        <v>1841.5</v>
      </c>
      <c r="Y210" s="7">
        <f t="shared" si="53"/>
        <v>418</v>
      </c>
      <c r="Z210" s="7">
        <f t="shared" si="54"/>
        <v>1366351</v>
      </c>
      <c r="AA210" s="7" t="str">
        <f t="shared" si="55"/>
        <v>11-May-2022</v>
      </c>
      <c r="AB210" s="7">
        <f t="shared" si="56"/>
        <v>1841.5</v>
      </c>
      <c r="AC210" s="7">
        <f t="shared" si="60"/>
        <v>1</v>
      </c>
      <c r="AD210" s="7">
        <f t="shared" si="57"/>
        <v>2022</v>
      </c>
      <c r="AE210" s="19">
        <f t="shared" si="58"/>
        <v>0.09</v>
      </c>
      <c r="BA210" s="10">
        <f t="shared" si="59"/>
        <v>80.523600000000002</v>
      </c>
    </row>
    <row r="211" spans="1:53" x14ac:dyDescent="0.3">
      <c r="A211" s="17">
        <v>44693</v>
      </c>
      <c r="B211" s="8">
        <v>1823.8</v>
      </c>
      <c r="C211" s="7">
        <v>1851.9</v>
      </c>
      <c r="D211" s="7">
        <v>1822.2</v>
      </c>
      <c r="E211" s="7">
        <v>1849.8</v>
      </c>
      <c r="F211" s="18">
        <v>153</v>
      </c>
      <c r="G211" s="7">
        <v>1862.3570999999999</v>
      </c>
      <c r="H211" s="7">
        <v>1914.14</v>
      </c>
      <c r="I211" s="7">
        <v>1888.8456000000001</v>
      </c>
      <c r="J211" s="8">
        <v>0.45069999999999999</v>
      </c>
      <c r="K211" s="7">
        <v>1.0227999999999999</v>
      </c>
      <c r="L211" s="7">
        <v>0.80779999999999996</v>
      </c>
      <c r="M211" s="8">
        <v>27.046900000000001</v>
      </c>
      <c r="N211" s="8">
        <v>-22.331600000000002</v>
      </c>
      <c r="O211" s="7">
        <v>-15.7104</v>
      </c>
      <c r="P211" s="7">
        <v>1992.127</v>
      </c>
      <c r="Q211" s="7">
        <v>1815.2529999999999</v>
      </c>
      <c r="R211" s="7" t="str">
        <f t="shared" si="46"/>
        <v>Up</v>
      </c>
      <c r="S211" s="7" t="str">
        <f t="shared" si="47"/>
        <v>Buy</v>
      </c>
      <c r="T211" s="8">
        <f t="shared" si="48"/>
        <v>0.11451041666666661</v>
      </c>
      <c r="U211" s="18">
        <f t="shared" si="49"/>
        <v>4067721</v>
      </c>
      <c r="V211" s="7">
        <f t="shared" si="50"/>
        <v>5586.2002000000002</v>
      </c>
      <c r="W211" s="7">
        <f t="shared" si="51"/>
        <v>1615.1</v>
      </c>
      <c r="X211" s="7">
        <f t="shared" si="52"/>
        <v>1849.8</v>
      </c>
      <c r="Y211" s="7">
        <f t="shared" si="53"/>
        <v>418</v>
      </c>
      <c r="Z211" s="7">
        <f t="shared" si="54"/>
        <v>1366351</v>
      </c>
      <c r="AA211" s="7" t="str">
        <f t="shared" si="55"/>
        <v>12-May-2022</v>
      </c>
      <c r="AB211" s="7">
        <f t="shared" si="56"/>
        <v>1849.8</v>
      </c>
      <c r="AC211" s="7">
        <f t="shared" si="60"/>
        <v>1</v>
      </c>
      <c r="AD211" s="7">
        <f t="shared" si="57"/>
        <v>2022</v>
      </c>
      <c r="AE211" s="19">
        <f t="shared" si="58"/>
        <v>0.45</v>
      </c>
      <c r="BA211" s="10">
        <f t="shared" si="59"/>
        <v>80.523600000000002</v>
      </c>
    </row>
    <row r="212" spans="1:53" x14ac:dyDescent="0.3">
      <c r="A212" s="17">
        <v>44694</v>
      </c>
      <c r="B212" s="8">
        <v>1807.4</v>
      </c>
      <c r="C212" s="7">
        <v>1825</v>
      </c>
      <c r="D212" s="7">
        <v>1807.4</v>
      </c>
      <c r="E212" s="7">
        <v>1825</v>
      </c>
      <c r="F212" s="18">
        <v>335</v>
      </c>
      <c r="G212" s="7">
        <v>1856.3570999999999</v>
      </c>
      <c r="H212" s="7">
        <v>1910.5233000000001</v>
      </c>
      <c r="I212" s="7">
        <v>1889.1178</v>
      </c>
      <c r="J212" s="8">
        <v>-1.3407</v>
      </c>
      <c r="K212" s="7">
        <v>1.1173999999999999</v>
      </c>
      <c r="L212" s="7">
        <v>0.81889999999999996</v>
      </c>
      <c r="M212" s="8">
        <v>27.021999999999998</v>
      </c>
      <c r="N212" s="8">
        <v>-24.596399999999999</v>
      </c>
      <c r="O212" s="7">
        <v>-17.4876</v>
      </c>
      <c r="P212" s="7">
        <v>1984.0757000000001</v>
      </c>
      <c r="Q212" s="7">
        <v>1808.0843</v>
      </c>
      <c r="R212" s="7" t="str">
        <f t="shared" si="46"/>
        <v>Up</v>
      </c>
      <c r="S212" s="7" t="str">
        <f t="shared" si="47"/>
        <v>Buy</v>
      </c>
      <c r="T212" s="8">
        <f t="shared" si="48"/>
        <v>0.11415985401459845</v>
      </c>
      <c r="U212" s="18">
        <f t="shared" si="49"/>
        <v>4067568</v>
      </c>
      <c r="V212" s="7">
        <f t="shared" si="50"/>
        <v>5586.2002000000002</v>
      </c>
      <c r="W212" s="7">
        <f t="shared" si="51"/>
        <v>1615.1</v>
      </c>
      <c r="X212" s="7">
        <f t="shared" si="52"/>
        <v>1825</v>
      </c>
      <c r="Y212" s="7">
        <f t="shared" si="53"/>
        <v>417</v>
      </c>
      <c r="Z212" s="7">
        <f t="shared" si="54"/>
        <v>1366198</v>
      </c>
      <c r="AA212" s="7" t="str">
        <f t="shared" si="55"/>
        <v>13-May-2022</v>
      </c>
      <c r="AB212" s="7">
        <f t="shared" si="56"/>
        <v>1825</v>
      </c>
      <c r="AC212" s="7">
        <f t="shared" si="60"/>
        <v>1</v>
      </c>
      <c r="AD212" s="7">
        <f t="shared" si="57"/>
        <v>2022</v>
      </c>
      <c r="AE212" s="19">
        <f t="shared" si="58"/>
        <v>-1.34</v>
      </c>
      <c r="BA212" s="10">
        <f t="shared" si="59"/>
        <v>80.523600000000002</v>
      </c>
    </row>
    <row r="213" spans="1:53" x14ac:dyDescent="0.3">
      <c r="A213" s="17">
        <v>44697</v>
      </c>
      <c r="B213" s="8">
        <v>1813.5</v>
      </c>
      <c r="C213" s="7">
        <v>1813.5</v>
      </c>
      <c r="D213" s="7">
        <v>1787</v>
      </c>
      <c r="E213" s="7">
        <v>1790.5</v>
      </c>
      <c r="F213" s="18">
        <v>34</v>
      </c>
      <c r="G213" s="7">
        <v>1841.1429000000001</v>
      </c>
      <c r="H213" s="7">
        <v>1905.7067</v>
      </c>
      <c r="I213" s="7">
        <v>1888.8667</v>
      </c>
      <c r="J213" s="8">
        <v>-1.8904000000000001</v>
      </c>
      <c r="K213" s="7">
        <v>0.86639999999999995</v>
      </c>
      <c r="L213" s="7">
        <v>0.87380000000000002</v>
      </c>
      <c r="M213" s="8">
        <v>25.834800000000001</v>
      </c>
      <c r="N213" s="8">
        <v>-28.842600000000001</v>
      </c>
      <c r="O213" s="7">
        <v>-19.758600000000001</v>
      </c>
      <c r="P213" s="7">
        <v>1979.018</v>
      </c>
      <c r="Q213" s="7">
        <v>1794.8520000000001</v>
      </c>
      <c r="R213" s="7" t="str">
        <f t="shared" si="46"/>
        <v>Down</v>
      </c>
      <c r="S213" s="7" t="str">
        <f t="shared" si="47"/>
        <v>Buy</v>
      </c>
      <c r="T213" s="8">
        <f t="shared" si="48"/>
        <v>0.11567849686847592</v>
      </c>
      <c r="U213" s="18">
        <f t="shared" si="49"/>
        <v>4067233</v>
      </c>
      <c r="V213" s="7">
        <f t="shared" si="50"/>
        <v>5586.2002000000002</v>
      </c>
      <c r="W213" s="7">
        <f t="shared" si="51"/>
        <v>1615.1</v>
      </c>
      <c r="X213" s="7">
        <f t="shared" si="52"/>
        <v>1790.5</v>
      </c>
      <c r="Y213" s="7">
        <f t="shared" si="53"/>
        <v>416</v>
      </c>
      <c r="Z213" s="7">
        <f t="shared" si="54"/>
        <v>1365863</v>
      </c>
      <c r="AA213" s="7" t="str">
        <f t="shared" si="55"/>
        <v>16-May-2022</v>
      </c>
      <c r="AB213" s="7">
        <f t="shared" si="56"/>
        <v>1790.5</v>
      </c>
      <c r="AC213" s="7">
        <f t="shared" si="60"/>
        <v>1</v>
      </c>
      <c r="AD213" s="7">
        <f t="shared" si="57"/>
        <v>2022</v>
      </c>
      <c r="AE213" s="19">
        <f t="shared" si="58"/>
        <v>-1.89</v>
      </c>
      <c r="BA213" s="10">
        <f t="shared" si="59"/>
        <v>80.523600000000002</v>
      </c>
    </row>
    <row r="214" spans="1:53" x14ac:dyDescent="0.3">
      <c r="A214" s="17">
        <v>44698</v>
      </c>
      <c r="B214" s="8">
        <v>1818.2</v>
      </c>
      <c r="C214" s="7">
        <v>1828.6</v>
      </c>
      <c r="D214" s="7">
        <v>1816.7</v>
      </c>
      <c r="E214" s="7">
        <v>1824.9</v>
      </c>
      <c r="F214" s="18">
        <v>121</v>
      </c>
      <c r="G214" s="7">
        <v>1834.0286000000001</v>
      </c>
      <c r="H214" s="7">
        <v>1902.4966999999999</v>
      </c>
      <c r="I214" s="7">
        <v>1889.2867000000001</v>
      </c>
      <c r="J214" s="8">
        <v>1.9213</v>
      </c>
      <c r="K214" s="7">
        <v>1.3238000000000001</v>
      </c>
      <c r="L214" s="7">
        <v>0.95479999999999998</v>
      </c>
      <c r="M214" s="8">
        <v>35.942900000000002</v>
      </c>
      <c r="N214" s="8">
        <v>-29.096599999999999</v>
      </c>
      <c r="O214" s="7">
        <v>-21.626200000000001</v>
      </c>
      <c r="P214" s="7">
        <v>1965.9049</v>
      </c>
      <c r="Q214" s="7">
        <v>1793.0751</v>
      </c>
      <c r="R214" s="7" t="str">
        <f t="shared" si="46"/>
        <v>Up</v>
      </c>
      <c r="S214" s="7" t="str">
        <f t="shared" si="47"/>
        <v>Hold</v>
      </c>
      <c r="T214" s="8">
        <f t="shared" si="48"/>
        <v>0.11777471264367813</v>
      </c>
      <c r="U214" s="18">
        <f t="shared" si="49"/>
        <v>4067199</v>
      </c>
      <c r="V214" s="7">
        <f t="shared" si="50"/>
        <v>5586.2002000000002</v>
      </c>
      <c r="W214" s="7">
        <f t="shared" si="51"/>
        <v>1615.1</v>
      </c>
      <c r="X214" s="7">
        <f t="shared" si="52"/>
        <v>1824.9</v>
      </c>
      <c r="Y214" s="7">
        <f t="shared" si="53"/>
        <v>416</v>
      </c>
      <c r="Z214" s="7">
        <f t="shared" si="54"/>
        <v>1365863</v>
      </c>
      <c r="AA214" s="7" t="str">
        <f t="shared" si="55"/>
        <v>17-May-2022</v>
      </c>
      <c r="AB214" s="7">
        <f t="shared" si="56"/>
        <v>1824.9</v>
      </c>
      <c r="AC214" s="7">
        <f t="shared" si="60"/>
        <v>1</v>
      </c>
      <c r="AD214" s="7">
        <f t="shared" si="57"/>
        <v>2022</v>
      </c>
      <c r="AE214" s="19">
        <f t="shared" si="58"/>
        <v>1.92</v>
      </c>
      <c r="BA214" s="10">
        <f t="shared" si="59"/>
        <v>80.523600000000002</v>
      </c>
    </row>
    <row r="215" spans="1:53" x14ac:dyDescent="0.3">
      <c r="A215" s="17">
        <v>44699</v>
      </c>
      <c r="B215" s="8">
        <v>1815.9</v>
      </c>
      <c r="C215" s="7">
        <v>1819.7</v>
      </c>
      <c r="D215" s="7">
        <v>1805</v>
      </c>
      <c r="E215" s="7">
        <v>1815</v>
      </c>
      <c r="F215" s="18">
        <v>311</v>
      </c>
      <c r="G215" s="7">
        <v>1826.6572000000001</v>
      </c>
      <c r="H215" s="7">
        <v>1898.76</v>
      </c>
      <c r="I215" s="7">
        <v>1889.5445</v>
      </c>
      <c r="J215" s="8">
        <v>-0.54249999999999998</v>
      </c>
      <c r="K215" s="7">
        <v>1.3251999999999999</v>
      </c>
      <c r="L215" s="7">
        <v>0.95279999999999998</v>
      </c>
      <c r="M215" s="8">
        <v>36.520400000000002</v>
      </c>
      <c r="N215" s="8">
        <v>-29.753699999999998</v>
      </c>
      <c r="O215" s="7">
        <v>-23.2517</v>
      </c>
      <c r="P215" s="7">
        <v>1958.0915</v>
      </c>
      <c r="Q215" s="7">
        <v>1787.8386</v>
      </c>
      <c r="R215" s="7" t="str">
        <f t="shared" si="46"/>
        <v>Down</v>
      </c>
      <c r="S215" s="7" t="str">
        <f t="shared" si="47"/>
        <v>Hold</v>
      </c>
      <c r="T215" s="8">
        <f t="shared" si="48"/>
        <v>0.11588817991631792</v>
      </c>
      <c r="U215" s="18">
        <f t="shared" si="49"/>
        <v>4067078</v>
      </c>
      <c r="V215" s="7">
        <f t="shared" si="50"/>
        <v>5586.2002000000002</v>
      </c>
      <c r="W215" s="7">
        <f t="shared" si="51"/>
        <v>1615.1</v>
      </c>
      <c r="X215" s="7">
        <f t="shared" si="52"/>
        <v>1815</v>
      </c>
      <c r="Y215" s="7">
        <f t="shared" si="53"/>
        <v>415</v>
      </c>
      <c r="Z215" s="7">
        <f t="shared" si="54"/>
        <v>1365742</v>
      </c>
      <c r="AA215" s="7" t="str">
        <f t="shared" si="55"/>
        <v>18-May-2022</v>
      </c>
      <c r="AB215" s="7">
        <f t="shared" si="56"/>
        <v>1815</v>
      </c>
      <c r="AC215" s="7">
        <f t="shared" si="60"/>
        <v>1</v>
      </c>
      <c r="AD215" s="7">
        <f t="shared" si="57"/>
        <v>2022</v>
      </c>
      <c r="AE215" s="19">
        <f t="shared" si="58"/>
        <v>-0.54</v>
      </c>
      <c r="BA215" s="10">
        <f t="shared" si="59"/>
        <v>80.523600000000002</v>
      </c>
    </row>
    <row r="216" spans="1:53" x14ac:dyDescent="0.3">
      <c r="A216" s="17">
        <v>44700</v>
      </c>
      <c r="B216" s="8">
        <v>1841.2</v>
      </c>
      <c r="C216" s="7">
        <v>1841.2</v>
      </c>
      <c r="D216" s="7">
        <v>1810.7</v>
      </c>
      <c r="E216" s="7">
        <v>1810.9</v>
      </c>
      <c r="F216" s="18">
        <v>138</v>
      </c>
      <c r="G216" s="7">
        <v>1822.5143</v>
      </c>
      <c r="H216" s="7">
        <v>1895.2333000000001</v>
      </c>
      <c r="I216" s="7">
        <v>1889.7221999999999</v>
      </c>
      <c r="J216" s="8">
        <v>-0.22589999999999999</v>
      </c>
      <c r="K216" s="7">
        <v>1.2436</v>
      </c>
      <c r="L216" s="7">
        <v>0.9506</v>
      </c>
      <c r="M216" s="8">
        <v>30.9068</v>
      </c>
      <c r="N216" s="8">
        <v>-30.256499999999999</v>
      </c>
      <c r="O216" s="7">
        <v>-24.652699999999999</v>
      </c>
      <c r="P216" s="7">
        <v>1949.1935000000001</v>
      </c>
      <c r="Q216" s="7">
        <v>1783.5764999999999</v>
      </c>
      <c r="R216" s="7" t="str">
        <f t="shared" si="46"/>
        <v>Down</v>
      </c>
      <c r="S216" s="7" t="str">
        <f t="shared" si="47"/>
        <v>Hold</v>
      </c>
      <c r="T216" s="8">
        <f t="shared" si="48"/>
        <v>0.11657759162303663</v>
      </c>
      <c r="U216" s="18">
        <f t="shared" si="49"/>
        <v>4066767</v>
      </c>
      <c r="V216" s="7">
        <f t="shared" si="50"/>
        <v>5586.2002000000002</v>
      </c>
      <c r="W216" s="7">
        <f t="shared" si="51"/>
        <v>1615.1</v>
      </c>
      <c r="X216" s="7">
        <f t="shared" si="52"/>
        <v>1810.9</v>
      </c>
      <c r="Y216" s="7">
        <f t="shared" si="53"/>
        <v>415</v>
      </c>
      <c r="Z216" s="7">
        <f t="shared" si="54"/>
        <v>1365742</v>
      </c>
      <c r="AA216" s="7" t="str">
        <f t="shared" si="55"/>
        <v>19-May-2022</v>
      </c>
      <c r="AB216" s="7">
        <f t="shared" si="56"/>
        <v>1810.9</v>
      </c>
      <c r="AC216" s="7">
        <f t="shared" si="60"/>
        <v>1</v>
      </c>
      <c r="AD216" s="7">
        <f t="shared" si="57"/>
        <v>2022</v>
      </c>
      <c r="AE216" s="19">
        <f t="shared" si="58"/>
        <v>-0.23</v>
      </c>
      <c r="BA216" s="10">
        <f t="shared" si="59"/>
        <v>80.523600000000002</v>
      </c>
    </row>
    <row r="217" spans="1:53" x14ac:dyDescent="0.3">
      <c r="A217" s="17">
        <v>44701</v>
      </c>
      <c r="B217" s="8">
        <v>1841.8</v>
      </c>
      <c r="C217" s="7">
        <v>1841.8</v>
      </c>
      <c r="D217" s="7">
        <v>1836.3</v>
      </c>
      <c r="E217" s="7">
        <v>1839.1</v>
      </c>
      <c r="F217" s="18">
        <v>110</v>
      </c>
      <c r="G217" s="7">
        <v>1822.1713999999999</v>
      </c>
      <c r="H217" s="7">
        <v>1892.5533</v>
      </c>
      <c r="I217" s="7">
        <v>1890.1133</v>
      </c>
      <c r="J217" s="8">
        <v>1.5571999999999999</v>
      </c>
      <c r="K217" s="7">
        <v>1.4162999999999999</v>
      </c>
      <c r="L217" s="7">
        <v>1.0011000000000001</v>
      </c>
      <c r="M217" s="8">
        <v>39.032800000000002</v>
      </c>
      <c r="N217" s="8">
        <v>-28.056100000000001</v>
      </c>
      <c r="O217" s="7">
        <v>-25.333400000000001</v>
      </c>
      <c r="P217" s="7">
        <v>1934.5324000000001</v>
      </c>
      <c r="Q217" s="7">
        <v>1787.1876</v>
      </c>
      <c r="R217" s="7" t="str">
        <f t="shared" si="46"/>
        <v>Down</v>
      </c>
      <c r="S217" s="7" t="str">
        <f t="shared" si="47"/>
        <v>Hold</v>
      </c>
      <c r="T217" s="8">
        <f t="shared" si="48"/>
        <v>0.1169365828092243</v>
      </c>
      <c r="U217" s="18">
        <f t="shared" si="49"/>
        <v>4066629</v>
      </c>
      <c r="V217" s="7">
        <f t="shared" si="50"/>
        <v>5586.2002000000002</v>
      </c>
      <c r="W217" s="7">
        <f t="shared" si="51"/>
        <v>1615.1</v>
      </c>
      <c r="X217" s="7">
        <f t="shared" si="52"/>
        <v>1839.1</v>
      </c>
      <c r="Y217" s="7">
        <f t="shared" si="53"/>
        <v>415</v>
      </c>
      <c r="Z217" s="7">
        <f t="shared" si="54"/>
        <v>1365742</v>
      </c>
      <c r="AA217" s="7" t="str">
        <f t="shared" si="55"/>
        <v>20-May-2022</v>
      </c>
      <c r="AB217" s="7">
        <f t="shared" si="56"/>
        <v>1839.1</v>
      </c>
      <c r="AC217" s="7">
        <f t="shared" si="60"/>
        <v>1</v>
      </c>
      <c r="AD217" s="7">
        <f t="shared" si="57"/>
        <v>2022</v>
      </c>
      <c r="AE217" s="19">
        <f t="shared" si="58"/>
        <v>1.56</v>
      </c>
      <c r="BA217" s="10">
        <f t="shared" si="59"/>
        <v>80.523600000000002</v>
      </c>
    </row>
    <row r="218" spans="1:53" x14ac:dyDescent="0.3">
      <c r="A218" s="17">
        <v>44704</v>
      </c>
      <c r="B218" s="8">
        <v>1847.8</v>
      </c>
      <c r="C218" s="7">
        <v>1863</v>
      </c>
      <c r="D218" s="7">
        <v>1845.8</v>
      </c>
      <c r="E218" s="7">
        <v>1846.3</v>
      </c>
      <c r="F218" s="18">
        <v>216</v>
      </c>
      <c r="G218" s="7">
        <v>1821.6713999999999</v>
      </c>
      <c r="H218" s="7">
        <v>1889.8033</v>
      </c>
      <c r="I218" s="7">
        <v>1890.4167</v>
      </c>
      <c r="J218" s="8">
        <v>0.39150000000000001</v>
      </c>
      <c r="K218" s="7">
        <v>1.4132</v>
      </c>
      <c r="L218" s="7">
        <v>0.99929999999999997</v>
      </c>
      <c r="M218" s="8">
        <v>45.349299999999999</v>
      </c>
      <c r="N218" s="8">
        <v>-25.438099999999999</v>
      </c>
      <c r="O218" s="7">
        <v>-25.354299999999999</v>
      </c>
      <c r="P218" s="7">
        <v>1924.3116</v>
      </c>
      <c r="Q218" s="7">
        <v>1789.5383999999999</v>
      </c>
      <c r="R218" s="7" t="str">
        <f t="shared" si="46"/>
        <v>Down</v>
      </c>
      <c r="S218" s="7" t="str">
        <f t="shared" si="47"/>
        <v>Hold</v>
      </c>
      <c r="T218" s="8">
        <f t="shared" si="48"/>
        <v>0.11542528856243434</v>
      </c>
      <c r="U218" s="18">
        <f t="shared" si="49"/>
        <v>4066519</v>
      </c>
      <c r="V218" s="7">
        <f t="shared" si="50"/>
        <v>5586.2002000000002</v>
      </c>
      <c r="W218" s="7">
        <f t="shared" si="51"/>
        <v>1615.1</v>
      </c>
      <c r="X218" s="7">
        <f t="shared" si="52"/>
        <v>1846.3</v>
      </c>
      <c r="Y218" s="7">
        <f t="shared" si="53"/>
        <v>415</v>
      </c>
      <c r="Z218" s="7">
        <f t="shared" si="54"/>
        <v>1365742</v>
      </c>
      <c r="AA218" s="7" t="str">
        <f t="shared" si="55"/>
        <v>23-May-2022</v>
      </c>
      <c r="AB218" s="7">
        <f t="shared" si="56"/>
        <v>1846.3</v>
      </c>
      <c r="AC218" s="7">
        <f t="shared" si="60"/>
        <v>1</v>
      </c>
      <c r="AD218" s="7">
        <f t="shared" si="57"/>
        <v>2022</v>
      </c>
      <c r="AE218" s="19">
        <f t="shared" si="58"/>
        <v>0.39</v>
      </c>
      <c r="BA218" s="10">
        <f t="shared" si="59"/>
        <v>80.523600000000002</v>
      </c>
    </row>
    <row r="219" spans="1:53" x14ac:dyDescent="0.3">
      <c r="A219" s="17">
        <v>44705</v>
      </c>
      <c r="B219" s="8">
        <v>1865.1</v>
      </c>
      <c r="C219" s="7">
        <v>1867</v>
      </c>
      <c r="D219" s="7">
        <v>1852.5</v>
      </c>
      <c r="E219" s="7">
        <v>1852.5</v>
      </c>
      <c r="F219" s="18">
        <v>33</v>
      </c>
      <c r="G219" s="7">
        <v>1825.6</v>
      </c>
      <c r="H219" s="7">
        <v>1886.6667</v>
      </c>
      <c r="I219" s="7">
        <v>1890.78</v>
      </c>
      <c r="J219" s="8">
        <v>0.33579999999999999</v>
      </c>
      <c r="K219" s="7">
        <v>1.2884</v>
      </c>
      <c r="L219" s="7">
        <v>0.98340000000000005</v>
      </c>
      <c r="M219" s="8">
        <v>47.056399999999996</v>
      </c>
      <c r="N219" s="8">
        <v>-22.602399999999999</v>
      </c>
      <c r="O219" s="7">
        <v>-24.803899999999999</v>
      </c>
      <c r="P219" s="7">
        <v>1918.7207000000001</v>
      </c>
      <c r="Q219" s="7">
        <v>1790.3293000000001</v>
      </c>
      <c r="R219" s="7" t="str">
        <f t="shared" si="46"/>
        <v>Down</v>
      </c>
      <c r="S219" s="7" t="str">
        <f t="shared" si="47"/>
        <v>Hold</v>
      </c>
      <c r="T219" s="8">
        <f t="shared" si="48"/>
        <v>0.11513529411764697</v>
      </c>
      <c r="U219" s="18">
        <f t="shared" si="49"/>
        <v>4066303</v>
      </c>
      <c r="V219" s="7">
        <f t="shared" si="50"/>
        <v>5586.2002000000002</v>
      </c>
      <c r="W219" s="7">
        <f t="shared" si="51"/>
        <v>1615.1</v>
      </c>
      <c r="X219" s="7">
        <f t="shared" si="52"/>
        <v>1852.5</v>
      </c>
      <c r="Y219" s="7">
        <f t="shared" si="53"/>
        <v>415</v>
      </c>
      <c r="Z219" s="7">
        <f t="shared" si="54"/>
        <v>1365742</v>
      </c>
      <c r="AA219" s="7" t="str">
        <f t="shared" si="55"/>
        <v>24-May-2022</v>
      </c>
      <c r="AB219" s="7">
        <f t="shared" si="56"/>
        <v>1852.5</v>
      </c>
      <c r="AC219" s="7">
        <f t="shared" si="60"/>
        <v>1</v>
      </c>
      <c r="AD219" s="7">
        <f t="shared" si="57"/>
        <v>2022</v>
      </c>
      <c r="AE219" s="19">
        <f t="shared" si="58"/>
        <v>0.34</v>
      </c>
      <c r="BA219" s="10">
        <f t="shared" si="59"/>
        <v>80.523600000000002</v>
      </c>
    </row>
    <row r="220" spans="1:53" x14ac:dyDescent="0.3">
      <c r="A220" s="17">
        <v>44706</v>
      </c>
      <c r="B220" s="8">
        <v>1846.2</v>
      </c>
      <c r="C220" s="7">
        <v>1846.2</v>
      </c>
      <c r="D220" s="7">
        <v>1846.2</v>
      </c>
      <c r="E220" s="7">
        <v>1846.2</v>
      </c>
      <c r="F220" s="18">
        <v>0</v>
      </c>
      <c r="G220" s="7">
        <v>1833.5571</v>
      </c>
      <c r="H220" s="7">
        <v>1883.1233</v>
      </c>
      <c r="I220" s="7">
        <v>1891.0545</v>
      </c>
      <c r="J220" s="8">
        <v>-0.34010000000000001</v>
      </c>
      <c r="K220" s="7">
        <v>0.95509999999999995</v>
      </c>
      <c r="L220" s="7">
        <v>0.97989999999999999</v>
      </c>
      <c r="M220" s="8">
        <v>38.589399999999998</v>
      </c>
      <c r="N220" s="8">
        <v>-20.625699999999998</v>
      </c>
      <c r="O220" s="7">
        <v>-23.968299999999999</v>
      </c>
      <c r="P220" s="7">
        <v>1912.8825999999999</v>
      </c>
      <c r="Q220" s="7">
        <v>1791.0074</v>
      </c>
      <c r="R220" s="7" t="str">
        <f t="shared" si="46"/>
        <v>Down</v>
      </c>
      <c r="S220" s="7" t="str">
        <f t="shared" si="47"/>
        <v>Hold</v>
      </c>
      <c r="T220" s="8">
        <f t="shared" si="48"/>
        <v>0.11490325972660348</v>
      </c>
      <c r="U220" s="18">
        <f t="shared" si="49"/>
        <v>4066270</v>
      </c>
      <c r="V220" s="7">
        <f t="shared" si="50"/>
        <v>5586.2002000000002</v>
      </c>
      <c r="W220" s="7">
        <f t="shared" si="51"/>
        <v>1615.1</v>
      </c>
      <c r="X220" s="7">
        <f t="shared" si="52"/>
        <v>1846.2</v>
      </c>
      <c r="Y220" s="7">
        <f t="shared" si="53"/>
        <v>415</v>
      </c>
      <c r="Z220" s="7">
        <f t="shared" si="54"/>
        <v>1365742</v>
      </c>
      <c r="AA220" s="7" t="str">
        <f t="shared" si="55"/>
        <v>25-May-2022</v>
      </c>
      <c r="AB220" s="7">
        <f t="shared" si="56"/>
        <v>1846.2</v>
      </c>
      <c r="AC220" s="7">
        <f t="shared" si="60"/>
        <v>1</v>
      </c>
      <c r="AD220" s="7">
        <f t="shared" si="57"/>
        <v>2022</v>
      </c>
      <c r="AE220" s="19">
        <f t="shared" si="58"/>
        <v>-0.34</v>
      </c>
      <c r="BA220" s="10">
        <f t="shared" si="59"/>
        <v>80.523600000000002</v>
      </c>
    </row>
    <row r="221" spans="1:53" x14ac:dyDescent="0.3">
      <c r="A221" s="17">
        <v>44707</v>
      </c>
      <c r="B221" s="8">
        <v>1847.4</v>
      </c>
      <c r="C221" s="7">
        <v>1847.4</v>
      </c>
      <c r="D221" s="7">
        <v>1840.4</v>
      </c>
      <c r="E221" s="7">
        <v>1840.4</v>
      </c>
      <c r="F221" s="18">
        <v>123355</v>
      </c>
      <c r="G221" s="7">
        <v>1835.7714000000001</v>
      </c>
      <c r="H221" s="7">
        <v>1878.82</v>
      </c>
      <c r="I221" s="7">
        <v>1891.3167000000001</v>
      </c>
      <c r="J221" s="8">
        <v>-0.31419999999999998</v>
      </c>
      <c r="K221" s="7">
        <v>0.72389999999999999</v>
      </c>
      <c r="L221" s="7">
        <v>0.9597</v>
      </c>
      <c r="M221" s="8">
        <v>41.678800000000003</v>
      </c>
      <c r="N221" s="8">
        <v>-19.3047</v>
      </c>
      <c r="O221" s="7">
        <v>-23.035599999999999</v>
      </c>
      <c r="P221" s="7">
        <v>1909.0033000000001</v>
      </c>
      <c r="Q221" s="7">
        <v>1790.5467000000001</v>
      </c>
      <c r="R221" s="7" t="str">
        <f t="shared" si="46"/>
        <v>Down</v>
      </c>
      <c r="S221" s="7" t="str">
        <f t="shared" si="47"/>
        <v>Hold</v>
      </c>
      <c r="T221" s="8">
        <f t="shared" si="48"/>
        <v>0.1153822105263157</v>
      </c>
      <c r="U221" s="18">
        <f t="shared" si="49"/>
        <v>4066270</v>
      </c>
      <c r="V221" s="7">
        <f t="shared" si="50"/>
        <v>5586.2002000000002</v>
      </c>
      <c r="W221" s="7">
        <f t="shared" si="51"/>
        <v>1615.1</v>
      </c>
      <c r="X221" s="7">
        <f t="shared" si="52"/>
        <v>1840.4</v>
      </c>
      <c r="Y221" s="7">
        <f t="shared" si="53"/>
        <v>415</v>
      </c>
      <c r="Z221" s="7">
        <f t="shared" si="54"/>
        <v>1365742</v>
      </c>
      <c r="AA221" s="7" t="str">
        <f t="shared" si="55"/>
        <v>26-May-2022</v>
      </c>
      <c r="AB221" s="7">
        <f t="shared" si="56"/>
        <v>1840.4</v>
      </c>
      <c r="AC221" s="7">
        <f t="shared" si="60"/>
        <v>1</v>
      </c>
      <c r="AD221" s="7">
        <f t="shared" si="57"/>
        <v>2022</v>
      </c>
      <c r="AE221" s="19">
        <f t="shared" si="58"/>
        <v>-0.31</v>
      </c>
      <c r="BA221" s="10">
        <f t="shared" si="59"/>
        <v>80.523600000000002</v>
      </c>
    </row>
    <row r="222" spans="1:53" x14ac:dyDescent="0.3">
      <c r="A222" s="17">
        <v>44708</v>
      </c>
      <c r="B222" s="8">
        <v>1851.3</v>
      </c>
      <c r="C222" s="7">
        <v>1860.7</v>
      </c>
      <c r="D222" s="7">
        <v>1845.9</v>
      </c>
      <c r="E222" s="7">
        <v>1848.3</v>
      </c>
      <c r="F222" s="18">
        <v>30091</v>
      </c>
      <c r="G222" s="7">
        <v>1840.5286000000001</v>
      </c>
      <c r="H222" s="7">
        <v>1874.5233000000001</v>
      </c>
      <c r="I222" s="7">
        <v>1891.66</v>
      </c>
      <c r="J222" s="8">
        <v>0.42930000000000001</v>
      </c>
      <c r="K222" s="7">
        <v>0.66590000000000005</v>
      </c>
      <c r="L222" s="7">
        <v>0.96060000000000001</v>
      </c>
      <c r="M222" s="8">
        <v>45.556100000000001</v>
      </c>
      <c r="N222" s="8">
        <v>-17.419499999999999</v>
      </c>
      <c r="O222" s="7">
        <v>-21.912299999999998</v>
      </c>
      <c r="P222" s="7">
        <v>1900.7914000000001</v>
      </c>
      <c r="Q222" s="7">
        <v>1793.3186000000001</v>
      </c>
      <c r="R222" s="7" t="str">
        <f t="shared" si="46"/>
        <v>Down</v>
      </c>
      <c r="S222" s="7" t="str">
        <f t="shared" si="47"/>
        <v>Hold</v>
      </c>
      <c r="T222" s="8">
        <f t="shared" si="48"/>
        <v>0.11583487881981026</v>
      </c>
      <c r="U222" s="18">
        <f t="shared" si="49"/>
        <v>3942915</v>
      </c>
      <c r="V222" s="7">
        <f t="shared" si="50"/>
        <v>5586.2002000000002</v>
      </c>
      <c r="W222" s="7">
        <f t="shared" si="51"/>
        <v>1615.1</v>
      </c>
      <c r="X222" s="7">
        <f t="shared" si="52"/>
        <v>1848.3</v>
      </c>
      <c r="Y222" s="7">
        <f t="shared" si="53"/>
        <v>415</v>
      </c>
      <c r="Z222" s="7">
        <f t="shared" si="54"/>
        <v>1365742</v>
      </c>
      <c r="AA222" s="7" t="str">
        <f t="shared" si="55"/>
        <v>27-May-2022</v>
      </c>
      <c r="AB222" s="7">
        <f t="shared" si="56"/>
        <v>1848.3</v>
      </c>
      <c r="AC222" s="7">
        <f t="shared" si="60"/>
        <v>1</v>
      </c>
      <c r="AD222" s="7">
        <f t="shared" si="57"/>
        <v>2022</v>
      </c>
      <c r="AE222" s="19">
        <f t="shared" si="58"/>
        <v>0.43</v>
      </c>
      <c r="BA222" s="10">
        <f t="shared" si="59"/>
        <v>80.523600000000002</v>
      </c>
    </row>
    <row r="223" spans="1:53" x14ac:dyDescent="0.3">
      <c r="A223" s="17">
        <v>44712</v>
      </c>
      <c r="B223" s="8">
        <v>1842.7</v>
      </c>
      <c r="C223" s="7">
        <v>1862.1</v>
      </c>
      <c r="D223" s="7">
        <v>1832.8</v>
      </c>
      <c r="E223" s="7">
        <v>1850.3</v>
      </c>
      <c r="F223" s="18">
        <v>4073</v>
      </c>
      <c r="G223" s="7">
        <v>1846.1572000000001</v>
      </c>
      <c r="H223" s="7">
        <v>1870.42</v>
      </c>
      <c r="I223" s="7">
        <v>1891.7678000000001</v>
      </c>
      <c r="J223" s="8">
        <v>0.1082</v>
      </c>
      <c r="K223" s="7">
        <v>0.63639999999999997</v>
      </c>
      <c r="L223" s="7">
        <v>0.96240000000000003</v>
      </c>
      <c r="M223" s="8">
        <v>52.869799999999998</v>
      </c>
      <c r="N223" s="8">
        <v>-15.5844</v>
      </c>
      <c r="O223" s="7">
        <v>-20.646699999999999</v>
      </c>
      <c r="P223" s="7">
        <v>1893.1941999999999</v>
      </c>
      <c r="Q223" s="7">
        <v>1796.2757999999999</v>
      </c>
      <c r="R223" s="7" t="str">
        <f t="shared" si="46"/>
        <v>Up</v>
      </c>
      <c r="S223" s="7" t="str">
        <f t="shared" si="47"/>
        <v>Hold</v>
      </c>
      <c r="T223" s="8">
        <f t="shared" si="48"/>
        <v>0.11550421940928263</v>
      </c>
      <c r="U223" s="18">
        <f t="shared" si="49"/>
        <v>3912824</v>
      </c>
      <c r="V223" s="7">
        <f t="shared" si="50"/>
        <v>5586.2002000000002</v>
      </c>
      <c r="W223" s="7">
        <f t="shared" si="51"/>
        <v>1615.1</v>
      </c>
      <c r="X223" s="7">
        <f t="shared" si="52"/>
        <v>1850.3</v>
      </c>
      <c r="Y223" s="7">
        <f t="shared" si="53"/>
        <v>415</v>
      </c>
      <c r="Z223" s="7">
        <f t="shared" si="54"/>
        <v>1365742</v>
      </c>
      <c r="AA223" s="7" t="str">
        <f t="shared" si="55"/>
        <v>31-May-2022</v>
      </c>
      <c r="AB223" s="7">
        <f t="shared" si="56"/>
        <v>1850.3</v>
      </c>
      <c r="AC223" s="7">
        <f t="shared" si="60"/>
        <v>1</v>
      </c>
      <c r="AD223" s="7">
        <f t="shared" si="57"/>
        <v>2022</v>
      </c>
      <c r="AE223" s="19">
        <f t="shared" si="58"/>
        <v>0.11</v>
      </c>
      <c r="BA223" s="10">
        <f t="shared" si="59"/>
        <v>80.523600000000002</v>
      </c>
    </row>
    <row r="224" spans="1:53" x14ac:dyDescent="0.3">
      <c r="A224" s="17">
        <v>44713</v>
      </c>
      <c r="B224" s="8">
        <v>1843.3</v>
      </c>
      <c r="C224" s="7">
        <v>1847.9</v>
      </c>
      <c r="D224" s="7">
        <v>1825.3</v>
      </c>
      <c r="E224" s="7">
        <v>1831</v>
      </c>
      <c r="F224" s="18">
        <v>1623</v>
      </c>
      <c r="G224" s="7">
        <v>1845</v>
      </c>
      <c r="H224" s="7">
        <v>1865.66</v>
      </c>
      <c r="I224" s="7">
        <v>1891.69</v>
      </c>
      <c r="J224" s="8">
        <v>-1.0430999999999999</v>
      </c>
      <c r="K224" s="7">
        <v>0.53820000000000001</v>
      </c>
      <c r="L224" s="7">
        <v>0.97319999999999995</v>
      </c>
      <c r="M224" s="8">
        <v>47.360500000000002</v>
      </c>
      <c r="N224" s="8">
        <v>-15.508599999999999</v>
      </c>
      <c r="O224" s="7">
        <v>-19.6191</v>
      </c>
      <c r="P224" s="7">
        <v>1890.2901999999999</v>
      </c>
      <c r="Q224" s="7">
        <v>1795.3997999999999</v>
      </c>
      <c r="R224" s="7" t="str">
        <f t="shared" si="46"/>
        <v>Down</v>
      </c>
      <c r="S224" s="7" t="str">
        <f t="shared" si="47"/>
        <v>Hold</v>
      </c>
      <c r="T224" s="8">
        <f t="shared" si="48"/>
        <v>0.1155119324181625</v>
      </c>
      <c r="U224" s="18">
        <f t="shared" si="49"/>
        <v>3908751</v>
      </c>
      <c r="V224" s="7">
        <f t="shared" si="50"/>
        <v>5586.2002000000002</v>
      </c>
      <c r="W224" s="7">
        <f t="shared" si="51"/>
        <v>1615.1</v>
      </c>
      <c r="X224" s="7">
        <f t="shared" si="52"/>
        <v>1831</v>
      </c>
      <c r="Y224" s="7">
        <f t="shared" si="53"/>
        <v>414</v>
      </c>
      <c r="Z224" s="7">
        <f t="shared" si="54"/>
        <v>1361669</v>
      </c>
      <c r="AA224" s="7" t="str">
        <f t="shared" si="55"/>
        <v>01-Jun-2022</v>
      </c>
      <c r="AB224" s="7">
        <f t="shared" si="56"/>
        <v>1831</v>
      </c>
      <c r="AC224" s="7">
        <f t="shared" si="60"/>
        <v>1</v>
      </c>
      <c r="AD224" s="7">
        <f t="shared" si="57"/>
        <v>2022</v>
      </c>
      <c r="AE224" s="19">
        <f t="shared" si="58"/>
        <v>-1.04</v>
      </c>
      <c r="BA224" s="10">
        <f t="shared" si="59"/>
        <v>80.523600000000002</v>
      </c>
    </row>
    <row r="225" spans="1:53" x14ac:dyDescent="0.3">
      <c r="A225" s="17">
        <v>44714</v>
      </c>
      <c r="B225" s="8">
        <v>1866.5</v>
      </c>
      <c r="C225" s="7">
        <v>1868.7</v>
      </c>
      <c r="D225" s="7">
        <v>1842.1</v>
      </c>
      <c r="E225" s="7">
        <v>1845.4</v>
      </c>
      <c r="F225" s="18">
        <v>551</v>
      </c>
      <c r="G225" s="7">
        <v>1844.8714</v>
      </c>
      <c r="H225" s="7">
        <v>1862.3233</v>
      </c>
      <c r="I225" s="7">
        <v>1891.7733000000001</v>
      </c>
      <c r="J225" s="8">
        <v>0.78649999999999998</v>
      </c>
      <c r="K225" s="7">
        <v>0.60960000000000003</v>
      </c>
      <c r="L225" s="7">
        <v>0.96409999999999996</v>
      </c>
      <c r="M225" s="8">
        <v>48.9268</v>
      </c>
      <c r="N225" s="8">
        <v>-14.123799999999999</v>
      </c>
      <c r="O225" s="7">
        <v>-18.520099999999999</v>
      </c>
      <c r="P225" s="7">
        <v>1887.8592000000001</v>
      </c>
      <c r="Q225" s="7">
        <v>1795.6708000000001</v>
      </c>
      <c r="R225" s="7" t="str">
        <f t="shared" si="46"/>
        <v>Down</v>
      </c>
      <c r="S225" s="7" t="str">
        <f t="shared" si="47"/>
        <v>Hold</v>
      </c>
      <c r="T225" s="8">
        <f t="shared" si="48"/>
        <v>0.11673668076109929</v>
      </c>
      <c r="U225" s="18">
        <f t="shared" si="49"/>
        <v>3907128</v>
      </c>
      <c r="V225" s="7">
        <f t="shared" si="50"/>
        <v>5586.2002000000002</v>
      </c>
      <c r="W225" s="7">
        <f t="shared" si="51"/>
        <v>1615.1</v>
      </c>
      <c r="X225" s="7">
        <f t="shared" si="52"/>
        <v>1845.4</v>
      </c>
      <c r="Y225" s="7">
        <f t="shared" si="53"/>
        <v>414</v>
      </c>
      <c r="Z225" s="7">
        <f t="shared" si="54"/>
        <v>1361669</v>
      </c>
      <c r="AA225" s="7" t="str">
        <f t="shared" si="55"/>
        <v>02-Jun-2022</v>
      </c>
      <c r="AB225" s="7">
        <f t="shared" si="56"/>
        <v>1845.4</v>
      </c>
      <c r="AC225" s="7">
        <f t="shared" si="60"/>
        <v>1</v>
      </c>
      <c r="AD225" s="7">
        <f t="shared" si="57"/>
        <v>2022</v>
      </c>
      <c r="AE225" s="19">
        <f t="shared" si="58"/>
        <v>0.79</v>
      </c>
      <c r="BA225" s="10">
        <f t="shared" si="59"/>
        <v>80.523600000000002</v>
      </c>
    </row>
    <row r="226" spans="1:53" x14ac:dyDescent="0.3">
      <c r="A226" s="17">
        <v>44715</v>
      </c>
      <c r="B226" s="8">
        <v>1845.4</v>
      </c>
      <c r="C226" s="7">
        <v>1871.8</v>
      </c>
      <c r="D226" s="7">
        <v>1845.4</v>
      </c>
      <c r="E226" s="7">
        <v>1867.6</v>
      </c>
      <c r="F226" s="18">
        <v>53</v>
      </c>
      <c r="G226" s="7">
        <v>1847.0286000000001</v>
      </c>
      <c r="H226" s="7">
        <v>1859.8267000000001</v>
      </c>
      <c r="I226" s="7">
        <v>1892.0467000000001</v>
      </c>
      <c r="J226" s="8">
        <v>1.2030000000000001</v>
      </c>
      <c r="K226" s="7">
        <v>0.76</v>
      </c>
      <c r="L226" s="7">
        <v>0.99619999999999997</v>
      </c>
      <c r="M226" s="8">
        <v>60.523699999999998</v>
      </c>
      <c r="N226" s="8">
        <v>-11.106999999999999</v>
      </c>
      <c r="O226" s="7">
        <v>-17.037500000000001</v>
      </c>
      <c r="P226" s="7">
        <v>1880.4671000000001</v>
      </c>
      <c r="Q226" s="7">
        <v>1800.1229000000001</v>
      </c>
      <c r="R226" s="7" t="str">
        <f t="shared" si="46"/>
        <v>Up</v>
      </c>
      <c r="S226" s="7" t="str">
        <f t="shared" si="47"/>
        <v>Hold</v>
      </c>
      <c r="T226" s="8">
        <f t="shared" si="48"/>
        <v>0.11602793650793641</v>
      </c>
      <c r="U226" s="18">
        <f t="shared" si="49"/>
        <v>3906577</v>
      </c>
      <c r="V226" s="7">
        <f t="shared" si="50"/>
        <v>5586.2002000000002</v>
      </c>
      <c r="W226" s="7">
        <f t="shared" si="51"/>
        <v>1615.1</v>
      </c>
      <c r="X226" s="7">
        <f t="shared" si="52"/>
        <v>1867.6</v>
      </c>
      <c r="Y226" s="7">
        <f t="shared" si="53"/>
        <v>414</v>
      </c>
      <c r="Z226" s="7">
        <f t="shared" si="54"/>
        <v>1361669</v>
      </c>
      <c r="AA226" s="7" t="str">
        <f t="shared" si="55"/>
        <v>03-Jun-2022</v>
      </c>
      <c r="AB226" s="7">
        <f t="shared" si="56"/>
        <v>1867.6</v>
      </c>
      <c r="AC226" s="7">
        <f t="shared" si="60"/>
        <v>1</v>
      </c>
      <c r="AD226" s="7">
        <f t="shared" si="57"/>
        <v>2022</v>
      </c>
      <c r="AE226" s="19">
        <f t="shared" si="58"/>
        <v>1.2</v>
      </c>
      <c r="BA226" s="10">
        <f t="shared" si="59"/>
        <v>80.523600000000002</v>
      </c>
    </row>
    <row r="227" spans="1:53" x14ac:dyDescent="0.3">
      <c r="A227" s="17">
        <v>44718</v>
      </c>
      <c r="B227" s="8">
        <v>1839.2</v>
      </c>
      <c r="C227" s="7">
        <v>1854.1</v>
      </c>
      <c r="D227" s="7">
        <v>1839.2</v>
      </c>
      <c r="E227" s="7">
        <v>1849</v>
      </c>
      <c r="F227" s="18">
        <v>142</v>
      </c>
      <c r="G227" s="7">
        <v>1847.4286</v>
      </c>
      <c r="H227" s="7">
        <v>1856.4733000000001</v>
      </c>
      <c r="I227" s="7">
        <v>1892.2589</v>
      </c>
      <c r="J227" s="8">
        <v>-0.99590000000000001</v>
      </c>
      <c r="K227" s="7">
        <v>0.85980000000000001</v>
      </c>
      <c r="L227" s="7">
        <v>1.004</v>
      </c>
      <c r="M227" s="8">
        <v>65.683599999999998</v>
      </c>
      <c r="N227" s="8">
        <v>-10.1006</v>
      </c>
      <c r="O227" s="7">
        <v>-15.6501</v>
      </c>
      <c r="P227" s="7">
        <v>1876.0721000000001</v>
      </c>
      <c r="Q227" s="7">
        <v>1801.9480000000001</v>
      </c>
      <c r="R227" s="7" t="str">
        <f t="shared" si="46"/>
        <v>Up</v>
      </c>
      <c r="S227" s="7" t="str">
        <f t="shared" si="47"/>
        <v>Hold</v>
      </c>
      <c r="T227" s="8">
        <f t="shared" si="48"/>
        <v>0.11487648305084737</v>
      </c>
      <c r="U227" s="18">
        <f t="shared" si="49"/>
        <v>3906524</v>
      </c>
      <c r="V227" s="7">
        <f t="shared" si="50"/>
        <v>5586.2002000000002</v>
      </c>
      <c r="W227" s="7">
        <f t="shared" si="51"/>
        <v>1615.1</v>
      </c>
      <c r="X227" s="7">
        <f t="shared" si="52"/>
        <v>1849</v>
      </c>
      <c r="Y227" s="7">
        <f t="shared" si="53"/>
        <v>413</v>
      </c>
      <c r="Z227" s="7">
        <f t="shared" si="54"/>
        <v>1361616</v>
      </c>
      <c r="AA227" s="7" t="str">
        <f t="shared" si="55"/>
        <v>06-Jun-2022</v>
      </c>
      <c r="AB227" s="7">
        <f t="shared" si="56"/>
        <v>1849</v>
      </c>
      <c r="AC227" s="7">
        <f t="shared" si="60"/>
        <v>1</v>
      </c>
      <c r="AD227" s="7">
        <f t="shared" si="57"/>
        <v>2022</v>
      </c>
      <c r="AE227" s="19">
        <f t="shared" si="58"/>
        <v>-1</v>
      </c>
      <c r="BA227" s="10">
        <f t="shared" si="59"/>
        <v>80.523600000000002</v>
      </c>
    </row>
    <row r="228" spans="1:53" x14ac:dyDescent="0.3">
      <c r="A228" s="17">
        <v>44719</v>
      </c>
      <c r="B228" s="8">
        <v>1847.5</v>
      </c>
      <c r="C228" s="7">
        <v>1851.6</v>
      </c>
      <c r="D228" s="7">
        <v>1835</v>
      </c>
      <c r="E228" s="7">
        <v>1836.9</v>
      </c>
      <c r="F228" s="18">
        <v>1168</v>
      </c>
      <c r="G228" s="7">
        <v>1846.9286</v>
      </c>
      <c r="H228" s="7">
        <v>1853.5367000000001</v>
      </c>
      <c r="I228" s="7">
        <v>1892.7433000000001</v>
      </c>
      <c r="J228" s="8">
        <v>-0.65439999999999998</v>
      </c>
      <c r="K228" s="7">
        <v>0.89119999999999999</v>
      </c>
      <c r="L228" s="7">
        <v>0.98729999999999996</v>
      </c>
      <c r="M228" s="8">
        <v>53.6541</v>
      </c>
      <c r="N228" s="8">
        <v>-10.1622</v>
      </c>
      <c r="O228" s="7">
        <v>-14.5525</v>
      </c>
      <c r="P228" s="7">
        <v>1872.2380000000001</v>
      </c>
      <c r="Q228" s="7">
        <v>1802.8119999999999</v>
      </c>
      <c r="R228" s="7" t="str">
        <f t="shared" si="46"/>
        <v>Down</v>
      </c>
      <c r="S228" s="7" t="str">
        <f t="shared" si="47"/>
        <v>Hold</v>
      </c>
      <c r="T228" s="8">
        <f t="shared" si="48"/>
        <v>0.11605440084835619</v>
      </c>
      <c r="U228" s="18">
        <f t="shared" si="49"/>
        <v>3906382</v>
      </c>
      <c r="V228" s="7">
        <f t="shared" si="50"/>
        <v>5586.2002000000002</v>
      </c>
      <c r="W228" s="7">
        <f t="shared" si="51"/>
        <v>1615.1</v>
      </c>
      <c r="X228" s="7">
        <f t="shared" si="52"/>
        <v>1836.9</v>
      </c>
      <c r="Y228" s="7">
        <f t="shared" si="53"/>
        <v>412</v>
      </c>
      <c r="Z228" s="7">
        <f t="shared" si="54"/>
        <v>1361474</v>
      </c>
      <c r="AA228" s="7" t="str">
        <f t="shared" si="55"/>
        <v>07-Jun-2022</v>
      </c>
      <c r="AB228" s="7">
        <f t="shared" si="56"/>
        <v>1836.9</v>
      </c>
      <c r="AC228" s="7">
        <f t="shared" si="60"/>
        <v>1</v>
      </c>
      <c r="AD228" s="7">
        <f t="shared" si="57"/>
        <v>2022</v>
      </c>
      <c r="AE228" s="19">
        <f t="shared" si="58"/>
        <v>-0.65</v>
      </c>
      <c r="BA228" s="10">
        <f t="shared" si="59"/>
        <v>80.523600000000002</v>
      </c>
    </row>
    <row r="229" spans="1:53" x14ac:dyDescent="0.3">
      <c r="A229" s="17">
        <v>44720</v>
      </c>
      <c r="B229" s="8">
        <v>1851.9</v>
      </c>
      <c r="C229" s="7">
        <v>1855</v>
      </c>
      <c r="D229" s="7">
        <v>1844.4</v>
      </c>
      <c r="E229" s="7">
        <v>1844.8</v>
      </c>
      <c r="F229" s="18">
        <v>218</v>
      </c>
      <c r="G229" s="7">
        <v>1846.4286</v>
      </c>
      <c r="H229" s="7">
        <v>1851.68</v>
      </c>
      <c r="I229" s="7">
        <v>1893.2689</v>
      </c>
      <c r="J229" s="8">
        <v>0.43009999999999998</v>
      </c>
      <c r="K229" s="7">
        <v>0.89129999999999998</v>
      </c>
      <c r="L229" s="7">
        <v>0.96940000000000004</v>
      </c>
      <c r="M229" s="8">
        <v>59.186199999999999</v>
      </c>
      <c r="N229" s="8">
        <v>-9.4643999999999995</v>
      </c>
      <c r="O229" s="7">
        <v>-13.5349</v>
      </c>
      <c r="P229" s="7">
        <v>1872.6224999999999</v>
      </c>
      <c r="Q229" s="7">
        <v>1802.9175</v>
      </c>
      <c r="R229" s="7" t="str">
        <f t="shared" si="46"/>
        <v>Down</v>
      </c>
      <c r="S229" s="7" t="str">
        <f t="shared" si="47"/>
        <v>Hold</v>
      </c>
      <c r="T229" s="8">
        <f t="shared" si="48"/>
        <v>0.1168722929936305</v>
      </c>
      <c r="U229" s="18">
        <f t="shared" si="49"/>
        <v>3905214</v>
      </c>
      <c r="V229" s="7">
        <f t="shared" si="50"/>
        <v>5586.2002000000002</v>
      </c>
      <c r="W229" s="7">
        <f t="shared" si="51"/>
        <v>1615.1</v>
      </c>
      <c r="X229" s="7">
        <f t="shared" si="52"/>
        <v>1844.8</v>
      </c>
      <c r="Y229" s="7">
        <f t="shared" si="53"/>
        <v>412</v>
      </c>
      <c r="Z229" s="7">
        <f t="shared" si="54"/>
        <v>1361474</v>
      </c>
      <c r="AA229" s="7" t="str">
        <f t="shared" si="55"/>
        <v>08-Jun-2022</v>
      </c>
      <c r="AB229" s="7">
        <f t="shared" si="56"/>
        <v>1844.8</v>
      </c>
      <c r="AC229" s="7">
        <f t="shared" si="60"/>
        <v>1</v>
      </c>
      <c r="AD229" s="7">
        <f t="shared" si="57"/>
        <v>2022</v>
      </c>
      <c r="AE229" s="19">
        <f t="shared" si="58"/>
        <v>0.43</v>
      </c>
      <c r="BA229" s="10">
        <f t="shared" si="59"/>
        <v>80.523600000000002</v>
      </c>
    </row>
    <row r="230" spans="1:53" x14ac:dyDescent="0.3">
      <c r="A230" s="17">
        <v>44721</v>
      </c>
      <c r="B230" s="8">
        <v>1848.8</v>
      </c>
      <c r="C230" s="7">
        <v>1850.1</v>
      </c>
      <c r="D230" s="7">
        <v>1837.9</v>
      </c>
      <c r="E230" s="7">
        <v>1846.1</v>
      </c>
      <c r="F230" s="18">
        <v>159</v>
      </c>
      <c r="G230" s="7">
        <v>1845.8286000000001</v>
      </c>
      <c r="H230" s="7">
        <v>1849.9567</v>
      </c>
      <c r="I230" s="7">
        <v>1893.9088999999999</v>
      </c>
      <c r="J230" s="8">
        <v>7.0499999999999993E-2</v>
      </c>
      <c r="K230" s="7">
        <v>0.89049999999999996</v>
      </c>
      <c r="L230" s="7">
        <v>0.9698</v>
      </c>
      <c r="M230" s="8">
        <v>61.041400000000003</v>
      </c>
      <c r="N230" s="8">
        <v>-8.7062000000000008</v>
      </c>
      <c r="O230" s="7">
        <v>-12.5692</v>
      </c>
      <c r="P230" s="7">
        <v>1873.0165</v>
      </c>
      <c r="Q230" s="7">
        <v>1802.9836</v>
      </c>
      <c r="R230" s="7" t="str">
        <f t="shared" si="46"/>
        <v>Down</v>
      </c>
      <c r="S230" s="7" t="str">
        <f t="shared" si="47"/>
        <v>Hold</v>
      </c>
      <c r="T230" s="8">
        <f t="shared" si="48"/>
        <v>0.11653942614240161</v>
      </c>
      <c r="U230" s="18">
        <f t="shared" si="49"/>
        <v>3904996</v>
      </c>
      <c r="V230" s="7">
        <f t="shared" si="50"/>
        <v>5586.2002000000002</v>
      </c>
      <c r="W230" s="7">
        <f t="shared" si="51"/>
        <v>1615.1</v>
      </c>
      <c r="X230" s="7">
        <f t="shared" si="52"/>
        <v>1846.1</v>
      </c>
      <c r="Y230" s="7">
        <f t="shared" si="53"/>
        <v>412</v>
      </c>
      <c r="Z230" s="7">
        <f t="shared" si="54"/>
        <v>1361474</v>
      </c>
      <c r="AA230" s="7" t="str">
        <f t="shared" si="55"/>
        <v>09-Jun-2022</v>
      </c>
      <c r="AB230" s="7">
        <f t="shared" si="56"/>
        <v>1846.1</v>
      </c>
      <c r="AC230" s="7">
        <f t="shared" si="60"/>
        <v>1</v>
      </c>
      <c r="AD230" s="7">
        <f t="shared" si="57"/>
        <v>2022</v>
      </c>
      <c r="AE230" s="19">
        <f t="shared" si="58"/>
        <v>7.0000000000000007E-2</v>
      </c>
      <c r="BA230" s="10">
        <f t="shared" si="59"/>
        <v>80.523600000000002</v>
      </c>
    </row>
    <row r="231" spans="1:53" x14ac:dyDescent="0.3">
      <c r="A231" s="17">
        <v>44722</v>
      </c>
      <c r="B231" s="8">
        <v>1871.5</v>
      </c>
      <c r="C231" s="7">
        <v>1875.6</v>
      </c>
      <c r="D231" s="7">
        <v>1823.9</v>
      </c>
      <c r="E231" s="7">
        <v>1842.7</v>
      </c>
      <c r="F231" s="18">
        <v>1490</v>
      </c>
      <c r="G231" s="7">
        <v>1847.5</v>
      </c>
      <c r="H231" s="7">
        <v>1848.5867000000001</v>
      </c>
      <c r="I231" s="7">
        <v>1894.4145000000001</v>
      </c>
      <c r="J231" s="8">
        <v>-0.1842</v>
      </c>
      <c r="K231" s="7">
        <v>0.77980000000000005</v>
      </c>
      <c r="L231" s="7">
        <v>0.96220000000000006</v>
      </c>
      <c r="M231" s="8">
        <v>51.337299999999999</v>
      </c>
      <c r="N231" s="8">
        <v>-8.2842000000000002</v>
      </c>
      <c r="O231" s="7">
        <v>-11.712199999999999</v>
      </c>
      <c r="P231" s="7">
        <v>1872.2998</v>
      </c>
      <c r="Q231" s="7">
        <v>1802.9902</v>
      </c>
      <c r="R231" s="7" t="str">
        <f t="shared" si="46"/>
        <v>Down</v>
      </c>
      <c r="S231" s="7" t="str">
        <f t="shared" si="47"/>
        <v>Hold</v>
      </c>
      <c r="T231" s="8">
        <f t="shared" si="48"/>
        <v>0.11658840425531908</v>
      </c>
      <c r="U231" s="18">
        <f t="shared" si="49"/>
        <v>3904837</v>
      </c>
      <c r="V231" s="7">
        <f t="shared" si="50"/>
        <v>5586.2002000000002</v>
      </c>
      <c r="W231" s="7">
        <f t="shared" si="51"/>
        <v>1615.1</v>
      </c>
      <c r="X231" s="7">
        <f t="shared" si="52"/>
        <v>1842.7</v>
      </c>
      <c r="Y231" s="7">
        <f t="shared" si="53"/>
        <v>412</v>
      </c>
      <c r="Z231" s="7">
        <f t="shared" si="54"/>
        <v>1361474</v>
      </c>
      <c r="AA231" s="7" t="str">
        <f t="shared" si="55"/>
        <v>10-Jun-2022</v>
      </c>
      <c r="AB231" s="7">
        <f t="shared" si="56"/>
        <v>1842.7</v>
      </c>
      <c r="AC231" s="7">
        <f t="shared" si="60"/>
        <v>1</v>
      </c>
      <c r="AD231" s="7">
        <f t="shared" si="57"/>
        <v>2022</v>
      </c>
      <c r="AE231" s="19">
        <f t="shared" si="58"/>
        <v>-0.18</v>
      </c>
      <c r="BA231" s="10">
        <f t="shared" si="59"/>
        <v>80.523600000000002</v>
      </c>
    </row>
    <row r="232" spans="1:53" x14ac:dyDescent="0.3">
      <c r="A232" s="17">
        <v>44725</v>
      </c>
      <c r="B232" s="8">
        <v>1828</v>
      </c>
      <c r="C232" s="7">
        <v>1873.8</v>
      </c>
      <c r="D232" s="7">
        <v>1818.7</v>
      </c>
      <c r="E232" s="7">
        <v>1873.8</v>
      </c>
      <c r="F232" s="18">
        <v>127</v>
      </c>
      <c r="G232" s="7">
        <v>1851.5571</v>
      </c>
      <c r="H232" s="7">
        <v>1847.6233</v>
      </c>
      <c r="I232" s="7">
        <v>1895.2589</v>
      </c>
      <c r="J232" s="8">
        <v>1.6877</v>
      </c>
      <c r="K232" s="7">
        <v>0.96550000000000002</v>
      </c>
      <c r="L232" s="7">
        <v>0.996</v>
      </c>
      <c r="M232" s="8">
        <v>58.6751</v>
      </c>
      <c r="N232" s="8">
        <v>-5.3781999999999996</v>
      </c>
      <c r="O232" s="7">
        <v>-10.445399999999999</v>
      </c>
      <c r="P232" s="7">
        <v>1877.7337</v>
      </c>
      <c r="Q232" s="7">
        <v>1802.4363000000001</v>
      </c>
      <c r="R232" s="7" t="str">
        <f t="shared" si="46"/>
        <v>Up</v>
      </c>
      <c r="S232" s="7" t="str">
        <f t="shared" si="47"/>
        <v>Hold</v>
      </c>
      <c r="T232" s="8">
        <f t="shared" si="48"/>
        <v>0.1169087326943556</v>
      </c>
      <c r="U232" s="18">
        <f t="shared" si="49"/>
        <v>3903347</v>
      </c>
      <c r="V232" s="7">
        <f t="shared" si="50"/>
        <v>5586.2002000000002</v>
      </c>
      <c r="W232" s="7">
        <f t="shared" si="51"/>
        <v>1615.1</v>
      </c>
      <c r="X232" s="7">
        <f t="shared" si="52"/>
        <v>1873.8</v>
      </c>
      <c r="Y232" s="7">
        <f t="shared" si="53"/>
        <v>412</v>
      </c>
      <c r="Z232" s="7">
        <f t="shared" si="54"/>
        <v>1361474</v>
      </c>
      <c r="AA232" s="7" t="str">
        <f t="shared" si="55"/>
        <v>13-Jun-2022</v>
      </c>
      <c r="AB232" s="7">
        <f t="shared" si="56"/>
        <v>1873.8</v>
      </c>
      <c r="AC232" s="7">
        <f t="shared" si="60"/>
        <v>1</v>
      </c>
      <c r="AD232" s="7">
        <f t="shared" si="57"/>
        <v>2022</v>
      </c>
      <c r="AE232" s="19">
        <f t="shared" si="58"/>
        <v>1.69</v>
      </c>
      <c r="BA232" s="10">
        <f t="shared" si="59"/>
        <v>80.523600000000002</v>
      </c>
    </row>
    <row r="233" spans="1:53" x14ac:dyDescent="0.3">
      <c r="A233" s="17">
        <v>44726</v>
      </c>
      <c r="B233" s="8">
        <v>1809.5</v>
      </c>
      <c r="C233" s="7">
        <v>1825.5</v>
      </c>
      <c r="D233" s="7">
        <v>1805.3</v>
      </c>
      <c r="E233" s="7">
        <v>1825</v>
      </c>
      <c r="F233" s="18">
        <v>536</v>
      </c>
      <c r="G233" s="7">
        <v>1845.4713999999999</v>
      </c>
      <c r="H233" s="7">
        <v>1845.2333000000001</v>
      </c>
      <c r="I233" s="7">
        <v>1895.4721999999999</v>
      </c>
      <c r="J233" s="8">
        <v>-2.6042999999999998</v>
      </c>
      <c r="K233" s="7">
        <v>1.3261000000000001</v>
      </c>
      <c r="L233" s="7">
        <v>1.0996999999999999</v>
      </c>
      <c r="M233" s="8">
        <v>43.162599999999998</v>
      </c>
      <c r="N233" s="8">
        <v>-6.9329999999999998</v>
      </c>
      <c r="O233" s="7">
        <v>-9.7429000000000006</v>
      </c>
      <c r="P233" s="7">
        <v>1872.3907999999999</v>
      </c>
      <c r="Q233" s="7">
        <v>1811.2292</v>
      </c>
      <c r="R233" s="7" t="str">
        <f t="shared" si="46"/>
        <v>Up</v>
      </c>
      <c r="S233" s="7" t="str">
        <f t="shared" si="47"/>
        <v>Hold</v>
      </c>
      <c r="T233" s="8">
        <f t="shared" si="48"/>
        <v>0.11523411513859265</v>
      </c>
      <c r="U233" s="18">
        <f t="shared" si="49"/>
        <v>3903220</v>
      </c>
      <c r="V233" s="7">
        <f t="shared" si="50"/>
        <v>5586.2002000000002</v>
      </c>
      <c r="W233" s="7">
        <f t="shared" si="51"/>
        <v>1615.1</v>
      </c>
      <c r="X233" s="7">
        <f t="shared" si="52"/>
        <v>1825</v>
      </c>
      <c r="Y233" s="7">
        <f t="shared" si="53"/>
        <v>411</v>
      </c>
      <c r="Z233" s="7">
        <f t="shared" si="54"/>
        <v>1361347</v>
      </c>
      <c r="AA233" s="7" t="str">
        <f t="shared" si="55"/>
        <v>14-Jun-2022</v>
      </c>
      <c r="AB233" s="7">
        <f t="shared" si="56"/>
        <v>1825</v>
      </c>
      <c r="AC233" s="7">
        <f t="shared" si="60"/>
        <v>1</v>
      </c>
      <c r="AD233" s="7">
        <f t="shared" si="57"/>
        <v>2022</v>
      </c>
      <c r="AE233" s="19">
        <f t="shared" si="58"/>
        <v>-2.6</v>
      </c>
      <c r="BA233" s="10">
        <f t="shared" si="59"/>
        <v>80.523600000000002</v>
      </c>
    </row>
    <row r="234" spans="1:53" x14ac:dyDescent="0.3">
      <c r="A234" s="17">
        <v>44727</v>
      </c>
      <c r="B234" s="8">
        <v>1815.3</v>
      </c>
      <c r="C234" s="7">
        <v>1839</v>
      </c>
      <c r="D234" s="7">
        <v>1810.8</v>
      </c>
      <c r="E234" s="7">
        <v>1814.1</v>
      </c>
      <c r="F234" s="18">
        <v>108</v>
      </c>
      <c r="G234" s="7">
        <v>1840.4857</v>
      </c>
      <c r="H234" s="7">
        <v>1843.41</v>
      </c>
      <c r="I234" s="7">
        <v>1895.5622000000001</v>
      </c>
      <c r="J234" s="8">
        <v>-0.59730000000000005</v>
      </c>
      <c r="K234" s="7">
        <v>1.3006</v>
      </c>
      <c r="L234" s="7">
        <v>1.0740000000000001</v>
      </c>
      <c r="M234" s="8">
        <v>42.197400000000002</v>
      </c>
      <c r="N234" s="8">
        <v>-8.9417000000000009</v>
      </c>
      <c r="O234" s="7">
        <v>-9.5827000000000009</v>
      </c>
      <c r="P234" s="7">
        <v>1873.4477999999999</v>
      </c>
      <c r="Q234" s="7">
        <v>1809.0922</v>
      </c>
      <c r="R234" s="7" t="str">
        <f t="shared" si="46"/>
        <v>Down</v>
      </c>
      <c r="S234" s="7" t="str">
        <f t="shared" si="47"/>
        <v>Hold</v>
      </c>
      <c r="T234" s="8">
        <f t="shared" si="48"/>
        <v>0.11813649946638199</v>
      </c>
      <c r="U234" s="18">
        <f t="shared" si="49"/>
        <v>3902684</v>
      </c>
      <c r="V234" s="7">
        <f t="shared" si="50"/>
        <v>5586.2002000000002</v>
      </c>
      <c r="W234" s="7">
        <f t="shared" si="51"/>
        <v>1615.1</v>
      </c>
      <c r="X234" s="7">
        <f t="shared" si="52"/>
        <v>1814.1</v>
      </c>
      <c r="Y234" s="7">
        <f t="shared" si="53"/>
        <v>410</v>
      </c>
      <c r="Z234" s="7">
        <f t="shared" si="54"/>
        <v>1360811</v>
      </c>
      <c r="AA234" s="7" t="str">
        <f t="shared" si="55"/>
        <v>15-Jun-2022</v>
      </c>
      <c r="AB234" s="7">
        <f t="shared" si="56"/>
        <v>1814.1</v>
      </c>
      <c r="AC234" s="7">
        <f t="shared" si="60"/>
        <v>1</v>
      </c>
      <c r="AD234" s="7">
        <f t="shared" si="57"/>
        <v>2022</v>
      </c>
      <c r="AE234" s="19">
        <f t="shared" si="58"/>
        <v>-0.6</v>
      </c>
      <c r="BA234" s="10">
        <f t="shared" si="59"/>
        <v>80.523600000000002</v>
      </c>
    </row>
    <row r="235" spans="1:53" x14ac:dyDescent="0.3">
      <c r="A235" s="17">
        <v>44728</v>
      </c>
      <c r="B235" s="8">
        <v>1845.7</v>
      </c>
      <c r="C235" s="7">
        <v>1850.6</v>
      </c>
      <c r="D235" s="7">
        <v>1814.9</v>
      </c>
      <c r="E235" s="7">
        <v>1819.2</v>
      </c>
      <c r="F235" s="18">
        <v>136</v>
      </c>
      <c r="G235" s="7">
        <v>1837.9571000000001</v>
      </c>
      <c r="H235" s="7">
        <v>1841.8167000000001</v>
      </c>
      <c r="I235" s="7">
        <v>1895.64</v>
      </c>
      <c r="J235" s="8">
        <v>0.28110000000000002</v>
      </c>
      <c r="K235" s="7">
        <v>1.302</v>
      </c>
      <c r="L235" s="7">
        <v>1.0762</v>
      </c>
      <c r="M235" s="8">
        <v>44.829300000000003</v>
      </c>
      <c r="N235" s="8">
        <v>-10.0067</v>
      </c>
      <c r="O235" s="7">
        <v>-9.6675000000000004</v>
      </c>
      <c r="P235" s="7">
        <v>1872.9837</v>
      </c>
      <c r="Q235" s="7">
        <v>1809.9763</v>
      </c>
      <c r="R235" s="7" t="str">
        <f t="shared" si="46"/>
        <v>Down</v>
      </c>
      <c r="S235" s="7" t="str">
        <f t="shared" si="47"/>
        <v>Hold</v>
      </c>
      <c r="T235" s="8">
        <f t="shared" si="48"/>
        <v>0.11890085470085468</v>
      </c>
      <c r="U235" s="18">
        <f t="shared" si="49"/>
        <v>3902576</v>
      </c>
      <c r="V235" s="7">
        <f t="shared" si="50"/>
        <v>5586.2002000000002</v>
      </c>
      <c r="W235" s="7">
        <f t="shared" si="51"/>
        <v>1615.1</v>
      </c>
      <c r="X235" s="7">
        <f t="shared" si="52"/>
        <v>1819.2</v>
      </c>
      <c r="Y235" s="7">
        <f t="shared" si="53"/>
        <v>410</v>
      </c>
      <c r="Z235" s="7">
        <f t="shared" si="54"/>
        <v>1360811</v>
      </c>
      <c r="AA235" s="7" t="str">
        <f t="shared" si="55"/>
        <v>16-Jun-2022</v>
      </c>
      <c r="AB235" s="7">
        <f t="shared" si="56"/>
        <v>1819.2</v>
      </c>
      <c r="AC235" s="7">
        <f t="shared" si="60"/>
        <v>1</v>
      </c>
      <c r="AD235" s="7">
        <f t="shared" si="57"/>
        <v>2022</v>
      </c>
      <c r="AE235" s="19">
        <f t="shared" si="58"/>
        <v>0.28000000000000003</v>
      </c>
      <c r="BA235" s="10">
        <f t="shared" si="59"/>
        <v>80.523600000000002</v>
      </c>
    </row>
    <row r="236" spans="1:53" x14ac:dyDescent="0.3">
      <c r="A236" s="17">
        <v>44729</v>
      </c>
      <c r="B236" s="8">
        <v>1835.6</v>
      </c>
      <c r="C236" s="7">
        <v>1853.7</v>
      </c>
      <c r="D236" s="7">
        <v>1833.6</v>
      </c>
      <c r="E236" s="7">
        <v>1853.7</v>
      </c>
      <c r="F236" s="18">
        <v>170</v>
      </c>
      <c r="G236" s="7">
        <v>1839.2285999999999</v>
      </c>
      <c r="H236" s="7">
        <v>1840.3733</v>
      </c>
      <c r="I236" s="7">
        <v>1896.0266999999999</v>
      </c>
      <c r="J236" s="8">
        <v>1.8964000000000001</v>
      </c>
      <c r="K236" s="7">
        <v>1.5087999999999999</v>
      </c>
      <c r="L236" s="7">
        <v>1.093</v>
      </c>
      <c r="M236" s="8">
        <v>51.165799999999997</v>
      </c>
      <c r="N236" s="8">
        <v>-7.9749999999999996</v>
      </c>
      <c r="O236" s="7">
        <v>-9.3290000000000006</v>
      </c>
      <c r="P236" s="7">
        <v>1872.0413000000001</v>
      </c>
      <c r="Q236" s="7">
        <v>1815.1986999999999</v>
      </c>
      <c r="R236" s="7" t="str">
        <f t="shared" si="46"/>
        <v>Up</v>
      </c>
      <c r="S236" s="7" t="str">
        <f t="shared" si="47"/>
        <v>Hold</v>
      </c>
      <c r="T236" s="8">
        <f t="shared" si="48"/>
        <v>0.11872737967914435</v>
      </c>
      <c r="U236" s="18">
        <f t="shared" si="49"/>
        <v>3902440</v>
      </c>
      <c r="V236" s="7">
        <f t="shared" si="50"/>
        <v>5586.2002000000002</v>
      </c>
      <c r="W236" s="7">
        <f t="shared" si="51"/>
        <v>1615.1</v>
      </c>
      <c r="X236" s="7">
        <f t="shared" si="52"/>
        <v>1853.7</v>
      </c>
      <c r="Y236" s="7">
        <f t="shared" si="53"/>
        <v>410</v>
      </c>
      <c r="Z236" s="7">
        <f t="shared" si="54"/>
        <v>1360811</v>
      </c>
      <c r="AA236" s="7" t="str">
        <f t="shared" si="55"/>
        <v>17-Jun-2022</v>
      </c>
      <c r="AB236" s="7">
        <f t="shared" si="56"/>
        <v>1853.7</v>
      </c>
      <c r="AC236" s="7">
        <f t="shared" si="60"/>
        <v>1</v>
      </c>
      <c r="AD236" s="7">
        <f t="shared" si="57"/>
        <v>2022</v>
      </c>
      <c r="AE236" s="19">
        <f t="shared" si="58"/>
        <v>1.9</v>
      </c>
      <c r="BA236" s="10">
        <f t="shared" si="59"/>
        <v>80.523600000000002</v>
      </c>
    </row>
    <row r="237" spans="1:53" x14ac:dyDescent="0.3">
      <c r="A237" s="17">
        <v>44733</v>
      </c>
      <c r="B237" s="8">
        <v>1834.6</v>
      </c>
      <c r="C237" s="7">
        <v>1838.6</v>
      </c>
      <c r="D237" s="7">
        <v>1830.1</v>
      </c>
      <c r="E237" s="7">
        <v>1835.3</v>
      </c>
      <c r="F237" s="18">
        <v>216</v>
      </c>
      <c r="G237" s="7">
        <v>1837.6857</v>
      </c>
      <c r="H237" s="7">
        <v>1839.06</v>
      </c>
      <c r="I237" s="7">
        <v>1896.1367</v>
      </c>
      <c r="J237" s="8">
        <v>-0.99260000000000004</v>
      </c>
      <c r="K237" s="7">
        <v>1.5623</v>
      </c>
      <c r="L237" s="7">
        <v>1.0871</v>
      </c>
      <c r="M237" s="8">
        <v>46.9758</v>
      </c>
      <c r="N237" s="8">
        <v>-7.7601000000000004</v>
      </c>
      <c r="O237" s="7">
        <v>-9.0152000000000001</v>
      </c>
      <c r="P237" s="7">
        <v>1872.0287000000001</v>
      </c>
      <c r="Q237" s="7">
        <v>1814.8313000000001</v>
      </c>
      <c r="R237" s="7" t="str">
        <f t="shared" si="46"/>
        <v>Up</v>
      </c>
      <c r="S237" s="7" t="str">
        <f t="shared" si="47"/>
        <v>Hold</v>
      </c>
      <c r="T237" s="8">
        <f t="shared" si="48"/>
        <v>0.11682408993576007</v>
      </c>
      <c r="U237" s="18">
        <f t="shared" si="49"/>
        <v>3902270</v>
      </c>
      <c r="V237" s="7">
        <f t="shared" si="50"/>
        <v>5586.2002000000002</v>
      </c>
      <c r="W237" s="7">
        <f t="shared" si="51"/>
        <v>1615.1</v>
      </c>
      <c r="X237" s="7">
        <f t="shared" si="52"/>
        <v>1835.3</v>
      </c>
      <c r="Y237" s="7">
        <f t="shared" si="53"/>
        <v>409</v>
      </c>
      <c r="Z237" s="7">
        <f t="shared" si="54"/>
        <v>1360641</v>
      </c>
      <c r="AA237" s="7" t="str">
        <f t="shared" si="55"/>
        <v>21-Jun-2022</v>
      </c>
      <c r="AB237" s="7">
        <f t="shared" si="56"/>
        <v>1835.3</v>
      </c>
      <c r="AC237" s="7">
        <f t="shared" si="60"/>
        <v>1</v>
      </c>
      <c r="AD237" s="7">
        <f t="shared" si="57"/>
        <v>2022</v>
      </c>
      <c r="AE237" s="19">
        <f t="shared" si="58"/>
        <v>-0.99</v>
      </c>
      <c r="BA237" s="10">
        <f t="shared" si="59"/>
        <v>80.523600000000002</v>
      </c>
    </row>
    <row r="238" spans="1:53" x14ac:dyDescent="0.3">
      <c r="A238" s="17">
        <v>44734</v>
      </c>
      <c r="B238" s="8">
        <v>1834.3</v>
      </c>
      <c r="C238" s="7">
        <v>1842.7</v>
      </c>
      <c r="D238" s="7">
        <v>1821.6</v>
      </c>
      <c r="E238" s="7">
        <v>1829.5</v>
      </c>
      <c r="F238" s="18">
        <v>115</v>
      </c>
      <c r="G238" s="7">
        <v>1835.8</v>
      </c>
      <c r="H238" s="7">
        <v>1837.8233</v>
      </c>
      <c r="I238" s="7">
        <v>1896.0944</v>
      </c>
      <c r="J238" s="8">
        <v>-0.316</v>
      </c>
      <c r="K238" s="7">
        <v>1.5647</v>
      </c>
      <c r="L238" s="7">
        <v>1.0860000000000001</v>
      </c>
      <c r="M238" s="8">
        <v>49.680199999999999</v>
      </c>
      <c r="N238" s="8">
        <v>-7.9659000000000004</v>
      </c>
      <c r="O238" s="7">
        <v>-8.8053000000000008</v>
      </c>
      <c r="P238" s="7">
        <v>1871.8139000000001</v>
      </c>
      <c r="Q238" s="7">
        <v>1813.3661</v>
      </c>
      <c r="R238" s="7" t="str">
        <f t="shared" si="46"/>
        <v>Down</v>
      </c>
      <c r="S238" s="7" t="str">
        <f t="shared" si="47"/>
        <v>Hold</v>
      </c>
      <c r="T238" s="8">
        <f t="shared" si="48"/>
        <v>0.11801318327974271</v>
      </c>
      <c r="U238" s="18">
        <f t="shared" si="49"/>
        <v>3902054</v>
      </c>
      <c r="V238" s="7">
        <f t="shared" si="50"/>
        <v>5586.2002000000002</v>
      </c>
      <c r="W238" s="7">
        <f t="shared" si="51"/>
        <v>1615.1</v>
      </c>
      <c r="X238" s="7">
        <f t="shared" si="52"/>
        <v>1829.5</v>
      </c>
      <c r="Y238" s="7">
        <f t="shared" si="53"/>
        <v>408</v>
      </c>
      <c r="Z238" s="7">
        <f t="shared" si="54"/>
        <v>1360425</v>
      </c>
      <c r="AA238" s="7" t="str">
        <f t="shared" si="55"/>
        <v>22-Jun-2022</v>
      </c>
      <c r="AB238" s="7">
        <f t="shared" si="56"/>
        <v>1829.5</v>
      </c>
      <c r="AC238" s="7">
        <f t="shared" si="60"/>
        <v>1</v>
      </c>
      <c r="AD238" s="7">
        <f t="shared" si="57"/>
        <v>2022</v>
      </c>
      <c r="AE238" s="19">
        <f t="shared" si="58"/>
        <v>-0.32</v>
      </c>
      <c r="BA238" s="10">
        <f t="shared" si="59"/>
        <v>80.523600000000002</v>
      </c>
    </row>
    <row r="239" spans="1:53" x14ac:dyDescent="0.3">
      <c r="A239" s="17">
        <v>44735</v>
      </c>
      <c r="B239" s="8">
        <v>1825.7</v>
      </c>
      <c r="C239" s="7">
        <v>1841.2</v>
      </c>
      <c r="D239" s="7">
        <v>1825.7</v>
      </c>
      <c r="E239" s="7">
        <v>1835.5</v>
      </c>
      <c r="F239" s="18">
        <v>9</v>
      </c>
      <c r="G239" s="7">
        <v>1830.3286000000001</v>
      </c>
      <c r="H239" s="7">
        <v>1837.6767</v>
      </c>
      <c r="I239" s="7">
        <v>1896.2444</v>
      </c>
      <c r="J239" s="8">
        <v>0.32800000000000001</v>
      </c>
      <c r="K239" s="7">
        <v>1.3804000000000001</v>
      </c>
      <c r="L239" s="7">
        <v>1.0566</v>
      </c>
      <c r="M239" s="8">
        <v>47.810699999999997</v>
      </c>
      <c r="N239" s="8">
        <v>-7.5578000000000003</v>
      </c>
      <c r="O239" s="7">
        <v>-8.5557999999999996</v>
      </c>
      <c r="P239" s="7">
        <v>1870.7383</v>
      </c>
      <c r="Q239" s="7">
        <v>1812.7417</v>
      </c>
      <c r="R239" s="7" t="str">
        <f t="shared" si="46"/>
        <v>Up</v>
      </c>
      <c r="S239" s="7" t="str">
        <f t="shared" si="47"/>
        <v>Hold</v>
      </c>
      <c r="T239" s="8">
        <f t="shared" si="48"/>
        <v>0.11847886266094415</v>
      </c>
      <c r="U239" s="18">
        <f t="shared" si="49"/>
        <v>3901939</v>
      </c>
      <c r="V239" s="7">
        <f t="shared" si="50"/>
        <v>5586.2002000000002</v>
      </c>
      <c r="W239" s="7">
        <f t="shared" si="51"/>
        <v>1615.1</v>
      </c>
      <c r="X239" s="7">
        <f t="shared" si="52"/>
        <v>1835.5</v>
      </c>
      <c r="Y239" s="7">
        <f t="shared" si="53"/>
        <v>408</v>
      </c>
      <c r="Z239" s="7">
        <f t="shared" si="54"/>
        <v>1360425</v>
      </c>
      <c r="AA239" s="7" t="str">
        <f t="shared" si="55"/>
        <v>23-Jun-2022</v>
      </c>
      <c r="AB239" s="7">
        <f t="shared" si="56"/>
        <v>1835.5</v>
      </c>
      <c r="AC239" s="7">
        <f t="shared" si="60"/>
        <v>1</v>
      </c>
      <c r="AD239" s="7">
        <f t="shared" si="57"/>
        <v>2022</v>
      </c>
      <c r="AE239" s="19">
        <f t="shared" si="58"/>
        <v>0.33</v>
      </c>
      <c r="BA239" s="10">
        <f t="shared" si="59"/>
        <v>80.523600000000002</v>
      </c>
    </row>
    <row r="240" spans="1:53" x14ac:dyDescent="0.3">
      <c r="A240" s="17">
        <v>44736</v>
      </c>
      <c r="B240" s="8">
        <v>1826.5</v>
      </c>
      <c r="C240" s="7">
        <v>1826.5</v>
      </c>
      <c r="D240" s="7">
        <v>1815.8</v>
      </c>
      <c r="E240" s="7">
        <v>1820.5</v>
      </c>
      <c r="F240" s="18">
        <v>61</v>
      </c>
      <c r="G240" s="7">
        <v>1829.6857</v>
      </c>
      <c r="H240" s="7">
        <v>1836.9766999999999</v>
      </c>
      <c r="I240" s="7">
        <v>1895.7855999999999</v>
      </c>
      <c r="J240" s="8">
        <v>-0.81720000000000004</v>
      </c>
      <c r="K240" s="7">
        <v>0.99050000000000005</v>
      </c>
      <c r="L240" s="7">
        <v>1.0668</v>
      </c>
      <c r="M240" s="8">
        <v>39.241700000000002</v>
      </c>
      <c r="N240" s="8">
        <v>-8.3484999999999996</v>
      </c>
      <c r="O240" s="7">
        <v>-8.5144000000000002</v>
      </c>
      <c r="P240" s="7">
        <v>1870.8644999999999</v>
      </c>
      <c r="Q240" s="7">
        <v>1810.0454999999999</v>
      </c>
      <c r="R240" s="7" t="str">
        <f t="shared" si="46"/>
        <v>Down</v>
      </c>
      <c r="S240" s="7" t="str">
        <f t="shared" si="47"/>
        <v>Hold</v>
      </c>
      <c r="T240" s="8">
        <f t="shared" si="48"/>
        <v>0.11825381310418899</v>
      </c>
      <c r="U240" s="18">
        <f t="shared" si="49"/>
        <v>3901930</v>
      </c>
      <c r="V240" s="7">
        <f t="shared" si="50"/>
        <v>5586.2002000000002</v>
      </c>
      <c r="W240" s="7">
        <f t="shared" si="51"/>
        <v>1615.1</v>
      </c>
      <c r="X240" s="7">
        <f t="shared" si="52"/>
        <v>1820.5</v>
      </c>
      <c r="Y240" s="7">
        <f t="shared" si="53"/>
        <v>407</v>
      </c>
      <c r="Z240" s="7">
        <f t="shared" si="54"/>
        <v>1360416</v>
      </c>
      <c r="AA240" s="7" t="str">
        <f t="shared" si="55"/>
        <v>24-Jun-2022</v>
      </c>
      <c r="AB240" s="7">
        <f t="shared" si="56"/>
        <v>1820.5</v>
      </c>
      <c r="AC240" s="7">
        <f t="shared" si="60"/>
        <v>1</v>
      </c>
      <c r="AD240" s="7">
        <f t="shared" si="57"/>
        <v>2022</v>
      </c>
      <c r="AE240" s="19">
        <f t="shared" si="58"/>
        <v>-0.82</v>
      </c>
      <c r="BA240" s="10">
        <f t="shared" si="59"/>
        <v>80.523600000000002</v>
      </c>
    </row>
    <row r="241" spans="1:53" x14ac:dyDescent="0.3">
      <c r="A241" s="17">
        <v>44739</v>
      </c>
      <c r="B241" s="8">
        <v>1820.9</v>
      </c>
      <c r="C241" s="7">
        <v>1830.7</v>
      </c>
      <c r="D241" s="7">
        <v>1819.9</v>
      </c>
      <c r="E241" s="7">
        <v>1830.5</v>
      </c>
      <c r="F241" s="18">
        <v>77</v>
      </c>
      <c r="G241" s="7">
        <v>1832.0286000000001</v>
      </c>
      <c r="H241" s="7">
        <v>1836.3333</v>
      </c>
      <c r="I241" s="7">
        <v>1895.3178</v>
      </c>
      <c r="J241" s="8">
        <v>0.54930000000000001</v>
      </c>
      <c r="K241" s="7">
        <v>0.97589999999999999</v>
      </c>
      <c r="L241" s="7">
        <v>1.0685</v>
      </c>
      <c r="M241" s="8">
        <v>45.601500000000001</v>
      </c>
      <c r="N241" s="8">
        <v>-8.0751000000000008</v>
      </c>
      <c r="O241" s="7">
        <v>-8.4265000000000008</v>
      </c>
      <c r="P241" s="7">
        <v>1870.6938</v>
      </c>
      <c r="Q241" s="7">
        <v>1809.2262000000001</v>
      </c>
      <c r="R241" s="7" t="str">
        <f t="shared" si="46"/>
        <v>Up</v>
      </c>
      <c r="S241" s="7" t="str">
        <f t="shared" si="47"/>
        <v>Hold</v>
      </c>
      <c r="T241" s="8">
        <f t="shared" si="48"/>
        <v>0.11925967741935477</v>
      </c>
      <c r="U241" s="18">
        <f t="shared" si="49"/>
        <v>3901869</v>
      </c>
      <c r="V241" s="7">
        <f t="shared" si="50"/>
        <v>5586.2002000000002</v>
      </c>
      <c r="W241" s="7">
        <f t="shared" si="51"/>
        <v>1615.1</v>
      </c>
      <c r="X241" s="7">
        <f t="shared" si="52"/>
        <v>1830.5</v>
      </c>
      <c r="Y241" s="7">
        <f t="shared" si="53"/>
        <v>407</v>
      </c>
      <c r="Z241" s="7">
        <f t="shared" si="54"/>
        <v>1360416</v>
      </c>
      <c r="AA241" s="7" t="str">
        <f t="shared" si="55"/>
        <v>27-Jun-2022</v>
      </c>
      <c r="AB241" s="7">
        <f t="shared" si="56"/>
        <v>1830.5</v>
      </c>
      <c r="AC241" s="7">
        <f t="shared" si="60"/>
        <v>1</v>
      </c>
      <c r="AD241" s="7">
        <f t="shared" si="57"/>
        <v>2022</v>
      </c>
      <c r="AE241" s="19">
        <f t="shared" si="58"/>
        <v>0.55000000000000004</v>
      </c>
      <c r="BA241" s="10">
        <f t="shared" si="59"/>
        <v>80.523600000000002</v>
      </c>
    </row>
    <row r="242" spans="1:53" x14ac:dyDescent="0.3">
      <c r="A242" s="17">
        <v>44740</v>
      </c>
      <c r="B242" s="8">
        <v>1817.5</v>
      </c>
      <c r="C242" s="7">
        <v>1826</v>
      </c>
      <c r="D242" s="7">
        <v>1817.5</v>
      </c>
      <c r="E242" s="7">
        <v>1824.2</v>
      </c>
      <c r="F242" s="18">
        <v>391</v>
      </c>
      <c r="G242" s="7">
        <v>1832.7429</v>
      </c>
      <c r="H242" s="7">
        <v>1836.3067000000001</v>
      </c>
      <c r="I242" s="7">
        <v>1894.9344000000001</v>
      </c>
      <c r="J242" s="8">
        <v>-0.34420000000000001</v>
      </c>
      <c r="K242" s="7">
        <v>0.98860000000000003</v>
      </c>
      <c r="L242" s="7">
        <v>1.0414000000000001</v>
      </c>
      <c r="M242" s="8">
        <v>46.894799999999996</v>
      </c>
      <c r="N242" s="8">
        <v>-8.2714999999999996</v>
      </c>
      <c r="O242" s="7">
        <v>-8.3955000000000002</v>
      </c>
      <c r="P242" s="7">
        <v>1869.9975999999999</v>
      </c>
      <c r="Q242" s="7">
        <v>1807.5124000000001</v>
      </c>
      <c r="R242" s="7" t="str">
        <f t="shared" si="46"/>
        <v>Up</v>
      </c>
      <c r="S242" s="7" t="str">
        <f t="shared" si="47"/>
        <v>Hold</v>
      </c>
      <c r="T242" s="8">
        <f t="shared" si="48"/>
        <v>0.11879677072120551</v>
      </c>
      <c r="U242" s="18">
        <f t="shared" si="49"/>
        <v>3901792</v>
      </c>
      <c r="V242" s="7">
        <f t="shared" si="50"/>
        <v>5586.2002000000002</v>
      </c>
      <c r="W242" s="7">
        <f t="shared" si="51"/>
        <v>1615.1</v>
      </c>
      <c r="X242" s="7">
        <f t="shared" si="52"/>
        <v>1824.2</v>
      </c>
      <c r="Y242" s="7">
        <f t="shared" si="53"/>
        <v>406</v>
      </c>
      <c r="Z242" s="7">
        <f t="shared" si="54"/>
        <v>1360339</v>
      </c>
      <c r="AA242" s="7" t="str">
        <f t="shared" si="55"/>
        <v>28-Jun-2022</v>
      </c>
      <c r="AB242" s="7">
        <f t="shared" si="56"/>
        <v>1824.2</v>
      </c>
      <c r="AC242" s="7">
        <f t="shared" si="60"/>
        <v>1</v>
      </c>
      <c r="AD242" s="7">
        <f t="shared" si="57"/>
        <v>2022</v>
      </c>
      <c r="AE242" s="19">
        <f t="shared" si="58"/>
        <v>-0.34</v>
      </c>
      <c r="BA242" s="10">
        <f t="shared" si="59"/>
        <v>80.523600000000002</v>
      </c>
    </row>
    <row r="243" spans="1:53" x14ac:dyDescent="0.3">
      <c r="A243" s="17">
        <v>44741</v>
      </c>
      <c r="B243" s="8">
        <v>1813.7</v>
      </c>
      <c r="C243" s="7">
        <v>1830.3</v>
      </c>
      <c r="D243" s="7">
        <v>1812.8</v>
      </c>
      <c r="E243" s="7">
        <v>1818.3</v>
      </c>
      <c r="F243" s="18">
        <v>173</v>
      </c>
      <c r="G243" s="7">
        <v>1827.6857</v>
      </c>
      <c r="H243" s="7">
        <v>1837.2333000000001</v>
      </c>
      <c r="I243" s="7">
        <v>1894.29</v>
      </c>
      <c r="J243" s="8">
        <v>-0.32340000000000002</v>
      </c>
      <c r="K243" s="7">
        <v>0.55689999999999995</v>
      </c>
      <c r="L243" s="7">
        <v>0.98070000000000002</v>
      </c>
      <c r="M243" s="8">
        <v>43.456800000000001</v>
      </c>
      <c r="N243" s="8">
        <v>-8.8017000000000003</v>
      </c>
      <c r="O243" s="7">
        <v>-8.4768000000000008</v>
      </c>
      <c r="P243" s="7">
        <v>1869.1759999999999</v>
      </c>
      <c r="Q243" s="7">
        <v>1805.134</v>
      </c>
      <c r="R243" s="7" t="str">
        <f t="shared" si="46"/>
        <v>Up</v>
      </c>
      <c r="S243" s="7" t="str">
        <f t="shared" si="47"/>
        <v>Hold</v>
      </c>
      <c r="T243" s="8">
        <f t="shared" si="48"/>
        <v>0.11929568965517236</v>
      </c>
      <c r="U243" s="18">
        <f t="shared" si="49"/>
        <v>3901401</v>
      </c>
      <c r="V243" s="7">
        <f t="shared" si="50"/>
        <v>5586.2002000000002</v>
      </c>
      <c r="W243" s="7">
        <f t="shared" si="51"/>
        <v>1615.1</v>
      </c>
      <c r="X243" s="7">
        <f t="shared" si="52"/>
        <v>1818.3</v>
      </c>
      <c r="Y243" s="7">
        <f t="shared" si="53"/>
        <v>405</v>
      </c>
      <c r="Z243" s="7">
        <f t="shared" si="54"/>
        <v>1359948</v>
      </c>
      <c r="AA243" s="7" t="str">
        <f t="shared" si="55"/>
        <v>29-Jun-2022</v>
      </c>
      <c r="AB243" s="7">
        <f t="shared" si="56"/>
        <v>1818.3</v>
      </c>
      <c r="AC243" s="7">
        <f t="shared" si="60"/>
        <v>1</v>
      </c>
      <c r="AD243" s="7">
        <f t="shared" si="57"/>
        <v>2022</v>
      </c>
      <c r="AE243" s="19">
        <f t="shared" si="58"/>
        <v>-0.32</v>
      </c>
      <c r="BA243" s="10">
        <f t="shared" si="59"/>
        <v>80.523600000000002</v>
      </c>
    </row>
    <row r="244" spans="1:53" x14ac:dyDescent="0.3">
      <c r="A244" s="17">
        <v>44742</v>
      </c>
      <c r="B244" s="8">
        <v>1804.1</v>
      </c>
      <c r="C244" s="7">
        <v>1817.3</v>
      </c>
      <c r="D244" s="7">
        <v>1801</v>
      </c>
      <c r="E244" s="7">
        <v>1809.6</v>
      </c>
      <c r="F244" s="18">
        <v>328</v>
      </c>
      <c r="G244" s="7">
        <v>1824.0143</v>
      </c>
      <c r="H244" s="7">
        <v>1836.7233000000001</v>
      </c>
      <c r="I244" s="7">
        <v>1893.2922000000001</v>
      </c>
      <c r="J244" s="8">
        <v>-0.47849999999999998</v>
      </c>
      <c r="K244" s="7">
        <v>0.47399999999999998</v>
      </c>
      <c r="L244" s="7">
        <v>0.91920000000000002</v>
      </c>
      <c r="M244" s="8">
        <v>41.305399999999999</v>
      </c>
      <c r="N244" s="8">
        <v>-9.8109000000000002</v>
      </c>
      <c r="O244" s="7">
        <v>-8.7436000000000007</v>
      </c>
      <c r="P244" s="7">
        <v>1870.3253</v>
      </c>
      <c r="Q244" s="7">
        <v>1801.8447000000001</v>
      </c>
      <c r="R244" s="7" t="str">
        <f t="shared" si="46"/>
        <v>Up</v>
      </c>
      <c r="S244" s="7" t="str">
        <f t="shared" si="47"/>
        <v>Hold</v>
      </c>
      <c r="T244" s="8">
        <f t="shared" si="48"/>
        <v>0.11977324703344117</v>
      </c>
      <c r="U244" s="18">
        <f t="shared" si="49"/>
        <v>3901228</v>
      </c>
      <c r="V244" s="7">
        <f t="shared" si="50"/>
        <v>5586.2002000000002</v>
      </c>
      <c r="W244" s="7">
        <f t="shared" si="51"/>
        <v>1615.1</v>
      </c>
      <c r="X244" s="7">
        <f t="shared" si="52"/>
        <v>1809.6</v>
      </c>
      <c r="Y244" s="7">
        <f t="shared" si="53"/>
        <v>404</v>
      </c>
      <c r="Z244" s="7">
        <f t="shared" si="54"/>
        <v>1359775</v>
      </c>
      <c r="AA244" s="7" t="str">
        <f t="shared" si="55"/>
        <v>30-Jun-2022</v>
      </c>
      <c r="AB244" s="7">
        <f t="shared" si="56"/>
        <v>1809.6</v>
      </c>
      <c r="AC244" s="7">
        <f t="shared" si="60"/>
        <v>1</v>
      </c>
      <c r="AD244" s="7">
        <f t="shared" si="57"/>
        <v>2022</v>
      </c>
      <c r="AE244" s="19">
        <f t="shared" si="58"/>
        <v>-0.48</v>
      </c>
      <c r="BA244" s="10">
        <f t="shared" si="59"/>
        <v>80.523600000000002</v>
      </c>
    </row>
    <row r="245" spans="1:53" x14ac:dyDescent="0.3">
      <c r="A245" s="17">
        <v>44743</v>
      </c>
      <c r="B245" s="8">
        <v>1798.9</v>
      </c>
      <c r="C245" s="7">
        <v>1806.1</v>
      </c>
      <c r="D245" s="7">
        <v>1791.6</v>
      </c>
      <c r="E245" s="7">
        <v>1795.5</v>
      </c>
      <c r="F245" s="18">
        <v>77</v>
      </c>
      <c r="G245" s="7">
        <v>1819.1570999999999</v>
      </c>
      <c r="H245" s="7">
        <v>1836.0733</v>
      </c>
      <c r="I245" s="7">
        <v>1892.0410999999999</v>
      </c>
      <c r="J245" s="8">
        <v>-0.7792</v>
      </c>
      <c r="K245" s="7">
        <v>0.52270000000000005</v>
      </c>
      <c r="L245" s="7">
        <v>0.92479999999999996</v>
      </c>
      <c r="M245" s="8">
        <v>39.301900000000003</v>
      </c>
      <c r="N245" s="8">
        <v>-11.6145</v>
      </c>
      <c r="O245" s="7">
        <v>-9.3178000000000001</v>
      </c>
      <c r="P245" s="7">
        <v>1871.9916000000001</v>
      </c>
      <c r="Q245" s="7">
        <v>1795.1883</v>
      </c>
      <c r="R245" s="7" t="str">
        <f t="shared" si="46"/>
        <v>Down</v>
      </c>
      <c r="S245" s="7" t="str">
        <f t="shared" si="47"/>
        <v>Hold</v>
      </c>
      <c r="T245" s="8">
        <f t="shared" si="48"/>
        <v>0.12041933045356368</v>
      </c>
      <c r="U245" s="18">
        <f t="shared" si="49"/>
        <v>3900900</v>
      </c>
      <c r="V245" s="7">
        <f t="shared" si="50"/>
        <v>5586.2002000000002</v>
      </c>
      <c r="W245" s="7">
        <f t="shared" si="51"/>
        <v>1615.1</v>
      </c>
      <c r="X245" s="7">
        <f t="shared" si="52"/>
        <v>1795.5</v>
      </c>
      <c r="Y245" s="7">
        <f t="shared" si="53"/>
        <v>403</v>
      </c>
      <c r="Z245" s="7">
        <f t="shared" si="54"/>
        <v>1359447</v>
      </c>
      <c r="AA245" s="7" t="str">
        <f t="shared" si="55"/>
        <v>01-Jul-2022</v>
      </c>
      <c r="AB245" s="7">
        <f t="shared" si="56"/>
        <v>1795.5</v>
      </c>
      <c r="AC245" s="7">
        <f t="shared" si="60"/>
        <v>1</v>
      </c>
      <c r="AD245" s="7">
        <f t="shared" si="57"/>
        <v>2022</v>
      </c>
      <c r="AE245" s="19">
        <f t="shared" si="58"/>
        <v>-0.78</v>
      </c>
      <c r="BA245" s="10">
        <f t="shared" si="59"/>
        <v>80.523600000000002</v>
      </c>
    </row>
    <row r="246" spans="1:53" x14ac:dyDescent="0.3">
      <c r="A246" s="17">
        <v>44747</v>
      </c>
      <c r="B246" s="8">
        <v>1761.8</v>
      </c>
      <c r="C246" s="7">
        <v>1805.4</v>
      </c>
      <c r="D246" s="7">
        <v>1761.8</v>
      </c>
      <c r="E246" s="7">
        <v>1805.4</v>
      </c>
      <c r="F246" s="18">
        <v>64</v>
      </c>
      <c r="G246" s="7">
        <v>1814.8570999999999</v>
      </c>
      <c r="H246" s="7">
        <v>1835.89</v>
      </c>
      <c r="I246" s="7">
        <v>1891.0278000000001</v>
      </c>
      <c r="J246" s="8">
        <v>0.5514</v>
      </c>
      <c r="K246" s="7">
        <v>0.56969999999999998</v>
      </c>
      <c r="L246" s="7">
        <v>0.93010000000000004</v>
      </c>
      <c r="M246" s="8">
        <v>32.848500000000001</v>
      </c>
      <c r="N246" s="8">
        <v>-12.105499999999999</v>
      </c>
      <c r="O246" s="7">
        <v>-9.8752999999999993</v>
      </c>
      <c r="P246" s="7">
        <v>1867.3277</v>
      </c>
      <c r="Q246" s="7">
        <v>1793.6323</v>
      </c>
      <c r="R246" s="7" t="str">
        <f t="shared" si="46"/>
        <v>Up</v>
      </c>
      <c r="S246" s="7" t="str">
        <f t="shared" si="47"/>
        <v>Hold</v>
      </c>
      <c r="T246" s="8">
        <f t="shared" si="48"/>
        <v>0.12139189189189183</v>
      </c>
      <c r="U246" s="18">
        <f t="shared" si="49"/>
        <v>3900823</v>
      </c>
      <c r="V246" s="7">
        <f t="shared" si="50"/>
        <v>5586.2002000000002</v>
      </c>
      <c r="W246" s="7">
        <f t="shared" si="51"/>
        <v>1615.1</v>
      </c>
      <c r="X246" s="7">
        <f t="shared" si="52"/>
        <v>1805.4</v>
      </c>
      <c r="Y246" s="7">
        <f t="shared" si="53"/>
        <v>403</v>
      </c>
      <c r="Z246" s="7">
        <f t="shared" si="54"/>
        <v>1359447</v>
      </c>
      <c r="AA246" s="7" t="str">
        <f t="shared" si="55"/>
        <v>05-Jul-2022</v>
      </c>
      <c r="AB246" s="7">
        <f t="shared" si="56"/>
        <v>1805.4</v>
      </c>
      <c r="AC246" s="7">
        <f t="shared" si="60"/>
        <v>1</v>
      </c>
      <c r="AD246" s="7">
        <f t="shared" si="57"/>
        <v>2022</v>
      </c>
      <c r="AE246" s="19">
        <f t="shared" si="58"/>
        <v>0.55000000000000004</v>
      </c>
      <c r="BA246" s="10">
        <f t="shared" si="59"/>
        <v>80.523600000000002</v>
      </c>
    </row>
    <row r="247" spans="1:53" x14ac:dyDescent="0.3">
      <c r="A247" s="17">
        <v>44748</v>
      </c>
      <c r="B247" s="8">
        <v>1734.9</v>
      </c>
      <c r="C247" s="7">
        <v>1768</v>
      </c>
      <c r="D247" s="7">
        <v>1734</v>
      </c>
      <c r="E247" s="7">
        <v>1762.5</v>
      </c>
      <c r="F247" s="18">
        <v>1729</v>
      </c>
      <c r="G247" s="7">
        <v>1806.5714</v>
      </c>
      <c r="H247" s="7">
        <v>1833.3367000000001</v>
      </c>
      <c r="I247" s="7">
        <v>1889.3678</v>
      </c>
      <c r="J247" s="8">
        <v>-2.3761999999999999</v>
      </c>
      <c r="K247" s="7">
        <v>0.98719999999999997</v>
      </c>
      <c r="L247" s="7">
        <v>0.97809999999999997</v>
      </c>
      <c r="M247" s="8">
        <v>33.850099999999998</v>
      </c>
      <c r="N247" s="8">
        <v>-15.7744</v>
      </c>
      <c r="O247" s="7">
        <v>-11.055099999999999</v>
      </c>
      <c r="P247" s="7">
        <v>1872.8421000000001</v>
      </c>
      <c r="Q247" s="7">
        <v>1779.4679000000001</v>
      </c>
      <c r="R247" s="7" t="str">
        <f t="shared" si="46"/>
        <v>Up</v>
      </c>
      <c r="S247" s="7" t="str">
        <f t="shared" si="47"/>
        <v>Hold</v>
      </c>
      <c r="T247" s="8">
        <f t="shared" si="48"/>
        <v>0.12092651515151512</v>
      </c>
      <c r="U247" s="18">
        <f t="shared" si="49"/>
        <v>3900759</v>
      </c>
      <c r="V247" s="7">
        <f t="shared" si="50"/>
        <v>5586.2002000000002</v>
      </c>
      <c r="W247" s="7">
        <f t="shared" si="51"/>
        <v>1615.1</v>
      </c>
      <c r="X247" s="7">
        <f t="shared" si="52"/>
        <v>1762.5</v>
      </c>
      <c r="Y247" s="7">
        <f t="shared" si="53"/>
        <v>402</v>
      </c>
      <c r="Z247" s="7">
        <f t="shared" si="54"/>
        <v>1359383</v>
      </c>
      <c r="AA247" s="7" t="str">
        <f t="shared" si="55"/>
        <v>06-Jul-2022</v>
      </c>
      <c r="AB247" s="7">
        <f t="shared" si="56"/>
        <v>1762.5</v>
      </c>
      <c r="AC247" s="7">
        <f t="shared" si="60"/>
        <v>1</v>
      </c>
      <c r="AD247" s="7">
        <f t="shared" si="57"/>
        <v>2022</v>
      </c>
      <c r="AE247" s="19">
        <f t="shared" si="58"/>
        <v>-2.38</v>
      </c>
      <c r="BA247" s="10">
        <f t="shared" si="59"/>
        <v>80.523600000000002</v>
      </c>
    </row>
    <row r="248" spans="1:53" x14ac:dyDescent="0.3">
      <c r="A248" s="17">
        <v>44749</v>
      </c>
      <c r="B248" s="8">
        <v>1737.9</v>
      </c>
      <c r="C248" s="7">
        <v>1745.2</v>
      </c>
      <c r="D248" s="7">
        <v>1737</v>
      </c>
      <c r="E248" s="7">
        <v>1745.2</v>
      </c>
      <c r="F248" s="18">
        <v>1869</v>
      </c>
      <c r="G248" s="7">
        <v>1794.3857</v>
      </c>
      <c r="H248" s="7">
        <v>1829.9666999999999</v>
      </c>
      <c r="I248" s="7">
        <v>1887.5710999999999</v>
      </c>
      <c r="J248" s="8">
        <v>-0.98160000000000003</v>
      </c>
      <c r="K248" s="7">
        <v>0.8921</v>
      </c>
      <c r="L248" s="7">
        <v>0.98460000000000003</v>
      </c>
      <c r="M248" s="8">
        <v>32.766399999999997</v>
      </c>
      <c r="N248" s="8">
        <v>-19.849299999999999</v>
      </c>
      <c r="O248" s="7">
        <v>-12.814</v>
      </c>
      <c r="P248" s="7">
        <v>1880.2777000000001</v>
      </c>
      <c r="Q248" s="7">
        <v>1762.8623</v>
      </c>
      <c r="R248" s="7" t="str">
        <f t="shared" si="46"/>
        <v>Up</v>
      </c>
      <c r="S248" s="7" t="str">
        <f t="shared" si="47"/>
        <v>Hold</v>
      </c>
      <c r="T248" s="8">
        <f t="shared" si="48"/>
        <v>0.12363196099674967</v>
      </c>
      <c r="U248" s="18">
        <f t="shared" si="49"/>
        <v>3899030</v>
      </c>
      <c r="V248" s="7">
        <f t="shared" si="50"/>
        <v>5586.2002000000002</v>
      </c>
      <c r="W248" s="7">
        <f t="shared" si="51"/>
        <v>1615.1</v>
      </c>
      <c r="X248" s="7">
        <f t="shared" si="52"/>
        <v>1745.2</v>
      </c>
      <c r="Y248" s="7">
        <f t="shared" si="53"/>
        <v>401</v>
      </c>
      <c r="Z248" s="7">
        <f t="shared" si="54"/>
        <v>1357654</v>
      </c>
      <c r="AA248" s="7" t="str">
        <f t="shared" si="55"/>
        <v>07-Jul-2022</v>
      </c>
      <c r="AB248" s="7">
        <f t="shared" si="56"/>
        <v>1745.2</v>
      </c>
      <c r="AC248" s="7">
        <f t="shared" si="60"/>
        <v>1</v>
      </c>
      <c r="AD248" s="7">
        <f t="shared" si="57"/>
        <v>2022</v>
      </c>
      <c r="AE248" s="19">
        <f t="shared" si="58"/>
        <v>-0.98</v>
      </c>
      <c r="BA248" s="10">
        <f t="shared" si="59"/>
        <v>80.523600000000002</v>
      </c>
    </row>
    <row r="249" spans="1:53" x14ac:dyDescent="0.3">
      <c r="A249" s="17">
        <v>44750</v>
      </c>
      <c r="B249" s="8">
        <v>1740.6</v>
      </c>
      <c r="C249" s="7">
        <v>1749.3</v>
      </c>
      <c r="D249" s="7">
        <v>1732.1</v>
      </c>
      <c r="E249" s="7">
        <v>1738.1</v>
      </c>
      <c r="F249" s="18">
        <v>370</v>
      </c>
      <c r="G249" s="7">
        <v>1782.0857000000001</v>
      </c>
      <c r="H249" s="7">
        <v>1826.1532999999999</v>
      </c>
      <c r="I249" s="7">
        <v>1885.4577999999999</v>
      </c>
      <c r="J249" s="8">
        <v>-0.40679999999999999</v>
      </c>
      <c r="K249" s="7">
        <v>0.88849999999999996</v>
      </c>
      <c r="L249" s="7">
        <v>0.98050000000000004</v>
      </c>
      <c r="M249" s="8">
        <v>29.915800000000001</v>
      </c>
      <c r="N249" s="8">
        <v>-23.382000000000001</v>
      </c>
      <c r="O249" s="7">
        <v>-14.9276</v>
      </c>
      <c r="P249" s="7">
        <v>1884.645</v>
      </c>
      <c r="Q249" s="7">
        <v>1747.825</v>
      </c>
      <c r="R249" s="7" t="str">
        <f t="shared" si="46"/>
        <v>Down</v>
      </c>
      <c r="S249" s="7" t="str">
        <f t="shared" si="47"/>
        <v>Buy</v>
      </c>
      <c r="T249" s="8">
        <f t="shared" si="48"/>
        <v>0.12483069414316698</v>
      </c>
      <c r="U249" s="18">
        <f t="shared" si="49"/>
        <v>3897161</v>
      </c>
      <c r="V249" s="7">
        <f t="shared" si="50"/>
        <v>5586.2002000000002</v>
      </c>
      <c r="W249" s="7">
        <f t="shared" si="51"/>
        <v>1615.1</v>
      </c>
      <c r="X249" s="7">
        <f t="shared" si="52"/>
        <v>1738.1</v>
      </c>
      <c r="Y249" s="7">
        <f t="shared" si="53"/>
        <v>400</v>
      </c>
      <c r="Z249" s="7">
        <f t="shared" si="54"/>
        <v>1355785</v>
      </c>
      <c r="AA249" s="7" t="str">
        <f t="shared" si="55"/>
        <v>08-Jul-2022</v>
      </c>
      <c r="AB249" s="7">
        <f t="shared" si="56"/>
        <v>1738.1</v>
      </c>
      <c r="AC249" s="7">
        <f t="shared" si="60"/>
        <v>1</v>
      </c>
      <c r="AD249" s="7">
        <f t="shared" si="57"/>
        <v>2022</v>
      </c>
      <c r="AE249" s="19">
        <f t="shared" si="58"/>
        <v>-0.41</v>
      </c>
      <c r="BA249" s="10">
        <f t="shared" si="59"/>
        <v>80.523600000000002</v>
      </c>
    </row>
    <row r="250" spans="1:53" x14ac:dyDescent="0.3">
      <c r="A250" s="17">
        <v>44753</v>
      </c>
      <c r="B250" s="8">
        <v>1730</v>
      </c>
      <c r="C250" s="7">
        <v>1736.7</v>
      </c>
      <c r="D250" s="7">
        <v>1730</v>
      </c>
      <c r="E250" s="7">
        <v>1732.5</v>
      </c>
      <c r="F250" s="18">
        <v>75</v>
      </c>
      <c r="G250" s="7">
        <v>1769.8286000000001</v>
      </c>
      <c r="H250" s="7">
        <v>1822.3633</v>
      </c>
      <c r="I250" s="7">
        <v>1883.5044</v>
      </c>
      <c r="J250" s="8">
        <v>-0.32219999999999999</v>
      </c>
      <c r="K250" s="7">
        <v>0.88859999999999995</v>
      </c>
      <c r="L250" s="7">
        <v>0.98040000000000005</v>
      </c>
      <c r="M250" s="8">
        <v>14.9711</v>
      </c>
      <c r="N250" s="8">
        <v>-26.33</v>
      </c>
      <c r="O250" s="7">
        <v>-17.207999999999998</v>
      </c>
      <c r="P250" s="7">
        <v>1886.9254000000001</v>
      </c>
      <c r="Q250" s="7">
        <v>1734.1846</v>
      </c>
      <c r="R250" s="7" t="str">
        <f t="shared" si="46"/>
        <v>Up</v>
      </c>
      <c r="S250" s="7" t="str">
        <f t="shared" si="47"/>
        <v>Buy</v>
      </c>
      <c r="T250" s="8">
        <f t="shared" si="48"/>
        <v>0.12540792616720953</v>
      </c>
      <c r="U250" s="18">
        <f t="shared" si="49"/>
        <v>3896791</v>
      </c>
      <c r="V250" s="7">
        <f t="shared" si="50"/>
        <v>5586.2002000000002</v>
      </c>
      <c r="W250" s="7">
        <f t="shared" si="51"/>
        <v>1615.1</v>
      </c>
      <c r="X250" s="7">
        <f t="shared" si="52"/>
        <v>1732.5</v>
      </c>
      <c r="Y250" s="7">
        <f t="shared" si="53"/>
        <v>400</v>
      </c>
      <c r="Z250" s="7">
        <f t="shared" si="54"/>
        <v>1355785</v>
      </c>
      <c r="AA250" s="7" t="str">
        <f t="shared" si="55"/>
        <v>11-Jul-2022</v>
      </c>
      <c r="AB250" s="7">
        <f t="shared" si="56"/>
        <v>1732.5</v>
      </c>
      <c r="AC250" s="7">
        <f t="shared" si="60"/>
        <v>1</v>
      </c>
      <c r="AD250" s="7">
        <f t="shared" si="57"/>
        <v>2022</v>
      </c>
      <c r="AE250" s="19">
        <f t="shared" si="58"/>
        <v>-0.32</v>
      </c>
      <c r="BA250" s="10">
        <f t="shared" si="59"/>
        <v>80.523600000000002</v>
      </c>
    </row>
    <row r="251" spans="1:53" x14ac:dyDescent="0.3">
      <c r="A251" s="17">
        <v>44754</v>
      </c>
      <c r="B251" s="8">
        <v>1723.3</v>
      </c>
      <c r="C251" s="7">
        <v>1735.5</v>
      </c>
      <c r="D251" s="7">
        <v>1723.3</v>
      </c>
      <c r="E251" s="7">
        <v>1734.2</v>
      </c>
      <c r="F251" s="18">
        <v>451</v>
      </c>
      <c r="G251" s="7">
        <v>1759.0571</v>
      </c>
      <c r="H251" s="7">
        <v>1818.8233</v>
      </c>
      <c r="I251" s="7">
        <v>1881.1556</v>
      </c>
      <c r="J251" s="8">
        <v>9.8100000000000007E-2</v>
      </c>
      <c r="K251" s="7">
        <v>0.93630000000000002</v>
      </c>
      <c r="L251" s="7">
        <v>0.98170000000000002</v>
      </c>
      <c r="M251" s="8">
        <v>17.658300000000001</v>
      </c>
      <c r="N251" s="8">
        <v>-28.2041</v>
      </c>
      <c r="O251" s="7">
        <v>-19.407299999999999</v>
      </c>
      <c r="P251" s="7">
        <v>1887.0956000000001</v>
      </c>
      <c r="Q251" s="7">
        <v>1723.1643999999999</v>
      </c>
      <c r="R251" s="7" t="str">
        <f t="shared" si="46"/>
        <v>Up</v>
      </c>
      <c r="S251" s="7" t="str">
        <f t="shared" si="47"/>
        <v>Buy</v>
      </c>
      <c r="T251" s="8">
        <f t="shared" si="48"/>
        <v>0.12589445652173911</v>
      </c>
      <c r="U251" s="18">
        <f t="shared" si="49"/>
        <v>3896716</v>
      </c>
      <c r="V251" s="7">
        <f t="shared" si="50"/>
        <v>5586.2002000000002</v>
      </c>
      <c r="W251" s="7">
        <f t="shared" si="51"/>
        <v>1615.1</v>
      </c>
      <c r="X251" s="7">
        <f t="shared" si="52"/>
        <v>1734.2</v>
      </c>
      <c r="Y251" s="7">
        <f t="shared" si="53"/>
        <v>399</v>
      </c>
      <c r="Z251" s="7">
        <f t="shared" si="54"/>
        <v>1355710</v>
      </c>
      <c r="AA251" s="7" t="str">
        <f t="shared" si="55"/>
        <v>12-Jul-2022</v>
      </c>
      <c r="AB251" s="7">
        <f t="shared" si="56"/>
        <v>1734.2</v>
      </c>
      <c r="AC251" s="7">
        <f t="shared" si="60"/>
        <v>1</v>
      </c>
      <c r="AD251" s="7">
        <f t="shared" si="57"/>
        <v>2022</v>
      </c>
      <c r="AE251" s="19">
        <f t="shared" si="58"/>
        <v>0.1</v>
      </c>
      <c r="BA251" s="10">
        <f t="shared" si="59"/>
        <v>80.523600000000002</v>
      </c>
    </row>
    <row r="252" spans="1:53" x14ac:dyDescent="0.3">
      <c r="A252" s="17">
        <v>44755</v>
      </c>
      <c r="B252" s="8">
        <v>1734.2</v>
      </c>
      <c r="C252" s="7">
        <v>1734.2</v>
      </c>
      <c r="D252" s="7">
        <v>1710</v>
      </c>
      <c r="E252" s="7">
        <v>1710</v>
      </c>
      <c r="F252" s="18">
        <v>368</v>
      </c>
      <c r="G252" s="7">
        <v>1746.8427999999999</v>
      </c>
      <c r="H252" s="7">
        <v>1814.2132999999999</v>
      </c>
      <c r="I252" s="7">
        <v>1878.7056</v>
      </c>
      <c r="J252" s="8">
        <v>-1.3955</v>
      </c>
      <c r="K252" s="7">
        <v>0.98350000000000004</v>
      </c>
      <c r="L252" s="7">
        <v>0.99819999999999998</v>
      </c>
      <c r="M252" s="8">
        <v>15.798500000000001</v>
      </c>
      <c r="N252" s="8">
        <v>-31.281400000000001</v>
      </c>
      <c r="O252" s="7">
        <v>-21.7821</v>
      </c>
      <c r="P252" s="7">
        <v>1882.6627000000001</v>
      </c>
      <c r="Q252" s="7">
        <v>1711.2172</v>
      </c>
      <c r="R252" s="7" t="str">
        <f t="shared" si="46"/>
        <v>Down</v>
      </c>
      <c r="S252" s="7" t="str">
        <f t="shared" si="47"/>
        <v>Buy</v>
      </c>
      <c r="T252" s="8">
        <f t="shared" si="48"/>
        <v>0.12592470076169746</v>
      </c>
      <c r="U252" s="18">
        <f t="shared" si="49"/>
        <v>3896265</v>
      </c>
      <c r="V252" s="7">
        <f t="shared" si="50"/>
        <v>5586.2002000000002</v>
      </c>
      <c r="W252" s="7">
        <f t="shared" si="51"/>
        <v>1615.1</v>
      </c>
      <c r="X252" s="7">
        <f t="shared" si="52"/>
        <v>1710</v>
      </c>
      <c r="Y252" s="7">
        <f t="shared" si="53"/>
        <v>398</v>
      </c>
      <c r="Z252" s="7">
        <f t="shared" si="54"/>
        <v>1355259</v>
      </c>
      <c r="AA252" s="7" t="str">
        <f t="shared" si="55"/>
        <v>13-Jul-2022</v>
      </c>
      <c r="AB252" s="7">
        <f t="shared" si="56"/>
        <v>1710</v>
      </c>
      <c r="AC252" s="7">
        <f t="shared" si="60"/>
        <v>1</v>
      </c>
      <c r="AD252" s="7">
        <f t="shared" si="57"/>
        <v>2022</v>
      </c>
      <c r="AE252" s="19">
        <f t="shared" si="58"/>
        <v>-1.4</v>
      </c>
      <c r="BA252" s="10">
        <f t="shared" si="59"/>
        <v>80.523600000000002</v>
      </c>
    </row>
    <row r="253" spans="1:53" x14ac:dyDescent="0.3">
      <c r="A253" s="17">
        <v>44756</v>
      </c>
      <c r="B253" s="8">
        <v>1704.5</v>
      </c>
      <c r="C253" s="7">
        <v>1710.5</v>
      </c>
      <c r="D253" s="7">
        <v>1704.5</v>
      </c>
      <c r="E253" s="7">
        <v>1710.3</v>
      </c>
      <c r="F253" s="18">
        <v>1289</v>
      </c>
      <c r="G253" s="7">
        <v>1733.2571</v>
      </c>
      <c r="H253" s="7">
        <v>1809.5467000000001</v>
      </c>
      <c r="I253" s="7">
        <v>1876.1867</v>
      </c>
      <c r="J253" s="8">
        <v>1.7500000000000002E-2</v>
      </c>
      <c r="K253" s="7">
        <v>0.8871</v>
      </c>
      <c r="L253" s="7">
        <v>0.99719999999999998</v>
      </c>
      <c r="M253" s="8">
        <v>12.958600000000001</v>
      </c>
      <c r="N253" s="8">
        <v>-33.311999999999998</v>
      </c>
      <c r="O253" s="7">
        <v>-24.088100000000001</v>
      </c>
      <c r="P253" s="7">
        <v>1884.0728999999999</v>
      </c>
      <c r="Q253" s="7">
        <v>1698.337</v>
      </c>
      <c r="R253" s="7" t="str">
        <f t="shared" si="46"/>
        <v>Up</v>
      </c>
      <c r="S253" s="7" t="str">
        <f t="shared" si="47"/>
        <v>Buy</v>
      </c>
      <c r="T253" s="8">
        <f t="shared" si="48"/>
        <v>0.1275820261437908</v>
      </c>
      <c r="U253" s="18">
        <f t="shared" si="49"/>
        <v>3895897</v>
      </c>
      <c r="V253" s="7">
        <f t="shared" si="50"/>
        <v>5586.2002000000002</v>
      </c>
      <c r="W253" s="7">
        <f t="shared" si="51"/>
        <v>1615.1</v>
      </c>
      <c r="X253" s="7">
        <f t="shared" si="52"/>
        <v>1710.3</v>
      </c>
      <c r="Y253" s="7">
        <f t="shared" si="53"/>
        <v>398</v>
      </c>
      <c r="Z253" s="7">
        <f t="shared" si="54"/>
        <v>1355259</v>
      </c>
      <c r="AA253" s="7" t="str">
        <f t="shared" si="55"/>
        <v>14-Jul-2022</v>
      </c>
      <c r="AB253" s="7">
        <f t="shared" si="56"/>
        <v>1710.3</v>
      </c>
      <c r="AC253" s="7">
        <f t="shared" si="60"/>
        <v>1</v>
      </c>
      <c r="AD253" s="7">
        <f t="shared" si="57"/>
        <v>2022</v>
      </c>
      <c r="AE253" s="19">
        <f t="shared" si="58"/>
        <v>0.02</v>
      </c>
      <c r="BA253" s="10">
        <f t="shared" si="59"/>
        <v>80.523600000000002</v>
      </c>
    </row>
    <row r="254" spans="1:53" x14ac:dyDescent="0.3">
      <c r="A254" s="17">
        <v>44757</v>
      </c>
      <c r="B254" s="8">
        <v>1702.4</v>
      </c>
      <c r="C254" s="7">
        <v>1709.7</v>
      </c>
      <c r="D254" s="7">
        <v>1701.1</v>
      </c>
      <c r="E254" s="7">
        <v>1705.4</v>
      </c>
      <c r="F254" s="18">
        <v>721</v>
      </c>
      <c r="G254" s="7">
        <v>1725.1</v>
      </c>
      <c r="H254" s="7">
        <v>1805.36</v>
      </c>
      <c r="I254" s="7">
        <v>1873.0355999999999</v>
      </c>
      <c r="J254" s="8">
        <v>-0.28649999999999998</v>
      </c>
      <c r="K254" s="7">
        <v>0.53820000000000001</v>
      </c>
      <c r="L254" s="7">
        <v>0.98619999999999997</v>
      </c>
      <c r="M254" s="8">
        <v>13.782299999999999</v>
      </c>
      <c r="N254" s="8">
        <v>-34.914200000000001</v>
      </c>
      <c r="O254" s="7">
        <v>-26.253299999999999</v>
      </c>
      <c r="P254" s="7">
        <v>1885.4682</v>
      </c>
      <c r="Q254" s="7">
        <v>1686.0717999999999</v>
      </c>
      <c r="R254" s="7" t="str">
        <f t="shared" si="46"/>
        <v>Up</v>
      </c>
      <c r="S254" s="7" t="str">
        <f t="shared" si="47"/>
        <v>Buy</v>
      </c>
      <c r="T254" s="8">
        <f t="shared" si="48"/>
        <v>0.12770207197382763</v>
      </c>
      <c r="U254" s="18">
        <f t="shared" si="49"/>
        <v>3894608</v>
      </c>
      <c r="V254" s="7">
        <f t="shared" si="50"/>
        <v>5586.2002000000002</v>
      </c>
      <c r="W254" s="7">
        <f t="shared" si="51"/>
        <v>1615.1</v>
      </c>
      <c r="X254" s="7">
        <f t="shared" si="52"/>
        <v>1705.4</v>
      </c>
      <c r="Y254" s="7">
        <f t="shared" si="53"/>
        <v>397</v>
      </c>
      <c r="Z254" s="7">
        <f t="shared" si="54"/>
        <v>1353970</v>
      </c>
      <c r="AA254" s="7" t="str">
        <f t="shared" si="55"/>
        <v>15-Jul-2022</v>
      </c>
      <c r="AB254" s="7">
        <f t="shared" si="56"/>
        <v>1705.4</v>
      </c>
      <c r="AC254" s="7">
        <f t="shared" si="60"/>
        <v>1</v>
      </c>
      <c r="AD254" s="7">
        <f t="shared" si="57"/>
        <v>2022</v>
      </c>
      <c r="AE254" s="19">
        <f t="shared" si="58"/>
        <v>-0.28999999999999998</v>
      </c>
      <c r="BA254" s="10">
        <f t="shared" si="59"/>
        <v>80.523600000000002</v>
      </c>
    </row>
    <row r="255" spans="1:53" x14ac:dyDescent="0.3">
      <c r="A255" s="17">
        <v>44760</v>
      </c>
      <c r="B255" s="8">
        <v>1709.2</v>
      </c>
      <c r="C255" s="7">
        <v>1712.4</v>
      </c>
      <c r="D255" s="7">
        <v>1709.2</v>
      </c>
      <c r="E255" s="7">
        <v>1712.2</v>
      </c>
      <c r="F255" s="18">
        <v>264</v>
      </c>
      <c r="G255" s="7">
        <v>1720.3857</v>
      </c>
      <c r="H255" s="7">
        <v>1800.92</v>
      </c>
      <c r="I255" s="7">
        <v>1869.8444</v>
      </c>
      <c r="J255" s="8">
        <v>0.3987</v>
      </c>
      <c r="K255" s="7">
        <v>0.5706</v>
      </c>
      <c r="L255" s="7">
        <v>0.9748</v>
      </c>
      <c r="M255" s="8">
        <v>12.010199999999999</v>
      </c>
      <c r="N255" s="8">
        <v>-35.229199999999999</v>
      </c>
      <c r="O255" s="7">
        <v>-28.048500000000001</v>
      </c>
      <c r="P255" s="7">
        <v>1883.9739</v>
      </c>
      <c r="Q255" s="7">
        <v>1676.8661</v>
      </c>
      <c r="R255" s="7" t="str">
        <f t="shared" si="46"/>
        <v>Up</v>
      </c>
      <c r="S255" s="7" t="str">
        <f t="shared" si="47"/>
        <v>Buy</v>
      </c>
      <c r="T255" s="8">
        <f t="shared" si="48"/>
        <v>0.12815425764192137</v>
      </c>
      <c r="U255" s="18">
        <f t="shared" si="49"/>
        <v>3893887</v>
      </c>
      <c r="V255" s="7">
        <f t="shared" si="50"/>
        <v>5586.2002000000002</v>
      </c>
      <c r="W255" s="7">
        <f t="shared" si="51"/>
        <v>1615.1</v>
      </c>
      <c r="X255" s="7">
        <f t="shared" si="52"/>
        <v>1712.2</v>
      </c>
      <c r="Y255" s="7">
        <f t="shared" si="53"/>
        <v>396</v>
      </c>
      <c r="Z255" s="7">
        <f t="shared" si="54"/>
        <v>1353249</v>
      </c>
      <c r="AA255" s="7" t="str">
        <f t="shared" si="55"/>
        <v>18-Jul-2022</v>
      </c>
      <c r="AB255" s="7">
        <f t="shared" si="56"/>
        <v>1712.2</v>
      </c>
      <c r="AC255" s="7">
        <f t="shared" si="60"/>
        <v>1</v>
      </c>
      <c r="AD255" s="7">
        <f t="shared" si="57"/>
        <v>2022</v>
      </c>
      <c r="AE255" s="19">
        <f t="shared" si="58"/>
        <v>0.4</v>
      </c>
      <c r="BA255" s="10">
        <f t="shared" si="59"/>
        <v>80.523600000000002</v>
      </c>
    </row>
    <row r="256" spans="1:53" x14ac:dyDescent="0.3">
      <c r="A256" s="17">
        <v>44761</v>
      </c>
      <c r="B256" s="8">
        <v>1710</v>
      </c>
      <c r="C256" s="7">
        <v>1714.4</v>
      </c>
      <c r="D256" s="7">
        <v>1706.1</v>
      </c>
      <c r="E256" s="7">
        <v>1712.3</v>
      </c>
      <c r="F256" s="18">
        <v>1684</v>
      </c>
      <c r="G256" s="7">
        <v>1716.7</v>
      </c>
      <c r="H256" s="7">
        <v>1795.7433000000001</v>
      </c>
      <c r="I256" s="7">
        <v>1866.0522000000001</v>
      </c>
      <c r="J256" s="8">
        <v>5.7999999999999996E-3</v>
      </c>
      <c r="K256" s="7">
        <v>0.5756</v>
      </c>
      <c r="L256" s="7">
        <v>0.93730000000000002</v>
      </c>
      <c r="M256" s="8">
        <v>12.5753</v>
      </c>
      <c r="N256" s="8">
        <v>-35.066499999999998</v>
      </c>
      <c r="O256" s="7">
        <v>-29.452100000000002</v>
      </c>
      <c r="P256" s="7">
        <v>1875.1309000000001</v>
      </c>
      <c r="Q256" s="7">
        <v>1671.5690999999999</v>
      </c>
      <c r="R256" s="7" t="str">
        <f t="shared" si="46"/>
        <v>Up</v>
      </c>
      <c r="S256" s="7" t="str">
        <f t="shared" si="47"/>
        <v>Buy</v>
      </c>
      <c r="T256" s="8">
        <f t="shared" si="48"/>
        <v>0.12785857923497265</v>
      </c>
      <c r="U256" s="18">
        <f t="shared" si="49"/>
        <v>3893623</v>
      </c>
      <c r="V256" s="7">
        <f t="shared" si="50"/>
        <v>5586.2002000000002</v>
      </c>
      <c r="W256" s="7">
        <f t="shared" si="51"/>
        <v>1615.1</v>
      </c>
      <c r="X256" s="7">
        <f t="shared" si="52"/>
        <v>1712.3</v>
      </c>
      <c r="Y256" s="7">
        <f t="shared" si="53"/>
        <v>395</v>
      </c>
      <c r="Z256" s="7">
        <f t="shared" si="54"/>
        <v>1352985</v>
      </c>
      <c r="AA256" s="7" t="str">
        <f t="shared" si="55"/>
        <v>19-Jul-2022</v>
      </c>
      <c r="AB256" s="7">
        <f t="shared" si="56"/>
        <v>1712.3</v>
      </c>
      <c r="AC256" s="7">
        <f t="shared" si="60"/>
        <v>1</v>
      </c>
      <c r="AD256" s="7">
        <f t="shared" si="57"/>
        <v>2022</v>
      </c>
      <c r="AE256" s="19">
        <f t="shared" si="58"/>
        <v>0.01</v>
      </c>
      <c r="BA256" s="10">
        <f t="shared" si="59"/>
        <v>80.523600000000002</v>
      </c>
    </row>
    <row r="257" spans="1:53" x14ac:dyDescent="0.3">
      <c r="A257" s="17">
        <v>44762</v>
      </c>
      <c r="B257" s="8">
        <v>1699.5</v>
      </c>
      <c r="C257" s="7">
        <v>1708.5</v>
      </c>
      <c r="D257" s="7">
        <v>1699.5</v>
      </c>
      <c r="E257" s="7">
        <v>1707.1</v>
      </c>
      <c r="F257" s="18">
        <v>130</v>
      </c>
      <c r="G257" s="7">
        <v>1713.0714</v>
      </c>
      <c r="H257" s="7">
        <v>1791.0133000000001</v>
      </c>
      <c r="I257" s="7">
        <v>1863.0410999999999</v>
      </c>
      <c r="J257" s="8">
        <v>-0.30370000000000003</v>
      </c>
      <c r="K257" s="7">
        <v>0.57499999999999996</v>
      </c>
      <c r="L257" s="7">
        <v>0.92769999999999997</v>
      </c>
      <c r="M257" s="8">
        <v>12.634399999999999</v>
      </c>
      <c r="N257" s="8">
        <v>-34.9542</v>
      </c>
      <c r="O257" s="7">
        <v>-30.552499999999998</v>
      </c>
      <c r="P257" s="7">
        <v>1868.4407000000001</v>
      </c>
      <c r="Q257" s="7">
        <v>1665.4392</v>
      </c>
      <c r="R257" s="7" t="str">
        <f t="shared" si="46"/>
        <v>Up</v>
      </c>
      <c r="S257" s="7" t="str">
        <f t="shared" si="47"/>
        <v>Buy</v>
      </c>
      <c r="T257" s="8">
        <f t="shared" si="48"/>
        <v>0.12799212253829317</v>
      </c>
      <c r="U257" s="18">
        <f t="shared" si="49"/>
        <v>3891939</v>
      </c>
      <c r="V257" s="7">
        <f t="shared" si="50"/>
        <v>5586.2002000000002</v>
      </c>
      <c r="W257" s="7">
        <f t="shared" si="51"/>
        <v>1615.1</v>
      </c>
      <c r="X257" s="7">
        <f t="shared" si="52"/>
        <v>1707.1</v>
      </c>
      <c r="Y257" s="7">
        <f t="shared" si="53"/>
        <v>394</v>
      </c>
      <c r="Z257" s="7">
        <f t="shared" si="54"/>
        <v>1351301</v>
      </c>
      <c r="AA257" s="7" t="str">
        <f t="shared" si="55"/>
        <v>20-Jul-2022</v>
      </c>
      <c r="AB257" s="7">
        <f t="shared" si="56"/>
        <v>1707.1</v>
      </c>
      <c r="AC257" s="7">
        <f t="shared" si="60"/>
        <v>1</v>
      </c>
      <c r="AD257" s="7">
        <f t="shared" si="57"/>
        <v>2022</v>
      </c>
      <c r="AE257" s="19">
        <f t="shared" si="58"/>
        <v>-0.3</v>
      </c>
      <c r="BA257" s="10">
        <f t="shared" si="59"/>
        <v>80.523600000000002</v>
      </c>
    </row>
    <row r="258" spans="1:53" x14ac:dyDescent="0.3">
      <c r="A258" s="17">
        <v>44763</v>
      </c>
      <c r="B258" s="8">
        <v>1712.7</v>
      </c>
      <c r="C258" s="7">
        <v>1715.5</v>
      </c>
      <c r="D258" s="7">
        <v>1679.8</v>
      </c>
      <c r="E258" s="7">
        <v>1687</v>
      </c>
      <c r="F258" s="18">
        <v>183</v>
      </c>
      <c r="G258" s="7">
        <v>1706.3286000000001</v>
      </c>
      <c r="H258" s="7">
        <v>1786.0166999999999</v>
      </c>
      <c r="I258" s="7">
        <v>1859.73</v>
      </c>
      <c r="J258" s="8">
        <v>-1.1774</v>
      </c>
      <c r="K258" s="7">
        <v>0.65749999999999997</v>
      </c>
      <c r="L258" s="7">
        <v>0.94010000000000005</v>
      </c>
      <c r="M258" s="8">
        <v>11.7354</v>
      </c>
      <c r="N258" s="8">
        <v>-36.071300000000001</v>
      </c>
      <c r="O258" s="7">
        <v>-31.656300000000002</v>
      </c>
      <c r="P258" s="7">
        <v>1862.8200999999999</v>
      </c>
      <c r="Q258" s="7">
        <v>1656.8099</v>
      </c>
      <c r="R258" s="7" t="str">
        <f t="shared" si="46"/>
        <v>Down</v>
      </c>
      <c r="S258" s="7" t="str">
        <f t="shared" si="47"/>
        <v>Buy</v>
      </c>
      <c r="T258" s="8">
        <f t="shared" si="48"/>
        <v>0.12846495071193864</v>
      </c>
      <c r="U258" s="18">
        <f t="shared" si="49"/>
        <v>3891809</v>
      </c>
      <c r="V258" s="7">
        <f t="shared" si="50"/>
        <v>5586.2002000000002</v>
      </c>
      <c r="W258" s="7">
        <f t="shared" si="51"/>
        <v>1615.1</v>
      </c>
      <c r="X258" s="7">
        <f t="shared" si="52"/>
        <v>1687</v>
      </c>
      <c r="Y258" s="7">
        <f t="shared" si="53"/>
        <v>393</v>
      </c>
      <c r="Z258" s="7">
        <f t="shared" si="54"/>
        <v>1351171</v>
      </c>
      <c r="AA258" s="7" t="str">
        <f t="shared" si="55"/>
        <v>21-Jul-2022</v>
      </c>
      <c r="AB258" s="7">
        <f t="shared" si="56"/>
        <v>1687</v>
      </c>
      <c r="AC258" s="7">
        <f t="shared" si="60"/>
        <v>1</v>
      </c>
      <c r="AD258" s="7">
        <f t="shared" si="57"/>
        <v>2022</v>
      </c>
      <c r="AE258" s="19">
        <f t="shared" si="58"/>
        <v>-1.18</v>
      </c>
      <c r="BA258" s="10">
        <f t="shared" si="59"/>
        <v>80.523600000000002</v>
      </c>
    </row>
    <row r="259" spans="1:53" x14ac:dyDescent="0.3">
      <c r="A259" s="17">
        <v>44764</v>
      </c>
      <c r="B259" s="8">
        <v>1727.1</v>
      </c>
      <c r="C259" s="7">
        <v>1735</v>
      </c>
      <c r="D259" s="7">
        <v>1713</v>
      </c>
      <c r="E259" s="7">
        <v>1713.3</v>
      </c>
      <c r="F259" s="18">
        <v>61</v>
      </c>
      <c r="G259" s="7">
        <v>1706.8</v>
      </c>
      <c r="H259" s="7">
        <v>1781.6333</v>
      </c>
      <c r="I259" s="7">
        <v>1856.8055999999999</v>
      </c>
      <c r="J259" s="8">
        <v>1.5589999999999999</v>
      </c>
      <c r="K259" s="7">
        <v>0.83109999999999995</v>
      </c>
      <c r="L259" s="7">
        <v>0.99070000000000003</v>
      </c>
      <c r="M259" s="8">
        <v>26.1601</v>
      </c>
      <c r="N259" s="8">
        <v>-34.4375</v>
      </c>
      <c r="O259" s="7">
        <v>-32.212499999999999</v>
      </c>
      <c r="P259" s="7">
        <v>1852.2058999999999</v>
      </c>
      <c r="Q259" s="7">
        <v>1655.2040999999999</v>
      </c>
      <c r="R259" s="7" t="str">
        <f t="shared" ref="R259:R322" si="61">IF(E259&gt;B259,"Up","Down")</f>
        <v>Down</v>
      </c>
      <c r="S259" s="7" t="str">
        <f t="shared" ref="S259:S322" si="62">IF(M259&gt;70,"Sell",IF(M259&lt;30,"Buy","Hold"))</f>
        <v>Buy</v>
      </c>
      <c r="T259" s="8">
        <f t="shared" ref="T259:T322" si="63">AVERAGE(J259:J1427)</f>
        <v>0.12989682017543855</v>
      </c>
      <c r="U259" s="18">
        <f t="shared" ref="U259:U322" si="64">SUM(F259:F1427)</f>
        <v>3891626</v>
      </c>
      <c r="V259" s="7">
        <f t="shared" ref="V259:V322" si="65">MAX(C259:C1427)</f>
        <v>5586.2002000000002</v>
      </c>
      <c r="W259" s="7">
        <f t="shared" ref="W259:W322" si="66">MIN(D259:D1427)</f>
        <v>1615.1</v>
      </c>
      <c r="X259" s="7">
        <f t="shared" ref="X259:X322" si="67">INDEX(E259:E1427,MATCH(A259,A259:A1427,0))</f>
        <v>1713.3</v>
      </c>
      <c r="Y259" s="7">
        <f t="shared" ref="Y259:Y322" si="68">COUNTIF(R259:R1427,"Up")</f>
        <v>393</v>
      </c>
      <c r="Z259" s="7">
        <f t="shared" ref="Z259:Z322" si="69">SUMIF(R259:R1427,"Up",F259:F1427)</f>
        <v>1351171</v>
      </c>
      <c r="AA259" s="7" t="str">
        <f t="shared" ref="AA259:AA322" si="70">TEXT(A259,"DD-MMM-YYYY")</f>
        <v>22-Jul-2022</v>
      </c>
      <c r="AB259" s="7">
        <f t="shared" ref="AB259:AB322" si="71">_xlfn.XLOOKUP(A259,A259:A1427,E259:E1427)</f>
        <v>1713.3</v>
      </c>
      <c r="AC259" s="7">
        <f t="shared" si="60"/>
        <v>1</v>
      </c>
      <c r="AD259" s="7">
        <f t="shared" ref="AD259:AD322" si="72">YEAR(A259)</f>
        <v>2022</v>
      </c>
      <c r="AE259" s="19">
        <f t="shared" ref="AE259:AE322" si="73">ROUND(J259,2)</f>
        <v>1.56</v>
      </c>
      <c r="BA259" s="10">
        <f t="shared" ref="BA259:BA322" si="74">MODE(M259:M1427)</f>
        <v>80.523600000000002</v>
      </c>
    </row>
    <row r="260" spans="1:53" x14ac:dyDescent="0.3">
      <c r="A260" s="17">
        <v>44767</v>
      </c>
      <c r="B260" s="8">
        <v>1719</v>
      </c>
      <c r="C260" s="7">
        <v>1732</v>
      </c>
      <c r="D260" s="7">
        <v>1719</v>
      </c>
      <c r="E260" s="7">
        <v>1727</v>
      </c>
      <c r="F260" s="18">
        <v>67</v>
      </c>
      <c r="G260" s="7">
        <v>1709.1857</v>
      </c>
      <c r="H260" s="7">
        <v>1777.6632999999999</v>
      </c>
      <c r="I260" s="7">
        <v>1854.4411</v>
      </c>
      <c r="J260" s="8">
        <v>0.79959999999999998</v>
      </c>
      <c r="K260" s="7">
        <v>0.88009999999999999</v>
      </c>
      <c r="L260" s="7">
        <v>1.0075000000000001</v>
      </c>
      <c r="M260" s="8">
        <v>27.752600000000001</v>
      </c>
      <c r="N260" s="8">
        <v>-31.6721</v>
      </c>
      <c r="O260" s="7">
        <v>-32.104399999999998</v>
      </c>
      <c r="P260" s="7">
        <v>1842.9516000000001</v>
      </c>
      <c r="Q260" s="7">
        <v>1655.1084000000001</v>
      </c>
      <c r="R260" s="7" t="str">
        <f t="shared" si="61"/>
        <v>Up</v>
      </c>
      <c r="S260" s="7" t="str">
        <f t="shared" si="62"/>
        <v>Buy</v>
      </c>
      <c r="T260" s="8">
        <f t="shared" si="63"/>
        <v>0.12832810098792533</v>
      </c>
      <c r="U260" s="18">
        <f t="shared" si="64"/>
        <v>3891565</v>
      </c>
      <c r="V260" s="7">
        <f t="shared" si="65"/>
        <v>5586.2002000000002</v>
      </c>
      <c r="W260" s="7">
        <f t="shared" si="66"/>
        <v>1615.1</v>
      </c>
      <c r="X260" s="7">
        <f t="shared" si="67"/>
        <v>1727</v>
      </c>
      <c r="Y260" s="7">
        <f t="shared" si="68"/>
        <v>393</v>
      </c>
      <c r="Z260" s="7">
        <f t="shared" si="69"/>
        <v>1351171</v>
      </c>
      <c r="AA260" s="7" t="str">
        <f t="shared" si="70"/>
        <v>25-Jul-2022</v>
      </c>
      <c r="AB260" s="7">
        <f t="shared" si="71"/>
        <v>1727</v>
      </c>
      <c r="AC260" s="7">
        <f t="shared" si="60"/>
        <v>1</v>
      </c>
      <c r="AD260" s="7">
        <f t="shared" si="72"/>
        <v>2022</v>
      </c>
      <c r="AE260" s="19">
        <f t="shared" si="73"/>
        <v>0.8</v>
      </c>
      <c r="BA260" s="10">
        <f t="shared" si="74"/>
        <v>80.523600000000002</v>
      </c>
    </row>
    <row r="261" spans="1:53" x14ac:dyDescent="0.3">
      <c r="A261" s="17">
        <v>44768</v>
      </c>
      <c r="B261" s="8">
        <v>1717.7</v>
      </c>
      <c r="C261" s="7">
        <v>1718</v>
      </c>
      <c r="D261" s="7">
        <v>1717.7</v>
      </c>
      <c r="E261" s="7">
        <v>1718</v>
      </c>
      <c r="F261" s="18">
        <v>1</v>
      </c>
      <c r="G261" s="7">
        <v>1710.9857</v>
      </c>
      <c r="H261" s="7">
        <v>1773.5066999999999</v>
      </c>
      <c r="I261" s="7">
        <v>1852.17</v>
      </c>
      <c r="J261" s="8">
        <v>-0.52110000000000001</v>
      </c>
      <c r="K261" s="7">
        <v>0.90339999999999998</v>
      </c>
      <c r="L261" s="7">
        <v>1.0089999999999999</v>
      </c>
      <c r="M261" s="8">
        <v>34.363999999999997</v>
      </c>
      <c r="N261" s="8">
        <v>-29.862500000000001</v>
      </c>
      <c r="O261" s="7">
        <v>-31.655999999999999</v>
      </c>
      <c r="P261" s="7">
        <v>1829.9694999999999</v>
      </c>
      <c r="Q261" s="7">
        <v>1656.8405</v>
      </c>
      <c r="R261" s="7" t="str">
        <f t="shared" si="61"/>
        <v>Up</v>
      </c>
      <c r="S261" s="7" t="str">
        <f t="shared" si="62"/>
        <v>Hold</v>
      </c>
      <c r="T261" s="8">
        <f t="shared" si="63"/>
        <v>0.12759043956043953</v>
      </c>
      <c r="U261" s="18">
        <f t="shared" si="64"/>
        <v>3891498</v>
      </c>
      <c r="V261" s="7">
        <f t="shared" si="65"/>
        <v>5586.2002000000002</v>
      </c>
      <c r="W261" s="7">
        <f t="shared" si="66"/>
        <v>1615.1</v>
      </c>
      <c r="X261" s="7">
        <f t="shared" si="67"/>
        <v>1718</v>
      </c>
      <c r="Y261" s="7">
        <f t="shared" si="68"/>
        <v>392</v>
      </c>
      <c r="Z261" s="7">
        <f t="shared" si="69"/>
        <v>1351104</v>
      </c>
      <c r="AA261" s="7" t="str">
        <f t="shared" si="70"/>
        <v>26-Jul-2022</v>
      </c>
      <c r="AB261" s="7">
        <f t="shared" si="71"/>
        <v>1718</v>
      </c>
      <c r="AC261" s="7">
        <f t="shared" ref="AC261:AC324" si="75">_xlfn.XMATCH(A261,A261:A1429)</f>
        <v>1</v>
      </c>
      <c r="AD261" s="7">
        <f t="shared" si="72"/>
        <v>2022</v>
      </c>
      <c r="AE261" s="19">
        <f t="shared" si="73"/>
        <v>-0.52</v>
      </c>
      <c r="BA261" s="10">
        <f t="shared" si="74"/>
        <v>80.523600000000002</v>
      </c>
    </row>
    <row r="262" spans="1:53" x14ac:dyDescent="0.3">
      <c r="A262" s="17">
        <v>44769</v>
      </c>
      <c r="B262" s="8">
        <v>1719.1</v>
      </c>
      <c r="C262" s="7">
        <v>1719.1</v>
      </c>
      <c r="D262" s="7">
        <v>1719.1</v>
      </c>
      <c r="E262" s="7">
        <v>1719.1</v>
      </c>
      <c r="F262" s="18">
        <v>144865</v>
      </c>
      <c r="G262" s="7">
        <v>1711.9713999999999</v>
      </c>
      <c r="H262" s="7">
        <v>1768.35</v>
      </c>
      <c r="I262" s="7">
        <v>1849.7833000000001</v>
      </c>
      <c r="J262" s="8">
        <v>6.4000000000000001E-2</v>
      </c>
      <c r="K262" s="7">
        <v>0.89429999999999998</v>
      </c>
      <c r="L262" s="7">
        <v>0.94410000000000005</v>
      </c>
      <c r="M262" s="8">
        <v>39.6511</v>
      </c>
      <c r="N262" s="8">
        <v>-28.0166</v>
      </c>
      <c r="O262" s="7">
        <v>-30.928100000000001</v>
      </c>
      <c r="P262" s="7">
        <v>1816.4266</v>
      </c>
      <c r="Q262" s="7">
        <v>1659.8733999999999</v>
      </c>
      <c r="R262" s="7" t="str">
        <f t="shared" si="61"/>
        <v>Down</v>
      </c>
      <c r="S262" s="7" t="str">
        <f t="shared" si="62"/>
        <v>Hold</v>
      </c>
      <c r="T262" s="8">
        <f t="shared" si="63"/>
        <v>0.12830407040704067</v>
      </c>
      <c r="U262" s="18">
        <f t="shared" si="64"/>
        <v>3891497</v>
      </c>
      <c r="V262" s="7">
        <f t="shared" si="65"/>
        <v>5586.2002000000002</v>
      </c>
      <c r="W262" s="7">
        <f t="shared" si="66"/>
        <v>1615.1</v>
      </c>
      <c r="X262" s="7">
        <f t="shared" si="67"/>
        <v>1719.1</v>
      </c>
      <c r="Y262" s="7">
        <f t="shared" si="68"/>
        <v>391</v>
      </c>
      <c r="Z262" s="7">
        <f t="shared" si="69"/>
        <v>1351103</v>
      </c>
      <c r="AA262" s="7" t="str">
        <f t="shared" si="70"/>
        <v>27-Jul-2022</v>
      </c>
      <c r="AB262" s="7">
        <f t="shared" si="71"/>
        <v>1719.1</v>
      </c>
      <c r="AC262" s="7">
        <f t="shared" si="75"/>
        <v>1</v>
      </c>
      <c r="AD262" s="7">
        <f t="shared" si="72"/>
        <v>2022</v>
      </c>
      <c r="AE262" s="19">
        <f t="shared" si="73"/>
        <v>0.06</v>
      </c>
      <c r="BA262" s="10">
        <f t="shared" si="74"/>
        <v>80.523600000000002</v>
      </c>
    </row>
    <row r="263" spans="1:53" x14ac:dyDescent="0.3">
      <c r="A263" s="17">
        <v>44770</v>
      </c>
      <c r="B263" s="8">
        <v>1750.3</v>
      </c>
      <c r="C263" s="7">
        <v>1755</v>
      </c>
      <c r="D263" s="7">
        <v>1732</v>
      </c>
      <c r="E263" s="7">
        <v>1732.3</v>
      </c>
      <c r="F263" s="18">
        <v>37236</v>
      </c>
      <c r="G263" s="7">
        <v>1714.8286000000001</v>
      </c>
      <c r="H263" s="7">
        <v>1765.26</v>
      </c>
      <c r="I263" s="7">
        <v>1847.5367000000001</v>
      </c>
      <c r="J263" s="8">
        <v>0.76780000000000004</v>
      </c>
      <c r="K263" s="7">
        <v>0.93200000000000005</v>
      </c>
      <c r="L263" s="7">
        <v>0.85460000000000003</v>
      </c>
      <c r="M263" s="8">
        <v>47.806399999999996</v>
      </c>
      <c r="N263" s="8">
        <v>-25.1982</v>
      </c>
      <c r="O263" s="7">
        <v>-29.7822</v>
      </c>
      <c r="P263" s="7">
        <v>1802.4367999999999</v>
      </c>
      <c r="Q263" s="7">
        <v>1665.2632000000001</v>
      </c>
      <c r="R263" s="7" t="str">
        <f t="shared" si="61"/>
        <v>Down</v>
      </c>
      <c r="S263" s="7" t="str">
        <f t="shared" si="62"/>
        <v>Hold</v>
      </c>
      <c r="T263" s="8">
        <f t="shared" si="63"/>
        <v>0.12837488986784135</v>
      </c>
      <c r="U263" s="18">
        <f t="shared" si="64"/>
        <v>3746632</v>
      </c>
      <c r="V263" s="7">
        <f t="shared" si="65"/>
        <v>5586.2002000000002</v>
      </c>
      <c r="W263" s="7">
        <f t="shared" si="66"/>
        <v>1615.1</v>
      </c>
      <c r="X263" s="7">
        <f t="shared" si="67"/>
        <v>1732.3</v>
      </c>
      <c r="Y263" s="7">
        <f t="shared" si="68"/>
        <v>391</v>
      </c>
      <c r="Z263" s="7">
        <f t="shared" si="69"/>
        <v>1351103</v>
      </c>
      <c r="AA263" s="7" t="str">
        <f t="shared" si="70"/>
        <v>28-Jul-2022</v>
      </c>
      <c r="AB263" s="7">
        <f t="shared" si="71"/>
        <v>1732.3</v>
      </c>
      <c r="AC263" s="7">
        <f t="shared" si="75"/>
        <v>1</v>
      </c>
      <c r="AD263" s="7">
        <f t="shared" si="72"/>
        <v>2022</v>
      </c>
      <c r="AE263" s="19">
        <f t="shared" si="73"/>
        <v>0.77</v>
      </c>
      <c r="BA263" s="10">
        <f t="shared" si="74"/>
        <v>80.523600000000002</v>
      </c>
    </row>
    <row r="264" spans="1:53" x14ac:dyDescent="0.3">
      <c r="A264" s="17">
        <v>44771</v>
      </c>
      <c r="B264" s="8">
        <v>1762.9</v>
      </c>
      <c r="C264" s="7">
        <v>1765.7</v>
      </c>
      <c r="D264" s="7">
        <v>1750</v>
      </c>
      <c r="E264" s="7">
        <v>1754</v>
      </c>
      <c r="F264" s="18">
        <v>3485</v>
      </c>
      <c r="G264" s="7">
        <v>1721.5286000000001</v>
      </c>
      <c r="H264" s="7">
        <v>1763.2566999999999</v>
      </c>
      <c r="I264" s="7">
        <v>1845.6322</v>
      </c>
      <c r="J264" s="8">
        <v>1.2526999999999999</v>
      </c>
      <c r="K264" s="7">
        <v>0.98440000000000005</v>
      </c>
      <c r="L264" s="7">
        <v>0.88880000000000003</v>
      </c>
      <c r="M264" s="8">
        <v>57.248800000000003</v>
      </c>
      <c r="N264" s="8">
        <v>-20.971800000000002</v>
      </c>
      <c r="O264" s="7">
        <v>-28.020099999999999</v>
      </c>
      <c r="P264" s="7">
        <v>1790.6441</v>
      </c>
      <c r="Q264" s="7">
        <v>1671.4958999999999</v>
      </c>
      <c r="R264" s="7" t="str">
        <f t="shared" si="61"/>
        <v>Down</v>
      </c>
      <c r="S264" s="7" t="str">
        <f t="shared" si="62"/>
        <v>Hold</v>
      </c>
      <c r="T264" s="8">
        <f t="shared" si="63"/>
        <v>0.12766990077177506</v>
      </c>
      <c r="U264" s="18">
        <f t="shared" si="64"/>
        <v>3709396</v>
      </c>
      <c r="V264" s="7">
        <f t="shared" si="65"/>
        <v>5586.2002000000002</v>
      </c>
      <c r="W264" s="7">
        <f t="shared" si="66"/>
        <v>1615.1</v>
      </c>
      <c r="X264" s="7">
        <f t="shared" si="67"/>
        <v>1754</v>
      </c>
      <c r="Y264" s="7">
        <f t="shared" si="68"/>
        <v>391</v>
      </c>
      <c r="Z264" s="7">
        <f t="shared" si="69"/>
        <v>1351103</v>
      </c>
      <c r="AA264" s="7" t="str">
        <f t="shared" si="70"/>
        <v>29-Jul-2022</v>
      </c>
      <c r="AB264" s="7">
        <f t="shared" si="71"/>
        <v>1754</v>
      </c>
      <c r="AC264" s="7">
        <f t="shared" si="75"/>
        <v>1</v>
      </c>
      <c r="AD264" s="7">
        <f t="shared" si="72"/>
        <v>2022</v>
      </c>
      <c r="AE264" s="19">
        <f t="shared" si="73"/>
        <v>1.25</v>
      </c>
      <c r="BA264" s="10">
        <f t="shared" si="74"/>
        <v>80.523600000000002</v>
      </c>
    </row>
    <row r="265" spans="1:53" x14ac:dyDescent="0.3">
      <c r="A265" s="17">
        <v>44774</v>
      </c>
      <c r="B265" s="8">
        <v>1769</v>
      </c>
      <c r="C265" s="7">
        <v>1772.5</v>
      </c>
      <c r="D265" s="7">
        <v>1756.1</v>
      </c>
      <c r="E265" s="7">
        <v>1763.9</v>
      </c>
      <c r="F265" s="18">
        <v>705</v>
      </c>
      <c r="G265" s="7">
        <v>1732.5143</v>
      </c>
      <c r="H265" s="7">
        <v>1761.4132999999999</v>
      </c>
      <c r="I265" s="7">
        <v>1843.89</v>
      </c>
      <c r="J265" s="8">
        <v>0.56440000000000001</v>
      </c>
      <c r="K265" s="7">
        <v>0.70089999999999997</v>
      </c>
      <c r="L265" s="7">
        <v>0.89459999999999995</v>
      </c>
      <c r="M265" s="8">
        <v>59.488799999999998</v>
      </c>
      <c r="N265" s="8">
        <v>-16.631799999999998</v>
      </c>
      <c r="O265" s="7">
        <v>-25.7424</v>
      </c>
      <c r="P265" s="7">
        <v>1783.2628999999999</v>
      </c>
      <c r="Q265" s="7">
        <v>1675.7171000000001</v>
      </c>
      <c r="R265" s="7" t="str">
        <f t="shared" si="61"/>
        <v>Down</v>
      </c>
      <c r="S265" s="7" t="str">
        <f t="shared" si="62"/>
        <v>Hold</v>
      </c>
      <c r="T265" s="8">
        <f t="shared" si="63"/>
        <v>0.1264281456953642</v>
      </c>
      <c r="U265" s="18">
        <f t="shared" si="64"/>
        <v>3705911</v>
      </c>
      <c r="V265" s="7">
        <f t="shared" si="65"/>
        <v>5586.2002000000002</v>
      </c>
      <c r="W265" s="7">
        <f t="shared" si="66"/>
        <v>1615.1</v>
      </c>
      <c r="X265" s="7">
        <f t="shared" si="67"/>
        <v>1763.9</v>
      </c>
      <c r="Y265" s="7">
        <f t="shared" si="68"/>
        <v>391</v>
      </c>
      <c r="Z265" s="7">
        <f t="shared" si="69"/>
        <v>1351103</v>
      </c>
      <c r="AA265" s="7" t="str">
        <f t="shared" si="70"/>
        <v>01-Aug-2022</v>
      </c>
      <c r="AB265" s="7">
        <f t="shared" si="71"/>
        <v>1763.9</v>
      </c>
      <c r="AC265" s="7">
        <f t="shared" si="75"/>
        <v>1</v>
      </c>
      <c r="AD265" s="7">
        <f t="shared" si="72"/>
        <v>2022</v>
      </c>
      <c r="AE265" s="19">
        <f t="shared" si="73"/>
        <v>0.56000000000000005</v>
      </c>
      <c r="BA265" s="10">
        <f t="shared" si="74"/>
        <v>80.523600000000002</v>
      </c>
    </row>
    <row r="266" spans="1:53" x14ac:dyDescent="0.3">
      <c r="A266" s="17">
        <v>44775</v>
      </c>
      <c r="B266" s="8">
        <v>1771.1</v>
      </c>
      <c r="C266" s="7">
        <v>1786.6</v>
      </c>
      <c r="D266" s="7">
        <v>1759.4</v>
      </c>
      <c r="E266" s="7">
        <v>1772.1</v>
      </c>
      <c r="F266" s="18">
        <v>1078</v>
      </c>
      <c r="G266" s="7">
        <v>1740.9142999999999</v>
      </c>
      <c r="H266" s="7">
        <v>1758.6932999999999</v>
      </c>
      <c r="I266" s="7">
        <v>1842.0622000000001</v>
      </c>
      <c r="J266" s="8">
        <v>0.46489999999999998</v>
      </c>
      <c r="K266" s="7">
        <v>0.57220000000000004</v>
      </c>
      <c r="L266" s="7">
        <v>0.81950000000000001</v>
      </c>
      <c r="M266" s="8">
        <v>72.099599999999995</v>
      </c>
      <c r="N266" s="8">
        <v>-12.3878</v>
      </c>
      <c r="O266" s="7">
        <v>-23.0715</v>
      </c>
      <c r="P266" s="7">
        <v>1773.0905</v>
      </c>
      <c r="Q266" s="7">
        <v>1682.5595000000001</v>
      </c>
      <c r="R266" s="7" t="str">
        <f t="shared" si="61"/>
        <v>Up</v>
      </c>
      <c r="S266" s="7" t="str">
        <f t="shared" si="62"/>
        <v>Sell</v>
      </c>
      <c r="T266" s="8">
        <f t="shared" si="63"/>
        <v>0.12594419889502756</v>
      </c>
      <c r="U266" s="18">
        <f t="shared" si="64"/>
        <v>3705206</v>
      </c>
      <c r="V266" s="7">
        <f t="shared" si="65"/>
        <v>5586.2002000000002</v>
      </c>
      <c r="W266" s="7">
        <f t="shared" si="66"/>
        <v>1615.1</v>
      </c>
      <c r="X266" s="7">
        <f t="shared" si="67"/>
        <v>1772.1</v>
      </c>
      <c r="Y266" s="7">
        <f t="shared" si="68"/>
        <v>391</v>
      </c>
      <c r="Z266" s="7">
        <f t="shared" si="69"/>
        <v>1351103</v>
      </c>
      <c r="AA266" s="7" t="str">
        <f t="shared" si="70"/>
        <v>02-Aug-2022</v>
      </c>
      <c r="AB266" s="7">
        <f t="shared" si="71"/>
        <v>1772.1</v>
      </c>
      <c r="AC266" s="7">
        <f t="shared" si="75"/>
        <v>1</v>
      </c>
      <c r="AD266" s="7">
        <f t="shared" si="72"/>
        <v>2022</v>
      </c>
      <c r="AE266" s="19">
        <f t="shared" si="73"/>
        <v>0.46</v>
      </c>
      <c r="BA266" s="10">
        <f t="shared" si="74"/>
        <v>80.523600000000002</v>
      </c>
    </row>
    <row r="267" spans="1:53" x14ac:dyDescent="0.3">
      <c r="A267" s="17">
        <v>44776</v>
      </c>
      <c r="B267" s="8">
        <v>1758</v>
      </c>
      <c r="C267" s="7">
        <v>1770.5</v>
      </c>
      <c r="D267" s="7">
        <v>1753</v>
      </c>
      <c r="E267" s="7">
        <v>1756.7</v>
      </c>
      <c r="F267" s="18">
        <v>399</v>
      </c>
      <c r="G267" s="7">
        <v>1745.1570999999999</v>
      </c>
      <c r="H267" s="7">
        <v>1756.0733</v>
      </c>
      <c r="I267" s="7">
        <v>1839.7633000000001</v>
      </c>
      <c r="J267" s="8">
        <v>-0.86899999999999999</v>
      </c>
      <c r="K267" s="7">
        <v>0.74160000000000004</v>
      </c>
      <c r="L267" s="7">
        <v>0.81540000000000001</v>
      </c>
      <c r="M267" s="8">
        <v>64.91</v>
      </c>
      <c r="N267" s="8">
        <v>-10.1501</v>
      </c>
      <c r="O267" s="7">
        <v>-20.487200000000001</v>
      </c>
      <c r="P267" s="7">
        <v>1771.9311</v>
      </c>
      <c r="Q267" s="7">
        <v>1683.1388999999999</v>
      </c>
      <c r="R267" s="7" t="str">
        <f t="shared" si="61"/>
        <v>Down</v>
      </c>
      <c r="S267" s="7" t="str">
        <f t="shared" si="62"/>
        <v>Hold</v>
      </c>
      <c r="T267" s="8">
        <f t="shared" si="63"/>
        <v>0.12556924778761056</v>
      </c>
      <c r="U267" s="18">
        <f t="shared" si="64"/>
        <v>3704128</v>
      </c>
      <c r="V267" s="7">
        <f t="shared" si="65"/>
        <v>5586.2002000000002</v>
      </c>
      <c r="W267" s="7">
        <f t="shared" si="66"/>
        <v>1615.1</v>
      </c>
      <c r="X267" s="7">
        <f t="shared" si="67"/>
        <v>1756.7</v>
      </c>
      <c r="Y267" s="7">
        <f t="shared" si="68"/>
        <v>390</v>
      </c>
      <c r="Z267" s="7">
        <f t="shared" si="69"/>
        <v>1350025</v>
      </c>
      <c r="AA267" s="7" t="str">
        <f t="shared" si="70"/>
        <v>03-Aug-2022</v>
      </c>
      <c r="AB267" s="7">
        <f t="shared" si="71"/>
        <v>1756.7</v>
      </c>
      <c r="AC267" s="7">
        <f t="shared" si="75"/>
        <v>1</v>
      </c>
      <c r="AD267" s="7">
        <f t="shared" si="72"/>
        <v>2022</v>
      </c>
      <c r="AE267" s="19">
        <f t="shared" si="73"/>
        <v>-0.87</v>
      </c>
      <c r="BA267" s="10">
        <f t="shared" si="74"/>
        <v>80.523600000000002</v>
      </c>
    </row>
    <row r="268" spans="1:53" x14ac:dyDescent="0.3">
      <c r="A268" s="17">
        <v>44777</v>
      </c>
      <c r="B268" s="8">
        <v>1788.5</v>
      </c>
      <c r="C268" s="7">
        <v>1792.1</v>
      </c>
      <c r="D268" s="7">
        <v>1767.7</v>
      </c>
      <c r="E268" s="7">
        <v>1769.4</v>
      </c>
      <c r="F268" s="18">
        <v>285</v>
      </c>
      <c r="G268" s="7">
        <v>1752.5</v>
      </c>
      <c r="H268" s="7">
        <v>1754.07</v>
      </c>
      <c r="I268" s="7">
        <v>1837.7144000000001</v>
      </c>
      <c r="J268" s="8">
        <v>0.72299999999999998</v>
      </c>
      <c r="K268" s="7">
        <v>0.67300000000000004</v>
      </c>
      <c r="L268" s="7">
        <v>0.82969999999999999</v>
      </c>
      <c r="M268" s="8">
        <v>69.583799999999997</v>
      </c>
      <c r="N268" s="8">
        <v>-7.2680999999999996</v>
      </c>
      <c r="O268" s="7">
        <v>-17.843399999999999</v>
      </c>
      <c r="P268" s="7">
        <v>1776.37</v>
      </c>
      <c r="Q268" s="7">
        <v>1681.1201000000001</v>
      </c>
      <c r="R268" s="7" t="str">
        <f t="shared" si="61"/>
        <v>Down</v>
      </c>
      <c r="S268" s="7" t="str">
        <f t="shared" si="62"/>
        <v>Hold</v>
      </c>
      <c r="T268" s="8">
        <f t="shared" si="63"/>
        <v>0.12667065337763009</v>
      </c>
      <c r="U268" s="18">
        <f t="shared" si="64"/>
        <v>3703729</v>
      </c>
      <c r="V268" s="7">
        <f t="shared" si="65"/>
        <v>5586.2002000000002</v>
      </c>
      <c r="W268" s="7">
        <f t="shared" si="66"/>
        <v>1615.1</v>
      </c>
      <c r="X268" s="7">
        <f t="shared" si="67"/>
        <v>1769.4</v>
      </c>
      <c r="Y268" s="7">
        <f t="shared" si="68"/>
        <v>390</v>
      </c>
      <c r="Z268" s="7">
        <f t="shared" si="69"/>
        <v>1350025</v>
      </c>
      <c r="AA268" s="7" t="str">
        <f t="shared" si="70"/>
        <v>04-Aug-2022</v>
      </c>
      <c r="AB268" s="7">
        <f t="shared" si="71"/>
        <v>1769.4</v>
      </c>
      <c r="AC268" s="7">
        <f t="shared" si="75"/>
        <v>1</v>
      </c>
      <c r="AD268" s="7">
        <f t="shared" si="72"/>
        <v>2022</v>
      </c>
      <c r="AE268" s="19">
        <f t="shared" si="73"/>
        <v>0.72</v>
      </c>
      <c r="BA268" s="10">
        <f t="shared" si="74"/>
        <v>80.523600000000002</v>
      </c>
    </row>
    <row r="269" spans="1:53" x14ac:dyDescent="0.3">
      <c r="A269" s="17">
        <v>44778</v>
      </c>
      <c r="B269" s="8">
        <v>1772.9</v>
      </c>
      <c r="C269" s="7">
        <v>1791.4</v>
      </c>
      <c r="D269" s="7">
        <v>1764.2</v>
      </c>
      <c r="E269" s="7">
        <v>1791.2</v>
      </c>
      <c r="F269" s="18">
        <v>645</v>
      </c>
      <c r="G269" s="7">
        <v>1762.8</v>
      </c>
      <c r="H269" s="7">
        <v>1752.5933</v>
      </c>
      <c r="I269" s="7">
        <v>1836.1433</v>
      </c>
      <c r="J269" s="8">
        <v>1.2321</v>
      </c>
      <c r="K269" s="7">
        <v>0.71250000000000002</v>
      </c>
      <c r="L269" s="7">
        <v>0.8619</v>
      </c>
      <c r="M269" s="8">
        <v>72.141199999999998</v>
      </c>
      <c r="N269" s="8">
        <v>-3.1882999999999999</v>
      </c>
      <c r="O269" s="7">
        <v>-14.9124</v>
      </c>
      <c r="P269" s="7">
        <v>1786.5472</v>
      </c>
      <c r="Q269" s="7">
        <v>1676.2528</v>
      </c>
      <c r="R269" s="7" t="str">
        <f t="shared" si="61"/>
        <v>Up</v>
      </c>
      <c r="S269" s="7" t="str">
        <f t="shared" si="62"/>
        <v>Sell</v>
      </c>
      <c r="T269" s="8">
        <f t="shared" si="63"/>
        <v>0.12600953436807091</v>
      </c>
      <c r="U269" s="18">
        <f t="shared" si="64"/>
        <v>3703444</v>
      </c>
      <c r="V269" s="7">
        <f t="shared" si="65"/>
        <v>5586.2002000000002</v>
      </c>
      <c r="W269" s="7">
        <f t="shared" si="66"/>
        <v>1615.1</v>
      </c>
      <c r="X269" s="7">
        <f t="shared" si="67"/>
        <v>1791.2</v>
      </c>
      <c r="Y269" s="7">
        <f t="shared" si="68"/>
        <v>390</v>
      </c>
      <c r="Z269" s="7">
        <f t="shared" si="69"/>
        <v>1350025</v>
      </c>
      <c r="AA269" s="7" t="str">
        <f t="shared" si="70"/>
        <v>05-Aug-2022</v>
      </c>
      <c r="AB269" s="7">
        <f t="shared" si="71"/>
        <v>1791.2</v>
      </c>
      <c r="AC269" s="7">
        <f t="shared" si="75"/>
        <v>1</v>
      </c>
      <c r="AD269" s="7">
        <f t="shared" si="72"/>
        <v>2022</v>
      </c>
      <c r="AE269" s="19">
        <f t="shared" si="73"/>
        <v>1.23</v>
      </c>
      <c r="BA269" s="10">
        <f t="shared" si="74"/>
        <v>80.523600000000002</v>
      </c>
    </row>
    <row r="270" spans="1:53" x14ac:dyDescent="0.3">
      <c r="A270" s="17">
        <v>44781</v>
      </c>
      <c r="B270" s="8">
        <v>1786.8</v>
      </c>
      <c r="C270" s="7">
        <v>1786.8</v>
      </c>
      <c r="D270" s="7">
        <v>1771.8</v>
      </c>
      <c r="E270" s="7">
        <v>1771.8</v>
      </c>
      <c r="F270" s="18">
        <v>127</v>
      </c>
      <c r="G270" s="7">
        <v>1768.4429</v>
      </c>
      <c r="H270" s="7">
        <v>1750.97</v>
      </c>
      <c r="I270" s="7">
        <v>1834.7910999999999</v>
      </c>
      <c r="J270" s="8">
        <v>-1.0831</v>
      </c>
      <c r="K270" s="7">
        <v>0.94220000000000004</v>
      </c>
      <c r="L270" s="7">
        <v>0.87109999999999999</v>
      </c>
      <c r="M270" s="8">
        <v>65.048100000000005</v>
      </c>
      <c r="N270" s="8">
        <v>-1.5031000000000001</v>
      </c>
      <c r="O270" s="7">
        <v>-12.230499999999999</v>
      </c>
      <c r="P270" s="7">
        <v>1791.4022</v>
      </c>
      <c r="Q270" s="7">
        <v>1675.3278</v>
      </c>
      <c r="R270" s="7" t="str">
        <f t="shared" si="61"/>
        <v>Down</v>
      </c>
      <c r="S270" s="7" t="str">
        <f t="shared" si="62"/>
        <v>Hold</v>
      </c>
      <c r="T270" s="8">
        <f t="shared" si="63"/>
        <v>0.12478190899001106</v>
      </c>
      <c r="U270" s="18">
        <f t="shared" si="64"/>
        <v>3702799</v>
      </c>
      <c r="V270" s="7">
        <f t="shared" si="65"/>
        <v>5586.2002000000002</v>
      </c>
      <c r="W270" s="7">
        <f t="shared" si="66"/>
        <v>1615.1</v>
      </c>
      <c r="X270" s="7">
        <f t="shared" si="67"/>
        <v>1771.8</v>
      </c>
      <c r="Y270" s="7">
        <f t="shared" si="68"/>
        <v>389</v>
      </c>
      <c r="Z270" s="7">
        <f t="shared" si="69"/>
        <v>1349380</v>
      </c>
      <c r="AA270" s="7" t="str">
        <f t="shared" si="70"/>
        <v>08-Aug-2022</v>
      </c>
      <c r="AB270" s="7">
        <f t="shared" si="71"/>
        <v>1771.8</v>
      </c>
      <c r="AC270" s="7">
        <f t="shared" si="75"/>
        <v>1</v>
      </c>
      <c r="AD270" s="7">
        <f t="shared" si="72"/>
        <v>2022</v>
      </c>
      <c r="AE270" s="19">
        <f t="shared" si="73"/>
        <v>-1.08</v>
      </c>
      <c r="BA270" s="10">
        <f t="shared" si="74"/>
        <v>80.523600000000002</v>
      </c>
    </row>
    <row r="271" spans="1:53" x14ac:dyDescent="0.3">
      <c r="A271" s="17">
        <v>44782</v>
      </c>
      <c r="B271" s="8">
        <v>1794</v>
      </c>
      <c r="C271" s="7">
        <v>1796.1</v>
      </c>
      <c r="D271" s="7">
        <v>1789</v>
      </c>
      <c r="E271" s="7">
        <v>1790</v>
      </c>
      <c r="F271" s="18">
        <v>249</v>
      </c>
      <c r="G271" s="7">
        <v>1773.5857000000001</v>
      </c>
      <c r="H271" s="7">
        <v>1749.62</v>
      </c>
      <c r="I271" s="7">
        <v>1833.3643999999999</v>
      </c>
      <c r="J271" s="8">
        <v>1.0271999999999999</v>
      </c>
      <c r="K271" s="7">
        <v>0.90859999999999996</v>
      </c>
      <c r="L271" s="7">
        <v>0.88729999999999998</v>
      </c>
      <c r="M271" s="8">
        <v>69.672499999999999</v>
      </c>
      <c r="N271" s="8">
        <v>1.2862</v>
      </c>
      <c r="O271" s="7">
        <v>-9.5272000000000006</v>
      </c>
      <c r="P271" s="7">
        <v>1799.4848</v>
      </c>
      <c r="Q271" s="7">
        <v>1672.8252</v>
      </c>
      <c r="R271" s="7" t="str">
        <f t="shared" si="61"/>
        <v>Down</v>
      </c>
      <c r="S271" s="7" t="str">
        <f t="shared" si="62"/>
        <v>Hold</v>
      </c>
      <c r="T271" s="8">
        <f t="shared" si="63"/>
        <v>0.12612399999999996</v>
      </c>
      <c r="U271" s="18">
        <f t="shared" si="64"/>
        <v>3702672</v>
      </c>
      <c r="V271" s="7">
        <f t="shared" si="65"/>
        <v>5586.2002000000002</v>
      </c>
      <c r="W271" s="7">
        <f t="shared" si="66"/>
        <v>1615.1</v>
      </c>
      <c r="X271" s="7">
        <f t="shared" si="67"/>
        <v>1790</v>
      </c>
      <c r="Y271" s="7">
        <f t="shared" si="68"/>
        <v>389</v>
      </c>
      <c r="Z271" s="7">
        <f t="shared" si="69"/>
        <v>1349380</v>
      </c>
      <c r="AA271" s="7" t="str">
        <f t="shared" si="70"/>
        <v>09-Aug-2022</v>
      </c>
      <c r="AB271" s="7">
        <f t="shared" si="71"/>
        <v>1790</v>
      </c>
      <c r="AC271" s="7">
        <f t="shared" si="75"/>
        <v>1</v>
      </c>
      <c r="AD271" s="7">
        <f t="shared" si="72"/>
        <v>2022</v>
      </c>
      <c r="AE271" s="19">
        <f t="shared" si="73"/>
        <v>1.03</v>
      </c>
      <c r="BA271" s="10">
        <f t="shared" si="74"/>
        <v>80.523600000000002</v>
      </c>
    </row>
    <row r="272" spans="1:53" x14ac:dyDescent="0.3">
      <c r="A272" s="17">
        <v>44783</v>
      </c>
      <c r="B272" s="8">
        <v>1795.6</v>
      </c>
      <c r="C272" s="7">
        <v>1804.9</v>
      </c>
      <c r="D272" s="7">
        <v>1787.8</v>
      </c>
      <c r="E272" s="7">
        <v>1804.4</v>
      </c>
      <c r="F272" s="18">
        <v>601</v>
      </c>
      <c r="G272" s="7">
        <v>1779.3714</v>
      </c>
      <c r="H272" s="7">
        <v>1748.96</v>
      </c>
      <c r="I272" s="7">
        <v>1831.93</v>
      </c>
      <c r="J272" s="8">
        <v>0.80449999999999999</v>
      </c>
      <c r="K272" s="7">
        <v>0.92479999999999996</v>
      </c>
      <c r="L272" s="7">
        <v>0.89980000000000004</v>
      </c>
      <c r="M272" s="8">
        <v>78.634200000000007</v>
      </c>
      <c r="N272" s="8">
        <v>4.6055999999999999</v>
      </c>
      <c r="O272" s="7">
        <v>-6.7005999999999997</v>
      </c>
      <c r="P272" s="7">
        <v>1809.8195000000001</v>
      </c>
      <c r="Q272" s="7">
        <v>1671.9304999999999</v>
      </c>
      <c r="R272" s="7" t="str">
        <f t="shared" si="61"/>
        <v>Up</v>
      </c>
      <c r="S272" s="7" t="str">
        <f t="shared" si="62"/>
        <v>Sell</v>
      </c>
      <c r="T272" s="8">
        <f t="shared" si="63"/>
        <v>0.12512169076751939</v>
      </c>
      <c r="U272" s="18">
        <f t="shared" si="64"/>
        <v>3702423</v>
      </c>
      <c r="V272" s="7">
        <f t="shared" si="65"/>
        <v>5586.2002000000002</v>
      </c>
      <c r="W272" s="7">
        <f t="shared" si="66"/>
        <v>1615.1</v>
      </c>
      <c r="X272" s="7">
        <f t="shared" si="67"/>
        <v>1804.4</v>
      </c>
      <c r="Y272" s="7">
        <f t="shared" si="68"/>
        <v>389</v>
      </c>
      <c r="Z272" s="7">
        <f t="shared" si="69"/>
        <v>1349380</v>
      </c>
      <c r="AA272" s="7" t="str">
        <f t="shared" si="70"/>
        <v>10-Aug-2022</v>
      </c>
      <c r="AB272" s="7">
        <f t="shared" si="71"/>
        <v>1804.4</v>
      </c>
      <c r="AC272" s="7">
        <f t="shared" si="75"/>
        <v>1</v>
      </c>
      <c r="AD272" s="7">
        <f t="shared" si="72"/>
        <v>2022</v>
      </c>
      <c r="AE272" s="19">
        <f t="shared" si="73"/>
        <v>0.8</v>
      </c>
      <c r="BA272" s="10">
        <f t="shared" si="74"/>
        <v>80.523600000000002</v>
      </c>
    </row>
    <row r="273" spans="1:53" x14ac:dyDescent="0.3">
      <c r="A273" s="17">
        <v>44784</v>
      </c>
      <c r="B273" s="8">
        <v>1789.7</v>
      </c>
      <c r="C273" s="7">
        <v>1794.3</v>
      </c>
      <c r="D273" s="7">
        <v>1785.7</v>
      </c>
      <c r="E273" s="7">
        <v>1794.3</v>
      </c>
      <c r="F273" s="18">
        <v>1235</v>
      </c>
      <c r="G273" s="7">
        <v>1782.5428999999999</v>
      </c>
      <c r="H273" s="7">
        <v>1748.16</v>
      </c>
      <c r="I273" s="7">
        <v>1830.3667</v>
      </c>
      <c r="J273" s="8">
        <v>-0.55969999999999998</v>
      </c>
      <c r="K273" s="7">
        <v>0.97909999999999997</v>
      </c>
      <c r="L273" s="7">
        <v>0.90349999999999997</v>
      </c>
      <c r="M273" s="8">
        <v>71.451300000000003</v>
      </c>
      <c r="N273" s="8">
        <v>6.3480999999999996</v>
      </c>
      <c r="O273" s="7">
        <v>-4.0909000000000004</v>
      </c>
      <c r="P273" s="7">
        <v>1816.3712</v>
      </c>
      <c r="Q273" s="7">
        <v>1673.7788</v>
      </c>
      <c r="R273" s="7" t="str">
        <f t="shared" si="61"/>
        <v>Up</v>
      </c>
      <c r="S273" s="7" t="str">
        <f t="shared" si="62"/>
        <v>Sell</v>
      </c>
      <c r="T273" s="8">
        <f t="shared" si="63"/>
        <v>0.12436514476614693</v>
      </c>
      <c r="U273" s="18">
        <f t="shared" si="64"/>
        <v>3701822</v>
      </c>
      <c r="V273" s="7">
        <f t="shared" si="65"/>
        <v>5586.2002000000002</v>
      </c>
      <c r="W273" s="7">
        <f t="shared" si="66"/>
        <v>1615.1</v>
      </c>
      <c r="X273" s="7">
        <f t="shared" si="67"/>
        <v>1794.3</v>
      </c>
      <c r="Y273" s="7">
        <f t="shared" si="68"/>
        <v>388</v>
      </c>
      <c r="Z273" s="7">
        <f t="shared" si="69"/>
        <v>1348779</v>
      </c>
      <c r="AA273" s="7" t="str">
        <f t="shared" si="70"/>
        <v>11-Aug-2022</v>
      </c>
      <c r="AB273" s="7">
        <f t="shared" si="71"/>
        <v>1794.3</v>
      </c>
      <c r="AC273" s="7">
        <f t="shared" si="75"/>
        <v>1</v>
      </c>
      <c r="AD273" s="7">
        <f t="shared" si="72"/>
        <v>2022</v>
      </c>
      <c r="AE273" s="19">
        <f t="shared" si="73"/>
        <v>-0.56000000000000005</v>
      </c>
      <c r="BA273" s="10">
        <f t="shared" si="74"/>
        <v>80.523600000000002</v>
      </c>
    </row>
    <row r="274" spans="1:53" x14ac:dyDescent="0.3">
      <c r="A274" s="17">
        <v>44785</v>
      </c>
      <c r="B274" s="8">
        <v>1798.6</v>
      </c>
      <c r="C274" s="7">
        <v>1800.4</v>
      </c>
      <c r="D274" s="7">
        <v>1784.3</v>
      </c>
      <c r="E274" s="7">
        <v>1786.3</v>
      </c>
      <c r="F274" s="18">
        <v>187</v>
      </c>
      <c r="G274" s="7">
        <v>1786.7714000000001</v>
      </c>
      <c r="H274" s="7">
        <v>1747.3833</v>
      </c>
      <c r="I274" s="7">
        <v>1828.8678</v>
      </c>
      <c r="J274" s="8">
        <v>-0.44590000000000002</v>
      </c>
      <c r="K274" s="7">
        <v>0.9143</v>
      </c>
      <c r="L274" s="7">
        <v>0.90290000000000004</v>
      </c>
      <c r="M274" s="8">
        <v>66.193399999999997</v>
      </c>
      <c r="N274" s="8">
        <v>7.0027999999999997</v>
      </c>
      <c r="O274" s="7">
        <v>-1.8721000000000001</v>
      </c>
      <c r="P274" s="7">
        <v>1820.1176</v>
      </c>
      <c r="Q274" s="7">
        <v>1678.1224</v>
      </c>
      <c r="R274" s="7" t="str">
        <f t="shared" si="61"/>
        <v>Down</v>
      </c>
      <c r="S274" s="7" t="str">
        <f t="shared" si="62"/>
        <v>Hold</v>
      </c>
      <c r="T274" s="8">
        <f t="shared" si="63"/>
        <v>0.12512775919732436</v>
      </c>
      <c r="U274" s="18">
        <f t="shared" si="64"/>
        <v>3700587</v>
      </c>
      <c r="V274" s="7">
        <f t="shared" si="65"/>
        <v>5586.2002000000002</v>
      </c>
      <c r="W274" s="7">
        <f t="shared" si="66"/>
        <v>1615.1</v>
      </c>
      <c r="X274" s="7">
        <f t="shared" si="67"/>
        <v>1786.3</v>
      </c>
      <c r="Y274" s="7">
        <f t="shared" si="68"/>
        <v>387</v>
      </c>
      <c r="Z274" s="7">
        <f t="shared" si="69"/>
        <v>1347544</v>
      </c>
      <c r="AA274" s="7" t="str">
        <f t="shared" si="70"/>
        <v>12-Aug-2022</v>
      </c>
      <c r="AB274" s="7">
        <f t="shared" si="71"/>
        <v>1786.3</v>
      </c>
      <c r="AC274" s="7">
        <f t="shared" si="75"/>
        <v>1</v>
      </c>
      <c r="AD274" s="7">
        <f t="shared" si="72"/>
        <v>2022</v>
      </c>
      <c r="AE274" s="19">
        <f t="shared" si="73"/>
        <v>-0.45</v>
      </c>
      <c r="BA274" s="10">
        <f t="shared" si="74"/>
        <v>80.523600000000002</v>
      </c>
    </row>
    <row r="275" spans="1:53" x14ac:dyDescent="0.3">
      <c r="A275" s="17">
        <v>44788</v>
      </c>
      <c r="B275" s="8">
        <v>1781.4</v>
      </c>
      <c r="C275" s="7">
        <v>1799</v>
      </c>
      <c r="D275" s="7">
        <v>1774.7</v>
      </c>
      <c r="E275" s="7">
        <v>1799</v>
      </c>
      <c r="F275" s="18">
        <v>64</v>
      </c>
      <c r="G275" s="7">
        <v>1791</v>
      </c>
      <c r="H275" s="7">
        <v>1747.5</v>
      </c>
      <c r="I275" s="7">
        <v>1827.4444000000001</v>
      </c>
      <c r="J275" s="8">
        <v>0.71099999999999997</v>
      </c>
      <c r="K275" s="7">
        <v>0.9133</v>
      </c>
      <c r="L275" s="7">
        <v>0.90180000000000005</v>
      </c>
      <c r="M275" s="8">
        <v>71.680999999999997</v>
      </c>
      <c r="N275" s="8">
        <v>8.4489999999999998</v>
      </c>
      <c r="O275" s="7">
        <v>0.19209999999999999</v>
      </c>
      <c r="P275" s="7">
        <v>1825.5583999999999</v>
      </c>
      <c r="Q275" s="7">
        <v>1681.3616</v>
      </c>
      <c r="R275" s="7" t="str">
        <f t="shared" si="61"/>
        <v>Up</v>
      </c>
      <c r="S275" s="7" t="str">
        <f t="shared" si="62"/>
        <v>Sell</v>
      </c>
      <c r="T275" s="8">
        <f t="shared" si="63"/>
        <v>0.12576506696428563</v>
      </c>
      <c r="U275" s="18">
        <f t="shared" si="64"/>
        <v>3700400</v>
      </c>
      <c r="V275" s="7">
        <f t="shared" si="65"/>
        <v>5586.2002000000002</v>
      </c>
      <c r="W275" s="7">
        <f t="shared" si="66"/>
        <v>1615.1</v>
      </c>
      <c r="X275" s="7">
        <f t="shared" si="67"/>
        <v>1799</v>
      </c>
      <c r="Y275" s="7">
        <f t="shared" si="68"/>
        <v>387</v>
      </c>
      <c r="Z275" s="7">
        <f t="shared" si="69"/>
        <v>1347544</v>
      </c>
      <c r="AA275" s="7" t="str">
        <f t="shared" si="70"/>
        <v>15-Aug-2022</v>
      </c>
      <c r="AB275" s="7">
        <f t="shared" si="71"/>
        <v>1799</v>
      </c>
      <c r="AC275" s="7">
        <f t="shared" si="75"/>
        <v>1</v>
      </c>
      <c r="AD275" s="7">
        <f t="shared" si="72"/>
        <v>2022</v>
      </c>
      <c r="AE275" s="19">
        <f t="shared" si="73"/>
        <v>0.71</v>
      </c>
      <c r="BA275" s="10">
        <f t="shared" si="74"/>
        <v>80.523600000000002</v>
      </c>
    </row>
    <row r="276" spans="1:53" x14ac:dyDescent="0.3">
      <c r="A276" s="17">
        <v>44789</v>
      </c>
      <c r="B276" s="8">
        <v>1773.2</v>
      </c>
      <c r="C276" s="7">
        <v>1777.4</v>
      </c>
      <c r="D276" s="7">
        <v>1771.4</v>
      </c>
      <c r="E276" s="7">
        <v>1777.4</v>
      </c>
      <c r="F276" s="18">
        <v>308</v>
      </c>
      <c r="G276" s="7">
        <v>1789.0286000000001</v>
      </c>
      <c r="H276" s="7">
        <v>1746.5667000000001</v>
      </c>
      <c r="I276" s="7">
        <v>1825.8967</v>
      </c>
      <c r="J276" s="8">
        <v>-1.2007000000000001</v>
      </c>
      <c r="K276" s="7">
        <v>0.93579999999999997</v>
      </c>
      <c r="L276" s="7">
        <v>0.92210000000000003</v>
      </c>
      <c r="M276" s="8">
        <v>64.061800000000005</v>
      </c>
      <c r="N276" s="8">
        <v>7.7626999999999997</v>
      </c>
      <c r="O276" s="7">
        <v>1.7061999999999999</v>
      </c>
      <c r="P276" s="7">
        <v>1826.8404</v>
      </c>
      <c r="Q276" s="7">
        <v>1686.5897</v>
      </c>
      <c r="R276" s="7" t="str">
        <f t="shared" si="61"/>
        <v>Up</v>
      </c>
      <c r="S276" s="7" t="str">
        <f t="shared" si="62"/>
        <v>Hold</v>
      </c>
      <c r="T276" s="8">
        <f t="shared" si="63"/>
        <v>0.12511117318435747</v>
      </c>
      <c r="U276" s="18">
        <f t="shared" si="64"/>
        <v>3700336</v>
      </c>
      <c r="V276" s="7">
        <f t="shared" si="65"/>
        <v>5586.2002000000002</v>
      </c>
      <c r="W276" s="7">
        <f t="shared" si="66"/>
        <v>1615.1</v>
      </c>
      <c r="X276" s="7">
        <f t="shared" si="67"/>
        <v>1777.4</v>
      </c>
      <c r="Y276" s="7">
        <f t="shared" si="68"/>
        <v>386</v>
      </c>
      <c r="Z276" s="7">
        <f t="shared" si="69"/>
        <v>1347480</v>
      </c>
      <c r="AA276" s="7" t="str">
        <f t="shared" si="70"/>
        <v>16-Aug-2022</v>
      </c>
      <c r="AB276" s="7">
        <f t="shared" si="71"/>
        <v>1777.4</v>
      </c>
      <c r="AC276" s="7">
        <f t="shared" si="75"/>
        <v>1</v>
      </c>
      <c r="AD276" s="7">
        <f t="shared" si="72"/>
        <v>2022</v>
      </c>
      <c r="AE276" s="19">
        <f t="shared" si="73"/>
        <v>-1.2</v>
      </c>
      <c r="BA276" s="10">
        <f t="shared" si="74"/>
        <v>80.523600000000002</v>
      </c>
    </row>
    <row r="277" spans="1:53" x14ac:dyDescent="0.3">
      <c r="A277" s="17">
        <v>44790</v>
      </c>
      <c r="B277" s="8">
        <v>1760.3</v>
      </c>
      <c r="C277" s="7">
        <v>1769.7</v>
      </c>
      <c r="D277" s="7">
        <v>1760</v>
      </c>
      <c r="E277" s="7">
        <v>1769.7</v>
      </c>
      <c r="F277" s="18">
        <v>23</v>
      </c>
      <c r="G277" s="7">
        <v>1788.7285999999999</v>
      </c>
      <c r="H277" s="7">
        <v>1746.8067000000001</v>
      </c>
      <c r="I277" s="7">
        <v>1824.2321999999999</v>
      </c>
      <c r="J277" s="8">
        <v>-0.43319999999999997</v>
      </c>
      <c r="K277" s="7">
        <v>0.85129999999999995</v>
      </c>
      <c r="L277" s="7">
        <v>0.81489999999999996</v>
      </c>
      <c r="M277" s="8">
        <v>59.266599999999997</v>
      </c>
      <c r="N277" s="8">
        <v>6.5223000000000004</v>
      </c>
      <c r="O277" s="7">
        <v>2.6695000000000002</v>
      </c>
      <c r="P277" s="7">
        <v>1826.1289999999999</v>
      </c>
      <c r="Q277" s="7">
        <v>1693.5609999999999</v>
      </c>
      <c r="R277" s="7" t="str">
        <f t="shared" si="61"/>
        <v>Up</v>
      </c>
      <c r="S277" s="7" t="str">
        <f t="shared" si="62"/>
        <v>Hold</v>
      </c>
      <c r="T277" s="8">
        <f t="shared" si="63"/>
        <v>0.12659418344519011</v>
      </c>
      <c r="U277" s="18">
        <f t="shared" si="64"/>
        <v>3700028</v>
      </c>
      <c r="V277" s="7">
        <f t="shared" si="65"/>
        <v>5586.2002000000002</v>
      </c>
      <c r="W277" s="7">
        <f t="shared" si="66"/>
        <v>1615.1</v>
      </c>
      <c r="X277" s="7">
        <f t="shared" si="67"/>
        <v>1769.7</v>
      </c>
      <c r="Y277" s="7">
        <f t="shared" si="68"/>
        <v>385</v>
      </c>
      <c r="Z277" s="7">
        <f t="shared" si="69"/>
        <v>1347172</v>
      </c>
      <c r="AA277" s="7" t="str">
        <f t="shared" si="70"/>
        <v>17-Aug-2022</v>
      </c>
      <c r="AB277" s="7">
        <f t="shared" si="71"/>
        <v>1769.7</v>
      </c>
      <c r="AC277" s="7">
        <f t="shared" si="75"/>
        <v>1</v>
      </c>
      <c r="AD277" s="7">
        <f t="shared" si="72"/>
        <v>2022</v>
      </c>
      <c r="AE277" s="19">
        <f t="shared" si="73"/>
        <v>-0.43</v>
      </c>
      <c r="BA277" s="10">
        <f t="shared" si="74"/>
        <v>80.523600000000002</v>
      </c>
    </row>
    <row r="278" spans="1:53" x14ac:dyDescent="0.3">
      <c r="A278" s="17">
        <v>44791</v>
      </c>
      <c r="B278" s="8">
        <v>1755.3</v>
      </c>
      <c r="C278" s="7">
        <v>1762.9</v>
      </c>
      <c r="D278" s="7">
        <v>1753.4</v>
      </c>
      <c r="E278" s="7">
        <v>1762.9</v>
      </c>
      <c r="F278" s="18">
        <v>321</v>
      </c>
      <c r="G278" s="7">
        <v>1784.8571999999999</v>
      </c>
      <c r="H278" s="7">
        <v>1747.3967</v>
      </c>
      <c r="I278" s="7">
        <v>1822.3888999999999</v>
      </c>
      <c r="J278" s="8">
        <v>-0.38419999999999999</v>
      </c>
      <c r="K278" s="7">
        <v>0.72070000000000001</v>
      </c>
      <c r="L278" s="7">
        <v>0.79679999999999995</v>
      </c>
      <c r="M278" s="8">
        <v>52.381</v>
      </c>
      <c r="N278" s="8">
        <v>4.9337</v>
      </c>
      <c r="O278" s="7">
        <v>3.1223000000000001</v>
      </c>
      <c r="P278" s="7">
        <v>1820.3652999999999</v>
      </c>
      <c r="Q278" s="7">
        <v>1706.9147</v>
      </c>
      <c r="R278" s="7" t="str">
        <f t="shared" si="61"/>
        <v>Up</v>
      </c>
      <c r="S278" s="7" t="str">
        <f t="shared" si="62"/>
        <v>Hold</v>
      </c>
      <c r="T278" s="8">
        <f t="shared" si="63"/>
        <v>0.1272210526315789</v>
      </c>
      <c r="U278" s="18">
        <f t="shared" si="64"/>
        <v>3700005</v>
      </c>
      <c r="V278" s="7">
        <f t="shared" si="65"/>
        <v>5586.2002000000002</v>
      </c>
      <c r="W278" s="7">
        <f t="shared" si="66"/>
        <v>1615.1</v>
      </c>
      <c r="X278" s="7">
        <f t="shared" si="67"/>
        <v>1762.9</v>
      </c>
      <c r="Y278" s="7">
        <f t="shared" si="68"/>
        <v>384</v>
      </c>
      <c r="Z278" s="7">
        <f t="shared" si="69"/>
        <v>1347149</v>
      </c>
      <c r="AA278" s="7" t="str">
        <f t="shared" si="70"/>
        <v>18-Aug-2022</v>
      </c>
      <c r="AB278" s="7">
        <f t="shared" si="71"/>
        <v>1762.9</v>
      </c>
      <c r="AC278" s="7">
        <f t="shared" si="75"/>
        <v>1</v>
      </c>
      <c r="AD278" s="7">
        <f t="shared" si="72"/>
        <v>2022</v>
      </c>
      <c r="AE278" s="19">
        <f t="shared" si="73"/>
        <v>-0.38</v>
      </c>
      <c r="BA278" s="10">
        <f t="shared" si="74"/>
        <v>80.523600000000002</v>
      </c>
    </row>
    <row r="279" spans="1:53" x14ac:dyDescent="0.3">
      <c r="A279" s="17">
        <v>44792</v>
      </c>
      <c r="B279" s="8">
        <v>1747.6</v>
      </c>
      <c r="C279" s="7">
        <v>1754.3</v>
      </c>
      <c r="D279" s="7">
        <v>1747.5</v>
      </c>
      <c r="E279" s="7">
        <v>1753.7</v>
      </c>
      <c r="F279" s="18">
        <v>49</v>
      </c>
      <c r="G279" s="7">
        <v>1777.6143</v>
      </c>
      <c r="H279" s="7">
        <v>1747.9167</v>
      </c>
      <c r="I279" s="7">
        <v>1820.2456</v>
      </c>
      <c r="J279" s="8">
        <v>-0.52190000000000003</v>
      </c>
      <c r="K279" s="7">
        <v>0.5655</v>
      </c>
      <c r="L279" s="7">
        <v>0.79930000000000001</v>
      </c>
      <c r="M279" s="8">
        <v>47.261000000000003</v>
      </c>
      <c r="N279" s="8">
        <v>2.899</v>
      </c>
      <c r="O279" s="7">
        <v>3.0775999999999999</v>
      </c>
      <c r="P279" s="7">
        <v>1817.5047999999999</v>
      </c>
      <c r="Q279" s="7">
        <v>1713.8152</v>
      </c>
      <c r="R279" s="7" t="str">
        <f t="shared" si="61"/>
        <v>Up</v>
      </c>
      <c r="S279" s="7" t="str">
        <f t="shared" si="62"/>
        <v>Hold</v>
      </c>
      <c r="T279" s="8">
        <f t="shared" si="63"/>
        <v>0.12779439461883402</v>
      </c>
      <c r="U279" s="18">
        <f t="shared" si="64"/>
        <v>3699684</v>
      </c>
      <c r="V279" s="7">
        <f t="shared" si="65"/>
        <v>5586.2002000000002</v>
      </c>
      <c r="W279" s="7">
        <f t="shared" si="66"/>
        <v>1615.1</v>
      </c>
      <c r="X279" s="7">
        <f t="shared" si="67"/>
        <v>1753.7</v>
      </c>
      <c r="Y279" s="7">
        <f t="shared" si="68"/>
        <v>383</v>
      </c>
      <c r="Z279" s="7">
        <f t="shared" si="69"/>
        <v>1346828</v>
      </c>
      <c r="AA279" s="7" t="str">
        <f t="shared" si="70"/>
        <v>19-Aug-2022</v>
      </c>
      <c r="AB279" s="7">
        <f t="shared" si="71"/>
        <v>1753.7</v>
      </c>
      <c r="AC279" s="7">
        <f t="shared" si="75"/>
        <v>1</v>
      </c>
      <c r="AD279" s="7">
        <f t="shared" si="72"/>
        <v>2022</v>
      </c>
      <c r="AE279" s="19">
        <f t="shared" si="73"/>
        <v>-0.52</v>
      </c>
      <c r="BA279" s="10">
        <f t="shared" si="74"/>
        <v>80.523600000000002</v>
      </c>
    </row>
    <row r="280" spans="1:53" x14ac:dyDescent="0.3">
      <c r="A280" s="17">
        <v>44795</v>
      </c>
      <c r="B280" s="8">
        <v>1734</v>
      </c>
      <c r="C280" s="7">
        <v>1740.5</v>
      </c>
      <c r="D280" s="7">
        <v>1726.5</v>
      </c>
      <c r="E280" s="7">
        <v>1740.5</v>
      </c>
      <c r="F280" s="18">
        <v>347</v>
      </c>
      <c r="G280" s="7">
        <v>1769.9286</v>
      </c>
      <c r="H280" s="7">
        <v>1748.1832999999999</v>
      </c>
      <c r="I280" s="7">
        <v>1817.89</v>
      </c>
      <c r="J280" s="8">
        <v>-0.75270000000000004</v>
      </c>
      <c r="K280" s="7">
        <v>0.57889999999999997</v>
      </c>
      <c r="L280" s="7">
        <v>0.80959999999999999</v>
      </c>
      <c r="M280" s="8">
        <v>41.736400000000003</v>
      </c>
      <c r="N280" s="8">
        <v>0.21879999999999999</v>
      </c>
      <c r="O280" s="7">
        <v>2.5059</v>
      </c>
      <c r="P280" s="7">
        <v>1816.3807999999999</v>
      </c>
      <c r="Q280" s="7">
        <v>1716.2891999999999</v>
      </c>
      <c r="R280" s="7" t="str">
        <f t="shared" si="61"/>
        <v>Up</v>
      </c>
      <c r="S280" s="7" t="str">
        <f t="shared" si="62"/>
        <v>Hold</v>
      </c>
      <c r="T280" s="8">
        <f t="shared" si="63"/>
        <v>0.12852356902356898</v>
      </c>
      <c r="U280" s="18">
        <f t="shared" si="64"/>
        <v>3699635</v>
      </c>
      <c r="V280" s="7">
        <f t="shared" si="65"/>
        <v>5586.2002000000002</v>
      </c>
      <c r="W280" s="7">
        <f t="shared" si="66"/>
        <v>1615.1</v>
      </c>
      <c r="X280" s="7">
        <f t="shared" si="67"/>
        <v>1740.5</v>
      </c>
      <c r="Y280" s="7">
        <f t="shared" si="68"/>
        <v>382</v>
      </c>
      <c r="Z280" s="7">
        <f t="shared" si="69"/>
        <v>1346779</v>
      </c>
      <c r="AA280" s="7" t="str">
        <f t="shared" si="70"/>
        <v>22-Aug-2022</v>
      </c>
      <c r="AB280" s="7">
        <f t="shared" si="71"/>
        <v>1740.5</v>
      </c>
      <c r="AC280" s="7">
        <f t="shared" si="75"/>
        <v>1</v>
      </c>
      <c r="AD280" s="7">
        <f t="shared" si="72"/>
        <v>2022</v>
      </c>
      <c r="AE280" s="19">
        <f t="shared" si="73"/>
        <v>-0.75</v>
      </c>
      <c r="BA280" s="10">
        <f t="shared" si="74"/>
        <v>80.523600000000002</v>
      </c>
    </row>
    <row r="281" spans="1:53" x14ac:dyDescent="0.3">
      <c r="A281" s="17">
        <v>44796</v>
      </c>
      <c r="B281" s="8">
        <v>1746.8</v>
      </c>
      <c r="C281" s="7">
        <v>1748.9</v>
      </c>
      <c r="D281" s="7">
        <v>1731.9</v>
      </c>
      <c r="E281" s="7">
        <v>1738</v>
      </c>
      <c r="F281" s="18">
        <v>509</v>
      </c>
      <c r="G281" s="7">
        <v>1763.0286000000001</v>
      </c>
      <c r="H281" s="7">
        <v>1748.31</v>
      </c>
      <c r="I281" s="7">
        <v>1815.3178</v>
      </c>
      <c r="J281" s="8">
        <v>-0.14360000000000001</v>
      </c>
      <c r="K281" s="7">
        <v>0.58889999999999998</v>
      </c>
      <c r="L281" s="7">
        <v>0.81</v>
      </c>
      <c r="M281" s="8">
        <v>44.756</v>
      </c>
      <c r="N281" s="8">
        <v>-2.0830000000000002</v>
      </c>
      <c r="O281" s="7">
        <v>1.5881000000000001</v>
      </c>
      <c r="P281" s="7">
        <v>1813.9992</v>
      </c>
      <c r="Q281" s="7">
        <v>1720.6708000000001</v>
      </c>
      <c r="R281" s="7" t="str">
        <f t="shared" si="61"/>
        <v>Down</v>
      </c>
      <c r="S281" s="7" t="str">
        <f t="shared" si="62"/>
        <v>Hold</v>
      </c>
      <c r="T281" s="8">
        <f t="shared" si="63"/>
        <v>0.1295137078651685</v>
      </c>
      <c r="U281" s="18">
        <f t="shared" si="64"/>
        <v>3699288</v>
      </c>
      <c r="V281" s="7">
        <f t="shared" si="65"/>
        <v>5586.2002000000002</v>
      </c>
      <c r="W281" s="7">
        <f t="shared" si="66"/>
        <v>1615.1</v>
      </c>
      <c r="X281" s="7">
        <f t="shared" si="67"/>
        <v>1738</v>
      </c>
      <c r="Y281" s="7">
        <f t="shared" si="68"/>
        <v>381</v>
      </c>
      <c r="Z281" s="7">
        <f t="shared" si="69"/>
        <v>1346432</v>
      </c>
      <c r="AA281" s="7" t="str">
        <f t="shared" si="70"/>
        <v>23-Aug-2022</v>
      </c>
      <c r="AB281" s="7">
        <f t="shared" si="71"/>
        <v>1738</v>
      </c>
      <c r="AC281" s="7">
        <f t="shared" si="75"/>
        <v>1</v>
      </c>
      <c r="AD281" s="7">
        <f t="shared" si="72"/>
        <v>2022</v>
      </c>
      <c r="AE281" s="19">
        <f t="shared" si="73"/>
        <v>-0.14000000000000001</v>
      </c>
      <c r="BA281" s="10">
        <f t="shared" si="74"/>
        <v>80.523600000000002</v>
      </c>
    </row>
    <row r="282" spans="1:53" x14ac:dyDescent="0.3">
      <c r="A282" s="17">
        <v>44797</v>
      </c>
      <c r="B282" s="8">
        <v>1747.8</v>
      </c>
      <c r="C282" s="7">
        <v>1751.8</v>
      </c>
      <c r="D282" s="7">
        <v>1743.6</v>
      </c>
      <c r="E282" s="7">
        <v>1745</v>
      </c>
      <c r="F282" s="18">
        <v>187</v>
      </c>
      <c r="G282" s="7">
        <v>1755.3143</v>
      </c>
      <c r="H282" s="7">
        <v>1749.4766999999999</v>
      </c>
      <c r="I282" s="7">
        <v>1812.7378000000001</v>
      </c>
      <c r="J282" s="8">
        <v>0.40279999999999999</v>
      </c>
      <c r="K282" s="7">
        <v>0.49730000000000002</v>
      </c>
      <c r="L282" s="7">
        <v>0.76780000000000004</v>
      </c>
      <c r="M282" s="8">
        <v>42.931600000000003</v>
      </c>
      <c r="N282" s="8">
        <v>-3.3043</v>
      </c>
      <c r="O282" s="7">
        <v>0.60960000000000003</v>
      </c>
      <c r="P282" s="7">
        <v>1810.8875</v>
      </c>
      <c r="Q282" s="7">
        <v>1726.3724999999999</v>
      </c>
      <c r="R282" s="7" t="str">
        <f t="shared" si="61"/>
        <v>Down</v>
      </c>
      <c r="S282" s="7" t="str">
        <f t="shared" si="62"/>
        <v>Hold</v>
      </c>
      <c r="T282" s="8">
        <f t="shared" si="63"/>
        <v>0.12982092238470189</v>
      </c>
      <c r="U282" s="18">
        <f t="shared" si="64"/>
        <v>3698779</v>
      </c>
      <c r="V282" s="7">
        <f t="shared" si="65"/>
        <v>5586.2002000000002</v>
      </c>
      <c r="W282" s="7">
        <f t="shared" si="66"/>
        <v>1615.1</v>
      </c>
      <c r="X282" s="7">
        <f t="shared" si="67"/>
        <v>1745</v>
      </c>
      <c r="Y282" s="7">
        <f t="shared" si="68"/>
        <v>381</v>
      </c>
      <c r="Z282" s="7">
        <f t="shared" si="69"/>
        <v>1346432</v>
      </c>
      <c r="AA282" s="7" t="str">
        <f t="shared" si="70"/>
        <v>24-Aug-2022</v>
      </c>
      <c r="AB282" s="7">
        <f t="shared" si="71"/>
        <v>1745</v>
      </c>
      <c r="AC282" s="7">
        <f t="shared" si="75"/>
        <v>1</v>
      </c>
      <c r="AD282" s="7">
        <f t="shared" si="72"/>
        <v>2022</v>
      </c>
      <c r="AE282" s="19">
        <f t="shared" si="73"/>
        <v>0.4</v>
      </c>
      <c r="BA282" s="10">
        <f t="shared" si="74"/>
        <v>80.523600000000002</v>
      </c>
    </row>
    <row r="283" spans="1:53" x14ac:dyDescent="0.3">
      <c r="A283" s="17">
        <v>44798</v>
      </c>
      <c r="B283" s="8">
        <v>1757.7</v>
      </c>
      <c r="C283" s="7">
        <v>1761.8</v>
      </c>
      <c r="D283" s="7">
        <v>1755</v>
      </c>
      <c r="E283" s="7">
        <v>1761.6</v>
      </c>
      <c r="F283" s="18">
        <v>172</v>
      </c>
      <c r="G283" s="7">
        <v>1753.0571</v>
      </c>
      <c r="H283" s="7">
        <v>1751.1867</v>
      </c>
      <c r="I283" s="7">
        <v>1810.3843999999999</v>
      </c>
      <c r="J283" s="8">
        <v>0.95130000000000003</v>
      </c>
      <c r="K283" s="7">
        <v>0.59870000000000001</v>
      </c>
      <c r="L283" s="7">
        <v>0.78439999999999999</v>
      </c>
      <c r="M283" s="8">
        <v>41.158900000000003</v>
      </c>
      <c r="N283" s="8">
        <v>-2.8993000000000002</v>
      </c>
      <c r="O283" s="7">
        <v>-9.2200000000000004E-2</v>
      </c>
      <c r="P283" s="7">
        <v>1808.9434000000001</v>
      </c>
      <c r="Q283" s="7">
        <v>1731.2465999999999</v>
      </c>
      <c r="R283" s="7" t="str">
        <f t="shared" si="61"/>
        <v>Up</v>
      </c>
      <c r="S283" s="7" t="str">
        <f t="shared" si="62"/>
        <v>Hold</v>
      </c>
      <c r="T283" s="8">
        <f t="shared" si="63"/>
        <v>0.12951351351351345</v>
      </c>
      <c r="U283" s="18">
        <f t="shared" si="64"/>
        <v>3698592</v>
      </c>
      <c r="V283" s="7">
        <f t="shared" si="65"/>
        <v>5586.2002000000002</v>
      </c>
      <c r="W283" s="7">
        <f t="shared" si="66"/>
        <v>1615.1</v>
      </c>
      <c r="X283" s="7">
        <f t="shared" si="67"/>
        <v>1761.6</v>
      </c>
      <c r="Y283" s="7">
        <f t="shared" si="68"/>
        <v>381</v>
      </c>
      <c r="Z283" s="7">
        <f t="shared" si="69"/>
        <v>1346432</v>
      </c>
      <c r="AA283" s="7" t="str">
        <f t="shared" si="70"/>
        <v>25-Aug-2022</v>
      </c>
      <c r="AB283" s="7">
        <f t="shared" si="71"/>
        <v>1761.6</v>
      </c>
      <c r="AC283" s="7">
        <f t="shared" si="75"/>
        <v>1</v>
      </c>
      <c r="AD283" s="7">
        <f t="shared" si="72"/>
        <v>2022</v>
      </c>
      <c r="AE283" s="19">
        <f t="shared" si="73"/>
        <v>0.95</v>
      </c>
      <c r="BA283" s="10">
        <f t="shared" si="74"/>
        <v>80.523600000000002</v>
      </c>
    </row>
    <row r="284" spans="1:53" x14ac:dyDescent="0.3">
      <c r="A284" s="17">
        <v>44799</v>
      </c>
      <c r="B284" s="8">
        <v>1736.1</v>
      </c>
      <c r="C284" s="7">
        <v>1755</v>
      </c>
      <c r="D284" s="7">
        <v>1736.1</v>
      </c>
      <c r="E284" s="7">
        <v>1754</v>
      </c>
      <c r="F284" s="18">
        <v>202</v>
      </c>
      <c r="G284" s="7">
        <v>1750.8143</v>
      </c>
      <c r="H284" s="7">
        <v>1752.8067000000001</v>
      </c>
      <c r="I284" s="7">
        <v>1807.9422</v>
      </c>
      <c r="J284" s="8">
        <v>-0.43140000000000001</v>
      </c>
      <c r="K284" s="7">
        <v>0.59860000000000002</v>
      </c>
      <c r="L284" s="7">
        <v>0.7873</v>
      </c>
      <c r="M284" s="8">
        <v>44.280200000000001</v>
      </c>
      <c r="N284" s="8">
        <v>-3.1551</v>
      </c>
      <c r="O284" s="7">
        <v>-0.70479999999999998</v>
      </c>
      <c r="P284" s="7">
        <v>1808.9434000000001</v>
      </c>
      <c r="Q284" s="7">
        <v>1731.2465999999999</v>
      </c>
      <c r="R284" s="7" t="str">
        <f t="shared" si="61"/>
        <v>Up</v>
      </c>
      <c r="S284" s="7" t="str">
        <f t="shared" si="62"/>
        <v>Hold</v>
      </c>
      <c r="T284" s="8">
        <f t="shared" si="63"/>
        <v>0.12858703494926713</v>
      </c>
      <c r="U284" s="18">
        <f t="shared" si="64"/>
        <v>3698420</v>
      </c>
      <c r="V284" s="7">
        <f t="shared" si="65"/>
        <v>5586.2002000000002</v>
      </c>
      <c r="W284" s="7">
        <f t="shared" si="66"/>
        <v>1615.1</v>
      </c>
      <c r="X284" s="7">
        <f t="shared" si="67"/>
        <v>1754</v>
      </c>
      <c r="Y284" s="7">
        <f t="shared" si="68"/>
        <v>380</v>
      </c>
      <c r="Z284" s="7">
        <f t="shared" si="69"/>
        <v>1346260</v>
      </c>
      <c r="AA284" s="7" t="str">
        <f t="shared" si="70"/>
        <v>26-Aug-2022</v>
      </c>
      <c r="AB284" s="7">
        <f t="shared" si="71"/>
        <v>1754</v>
      </c>
      <c r="AC284" s="7">
        <f t="shared" si="75"/>
        <v>1</v>
      </c>
      <c r="AD284" s="7">
        <f t="shared" si="72"/>
        <v>2022</v>
      </c>
      <c r="AE284" s="19">
        <f t="shared" si="73"/>
        <v>-0.43</v>
      </c>
      <c r="BA284" s="10">
        <f t="shared" si="74"/>
        <v>80.523600000000002</v>
      </c>
    </row>
    <row r="285" spans="1:53" x14ac:dyDescent="0.3">
      <c r="A285" s="17">
        <v>44802</v>
      </c>
      <c r="B285" s="8">
        <v>1736.6</v>
      </c>
      <c r="C285" s="7">
        <v>1741.2</v>
      </c>
      <c r="D285" s="7">
        <v>1732.1</v>
      </c>
      <c r="E285" s="7">
        <v>1732.4</v>
      </c>
      <c r="F285" s="18">
        <v>950</v>
      </c>
      <c r="G285" s="7">
        <v>1746.4571000000001</v>
      </c>
      <c r="H285" s="7">
        <v>1753.48</v>
      </c>
      <c r="I285" s="7">
        <v>1805.5744</v>
      </c>
      <c r="J285" s="8">
        <v>-1.2315</v>
      </c>
      <c r="K285" s="7">
        <v>0.73070000000000002</v>
      </c>
      <c r="L285" s="7">
        <v>0.82120000000000004</v>
      </c>
      <c r="M285" s="8">
        <v>31.886800000000001</v>
      </c>
      <c r="N285" s="8">
        <v>-5.0427</v>
      </c>
      <c r="O285" s="7">
        <v>-1.5724</v>
      </c>
      <c r="P285" s="7">
        <v>1810.8261</v>
      </c>
      <c r="Q285" s="7">
        <v>1726.2139</v>
      </c>
      <c r="R285" s="7" t="str">
        <f t="shared" si="61"/>
        <v>Down</v>
      </c>
      <c r="S285" s="7" t="str">
        <f t="shared" si="62"/>
        <v>Hold</v>
      </c>
      <c r="T285" s="8">
        <f t="shared" si="63"/>
        <v>0.1292190744920993</v>
      </c>
      <c r="U285" s="18">
        <f t="shared" si="64"/>
        <v>3698218</v>
      </c>
      <c r="V285" s="7">
        <f t="shared" si="65"/>
        <v>5586.2002000000002</v>
      </c>
      <c r="W285" s="7">
        <f t="shared" si="66"/>
        <v>1615.1</v>
      </c>
      <c r="X285" s="7">
        <f t="shared" si="67"/>
        <v>1732.4</v>
      </c>
      <c r="Y285" s="7">
        <f t="shared" si="68"/>
        <v>379</v>
      </c>
      <c r="Z285" s="7">
        <f t="shared" si="69"/>
        <v>1346058</v>
      </c>
      <c r="AA285" s="7" t="str">
        <f t="shared" si="70"/>
        <v>29-Aug-2022</v>
      </c>
      <c r="AB285" s="7">
        <f t="shared" si="71"/>
        <v>1732.4</v>
      </c>
      <c r="AC285" s="7">
        <f t="shared" si="75"/>
        <v>1</v>
      </c>
      <c r="AD285" s="7">
        <f t="shared" si="72"/>
        <v>2022</v>
      </c>
      <c r="AE285" s="19">
        <f t="shared" si="73"/>
        <v>-1.23</v>
      </c>
      <c r="BA285" s="10">
        <f t="shared" si="74"/>
        <v>80.523600000000002</v>
      </c>
    </row>
    <row r="286" spans="1:53" x14ac:dyDescent="0.3">
      <c r="A286" s="17">
        <v>44803</v>
      </c>
      <c r="B286" s="8">
        <v>1723.2</v>
      </c>
      <c r="C286" s="7">
        <v>1739</v>
      </c>
      <c r="D286" s="7">
        <v>1720.7</v>
      </c>
      <c r="E286" s="7">
        <v>1736.4</v>
      </c>
      <c r="F286" s="18">
        <v>385</v>
      </c>
      <c r="G286" s="7">
        <v>1743.9857</v>
      </c>
      <c r="H286" s="7">
        <v>1754.2833000000001</v>
      </c>
      <c r="I286" s="7">
        <v>1803.2844</v>
      </c>
      <c r="J286" s="8">
        <v>0.23089999999999999</v>
      </c>
      <c r="K286" s="7">
        <v>0.73880000000000001</v>
      </c>
      <c r="L286" s="7">
        <v>0.82189999999999996</v>
      </c>
      <c r="M286" s="8">
        <v>27.119800000000001</v>
      </c>
      <c r="N286" s="8">
        <v>-6.1451000000000002</v>
      </c>
      <c r="O286" s="7">
        <v>-2.4868999999999999</v>
      </c>
      <c r="P286" s="7">
        <v>1811.3543999999999</v>
      </c>
      <c r="Q286" s="7">
        <v>1722.1156000000001</v>
      </c>
      <c r="R286" s="7" t="str">
        <f t="shared" si="61"/>
        <v>Up</v>
      </c>
      <c r="S286" s="7" t="str">
        <f t="shared" si="62"/>
        <v>Buy</v>
      </c>
      <c r="T286" s="8">
        <f t="shared" si="63"/>
        <v>0.13075661016949147</v>
      </c>
      <c r="U286" s="18">
        <f t="shared" si="64"/>
        <v>3697268</v>
      </c>
      <c r="V286" s="7">
        <f t="shared" si="65"/>
        <v>5586.2002000000002</v>
      </c>
      <c r="W286" s="7">
        <f t="shared" si="66"/>
        <v>1615.1</v>
      </c>
      <c r="X286" s="7">
        <f t="shared" si="67"/>
        <v>1736.4</v>
      </c>
      <c r="Y286" s="7">
        <f t="shared" si="68"/>
        <v>379</v>
      </c>
      <c r="Z286" s="7">
        <f t="shared" si="69"/>
        <v>1346058</v>
      </c>
      <c r="AA286" s="7" t="str">
        <f t="shared" si="70"/>
        <v>30-Aug-2022</v>
      </c>
      <c r="AB286" s="7">
        <f t="shared" si="71"/>
        <v>1736.4</v>
      </c>
      <c r="AC286" s="7">
        <f t="shared" si="75"/>
        <v>1</v>
      </c>
      <c r="AD286" s="7">
        <f t="shared" si="72"/>
        <v>2022</v>
      </c>
      <c r="AE286" s="19">
        <f t="shared" si="73"/>
        <v>0.23</v>
      </c>
      <c r="BA286" s="10">
        <f t="shared" si="74"/>
        <v>80.523600000000002</v>
      </c>
    </row>
    <row r="287" spans="1:53" x14ac:dyDescent="0.3">
      <c r="A287" s="17">
        <v>44804</v>
      </c>
      <c r="B287" s="8">
        <v>1712.8</v>
      </c>
      <c r="C287" s="7">
        <v>1720.9</v>
      </c>
      <c r="D287" s="7">
        <v>1708.5</v>
      </c>
      <c r="E287" s="7">
        <v>1718.3</v>
      </c>
      <c r="F287" s="18">
        <v>2133</v>
      </c>
      <c r="G287" s="7">
        <v>1740.8143</v>
      </c>
      <c r="H287" s="7">
        <v>1754.6567</v>
      </c>
      <c r="I287" s="7">
        <v>1800.7144000000001</v>
      </c>
      <c r="J287" s="8">
        <v>-1.0424</v>
      </c>
      <c r="K287" s="7">
        <v>0.78549999999999998</v>
      </c>
      <c r="L287" s="7">
        <v>0.84370000000000001</v>
      </c>
      <c r="M287" s="8">
        <v>25.734300000000001</v>
      </c>
      <c r="N287" s="8">
        <v>-8.3826000000000001</v>
      </c>
      <c r="O287" s="7">
        <v>-3.6659999999999999</v>
      </c>
      <c r="P287" s="7">
        <v>1814.2927999999999</v>
      </c>
      <c r="Q287" s="7">
        <v>1715.3371999999999</v>
      </c>
      <c r="R287" s="7" t="str">
        <f t="shared" si="61"/>
        <v>Up</v>
      </c>
      <c r="S287" s="7" t="str">
        <f t="shared" si="62"/>
        <v>Buy</v>
      </c>
      <c r="T287" s="8">
        <f t="shared" si="63"/>
        <v>0.13064332579185517</v>
      </c>
      <c r="U287" s="18">
        <f t="shared" si="64"/>
        <v>3696883</v>
      </c>
      <c r="V287" s="7">
        <f t="shared" si="65"/>
        <v>5586.2002000000002</v>
      </c>
      <c r="W287" s="7">
        <f t="shared" si="66"/>
        <v>1615.1</v>
      </c>
      <c r="X287" s="7">
        <f t="shared" si="67"/>
        <v>1718.3</v>
      </c>
      <c r="Y287" s="7">
        <f t="shared" si="68"/>
        <v>378</v>
      </c>
      <c r="Z287" s="7">
        <f t="shared" si="69"/>
        <v>1345673</v>
      </c>
      <c r="AA287" s="7" t="str">
        <f t="shared" si="70"/>
        <v>31-Aug-2022</v>
      </c>
      <c r="AB287" s="7">
        <f t="shared" si="71"/>
        <v>1718.3</v>
      </c>
      <c r="AC287" s="7">
        <f t="shared" si="75"/>
        <v>1</v>
      </c>
      <c r="AD287" s="7">
        <f t="shared" si="72"/>
        <v>2022</v>
      </c>
      <c r="AE287" s="19">
        <f t="shared" si="73"/>
        <v>-1.04</v>
      </c>
      <c r="BA287" s="10">
        <f t="shared" si="74"/>
        <v>80.523600000000002</v>
      </c>
    </row>
    <row r="288" spans="1:53" x14ac:dyDescent="0.3">
      <c r="A288" s="17">
        <v>44805</v>
      </c>
      <c r="B288" s="8">
        <v>1696.6</v>
      </c>
      <c r="C288" s="7">
        <v>1707.9</v>
      </c>
      <c r="D288" s="7">
        <v>1693.9</v>
      </c>
      <c r="E288" s="7">
        <v>1707.9</v>
      </c>
      <c r="F288" s="18">
        <v>683</v>
      </c>
      <c r="G288" s="7">
        <v>1736.5143</v>
      </c>
      <c r="H288" s="7">
        <v>1755.3533</v>
      </c>
      <c r="I288" s="7">
        <v>1798.3022000000001</v>
      </c>
      <c r="J288" s="8">
        <v>-0.60529999999999995</v>
      </c>
      <c r="K288" s="7">
        <v>0.80110000000000003</v>
      </c>
      <c r="L288" s="7">
        <v>0.82169999999999999</v>
      </c>
      <c r="M288" s="8">
        <v>25.3459</v>
      </c>
      <c r="N288" s="8">
        <v>-10.8697</v>
      </c>
      <c r="O288" s="7">
        <v>-5.1067999999999998</v>
      </c>
      <c r="P288" s="7">
        <v>1817.2898</v>
      </c>
      <c r="Q288" s="7">
        <v>1706.1902</v>
      </c>
      <c r="R288" s="7" t="str">
        <f t="shared" si="61"/>
        <v>Up</v>
      </c>
      <c r="S288" s="7" t="str">
        <f t="shared" si="62"/>
        <v>Buy</v>
      </c>
      <c r="T288" s="8">
        <f t="shared" si="63"/>
        <v>0.13197180067950165</v>
      </c>
      <c r="U288" s="18">
        <f t="shared" si="64"/>
        <v>3694750</v>
      </c>
      <c r="V288" s="7">
        <f t="shared" si="65"/>
        <v>5586.2002000000002</v>
      </c>
      <c r="W288" s="7">
        <f t="shared" si="66"/>
        <v>1615.1</v>
      </c>
      <c r="X288" s="7">
        <f t="shared" si="67"/>
        <v>1707.9</v>
      </c>
      <c r="Y288" s="7">
        <f t="shared" si="68"/>
        <v>377</v>
      </c>
      <c r="Z288" s="7">
        <f t="shared" si="69"/>
        <v>1343540</v>
      </c>
      <c r="AA288" s="7" t="str">
        <f t="shared" si="70"/>
        <v>01-Sep-2022</v>
      </c>
      <c r="AB288" s="7">
        <f t="shared" si="71"/>
        <v>1707.9</v>
      </c>
      <c r="AC288" s="7">
        <f t="shared" si="75"/>
        <v>1</v>
      </c>
      <c r="AD288" s="7">
        <f t="shared" si="72"/>
        <v>2022</v>
      </c>
      <c r="AE288" s="19">
        <f t="shared" si="73"/>
        <v>-0.61</v>
      </c>
      <c r="BA288" s="10">
        <f t="shared" si="74"/>
        <v>80.523600000000002</v>
      </c>
    </row>
    <row r="289" spans="1:53" x14ac:dyDescent="0.3">
      <c r="A289" s="17">
        <v>44806</v>
      </c>
      <c r="B289" s="8">
        <v>1709.8</v>
      </c>
      <c r="C289" s="7">
        <v>1715.7</v>
      </c>
      <c r="D289" s="7">
        <v>1703.1</v>
      </c>
      <c r="E289" s="7">
        <v>1703.4</v>
      </c>
      <c r="F289" s="18">
        <v>182</v>
      </c>
      <c r="G289" s="7">
        <v>1730.5714</v>
      </c>
      <c r="H289" s="7">
        <v>1755.0233000000001</v>
      </c>
      <c r="I289" s="7">
        <v>1796.1122</v>
      </c>
      <c r="J289" s="8">
        <v>-0.26350000000000001</v>
      </c>
      <c r="K289" s="7">
        <v>0.749</v>
      </c>
      <c r="L289" s="7">
        <v>0.77170000000000005</v>
      </c>
      <c r="M289" s="8">
        <v>18.302399999999999</v>
      </c>
      <c r="N289" s="8">
        <v>-13.0534</v>
      </c>
      <c r="O289" s="7">
        <v>-6.6961000000000004</v>
      </c>
      <c r="P289" s="7">
        <v>1816.8349000000001</v>
      </c>
      <c r="Q289" s="7">
        <v>1697.8651</v>
      </c>
      <c r="R289" s="7" t="str">
        <f t="shared" si="61"/>
        <v>Down</v>
      </c>
      <c r="S289" s="7" t="str">
        <f t="shared" si="62"/>
        <v>Buy</v>
      </c>
      <c r="T289" s="8">
        <f t="shared" si="63"/>
        <v>0.13280770975056683</v>
      </c>
      <c r="U289" s="18">
        <f t="shared" si="64"/>
        <v>3694067</v>
      </c>
      <c r="V289" s="7">
        <f t="shared" si="65"/>
        <v>5586.2002000000002</v>
      </c>
      <c r="W289" s="7">
        <f t="shared" si="66"/>
        <v>1615.1</v>
      </c>
      <c r="X289" s="7">
        <f t="shared" si="67"/>
        <v>1703.4</v>
      </c>
      <c r="Y289" s="7">
        <f t="shared" si="68"/>
        <v>376</v>
      </c>
      <c r="Z289" s="7">
        <f t="shared" si="69"/>
        <v>1342857</v>
      </c>
      <c r="AA289" s="7" t="str">
        <f t="shared" si="70"/>
        <v>02-Sep-2022</v>
      </c>
      <c r="AB289" s="7">
        <f t="shared" si="71"/>
        <v>1703.4</v>
      </c>
      <c r="AC289" s="7">
        <f t="shared" si="75"/>
        <v>1</v>
      </c>
      <c r="AD289" s="7">
        <f t="shared" si="72"/>
        <v>2022</v>
      </c>
      <c r="AE289" s="19">
        <f t="shared" si="73"/>
        <v>-0.26</v>
      </c>
      <c r="BA289" s="10">
        <f t="shared" si="74"/>
        <v>80.523600000000002</v>
      </c>
    </row>
    <row r="290" spans="1:53" x14ac:dyDescent="0.3">
      <c r="A290" s="17">
        <v>44810</v>
      </c>
      <c r="B290" s="8">
        <v>1700.4</v>
      </c>
      <c r="C290" s="7">
        <v>1717.4</v>
      </c>
      <c r="D290" s="7">
        <v>1699.7</v>
      </c>
      <c r="E290" s="7">
        <v>1709.7</v>
      </c>
      <c r="F290" s="18">
        <v>697</v>
      </c>
      <c r="G290" s="7">
        <v>1723.1572000000001</v>
      </c>
      <c r="H290" s="7">
        <v>1754.4467</v>
      </c>
      <c r="I290" s="7">
        <v>1794.0222000000001</v>
      </c>
      <c r="J290" s="8">
        <v>0.36980000000000002</v>
      </c>
      <c r="K290" s="7">
        <v>0.59889999999999999</v>
      </c>
      <c r="L290" s="7">
        <v>0.75990000000000002</v>
      </c>
      <c r="M290" s="8">
        <v>25.0184</v>
      </c>
      <c r="N290" s="8">
        <v>-14.113</v>
      </c>
      <c r="O290" s="7">
        <v>-8.1795000000000009</v>
      </c>
      <c r="P290" s="7">
        <v>1816.95</v>
      </c>
      <c r="Q290" s="7">
        <v>1691.5400999999999</v>
      </c>
      <c r="R290" s="7" t="str">
        <f t="shared" si="61"/>
        <v>Up</v>
      </c>
      <c r="S290" s="7" t="str">
        <f t="shared" si="62"/>
        <v>Buy</v>
      </c>
      <c r="T290" s="8">
        <f t="shared" si="63"/>
        <v>0.1332575482406356</v>
      </c>
      <c r="U290" s="18">
        <f t="shared" si="64"/>
        <v>3693885</v>
      </c>
      <c r="V290" s="7">
        <f t="shared" si="65"/>
        <v>5586.2002000000002</v>
      </c>
      <c r="W290" s="7">
        <f t="shared" si="66"/>
        <v>1615.1</v>
      </c>
      <c r="X290" s="7">
        <f t="shared" si="67"/>
        <v>1709.7</v>
      </c>
      <c r="Y290" s="7">
        <f t="shared" si="68"/>
        <v>376</v>
      </c>
      <c r="Z290" s="7">
        <f t="shared" si="69"/>
        <v>1342857</v>
      </c>
      <c r="AA290" s="7" t="str">
        <f t="shared" si="70"/>
        <v>06-Sep-2022</v>
      </c>
      <c r="AB290" s="7">
        <f t="shared" si="71"/>
        <v>1709.7</v>
      </c>
      <c r="AC290" s="7">
        <f t="shared" si="75"/>
        <v>1</v>
      </c>
      <c r="AD290" s="7">
        <f t="shared" si="72"/>
        <v>2022</v>
      </c>
      <c r="AE290" s="19">
        <f t="shared" si="73"/>
        <v>0.37</v>
      </c>
      <c r="BA290" s="10">
        <f t="shared" si="74"/>
        <v>80.523600000000002</v>
      </c>
    </row>
    <row r="291" spans="1:53" x14ac:dyDescent="0.3">
      <c r="A291" s="17">
        <v>44811</v>
      </c>
      <c r="B291" s="8">
        <v>1715.3</v>
      </c>
      <c r="C291" s="7">
        <v>1715.3</v>
      </c>
      <c r="D291" s="7">
        <v>1694.7</v>
      </c>
      <c r="E291" s="7">
        <v>1694.8</v>
      </c>
      <c r="F291" s="18">
        <v>651</v>
      </c>
      <c r="G291" s="7">
        <v>1714.7</v>
      </c>
      <c r="H291" s="7">
        <v>1753.6732999999999</v>
      </c>
      <c r="I291" s="7">
        <v>1791.9222</v>
      </c>
      <c r="J291" s="8">
        <v>-0.87150000000000005</v>
      </c>
      <c r="K291" s="7">
        <v>0.62239999999999995</v>
      </c>
      <c r="L291" s="7">
        <v>0.77039999999999997</v>
      </c>
      <c r="M291" s="8">
        <v>23.7561</v>
      </c>
      <c r="N291" s="8">
        <v>-15.9709</v>
      </c>
      <c r="O291" s="7">
        <v>-9.7377000000000002</v>
      </c>
      <c r="P291" s="7">
        <v>1815.1455000000001</v>
      </c>
      <c r="Q291" s="7">
        <v>1683.8244999999999</v>
      </c>
      <c r="R291" s="7" t="str">
        <f t="shared" si="61"/>
        <v>Down</v>
      </c>
      <c r="S291" s="7" t="str">
        <f t="shared" si="62"/>
        <v>Buy</v>
      </c>
      <c r="T291" s="8">
        <f t="shared" si="63"/>
        <v>0.13298874999999996</v>
      </c>
      <c r="U291" s="18">
        <f t="shared" si="64"/>
        <v>3693188</v>
      </c>
      <c r="V291" s="7">
        <f t="shared" si="65"/>
        <v>5586.2002000000002</v>
      </c>
      <c r="W291" s="7">
        <f t="shared" si="66"/>
        <v>1615.1</v>
      </c>
      <c r="X291" s="7">
        <f t="shared" si="67"/>
        <v>1694.8</v>
      </c>
      <c r="Y291" s="7">
        <f t="shared" si="68"/>
        <v>375</v>
      </c>
      <c r="Z291" s="7">
        <f t="shared" si="69"/>
        <v>1342160</v>
      </c>
      <c r="AA291" s="7" t="str">
        <f t="shared" si="70"/>
        <v>07-Sep-2022</v>
      </c>
      <c r="AB291" s="7">
        <f t="shared" si="71"/>
        <v>1694.8</v>
      </c>
      <c r="AC291" s="7">
        <f t="shared" si="75"/>
        <v>1</v>
      </c>
      <c r="AD291" s="7">
        <f t="shared" si="72"/>
        <v>2022</v>
      </c>
      <c r="AE291" s="19">
        <f t="shared" si="73"/>
        <v>-0.87</v>
      </c>
      <c r="BA291" s="10">
        <f t="shared" si="74"/>
        <v>80.523600000000002</v>
      </c>
    </row>
    <row r="292" spans="1:53" x14ac:dyDescent="0.3">
      <c r="A292" s="17">
        <v>44812</v>
      </c>
      <c r="B292" s="8">
        <v>1708</v>
      </c>
      <c r="C292" s="7">
        <v>1718.2</v>
      </c>
      <c r="D292" s="7">
        <v>1705.3</v>
      </c>
      <c r="E292" s="7">
        <v>1718.2</v>
      </c>
      <c r="F292" s="18">
        <v>1193</v>
      </c>
      <c r="G292" s="7">
        <v>1712.6713999999999</v>
      </c>
      <c r="H292" s="7">
        <v>1753.6433</v>
      </c>
      <c r="I292" s="7">
        <v>1789.8722</v>
      </c>
      <c r="J292" s="8">
        <v>1.3807</v>
      </c>
      <c r="K292" s="7">
        <v>0.84519999999999995</v>
      </c>
      <c r="L292" s="7">
        <v>0.81299999999999994</v>
      </c>
      <c r="M292" s="8">
        <v>35.969799999999999</v>
      </c>
      <c r="N292" s="8">
        <v>-15.377800000000001</v>
      </c>
      <c r="O292" s="7">
        <v>-10.8658</v>
      </c>
      <c r="P292" s="7">
        <v>1806.8538000000001</v>
      </c>
      <c r="Q292" s="7">
        <v>1683.4962</v>
      </c>
      <c r="R292" s="7" t="str">
        <f t="shared" si="61"/>
        <v>Up</v>
      </c>
      <c r="S292" s="7" t="str">
        <f t="shared" si="62"/>
        <v>Hold</v>
      </c>
      <c r="T292" s="8">
        <f t="shared" si="63"/>
        <v>0.13413151308304888</v>
      </c>
      <c r="U292" s="18">
        <f t="shared" si="64"/>
        <v>3692537</v>
      </c>
      <c r="V292" s="7">
        <f t="shared" si="65"/>
        <v>5586.2002000000002</v>
      </c>
      <c r="W292" s="7">
        <f t="shared" si="66"/>
        <v>1615.1</v>
      </c>
      <c r="X292" s="7">
        <f t="shared" si="67"/>
        <v>1718.2</v>
      </c>
      <c r="Y292" s="7">
        <f t="shared" si="68"/>
        <v>375</v>
      </c>
      <c r="Z292" s="7">
        <f t="shared" si="69"/>
        <v>1342160</v>
      </c>
      <c r="AA292" s="7" t="str">
        <f t="shared" si="70"/>
        <v>08-Sep-2022</v>
      </c>
      <c r="AB292" s="7">
        <f t="shared" si="71"/>
        <v>1718.2</v>
      </c>
      <c r="AC292" s="7">
        <f t="shared" si="75"/>
        <v>1</v>
      </c>
      <c r="AD292" s="7">
        <f t="shared" si="72"/>
        <v>2022</v>
      </c>
      <c r="AE292" s="19">
        <f t="shared" si="73"/>
        <v>1.38</v>
      </c>
      <c r="BA292" s="10">
        <f t="shared" si="74"/>
        <v>80.523600000000002</v>
      </c>
    </row>
    <row r="293" spans="1:53" x14ac:dyDescent="0.3">
      <c r="A293" s="17">
        <v>44813</v>
      </c>
      <c r="B293" s="8">
        <v>1716.2</v>
      </c>
      <c r="C293" s="7">
        <v>1720</v>
      </c>
      <c r="D293" s="7">
        <v>1712.8</v>
      </c>
      <c r="E293" s="7">
        <v>1719.2</v>
      </c>
      <c r="F293" s="18">
        <v>635</v>
      </c>
      <c r="G293" s="7">
        <v>1710.2143000000001</v>
      </c>
      <c r="H293" s="7">
        <v>1753.2067</v>
      </c>
      <c r="I293" s="7">
        <v>1787.9</v>
      </c>
      <c r="J293" s="8">
        <v>5.8200000000000002E-2</v>
      </c>
      <c r="K293" s="7">
        <v>0.83589999999999998</v>
      </c>
      <c r="L293" s="7">
        <v>0.80010000000000003</v>
      </c>
      <c r="M293" s="8">
        <v>38.5837</v>
      </c>
      <c r="N293" s="8">
        <v>-14.658200000000001</v>
      </c>
      <c r="O293" s="7">
        <v>-11.6243</v>
      </c>
      <c r="P293" s="7">
        <v>1799.5482</v>
      </c>
      <c r="Q293" s="7">
        <v>1683.2918</v>
      </c>
      <c r="R293" s="7" t="str">
        <f t="shared" si="61"/>
        <v>Up</v>
      </c>
      <c r="S293" s="7" t="str">
        <f t="shared" si="62"/>
        <v>Hold</v>
      </c>
      <c r="T293" s="8">
        <f t="shared" si="63"/>
        <v>0.13271173120728924</v>
      </c>
      <c r="U293" s="18">
        <f t="shared" si="64"/>
        <v>3691344</v>
      </c>
      <c r="V293" s="7">
        <f t="shared" si="65"/>
        <v>5586.2002000000002</v>
      </c>
      <c r="W293" s="7">
        <f t="shared" si="66"/>
        <v>1615.1</v>
      </c>
      <c r="X293" s="7">
        <f t="shared" si="67"/>
        <v>1719.2</v>
      </c>
      <c r="Y293" s="7">
        <f t="shared" si="68"/>
        <v>374</v>
      </c>
      <c r="Z293" s="7">
        <f t="shared" si="69"/>
        <v>1340967</v>
      </c>
      <c r="AA293" s="7" t="str">
        <f t="shared" si="70"/>
        <v>09-Sep-2022</v>
      </c>
      <c r="AB293" s="7">
        <f t="shared" si="71"/>
        <v>1719.2</v>
      </c>
      <c r="AC293" s="7">
        <f t="shared" si="75"/>
        <v>1</v>
      </c>
      <c r="AD293" s="7">
        <f t="shared" si="72"/>
        <v>2022</v>
      </c>
      <c r="AE293" s="19">
        <f t="shared" si="73"/>
        <v>0.06</v>
      </c>
      <c r="BA293" s="10">
        <f t="shared" si="74"/>
        <v>80.523600000000002</v>
      </c>
    </row>
    <row r="294" spans="1:53" x14ac:dyDescent="0.3">
      <c r="A294" s="17">
        <v>44816</v>
      </c>
      <c r="B294" s="8">
        <v>1728.1</v>
      </c>
      <c r="C294" s="7">
        <v>1728.1</v>
      </c>
      <c r="D294" s="7">
        <v>1727.4</v>
      </c>
      <c r="E294" s="7">
        <v>1727.4</v>
      </c>
      <c r="F294" s="18">
        <v>68</v>
      </c>
      <c r="G294" s="7">
        <v>1711.5143</v>
      </c>
      <c r="H294" s="7">
        <v>1752.32</v>
      </c>
      <c r="I294" s="7">
        <v>1786.3289</v>
      </c>
      <c r="J294" s="8">
        <v>0.47699999999999998</v>
      </c>
      <c r="K294" s="7">
        <v>0.75570000000000004</v>
      </c>
      <c r="L294" s="7">
        <v>0.76939999999999997</v>
      </c>
      <c r="M294" s="8">
        <v>45.516800000000003</v>
      </c>
      <c r="N294" s="8">
        <v>-13.273199999999999</v>
      </c>
      <c r="O294" s="7">
        <v>-11.954000000000001</v>
      </c>
      <c r="P294" s="7">
        <v>1792.8782000000001</v>
      </c>
      <c r="Q294" s="7">
        <v>1684.0717999999999</v>
      </c>
      <c r="R294" s="7" t="str">
        <f t="shared" si="61"/>
        <v>Down</v>
      </c>
      <c r="S294" s="7" t="str">
        <f t="shared" si="62"/>
        <v>Hold</v>
      </c>
      <c r="T294" s="8">
        <f t="shared" si="63"/>
        <v>0.13279669327251992</v>
      </c>
      <c r="U294" s="18">
        <f t="shared" si="64"/>
        <v>3690709</v>
      </c>
      <c r="V294" s="7">
        <f t="shared" si="65"/>
        <v>5586.2002000000002</v>
      </c>
      <c r="W294" s="7">
        <f t="shared" si="66"/>
        <v>1615.1</v>
      </c>
      <c r="X294" s="7">
        <f t="shared" si="67"/>
        <v>1727.4</v>
      </c>
      <c r="Y294" s="7">
        <f t="shared" si="68"/>
        <v>373</v>
      </c>
      <c r="Z294" s="7">
        <f t="shared" si="69"/>
        <v>1340332</v>
      </c>
      <c r="AA294" s="7" t="str">
        <f t="shared" si="70"/>
        <v>12-Sep-2022</v>
      </c>
      <c r="AB294" s="7">
        <f t="shared" si="71"/>
        <v>1727.4</v>
      </c>
      <c r="AC294" s="7">
        <f t="shared" si="75"/>
        <v>1</v>
      </c>
      <c r="AD294" s="7">
        <f t="shared" si="72"/>
        <v>2022</v>
      </c>
      <c r="AE294" s="19">
        <f t="shared" si="73"/>
        <v>0.48</v>
      </c>
      <c r="BA294" s="10">
        <f t="shared" si="74"/>
        <v>80.523600000000002</v>
      </c>
    </row>
    <row r="295" spans="1:53" x14ac:dyDescent="0.3">
      <c r="A295" s="17">
        <v>44817</v>
      </c>
      <c r="B295" s="8">
        <v>1705</v>
      </c>
      <c r="C295" s="7">
        <v>1720.5</v>
      </c>
      <c r="D295" s="7">
        <v>1697.3</v>
      </c>
      <c r="E295" s="7">
        <v>1720.5</v>
      </c>
      <c r="F295" s="18">
        <v>432</v>
      </c>
      <c r="G295" s="7">
        <v>1713.3143</v>
      </c>
      <c r="H295" s="7">
        <v>1750.8733</v>
      </c>
      <c r="I295" s="7">
        <v>1784.7011</v>
      </c>
      <c r="J295" s="8">
        <v>-0.39939999999999998</v>
      </c>
      <c r="K295" s="7">
        <v>0.72819999999999996</v>
      </c>
      <c r="L295" s="7">
        <v>0.7631</v>
      </c>
      <c r="M295" s="8">
        <v>44.186</v>
      </c>
      <c r="N295" s="8">
        <v>-12.587199999999999</v>
      </c>
      <c r="O295" s="7">
        <v>-12.0807</v>
      </c>
      <c r="P295" s="7">
        <v>1781.365</v>
      </c>
      <c r="Q295" s="7">
        <v>1687.7349999999999</v>
      </c>
      <c r="R295" s="7" t="str">
        <f t="shared" si="61"/>
        <v>Up</v>
      </c>
      <c r="S295" s="7" t="str">
        <f t="shared" si="62"/>
        <v>Hold</v>
      </c>
      <c r="T295" s="8">
        <f t="shared" si="63"/>
        <v>0.13240376712328764</v>
      </c>
      <c r="U295" s="18">
        <f t="shared" si="64"/>
        <v>3690641</v>
      </c>
      <c r="V295" s="7">
        <f t="shared" si="65"/>
        <v>5586.2002000000002</v>
      </c>
      <c r="W295" s="7">
        <f t="shared" si="66"/>
        <v>1615.1</v>
      </c>
      <c r="X295" s="7">
        <f t="shared" si="67"/>
        <v>1720.5</v>
      </c>
      <c r="Y295" s="7">
        <f t="shared" si="68"/>
        <v>373</v>
      </c>
      <c r="Z295" s="7">
        <f t="shared" si="69"/>
        <v>1340332</v>
      </c>
      <c r="AA295" s="7" t="str">
        <f t="shared" si="70"/>
        <v>13-Sep-2022</v>
      </c>
      <c r="AB295" s="7">
        <f t="shared" si="71"/>
        <v>1720.5</v>
      </c>
      <c r="AC295" s="7">
        <f t="shared" si="75"/>
        <v>1</v>
      </c>
      <c r="AD295" s="7">
        <f t="shared" si="72"/>
        <v>2022</v>
      </c>
      <c r="AE295" s="19">
        <f t="shared" si="73"/>
        <v>-0.4</v>
      </c>
      <c r="BA295" s="10">
        <f t="shared" si="74"/>
        <v>80.523600000000002</v>
      </c>
    </row>
    <row r="296" spans="1:53" x14ac:dyDescent="0.3">
      <c r="A296" s="17">
        <v>44818</v>
      </c>
      <c r="B296" s="8">
        <v>1696.5</v>
      </c>
      <c r="C296" s="7">
        <v>1701.8</v>
      </c>
      <c r="D296" s="7">
        <v>1696.5</v>
      </c>
      <c r="E296" s="7">
        <v>1698.7</v>
      </c>
      <c r="F296" s="18">
        <v>532</v>
      </c>
      <c r="G296" s="7">
        <v>1712.6428000000001</v>
      </c>
      <c r="H296" s="7">
        <v>1748.4267</v>
      </c>
      <c r="I296" s="7">
        <v>1782.4978000000001</v>
      </c>
      <c r="J296" s="8">
        <v>-1.2670999999999999</v>
      </c>
      <c r="K296" s="7">
        <v>0.89339999999999997</v>
      </c>
      <c r="L296" s="7">
        <v>0.78559999999999997</v>
      </c>
      <c r="M296" s="8">
        <v>35.995100000000001</v>
      </c>
      <c r="N296" s="8">
        <v>-13.6454</v>
      </c>
      <c r="O296" s="7">
        <v>-12.393599999999999</v>
      </c>
      <c r="P296" s="7">
        <v>1775.4531999999999</v>
      </c>
      <c r="Q296" s="7">
        <v>1685.7768000000001</v>
      </c>
      <c r="R296" s="7" t="str">
        <f t="shared" si="61"/>
        <v>Up</v>
      </c>
      <c r="S296" s="7" t="str">
        <f t="shared" si="62"/>
        <v>Hold</v>
      </c>
      <c r="T296" s="8">
        <f t="shared" si="63"/>
        <v>0.13301154285714281</v>
      </c>
      <c r="U296" s="18">
        <f t="shared" si="64"/>
        <v>3690209</v>
      </c>
      <c r="V296" s="7">
        <f t="shared" si="65"/>
        <v>5586.2002000000002</v>
      </c>
      <c r="W296" s="7">
        <f t="shared" si="66"/>
        <v>1615.1</v>
      </c>
      <c r="X296" s="7">
        <f t="shared" si="67"/>
        <v>1698.7</v>
      </c>
      <c r="Y296" s="7">
        <f t="shared" si="68"/>
        <v>372</v>
      </c>
      <c r="Z296" s="7">
        <f t="shared" si="69"/>
        <v>1339900</v>
      </c>
      <c r="AA296" s="7" t="str">
        <f t="shared" si="70"/>
        <v>14-Sep-2022</v>
      </c>
      <c r="AB296" s="7">
        <f t="shared" si="71"/>
        <v>1698.7</v>
      </c>
      <c r="AC296" s="7">
        <f t="shared" si="75"/>
        <v>1</v>
      </c>
      <c r="AD296" s="7">
        <f t="shared" si="72"/>
        <v>2022</v>
      </c>
      <c r="AE296" s="19">
        <f t="shared" si="73"/>
        <v>-1.27</v>
      </c>
      <c r="BA296" s="10">
        <f t="shared" si="74"/>
        <v>80.523600000000002</v>
      </c>
    </row>
    <row r="297" spans="1:53" x14ac:dyDescent="0.3">
      <c r="A297" s="17">
        <v>44819</v>
      </c>
      <c r="B297" s="8">
        <v>1665.4</v>
      </c>
      <c r="C297" s="7">
        <v>1686</v>
      </c>
      <c r="D297" s="7">
        <v>1662.3</v>
      </c>
      <c r="E297" s="7">
        <v>1685.5</v>
      </c>
      <c r="F297" s="18">
        <v>1125</v>
      </c>
      <c r="G297" s="7">
        <v>1709.1857</v>
      </c>
      <c r="H297" s="7">
        <v>1746.0533</v>
      </c>
      <c r="I297" s="7">
        <v>1780.3956000000001</v>
      </c>
      <c r="J297" s="8">
        <v>-0.77710000000000001</v>
      </c>
      <c r="K297" s="7">
        <v>0.91159999999999997</v>
      </c>
      <c r="L297" s="7">
        <v>0.78280000000000005</v>
      </c>
      <c r="M297" s="8">
        <v>26.497800000000002</v>
      </c>
      <c r="N297" s="8">
        <v>-15.3719</v>
      </c>
      <c r="O297" s="7">
        <v>-12.9893</v>
      </c>
      <c r="P297" s="7">
        <v>1771.6016</v>
      </c>
      <c r="Q297" s="7">
        <v>1681.2084</v>
      </c>
      <c r="R297" s="7" t="str">
        <f t="shared" si="61"/>
        <v>Up</v>
      </c>
      <c r="S297" s="7" t="str">
        <f t="shared" si="62"/>
        <v>Buy</v>
      </c>
      <c r="T297" s="8">
        <f t="shared" si="63"/>
        <v>0.13461350114416473</v>
      </c>
      <c r="U297" s="18">
        <f t="shared" si="64"/>
        <v>3689677</v>
      </c>
      <c r="V297" s="7">
        <f t="shared" si="65"/>
        <v>5586.2002000000002</v>
      </c>
      <c r="W297" s="7">
        <f t="shared" si="66"/>
        <v>1615.1</v>
      </c>
      <c r="X297" s="7">
        <f t="shared" si="67"/>
        <v>1685.5</v>
      </c>
      <c r="Y297" s="7">
        <f t="shared" si="68"/>
        <v>371</v>
      </c>
      <c r="Z297" s="7">
        <f t="shared" si="69"/>
        <v>1339368</v>
      </c>
      <c r="AA297" s="7" t="str">
        <f t="shared" si="70"/>
        <v>15-Sep-2022</v>
      </c>
      <c r="AB297" s="7">
        <f t="shared" si="71"/>
        <v>1685.5</v>
      </c>
      <c r="AC297" s="7">
        <f t="shared" si="75"/>
        <v>1</v>
      </c>
      <c r="AD297" s="7">
        <f t="shared" si="72"/>
        <v>2022</v>
      </c>
      <c r="AE297" s="19">
        <f t="shared" si="73"/>
        <v>-0.78</v>
      </c>
      <c r="BA297" s="10">
        <f t="shared" si="74"/>
        <v>80.523600000000002</v>
      </c>
    </row>
    <row r="298" spans="1:53" x14ac:dyDescent="0.3">
      <c r="A298" s="17">
        <v>44820</v>
      </c>
      <c r="B298" s="8">
        <v>1671.7</v>
      </c>
      <c r="C298" s="7">
        <v>1674.9</v>
      </c>
      <c r="D298" s="7">
        <v>1651.7</v>
      </c>
      <c r="E298" s="7">
        <v>1660.4</v>
      </c>
      <c r="F298" s="18">
        <v>464</v>
      </c>
      <c r="G298" s="7">
        <v>1704.2714000000001</v>
      </c>
      <c r="H298" s="7">
        <v>1742.42</v>
      </c>
      <c r="I298" s="7">
        <v>1778.1043999999999</v>
      </c>
      <c r="J298" s="8">
        <v>-1.4892000000000001</v>
      </c>
      <c r="K298" s="7">
        <v>1.0118</v>
      </c>
      <c r="L298" s="7">
        <v>0.80320000000000003</v>
      </c>
      <c r="M298" s="8">
        <v>23.913</v>
      </c>
      <c r="N298" s="8">
        <v>-18.5517</v>
      </c>
      <c r="O298" s="7">
        <v>-14.101800000000001</v>
      </c>
      <c r="P298" s="7">
        <v>1771.9646</v>
      </c>
      <c r="Q298" s="7">
        <v>1670.5953999999999</v>
      </c>
      <c r="R298" s="7" t="str">
        <f t="shared" si="61"/>
        <v>Down</v>
      </c>
      <c r="S298" s="7" t="str">
        <f t="shared" si="62"/>
        <v>Buy</v>
      </c>
      <c r="T298" s="8">
        <f t="shared" si="63"/>
        <v>0.13565784650630006</v>
      </c>
      <c r="U298" s="18">
        <f t="shared" si="64"/>
        <v>3688552</v>
      </c>
      <c r="V298" s="7">
        <f t="shared" si="65"/>
        <v>5586.2002000000002</v>
      </c>
      <c r="W298" s="7">
        <f t="shared" si="66"/>
        <v>1615.1</v>
      </c>
      <c r="X298" s="7">
        <f t="shared" si="67"/>
        <v>1660.4</v>
      </c>
      <c r="Y298" s="7">
        <f t="shared" si="68"/>
        <v>370</v>
      </c>
      <c r="Z298" s="7">
        <f t="shared" si="69"/>
        <v>1338243</v>
      </c>
      <c r="AA298" s="7" t="str">
        <f t="shared" si="70"/>
        <v>16-Sep-2022</v>
      </c>
      <c r="AB298" s="7">
        <f t="shared" si="71"/>
        <v>1660.4</v>
      </c>
      <c r="AC298" s="7">
        <f t="shared" si="75"/>
        <v>1</v>
      </c>
      <c r="AD298" s="7">
        <f t="shared" si="72"/>
        <v>2022</v>
      </c>
      <c r="AE298" s="19">
        <f t="shared" si="73"/>
        <v>-1.49</v>
      </c>
      <c r="BA298" s="10">
        <f t="shared" si="74"/>
        <v>80.523600000000002</v>
      </c>
    </row>
    <row r="299" spans="1:53" x14ac:dyDescent="0.3">
      <c r="A299" s="17">
        <v>44823</v>
      </c>
      <c r="B299" s="8">
        <v>1666.2</v>
      </c>
      <c r="C299" s="7">
        <v>1669.4</v>
      </c>
      <c r="D299" s="7">
        <v>1658.5</v>
      </c>
      <c r="E299" s="7">
        <v>1661.8</v>
      </c>
      <c r="F299" s="18">
        <v>580</v>
      </c>
      <c r="G299" s="7">
        <v>1696.2143000000001</v>
      </c>
      <c r="H299" s="7">
        <v>1738.1067</v>
      </c>
      <c r="I299" s="7">
        <v>1776.1256000000001</v>
      </c>
      <c r="J299" s="8">
        <v>8.43E-2</v>
      </c>
      <c r="K299" s="7">
        <v>0.73670000000000002</v>
      </c>
      <c r="L299" s="7">
        <v>0.75829999999999997</v>
      </c>
      <c r="M299" s="8">
        <v>27.826599999999999</v>
      </c>
      <c r="N299" s="8">
        <v>-20.719899999999999</v>
      </c>
      <c r="O299" s="7">
        <v>-15.4254</v>
      </c>
      <c r="P299" s="7">
        <v>1771.4898000000001</v>
      </c>
      <c r="Q299" s="7">
        <v>1661.8802000000001</v>
      </c>
      <c r="R299" s="7" t="str">
        <f t="shared" si="61"/>
        <v>Down</v>
      </c>
      <c r="S299" s="7" t="str">
        <f t="shared" si="62"/>
        <v>Buy</v>
      </c>
      <c r="T299" s="8">
        <f t="shared" si="63"/>
        <v>0.13752121559633021</v>
      </c>
      <c r="U299" s="18">
        <f t="shared" si="64"/>
        <v>3688088</v>
      </c>
      <c r="V299" s="7">
        <f t="shared" si="65"/>
        <v>5586.2002000000002</v>
      </c>
      <c r="W299" s="7">
        <f t="shared" si="66"/>
        <v>1615.1</v>
      </c>
      <c r="X299" s="7">
        <f t="shared" si="67"/>
        <v>1661.8</v>
      </c>
      <c r="Y299" s="7">
        <f t="shared" si="68"/>
        <v>370</v>
      </c>
      <c r="Z299" s="7">
        <f t="shared" si="69"/>
        <v>1338243</v>
      </c>
      <c r="AA299" s="7" t="str">
        <f t="shared" si="70"/>
        <v>19-Sep-2022</v>
      </c>
      <c r="AB299" s="7">
        <f t="shared" si="71"/>
        <v>1661.8</v>
      </c>
      <c r="AC299" s="7">
        <f t="shared" si="75"/>
        <v>1</v>
      </c>
      <c r="AD299" s="7">
        <f t="shared" si="72"/>
        <v>2022</v>
      </c>
      <c r="AE299" s="19">
        <f t="shared" si="73"/>
        <v>0.08</v>
      </c>
      <c r="BA299" s="10">
        <f t="shared" si="74"/>
        <v>80.523600000000002</v>
      </c>
    </row>
    <row r="300" spans="1:53" x14ac:dyDescent="0.3">
      <c r="A300" s="17">
        <v>44824</v>
      </c>
      <c r="B300" s="8">
        <v>1659.7</v>
      </c>
      <c r="C300" s="7">
        <v>1659.7</v>
      </c>
      <c r="D300" s="7">
        <v>1659.7</v>
      </c>
      <c r="E300" s="7">
        <v>1659.7</v>
      </c>
      <c r="F300" s="18">
        <v>2830</v>
      </c>
      <c r="G300" s="7">
        <v>1687.7143000000001</v>
      </c>
      <c r="H300" s="7">
        <v>1734.37</v>
      </c>
      <c r="I300" s="7">
        <v>1774.1056000000001</v>
      </c>
      <c r="J300" s="8">
        <v>-0.12640000000000001</v>
      </c>
      <c r="K300" s="7">
        <v>0.71750000000000003</v>
      </c>
      <c r="L300" s="7">
        <v>0.74180000000000001</v>
      </c>
      <c r="M300" s="8">
        <v>25.619800000000001</v>
      </c>
      <c r="N300" s="8">
        <v>-22.35</v>
      </c>
      <c r="O300" s="7">
        <v>-16.810300000000002</v>
      </c>
      <c r="P300" s="7">
        <v>1771.7981</v>
      </c>
      <c r="Q300" s="7">
        <v>1653.4919</v>
      </c>
      <c r="R300" s="7" t="str">
        <f t="shared" si="61"/>
        <v>Down</v>
      </c>
      <c r="S300" s="7" t="str">
        <f t="shared" si="62"/>
        <v>Buy</v>
      </c>
      <c r="T300" s="8">
        <f t="shared" si="63"/>
        <v>0.13758231917336386</v>
      </c>
      <c r="U300" s="18">
        <f t="shared" si="64"/>
        <v>3687508</v>
      </c>
      <c r="V300" s="7">
        <f t="shared" si="65"/>
        <v>5586.2002000000002</v>
      </c>
      <c r="W300" s="7">
        <f t="shared" si="66"/>
        <v>1615.1</v>
      </c>
      <c r="X300" s="7">
        <f t="shared" si="67"/>
        <v>1659.7</v>
      </c>
      <c r="Y300" s="7">
        <f t="shared" si="68"/>
        <v>370</v>
      </c>
      <c r="Z300" s="7">
        <f t="shared" si="69"/>
        <v>1338243</v>
      </c>
      <c r="AA300" s="7" t="str">
        <f t="shared" si="70"/>
        <v>20-Sep-2022</v>
      </c>
      <c r="AB300" s="7">
        <f t="shared" si="71"/>
        <v>1659.7</v>
      </c>
      <c r="AC300" s="7">
        <f t="shared" si="75"/>
        <v>1</v>
      </c>
      <c r="AD300" s="7">
        <f t="shared" si="72"/>
        <v>2022</v>
      </c>
      <c r="AE300" s="19">
        <f t="shared" si="73"/>
        <v>-0.13</v>
      </c>
      <c r="BA300" s="10">
        <f t="shared" si="74"/>
        <v>80.523600000000002</v>
      </c>
    </row>
    <row r="301" spans="1:53" x14ac:dyDescent="0.3">
      <c r="A301" s="17">
        <v>44825</v>
      </c>
      <c r="B301" s="8">
        <v>1664.6</v>
      </c>
      <c r="C301" s="7">
        <v>1680.1</v>
      </c>
      <c r="D301" s="7">
        <v>1664.6</v>
      </c>
      <c r="E301" s="7">
        <v>1665.5</v>
      </c>
      <c r="F301" s="18">
        <v>2337</v>
      </c>
      <c r="G301" s="7">
        <v>1678.8714</v>
      </c>
      <c r="H301" s="7">
        <v>1730.22</v>
      </c>
      <c r="I301" s="7">
        <v>1772.0578</v>
      </c>
      <c r="J301" s="8">
        <v>0.34949999999999998</v>
      </c>
      <c r="K301" s="7">
        <v>0.68969999999999998</v>
      </c>
      <c r="L301" s="7">
        <v>0.71240000000000003</v>
      </c>
      <c r="M301" s="8">
        <v>31.793099999999999</v>
      </c>
      <c r="N301" s="8">
        <v>-22.909800000000001</v>
      </c>
      <c r="O301" s="7">
        <v>-18.030200000000001</v>
      </c>
      <c r="P301" s="7">
        <v>1770.472</v>
      </c>
      <c r="Q301" s="7">
        <v>1647.568</v>
      </c>
      <c r="R301" s="7" t="str">
        <f t="shared" si="61"/>
        <v>Up</v>
      </c>
      <c r="S301" s="7" t="str">
        <f t="shared" si="62"/>
        <v>Hold</v>
      </c>
      <c r="T301" s="8">
        <f t="shared" si="63"/>
        <v>0.13788574712643673</v>
      </c>
      <c r="U301" s="18">
        <f t="shared" si="64"/>
        <v>3684678</v>
      </c>
      <c r="V301" s="7">
        <f t="shared" si="65"/>
        <v>5586.2002000000002</v>
      </c>
      <c r="W301" s="7">
        <f t="shared" si="66"/>
        <v>1615.1</v>
      </c>
      <c r="X301" s="7">
        <f t="shared" si="67"/>
        <v>1665.5</v>
      </c>
      <c r="Y301" s="7">
        <f t="shared" si="68"/>
        <v>370</v>
      </c>
      <c r="Z301" s="7">
        <f t="shared" si="69"/>
        <v>1338243</v>
      </c>
      <c r="AA301" s="7" t="str">
        <f t="shared" si="70"/>
        <v>21-Sep-2022</v>
      </c>
      <c r="AB301" s="7">
        <f t="shared" si="71"/>
        <v>1665.5</v>
      </c>
      <c r="AC301" s="7">
        <f t="shared" si="75"/>
        <v>1</v>
      </c>
      <c r="AD301" s="7">
        <f t="shared" si="72"/>
        <v>2022</v>
      </c>
      <c r="AE301" s="19">
        <f t="shared" si="73"/>
        <v>0.35</v>
      </c>
      <c r="BA301" s="10">
        <f t="shared" si="74"/>
        <v>80.523600000000002</v>
      </c>
    </row>
    <row r="302" spans="1:53" x14ac:dyDescent="0.3">
      <c r="A302" s="17">
        <v>44826</v>
      </c>
      <c r="B302" s="8">
        <v>1670.8</v>
      </c>
      <c r="C302" s="7">
        <v>1670.8</v>
      </c>
      <c r="D302" s="7">
        <v>1668.3</v>
      </c>
      <c r="E302" s="7">
        <v>1668.3</v>
      </c>
      <c r="F302" s="18">
        <v>973</v>
      </c>
      <c r="G302" s="7">
        <v>1671.4142999999999</v>
      </c>
      <c r="H302" s="7">
        <v>1725.6832999999999</v>
      </c>
      <c r="I302" s="7">
        <v>1770.3167000000001</v>
      </c>
      <c r="J302" s="8">
        <v>0.1681</v>
      </c>
      <c r="K302" s="7">
        <v>0.73760000000000003</v>
      </c>
      <c r="L302" s="7">
        <v>0.68940000000000001</v>
      </c>
      <c r="M302" s="8">
        <v>35.589500000000001</v>
      </c>
      <c r="N302" s="8">
        <v>-22.864000000000001</v>
      </c>
      <c r="O302" s="7">
        <v>-18.997</v>
      </c>
      <c r="P302" s="7">
        <v>1766.7556999999999</v>
      </c>
      <c r="Q302" s="7">
        <v>1643.6143</v>
      </c>
      <c r="R302" s="7" t="str">
        <f t="shared" si="61"/>
        <v>Down</v>
      </c>
      <c r="S302" s="7" t="str">
        <f t="shared" si="62"/>
        <v>Hold</v>
      </c>
      <c r="T302" s="8">
        <f t="shared" si="63"/>
        <v>0.13764223245109314</v>
      </c>
      <c r="U302" s="18">
        <f t="shared" si="64"/>
        <v>3682341</v>
      </c>
      <c r="V302" s="7">
        <f t="shared" si="65"/>
        <v>5586.2002000000002</v>
      </c>
      <c r="W302" s="7">
        <f t="shared" si="66"/>
        <v>1615.1</v>
      </c>
      <c r="X302" s="7">
        <f t="shared" si="67"/>
        <v>1668.3</v>
      </c>
      <c r="Y302" s="7">
        <f t="shared" si="68"/>
        <v>369</v>
      </c>
      <c r="Z302" s="7">
        <f t="shared" si="69"/>
        <v>1335906</v>
      </c>
      <c r="AA302" s="7" t="str">
        <f t="shared" si="70"/>
        <v>22-Sep-2022</v>
      </c>
      <c r="AB302" s="7">
        <f t="shared" si="71"/>
        <v>1668.3</v>
      </c>
      <c r="AC302" s="7">
        <f t="shared" si="75"/>
        <v>1</v>
      </c>
      <c r="AD302" s="7">
        <f t="shared" si="72"/>
        <v>2022</v>
      </c>
      <c r="AE302" s="19">
        <f t="shared" si="73"/>
        <v>0.17</v>
      </c>
      <c r="BA302" s="10">
        <f t="shared" si="74"/>
        <v>80.523600000000002</v>
      </c>
    </row>
    <row r="303" spans="1:53" x14ac:dyDescent="0.3">
      <c r="A303" s="17">
        <v>44827</v>
      </c>
      <c r="B303" s="8">
        <v>1645.3</v>
      </c>
      <c r="C303" s="7">
        <v>1667</v>
      </c>
      <c r="D303" s="7">
        <v>1645.3</v>
      </c>
      <c r="E303" s="7">
        <v>1667</v>
      </c>
      <c r="F303" s="18">
        <v>1224</v>
      </c>
      <c r="G303" s="7">
        <v>1666.8857</v>
      </c>
      <c r="H303" s="7">
        <v>1721.44</v>
      </c>
      <c r="I303" s="7">
        <v>1768.9444000000001</v>
      </c>
      <c r="J303" s="8">
        <v>-7.7899999999999997E-2</v>
      </c>
      <c r="K303" s="7">
        <v>0.64580000000000004</v>
      </c>
      <c r="L303" s="7">
        <v>0.68779999999999997</v>
      </c>
      <c r="M303" s="8">
        <v>36.438200000000002</v>
      </c>
      <c r="N303" s="8">
        <v>-22.671199999999999</v>
      </c>
      <c r="O303" s="7">
        <v>-19.7318</v>
      </c>
      <c r="P303" s="7">
        <v>1758.1931</v>
      </c>
      <c r="Q303" s="7">
        <v>1642.7168999999999</v>
      </c>
      <c r="R303" s="7" t="str">
        <f t="shared" si="61"/>
        <v>Up</v>
      </c>
      <c r="S303" s="7" t="str">
        <f t="shared" si="62"/>
        <v>Hold</v>
      </c>
      <c r="T303" s="8">
        <f t="shared" si="63"/>
        <v>0.13760714285714282</v>
      </c>
      <c r="U303" s="18">
        <f t="shared" si="64"/>
        <v>3681368</v>
      </c>
      <c r="V303" s="7">
        <f t="shared" si="65"/>
        <v>5586.2002000000002</v>
      </c>
      <c r="W303" s="7">
        <f t="shared" si="66"/>
        <v>1615.1</v>
      </c>
      <c r="X303" s="7">
        <f t="shared" si="67"/>
        <v>1667</v>
      </c>
      <c r="Y303" s="7">
        <f t="shared" si="68"/>
        <v>369</v>
      </c>
      <c r="Z303" s="7">
        <f t="shared" si="69"/>
        <v>1335906</v>
      </c>
      <c r="AA303" s="7" t="str">
        <f t="shared" si="70"/>
        <v>23-Sep-2022</v>
      </c>
      <c r="AB303" s="7">
        <f t="shared" si="71"/>
        <v>1667</v>
      </c>
      <c r="AC303" s="7">
        <f t="shared" si="75"/>
        <v>1</v>
      </c>
      <c r="AD303" s="7">
        <f t="shared" si="72"/>
        <v>2022</v>
      </c>
      <c r="AE303" s="19">
        <f t="shared" si="73"/>
        <v>-0.08</v>
      </c>
      <c r="BA303" s="10">
        <f t="shared" si="74"/>
        <v>80.523600000000002</v>
      </c>
    </row>
    <row r="304" spans="1:53" x14ac:dyDescent="0.3">
      <c r="A304" s="17">
        <v>44830</v>
      </c>
      <c r="B304" s="8">
        <v>1623.3</v>
      </c>
      <c r="C304" s="7">
        <v>1623.3</v>
      </c>
      <c r="D304" s="7">
        <v>1623.3</v>
      </c>
      <c r="E304" s="7">
        <v>1623.3</v>
      </c>
      <c r="F304" s="18">
        <v>1205</v>
      </c>
      <c r="G304" s="7">
        <v>1658</v>
      </c>
      <c r="H304" s="7">
        <v>1716.0066999999999</v>
      </c>
      <c r="I304" s="7">
        <v>1766.7044000000001</v>
      </c>
      <c r="J304" s="8">
        <v>-2.6215000000000002</v>
      </c>
      <c r="K304" s="7">
        <v>1.103</v>
      </c>
      <c r="L304" s="7">
        <v>0.81320000000000003</v>
      </c>
      <c r="M304" s="8">
        <v>24.825199999999999</v>
      </c>
      <c r="N304" s="8">
        <v>-25.747800000000002</v>
      </c>
      <c r="O304" s="7">
        <v>-20.934999999999999</v>
      </c>
      <c r="P304" s="7">
        <v>1755.5926999999999</v>
      </c>
      <c r="Q304" s="7">
        <v>1632.2473</v>
      </c>
      <c r="R304" s="7" t="str">
        <f t="shared" si="61"/>
        <v>Down</v>
      </c>
      <c r="S304" s="7" t="str">
        <f t="shared" si="62"/>
        <v>Buy</v>
      </c>
      <c r="T304" s="8">
        <f t="shared" si="63"/>
        <v>0.1378557093425605</v>
      </c>
      <c r="U304" s="18">
        <f t="shared" si="64"/>
        <v>3680144</v>
      </c>
      <c r="V304" s="7">
        <f t="shared" si="65"/>
        <v>5586.2002000000002</v>
      </c>
      <c r="W304" s="7">
        <f t="shared" si="66"/>
        <v>1615.1</v>
      </c>
      <c r="X304" s="7">
        <f t="shared" si="67"/>
        <v>1623.3</v>
      </c>
      <c r="Y304" s="7">
        <f t="shared" si="68"/>
        <v>368</v>
      </c>
      <c r="Z304" s="7">
        <f t="shared" si="69"/>
        <v>1334682</v>
      </c>
      <c r="AA304" s="7" t="str">
        <f t="shared" si="70"/>
        <v>26-Sep-2022</v>
      </c>
      <c r="AB304" s="7">
        <f t="shared" si="71"/>
        <v>1623.3</v>
      </c>
      <c r="AC304" s="7">
        <f t="shared" si="75"/>
        <v>1</v>
      </c>
      <c r="AD304" s="7">
        <f t="shared" si="72"/>
        <v>2022</v>
      </c>
      <c r="AE304" s="19">
        <f t="shared" si="73"/>
        <v>-2.62</v>
      </c>
      <c r="BA304" s="10">
        <f t="shared" si="74"/>
        <v>80.523600000000002</v>
      </c>
    </row>
    <row r="305" spans="1:53" x14ac:dyDescent="0.3">
      <c r="A305" s="17">
        <v>44831</v>
      </c>
      <c r="B305" s="8">
        <v>1626.7</v>
      </c>
      <c r="C305" s="7">
        <v>1636.6</v>
      </c>
      <c r="D305" s="7">
        <v>1626.7</v>
      </c>
      <c r="E305" s="7">
        <v>1632.2</v>
      </c>
      <c r="F305" s="18">
        <v>888</v>
      </c>
      <c r="G305" s="7">
        <v>1653.9713999999999</v>
      </c>
      <c r="H305" s="7">
        <v>1710.4467</v>
      </c>
      <c r="I305" s="7">
        <v>1764.6732999999999</v>
      </c>
      <c r="J305" s="8">
        <v>0.54830000000000001</v>
      </c>
      <c r="K305" s="7">
        <v>1.0763</v>
      </c>
      <c r="L305" s="7">
        <v>0.80659999999999998</v>
      </c>
      <c r="M305" s="8">
        <v>31.099</v>
      </c>
      <c r="N305" s="8">
        <v>-27.154900000000001</v>
      </c>
      <c r="O305" s="7">
        <v>-22.178999999999998</v>
      </c>
      <c r="P305" s="7">
        <v>1753.6253999999999</v>
      </c>
      <c r="Q305" s="7">
        <v>1624.1946</v>
      </c>
      <c r="R305" s="7" t="str">
        <f t="shared" si="61"/>
        <v>Up</v>
      </c>
      <c r="S305" s="7" t="str">
        <f t="shared" si="62"/>
        <v>Hold</v>
      </c>
      <c r="T305" s="8">
        <f t="shared" si="63"/>
        <v>0.14104203233256346</v>
      </c>
      <c r="U305" s="18">
        <f t="shared" si="64"/>
        <v>3678939</v>
      </c>
      <c r="V305" s="7">
        <f t="shared" si="65"/>
        <v>5586.2002000000002</v>
      </c>
      <c r="W305" s="7">
        <f t="shared" si="66"/>
        <v>1615.1</v>
      </c>
      <c r="X305" s="7">
        <f t="shared" si="67"/>
        <v>1632.2</v>
      </c>
      <c r="Y305" s="7">
        <f t="shared" si="68"/>
        <v>368</v>
      </c>
      <c r="Z305" s="7">
        <f t="shared" si="69"/>
        <v>1334682</v>
      </c>
      <c r="AA305" s="7" t="str">
        <f t="shared" si="70"/>
        <v>27-Sep-2022</v>
      </c>
      <c r="AB305" s="7">
        <f t="shared" si="71"/>
        <v>1632.2</v>
      </c>
      <c r="AC305" s="7">
        <f t="shared" si="75"/>
        <v>1</v>
      </c>
      <c r="AD305" s="7">
        <f t="shared" si="72"/>
        <v>2022</v>
      </c>
      <c r="AE305" s="19">
        <f t="shared" si="73"/>
        <v>0.55000000000000004</v>
      </c>
      <c r="BA305" s="10">
        <f t="shared" si="74"/>
        <v>80.523600000000002</v>
      </c>
    </row>
    <row r="306" spans="1:53" x14ac:dyDescent="0.3">
      <c r="A306" s="17">
        <v>44832</v>
      </c>
      <c r="B306" s="8">
        <v>1660.4</v>
      </c>
      <c r="C306" s="7">
        <v>1660.4</v>
      </c>
      <c r="D306" s="7">
        <v>1620.4</v>
      </c>
      <c r="E306" s="7">
        <v>1620.4</v>
      </c>
      <c r="F306" s="18">
        <v>18311</v>
      </c>
      <c r="G306" s="7">
        <v>1648.0571</v>
      </c>
      <c r="H306" s="7">
        <v>1705.2132999999999</v>
      </c>
      <c r="I306" s="7">
        <v>1762.5567000000001</v>
      </c>
      <c r="J306" s="8">
        <v>-0.72289999999999999</v>
      </c>
      <c r="K306" s="7">
        <v>1.0790999999999999</v>
      </c>
      <c r="L306" s="7">
        <v>0.79330000000000001</v>
      </c>
      <c r="M306" s="8">
        <v>18.2468</v>
      </c>
      <c r="N306" s="8">
        <v>-28.889099999999999</v>
      </c>
      <c r="O306" s="7">
        <v>-23.521000000000001</v>
      </c>
      <c r="P306" s="7">
        <v>1750.636</v>
      </c>
      <c r="Q306" s="7">
        <v>1615.5840000000001</v>
      </c>
      <c r="R306" s="7" t="str">
        <f t="shared" si="61"/>
        <v>Down</v>
      </c>
      <c r="S306" s="7" t="str">
        <f t="shared" si="62"/>
        <v>Buy</v>
      </c>
      <c r="T306" s="8">
        <f t="shared" si="63"/>
        <v>0.14057121387283231</v>
      </c>
      <c r="U306" s="18">
        <f t="shared" si="64"/>
        <v>3678051</v>
      </c>
      <c r="V306" s="7">
        <f t="shared" si="65"/>
        <v>5586.2002000000002</v>
      </c>
      <c r="W306" s="7">
        <f t="shared" si="66"/>
        <v>1615.1</v>
      </c>
      <c r="X306" s="7">
        <f t="shared" si="67"/>
        <v>1620.4</v>
      </c>
      <c r="Y306" s="7">
        <f t="shared" si="68"/>
        <v>367</v>
      </c>
      <c r="Z306" s="7">
        <f t="shared" si="69"/>
        <v>1333794</v>
      </c>
      <c r="AA306" s="7" t="str">
        <f t="shared" si="70"/>
        <v>28-Sep-2022</v>
      </c>
      <c r="AB306" s="7">
        <f t="shared" si="71"/>
        <v>1620.4</v>
      </c>
      <c r="AC306" s="7">
        <f t="shared" si="75"/>
        <v>1</v>
      </c>
      <c r="AD306" s="7">
        <f t="shared" si="72"/>
        <v>2022</v>
      </c>
      <c r="AE306" s="19">
        <f t="shared" si="73"/>
        <v>-0.72</v>
      </c>
      <c r="BA306" s="10">
        <f t="shared" si="74"/>
        <v>80.523600000000002</v>
      </c>
    </row>
    <row r="307" spans="1:53" x14ac:dyDescent="0.3">
      <c r="A307" s="17">
        <v>44833</v>
      </c>
      <c r="B307" s="8">
        <v>1658.5</v>
      </c>
      <c r="C307" s="7">
        <v>1662.6</v>
      </c>
      <c r="D307" s="7">
        <v>1640</v>
      </c>
      <c r="E307" s="7">
        <v>1657</v>
      </c>
      <c r="F307" s="18">
        <v>6028</v>
      </c>
      <c r="G307" s="7">
        <v>1647.6713999999999</v>
      </c>
      <c r="H307" s="7">
        <v>1701.4567</v>
      </c>
      <c r="I307" s="7">
        <v>1760.5333000000001</v>
      </c>
      <c r="J307" s="8">
        <v>2.2587000000000002</v>
      </c>
      <c r="K307" s="7">
        <v>1.4693000000000001</v>
      </c>
      <c r="L307" s="7">
        <v>0.92030000000000001</v>
      </c>
      <c r="M307" s="8">
        <v>33.597099999999998</v>
      </c>
      <c r="N307" s="8">
        <v>-26.998999999999999</v>
      </c>
      <c r="O307" s="7">
        <v>-24.2166</v>
      </c>
      <c r="P307" s="7">
        <v>1746.4003</v>
      </c>
      <c r="Q307" s="7">
        <v>1613.6896999999999</v>
      </c>
      <c r="R307" s="7" t="str">
        <f t="shared" si="61"/>
        <v>Down</v>
      </c>
      <c r="S307" s="7" t="str">
        <f t="shared" si="62"/>
        <v>Hold</v>
      </c>
      <c r="T307" s="8">
        <f t="shared" si="63"/>
        <v>0.1415706018518518</v>
      </c>
      <c r="U307" s="18">
        <f t="shared" si="64"/>
        <v>3659740</v>
      </c>
      <c r="V307" s="7">
        <f t="shared" si="65"/>
        <v>5586.2002000000002</v>
      </c>
      <c r="W307" s="7">
        <f t="shared" si="66"/>
        <v>1615.1</v>
      </c>
      <c r="X307" s="7">
        <f t="shared" si="67"/>
        <v>1657</v>
      </c>
      <c r="Y307" s="7">
        <f t="shared" si="68"/>
        <v>367</v>
      </c>
      <c r="Z307" s="7">
        <f t="shared" si="69"/>
        <v>1333794</v>
      </c>
      <c r="AA307" s="7" t="str">
        <f t="shared" si="70"/>
        <v>29-Sep-2022</v>
      </c>
      <c r="AB307" s="7">
        <f t="shared" si="71"/>
        <v>1657</v>
      </c>
      <c r="AC307" s="7">
        <f t="shared" si="75"/>
        <v>1</v>
      </c>
      <c r="AD307" s="7">
        <f t="shared" si="72"/>
        <v>2022</v>
      </c>
      <c r="AE307" s="19">
        <f t="shared" si="73"/>
        <v>2.2599999999999998</v>
      </c>
      <c r="BA307" s="10">
        <f t="shared" si="74"/>
        <v>80.523600000000002</v>
      </c>
    </row>
    <row r="308" spans="1:53" x14ac:dyDescent="0.3">
      <c r="A308" s="17">
        <v>44834</v>
      </c>
      <c r="B308" s="8">
        <v>1662.4</v>
      </c>
      <c r="C308" s="7">
        <v>1672.7</v>
      </c>
      <c r="D308" s="7">
        <v>1658</v>
      </c>
      <c r="E308" s="7">
        <v>1661.7</v>
      </c>
      <c r="F308" s="18">
        <v>548</v>
      </c>
      <c r="G308" s="7">
        <v>1647.1286</v>
      </c>
      <c r="H308" s="7">
        <v>1698.0833</v>
      </c>
      <c r="I308" s="7">
        <v>1758.4821999999999</v>
      </c>
      <c r="J308" s="8">
        <v>0.28360000000000002</v>
      </c>
      <c r="K308" s="7">
        <v>1.4666999999999999</v>
      </c>
      <c r="L308" s="7">
        <v>0.92420000000000002</v>
      </c>
      <c r="M308" s="8">
        <v>32.348199999999999</v>
      </c>
      <c r="N308" s="8">
        <v>-24.8355</v>
      </c>
      <c r="O308" s="7">
        <v>-24.340399999999999</v>
      </c>
      <c r="P308" s="7">
        <v>1743.2183</v>
      </c>
      <c r="Q308" s="7">
        <v>1612.2517</v>
      </c>
      <c r="R308" s="7" t="str">
        <f t="shared" si="61"/>
        <v>Down</v>
      </c>
      <c r="S308" s="7" t="str">
        <f t="shared" si="62"/>
        <v>Hold</v>
      </c>
      <c r="T308" s="8">
        <f t="shared" si="63"/>
        <v>0.13911738122827341</v>
      </c>
      <c r="U308" s="18">
        <f t="shared" si="64"/>
        <v>3653712</v>
      </c>
      <c r="V308" s="7">
        <f t="shared" si="65"/>
        <v>5586.2002000000002</v>
      </c>
      <c r="W308" s="7">
        <f t="shared" si="66"/>
        <v>1615.1</v>
      </c>
      <c r="X308" s="7">
        <f t="shared" si="67"/>
        <v>1661.7</v>
      </c>
      <c r="Y308" s="7">
        <f t="shared" si="68"/>
        <v>367</v>
      </c>
      <c r="Z308" s="7">
        <f t="shared" si="69"/>
        <v>1333794</v>
      </c>
      <c r="AA308" s="7" t="str">
        <f t="shared" si="70"/>
        <v>30-Sep-2022</v>
      </c>
      <c r="AB308" s="7">
        <f t="shared" si="71"/>
        <v>1661.7</v>
      </c>
      <c r="AC308" s="7">
        <f t="shared" si="75"/>
        <v>1</v>
      </c>
      <c r="AD308" s="7">
        <f t="shared" si="72"/>
        <v>2022</v>
      </c>
      <c r="AE308" s="19">
        <f t="shared" si="73"/>
        <v>0.28000000000000003</v>
      </c>
      <c r="BA308" s="10">
        <f t="shared" si="74"/>
        <v>80.523600000000002</v>
      </c>
    </row>
    <row r="309" spans="1:53" x14ac:dyDescent="0.3">
      <c r="A309" s="17">
        <v>44837</v>
      </c>
      <c r="B309" s="8">
        <v>1692.9</v>
      </c>
      <c r="C309" s="7">
        <v>1700</v>
      </c>
      <c r="D309" s="7">
        <v>1661.9</v>
      </c>
      <c r="E309" s="7">
        <v>1667.2</v>
      </c>
      <c r="F309" s="18">
        <v>410</v>
      </c>
      <c r="G309" s="7">
        <v>1646.9713999999999</v>
      </c>
      <c r="H309" s="7">
        <v>1695.2</v>
      </c>
      <c r="I309" s="7">
        <v>1756.4232999999999</v>
      </c>
      <c r="J309" s="8">
        <v>0.33100000000000002</v>
      </c>
      <c r="K309" s="7">
        <v>1.4716</v>
      </c>
      <c r="L309" s="7">
        <v>0.92679999999999996</v>
      </c>
      <c r="M309" s="8">
        <v>35.571199999999997</v>
      </c>
      <c r="N309" s="8">
        <v>-22.418700000000001</v>
      </c>
      <c r="O309" s="7">
        <v>-23.956099999999999</v>
      </c>
      <c r="P309" s="7">
        <v>1740.415</v>
      </c>
      <c r="Q309" s="7">
        <v>1611.4349999999999</v>
      </c>
      <c r="R309" s="7" t="str">
        <f t="shared" si="61"/>
        <v>Down</v>
      </c>
      <c r="S309" s="7" t="str">
        <f t="shared" si="62"/>
        <v>Hold</v>
      </c>
      <c r="T309" s="8">
        <f t="shared" si="63"/>
        <v>0.13894976798143843</v>
      </c>
      <c r="U309" s="18">
        <f t="shared" si="64"/>
        <v>3653164</v>
      </c>
      <c r="V309" s="7">
        <f t="shared" si="65"/>
        <v>5586.2002000000002</v>
      </c>
      <c r="W309" s="7">
        <f t="shared" si="66"/>
        <v>1615.1</v>
      </c>
      <c r="X309" s="7">
        <f t="shared" si="67"/>
        <v>1667.2</v>
      </c>
      <c r="Y309" s="7">
        <f t="shared" si="68"/>
        <v>367</v>
      </c>
      <c r="Z309" s="7">
        <f t="shared" si="69"/>
        <v>1333794</v>
      </c>
      <c r="AA309" s="7" t="str">
        <f t="shared" si="70"/>
        <v>03-Oct-2022</v>
      </c>
      <c r="AB309" s="7">
        <f t="shared" si="71"/>
        <v>1667.2</v>
      </c>
      <c r="AC309" s="7">
        <f t="shared" si="75"/>
        <v>1</v>
      </c>
      <c r="AD309" s="7">
        <f t="shared" si="72"/>
        <v>2022</v>
      </c>
      <c r="AE309" s="19">
        <f t="shared" si="73"/>
        <v>0.33</v>
      </c>
      <c r="BA309" s="10">
        <f t="shared" si="74"/>
        <v>80.523600000000002</v>
      </c>
    </row>
    <row r="310" spans="1:53" x14ac:dyDescent="0.3">
      <c r="A310" s="17">
        <v>44838</v>
      </c>
      <c r="B310" s="8">
        <v>1721.1</v>
      </c>
      <c r="C310" s="7">
        <v>1728</v>
      </c>
      <c r="D310" s="7">
        <v>1696</v>
      </c>
      <c r="E310" s="7">
        <v>1701.2</v>
      </c>
      <c r="F310" s="18">
        <v>291</v>
      </c>
      <c r="G310" s="7">
        <v>1651.8570999999999</v>
      </c>
      <c r="H310" s="7">
        <v>1693.89</v>
      </c>
      <c r="I310" s="7">
        <v>1754.8122000000001</v>
      </c>
      <c r="J310" s="8">
        <v>2.0392999999999999</v>
      </c>
      <c r="K310" s="7">
        <v>1.6586000000000001</v>
      </c>
      <c r="L310" s="7">
        <v>1.0026999999999999</v>
      </c>
      <c r="M310" s="8">
        <v>50.634799999999998</v>
      </c>
      <c r="N310" s="8">
        <v>-17.557500000000001</v>
      </c>
      <c r="O310" s="7">
        <v>-22.676400000000001</v>
      </c>
      <c r="P310" s="7">
        <v>1739.1595</v>
      </c>
      <c r="Q310" s="7">
        <v>1611.8405</v>
      </c>
      <c r="R310" s="7" t="str">
        <f t="shared" si="61"/>
        <v>Down</v>
      </c>
      <c r="S310" s="7" t="str">
        <f t="shared" si="62"/>
        <v>Hold</v>
      </c>
      <c r="T310" s="8">
        <f t="shared" si="63"/>
        <v>0.13872671312427404</v>
      </c>
      <c r="U310" s="18">
        <f t="shared" si="64"/>
        <v>3652754</v>
      </c>
      <c r="V310" s="7">
        <f t="shared" si="65"/>
        <v>5586.2002000000002</v>
      </c>
      <c r="W310" s="7">
        <f t="shared" si="66"/>
        <v>1615.1</v>
      </c>
      <c r="X310" s="7">
        <f t="shared" si="67"/>
        <v>1701.2</v>
      </c>
      <c r="Y310" s="7">
        <f t="shared" si="68"/>
        <v>367</v>
      </c>
      <c r="Z310" s="7">
        <f t="shared" si="69"/>
        <v>1333794</v>
      </c>
      <c r="AA310" s="7" t="str">
        <f t="shared" si="70"/>
        <v>04-Oct-2022</v>
      </c>
      <c r="AB310" s="7">
        <f t="shared" si="71"/>
        <v>1701.2</v>
      </c>
      <c r="AC310" s="7">
        <f t="shared" si="75"/>
        <v>1</v>
      </c>
      <c r="AD310" s="7">
        <f t="shared" si="72"/>
        <v>2022</v>
      </c>
      <c r="AE310" s="19">
        <f t="shared" si="73"/>
        <v>2.04</v>
      </c>
      <c r="BA310" s="10">
        <f t="shared" si="74"/>
        <v>80.523600000000002</v>
      </c>
    </row>
    <row r="311" spans="1:53" x14ac:dyDescent="0.3">
      <c r="A311" s="17">
        <v>44839</v>
      </c>
      <c r="B311" s="8">
        <v>1711.4</v>
      </c>
      <c r="C311" s="7">
        <v>1726.6</v>
      </c>
      <c r="D311" s="7">
        <v>1703</v>
      </c>
      <c r="E311" s="7">
        <v>1724.1</v>
      </c>
      <c r="F311" s="18">
        <v>418</v>
      </c>
      <c r="G311" s="7">
        <v>1666.2571</v>
      </c>
      <c r="H311" s="7">
        <v>1693.4267</v>
      </c>
      <c r="I311" s="7">
        <v>1753.52</v>
      </c>
      <c r="J311" s="8">
        <v>1.3461000000000001</v>
      </c>
      <c r="K311" s="7">
        <v>1.0644</v>
      </c>
      <c r="L311" s="7">
        <v>1.0354000000000001</v>
      </c>
      <c r="M311" s="8">
        <v>59.341700000000003</v>
      </c>
      <c r="N311" s="8">
        <v>-11.722</v>
      </c>
      <c r="O311" s="7">
        <v>-20.485499999999998</v>
      </c>
      <c r="P311" s="7">
        <v>1743.7656999999999</v>
      </c>
      <c r="Q311" s="7">
        <v>1610.1642999999999</v>
      </c>
      <c r="R311" s="7" t="str">
        <f t="shared" si="61"/>
        <v>Up</v>
      </c>
      <c r="S311" s="7" t="str">
        <f t="shared" si="62"/>
        <v>Hold</v>
      </c>
      <c r="T311" s="8">
        <f t="shared" si="63"/>
        <v>0.13651674418604645</v>
      </c>
      <c r="U311" s="18">
        <f t="shared" si="64"/>
        <v>3652463</v>
      </c>
      <c r="V311" s="7">
        <f t="shared" si="65"/>
        <v>5586.2002000000002</v>
      </c>
      <c r="W311" s="7">
        <f t="shared" si="66"/>
        <v>1615.1</v>
      </c>
      <c r="X311" s="7">
        <f t="shared" si="67"/>
        <v>1724.1</v>
      </c>
      <c r="Y311" s="7">
        <f t="shared" si="68"/>
        <v>367</v>
      </c>
      <c r="Z311" s="7">
        <f t="shared" si="69"/>
        <v>1333794</v>
      </c>
      <c r="AA311" s="7" t="str">
        <f t="shared" si="70"/>
        <v>05-Oct-2022</v>
      </c>
      <c r="AB311" s="7">
        <f t="shared" si="71"/>
        <v>1724.1</v>
      </c>
      <c r="AC311" s="7">
        <f t="shared" si="75"/>
        <v>1</v>
      </c>
      <c r="AD311" s="7">
        <f t="shared" si="72"/>
        <v>2022</v>
      </c>
      <c r="AE311" s="19">
        <f t="shared" si="73"/>
        <v>1.35</v>
      </c>
      <c r="BA311" s="10">
        <f t="shared" si="74"/>
        <v>80.523600000000002</v>
      </c>
    </row>
    <row r="312" spans="1:53" x14ac:dyDescent="0.3">
      <c r="A312" s="17">
        <v>44840</v>
      </c>
      <c r="B312" s="8">
        <v>1711.7</v>
      </c>
      <c r="C312" s="7">
        <v>1723.3</v>
      </c>
      <c r="D312" s="7">
        <v>1709.1</v>
      </c>
      <c r="E312" s="7">
        <v>1721</v>
      </c>
      <c r="F312" s="18">
        <v>133</v>
      </c>
      <c r="G312" s="7">
        <v>1678.9428</v>
      </c>
      <c r="H312" s="7">
        <v>1692.6267</v>
      </c>
      <c r="I312" s="7">
        <v>1752.1056000000001</v>
      </c>
      <c r="J312" s="8">
        <v>-0.17979999999999999</v>
      </c>
      <c r="K312" s="7">
        <v>1.1343000000000001</v>
      </c>
      <c r="L312" s="7">
        <v>1.0326</v>
      </c>
      <c r="M312" s="8">
        <v>66.413899999999998</v>
      </c>
      <c r="N312" s="8">
        <v>-7.2637</v>
      </c>
      <c r="O312" s="7">
        <v>-17.841100000000001</v>
      </c>
      <c r="P312" s="7">
        <v>1744.2802999999999</v>
      </c>
      <c r="Q312" s="7">
        <v>1609.9296999999999</v>
      </c>
      <c r="R312" s="7" t="str">
        <f t="shared" si="61"/>
        <v>Up</v>
      </c>
      <c r="S312" s="7" t="str">
        <f t="shared" si="62"/>
        <v>Hold</v>
      </c>
      <c r="T312" s="8">
        <f t="shared" si="63"/>
        <v>0.13510861466821883</v>
      </c>
      <c r="U312" s="18">
        <f t="shared" si="64"/>
        <v>3652045</v>
      </c>
      <c r="V312" s="7">
        <f t="shared" si="65"/>
        <v>5586.2002000000002</v>
      </c>
      <c r="W312" s="7">
        <f t="shared" si="66"/>
        <v>1615.1</v>
      </c>
      <c r="X312" s="7">
        <f t="shared" si="67"/>
        <v>1721</v>
      </c>
      <c r="Y312" s="7">
        <f t="shared" si="68"/>
        <v>366</v>
      </c>
      <c r="Z312" s="7">
        <f t="shared" si="69"/>
        <v>1333376</v>
      </c>
      <c r="AA312" s="7" t="str">
        <f t="shared" si="70"/>
        <v>06-Oct-2022</v>
      </c>
      <c r="AB312" s="7">
        <f t="shared" si="71"/>
        <v>1721</v>
      </c>
      <c r="AC312" s="7">
        <f t="shared" si="75"/>
        <v>1</v>
      </c>
      <c r="AD312" s="7">
        <f t="shared" si="72"/>
        <v>2022</v>
      </c>
      <c r="AE312" s="19">
        <f t="shared" si="73"/>
        <v>-0.18</v>
      </c>
      <c r="BA312" s="10">
        <f t="shared" si="74"/>
        <v>80.523600000000002</v>
      </c>
    </row>
    <row r="313" spans="1:53" x14ac:dyDescent="0.3">
      <c r="A313" s="17">
        <v>44841</v>
      </c>
      <c r="B313" s="8">
        <v>1700.5</v>
      </c>
      <c r="C313" s="7">
        <v>1710.1</v>
      </c>
      <c r="D313" s="7">
        <v>1693.7</v>
      </c>
      <c r="E313" s="7">
        <v>1710.1</v>
      </c>
      <c r="F313" s="18">
        <v>179</v>
      </c>
      <c r="G313" s="7">
        <v>1691.7571</v>
      </c>
      <c r="H313" s="7">
        <v>1690.91</v>
      </c>
      <c r="I313" s="7">
        <v>1750.5478000000001</v>
      </c>
      <c r="J313" s="8">
        <v>-0.63339999999999996</v>
      </c>
      <c r="K313" s="7">
        <v>1.115</v>
      </c>
      <c r="L313" s="7">
        <v>1.0206</v>
      </c>
      <c r="M313" s="8">
        <v>62.442</v>
      </c>
      <c r="N313" s="8">
        <v>-4.5575000000000001</v>
      </c>
      <c r="O313" s="7">
        <v>-15.1844</v>
      </c>
      <c r="P313" s="7">
        <v>1742.7392</v>
      </c>
      <c r="Q313" s="7">
        <v>1610.5607</v>
      </c>
      <c r="R313" s="7" t="str">
        <f t="shared" si="61"/>
        <v>Up</v>
      </c>
      <c r="S313" s="7" t="str">
        <f t="shared" si="62"/>
        <v>Hold</v>
      </c>
      <c r="T313" s="8">
        <f t="shared" si="63"/>
        <v>0.13547564102564097</v>
      </c>
      <c r="U313" s="18">
        <f t="shared" si="64"/>
        <v>3651912</v>
      </c>
      <c r="V313" s="7">
        <f t="shared" si="65"/>
        <v>5586.2002000000002</v>
      </c>
      <c r="W313" s="7">
        <f t="shared" si="66"/>
        <v>1615.1</v>
      </c>
      <c r="X313" s="7">
        <f t="shared" si="67"/>
        <v>1710.1</v>
      </c>
      <c r="Y313" s="7">
        <f t="shared" si="68"/>
        <v>365</v>
      </c>
      <c r="Z313" s="7">
        <f t="shared" si="69"/>
        <v>1333243</v>
      </c>
      <c r="AA313" s="7" t="str">
        <f t="shared" si="70"/>
        <v>07-Oct-2022</v>
      </c>
      <c r="AB313" s="7">
        <f t="shared" si="71"/>
        <v>1710.1</v>
      </c>
      <c r="AC313" s="7">
        <f t="shared" si="75"/>
        <v>1</v>
      </c>
      <c r="AD313" s="7">
        <f t="shared" si="72"/>
        <v>2022</v>
      </c>
      <c r="AE313" s="19">
        <f t="shared" si="73"/>
        <v>-0.63</v>
      </c>
      <c r="BA313" s="10">
        <f t="shared" si="74"/>
        <v>80.523600000000002</v>
      </c>
    </row>
    <row r="314" spans="1:53" x14ac:dyDescent="0.3">
      <c r="A314" s="17">
        <v>44844</v>
      </c>
      <c r="B314" s="8">
        <v>1667.3</v>
      </c>
      <c r="C314" s="7">
        <v>1693.4</v>
      </c>
      <c r="D314" s="7">
        <v>1667</v>
      </c>
      <c r="E314" s="7">
        <v>1693.4</v>
      </c>
      <c r="F314" s="18">
        <v>195</v>
      </c>
      <c r="G314" s="7">
        <v>1696.9571000000001</v>
      </c>
      <c r="H314" s="7">
        <v>1688.89</v>
      </c>
      <c r="I314" s="7">
        <v>1749.0189</v>
      </c>
      <c r="J314" s="8">
        <v>-0.97650000000000003</v>
      </c>
      <c r="K314" s="7">
        <v>1.0685</v>
      </c>
      <c r="L314" s="7">
        <v>1.0316000000000001</v>
      </c>
      <c r="M314" s="8">
        <v>58.073799999999999</v>
      </c>
      <c r="N314" s="8">
        <v>-3.7174</v>
      </c>
      <c r="O314" s="7">
        <v>-12.891</v>
      </c>
      <c r="P314" s="7">
        <v>1737.1791000000001</v>
      </c>
      <c r="Q314" s="7">
        <v>1612.7209</v>
      </c>
      <c r="R314" s="7" t="str">
        <f t="shared" si="61"/>
        <v>Up</v>
      </c>
      <c r="S314" s="7" t="str">
        <f t="shared" si="62"/>
        <v>Hold</v>
      </c>
      <c r="T314" s="8">
        <f t="shared" si="63"/>
        <v>0.13637281213535585</v>
      </c>
      <c r="U314" s="18">
        <f t="shared" si="64"/>
        <v>3651733</v>
      </c>
      <c r="V314" s="7">
        <f t="shared" si="65"/>
        <v>5586.2002000000002</v>
      </c>
      <c r="W314" s="7">
        <f t="shared" si="66"/>
        <v>1615.1</v>
      </c>
      <c r="X314" s="7">
        <f t="shared" si="67"/>
        <v>1693.4</v>
      </c>
      <c r="Y314" s="7">
        <f t="shared" si="68"/>
        <v>364</v>
      </c>
      <c r="Z314" s="7">
        <f t="shared" si="69"/>
        <v>1333064</v>
      </c>
      <c r="AA314" s="7" t="str">
        <f t="shared" si="70"/>
        <v>10-Oct-2022</v>
      </c>
      <c r="AB314" s="7">
        <f t="shared" si="71"/>
        <v>1693.4</v>
      </c>
      <c r="AC314" s="7">
        <f t="shared" si="75"/>
        <v>1</v>
      </c>
      <c r="AD314" s="7">
        <f t="shared" si="72"/>
        <v>2022</v>
      </c>
      <c r="AE314" s="19">
        <f t="shared" si="73"/>
        <v>-0.98</v>
      </c>
      <c r="BA314" s="10">
        <f t="shared" si="74"/>
        <v>80.523600000000002</v>
      </c>
    </row>
    <row r="315" spans="1:53" x14ac:dyDescent="0.3">
      <c r="A315" s="17">
        <v>44845</v>
      </c>
      <c r="B315" s="8">
        <v>1678.7</v>
      </c>
      <c r="C315" s="7">
        <v>1678.7</v>
      </c>
      <c r="D315" s="7">
        <v>1661</v>
      </c>
      <c r="E315" s="7">
        <v>1661.8</v>
      </c>
      <c r="F315" s="18">
        <v>167</v>
      </c>
      <c r="G315" s="7">
        <v>1696.9713999999999</v>
      </c>
      <c r="H315" s="7">
        <v>1686.5367000000001</v>
      </c>
      <c r="I315" s="7">
        <v>1746.9789000000001</v>
      </c>
      <c r="J315" s="8">
        <v>-1.8661000000000001</v>
      </c>
      <c r="K315" s="7">
        <v>1.3509</v>
      </c>
      <c r="L315" s="7">
        <v>1.0613999999999999</v>
      </c>
      <c r="M315" s="8">
        <v>49.211100000000002</v>
      </c>
      <c r="N315" s="8">
        <v>-5.5377999999999998</v>
      </c>
      <c r="O315" s="7">
        <v>-11.420400000000001</v>
      </c>
      <c r="P315" s="7">
        <v>1730.6306999999999</v>
      </c>
      <c r="Q315" s="7">
        <v>1613.3993</v>
      </c>
      <c r="R315" s="7" t="str">
        <f t="shared" si="61"/>
        <v>Down</v>
      </c>
      <c r="S315" s="7" t="str">
        <f t="shared" si="62"/>
        <v>Hold</v>
      </c>
      <c r="T315" s="8">
        <f t="shared" si="63"/>
        <v>0.13767289719626166</v>
      </c>
      <c r="U315" s="18">
        <f t="shared" si="64"/>
        <v>3651538</v>
      </c>
      <c r="V315" s="7">
        <f t="shared" si="65"/>
        <v>5586.2002000000002</v>
      </c>
      <c r="W315" s="7">
        <f t="shared" si="66"/>
        <v>1615.1</v>
      </c>
      <c r="X315" s="7">
        <f t="shared" si="67"/>
        <v>1661.8</v>
      </c>
      <c r="Y315" s="7">
        <f t="shared" si="68"/>
        <v>363</v>
      </c>
      <c r="Z315" s="7">
        <f t="shared" si="69"/>
        <v>1332869</v>
      </c>
      <c r="AA315" s="7" t="str">
        <f t="shared" si="70"/>
        <v>11-Oct-2022</v>
      </c>
      <c r="AB315" s="7">
        <f t="shared" si="71"/>
        <v>1661.8</v>
      </c>
      <c r="AC315" s="7">
        <f t="shared" si="75"/>
        <v>1</v>
      </c>
      <c r="AD315" s="7">
        <f t="shared" si="72"/>
        <v>2022</v>
      </c>
      <c r="AE315" s="19">
        <f t="shared" si="73"/>
        <v>-1.87</v>
      </c>
      <c r="BA315" s="10">
        <f t="shared" si="74"/>
        <v>80.523600000000002</v>
      </c>
    </row>
    <row r="316" spans="1:53" x14ac:dyDescent="0.3">
      <c r="A316" s="17">
        <v>44846</v>
      </c>
      <c r="B316" s="8">
        <v>1670.3</v>
      </c>
      <c r="C316" s="7">
        <v>1672.7</v>
      </c>
      <c r="D316" s="7">
        <v>1668</v>
      </c>
      <c r="E316" s="7">
        <v>1668</v>
      </c>
      <c r="F316" s="18">
        <v>149</v>
      </c>
      <c r="G316" s="7">
        <v>1697.0857000000001</v>
      </c>
      <c r="H316" s="7">
        <v>1684.2566999999999</v>
      </c>
      <c r="I316" s="7">
        <v>1744.7610999999999</v>
      </c>
      <c r="J316" s="8">
        <v>0.37309999999999999</v>
      </c>
      <c r="K316" s="7">
        <v>1.3526</v>
      </c>
      <c r="L316" s="7">
        <v>1.0633999999999999</v>
      </c>
      <c r="M316" s="8">
        <v>49.936900000000001</v>
      </c>
      <c r="N316" s="8">
        <v>-6.4062000000000001</v>
      </c>
      <c r="O316" s="7">
        <v>-10.4175</v>
      </c>
      <c r="P316" s="7">
        <v>1727.7456999999999</v>
      </c>
      <c r="Q316" s="7">
        <v>1613.2143000000001</v>
      </c>
      <c r="R316" s="7" t="str">
        <f t="shared" si="61"/>
        <v>Down</v>
      </c>
      <c r="S316" s="7" t="str">
        <f t="shared" si="62"/>
        <v>Hold</v>
      </c>
      <c r="T316" s="8">
        <f t="shared" si="63"/>
        <v>0.14001649122807011</v>
      </c>
      <c r="U316" s="18">
        <f t="shared" si="64"/>
        <v>3651371</v>
      </c>
      <c r="V316" s="7">
        <f t="shared" si="65"/>
        <v>5586.2002000000002</v>
      </c>
      <c r="W316" s="7">
        <f t="shared" si="66"/>
        <v>1615.1</v>
      </c>
      <c r="X316" s="7">
        <f t="shared" si="67"/>
        <v>1668</v>
      </c>
      <c r="Y316" s="7">
        <f t="shared" si="68"/>
        <v>363</v>
      </c>
      <c r="Z316" s="7">
        <f t="shared" si="69"/>
        <v>1332869</v>
      </c>
      <c r="AA316" s="7" t="str">
        <f t="shared" si="70"/>
        <v>12-Oct-2022</v>
      </c>
      <c r="AB316" s="7">
        <f t="shared" si="71"/>
        <v>1668</v>
      </c>
      <c r="AC316" s="7">
        <f t="shared" si="75"/>
        <v>1</v>
      </c>
      <c r="AD316" s="7">
        <f t="shared" si="72"/>
        <v>2022</v>
      </c>
      <c r="AE316" s="19">
        <f t="shared" si="73"/>
        <v>0.37</v>
      </c>
      <c r="BA316" s="10">
        <f t="shared" si="74"/>
        <v>80.523600000000002</v>
      </c>
    </row>
    <row r="317" spans="1:53" x14ac:dyDescent="0.3">
      <c r="A317" s="17">
        <v>44847</v>
      </c>
      <c r="B317" s="8">
        <v>1670</v>
      </c>
      <c r="C317" s="7">
        <v>1675.3</v>
      </c>
      <c r="D317" s="7">
        <v>1641.5</v>
      </c>
      <c r="E317" s="7">
        <v>1675.2</v>
      </c>
      <c r="F317" s="18">
        <v>729</v>
      </c>
      <c r="G317" s="7">
        <v>1693.3714</v>
      </c>
      <c r="H317" s="7">
        <v>1682.82</v>
      </c>
      <c r="I317" s="7">
        <v>1742.83</v>
      </c>
      <c r="J317" s="8">
        <v>0.43169999999999997</v>
      </c>
      <c r="K317" s="7">
        <v>1.0553999999999999</v>
      </c>
      <c r="L317" s="7">
        <v>1.0537000000000001</v>
      </c>
      <c r="M317" s="8">
        <v>51.681699999999999</v>
      </c>
      <c r="N317" s="8">
        <v>-6.4393000000000002</v>
      </c>
      <c r="O317" s="7">
        <v>-9.6219000000000001</v>
      </c>
      <c r="P317" s="7">
        <v>1726.8459</v>
      </c>
      <c r="Q317" s="7">
        <v>1613.0841</v>
      </c>
      <c r="R317" s="7" t="str">
        <f t="shared" si="61"/>
        <v>Up</v>
      </c>
      <c r="S317" s="7" t="str">
        <f t="shared" si="62"/>
        <v>Hold</v>
      </c>
      <c r="T317" s="8">
        <f t="shared" si="63"/>
        <v>0.13974355971896948</v>
      </c>
      <c r="U317" s="18">
        <f t="shared" si="64"/>
        <v>3651222</v>
      </c>
      <c r="V317" s="7">
        <f t="shared" si="65"/>
        <v>5586.2002000000002</v>
      </c>
      <c r="W317" s="7">
        <f t="shared" si="66"/>
        <v>1615.1</v>
      </c>
      <c r="X317" s="7">
        <f t="shared" si="67"/>
        <v>1675.2</v>
      </c>
      <c r="Y317" s="7">
        <f t="shared" si="68"/>
        <v>363</v>
      </c>
      <c r="Z317" s="7">
        <f t="shared" si="69"/>
        <v>1332869</v>
      </c>
      <c r="AA317" s="7" t="str">
        <f t="shared" si="70"/>
        <v>13-Oct-2022</v>
      </c>
      <c r="AB317" s="7">
        <f t="shared" si="71"/>
        <v>1675.2</v>
      </c>
      <c r="AC317" s="7">
        <f t="shared" si="75"/>
        <v>1</v>
      </c>
      <c r="AD317" s="7">
        <f t="shared" si="72"/>
        <v>2022</v>
      </c>
      <c r="AE317" s="19">
        <f t="shared" si="73"/>
        <v>0.43</v>
      </c>
      <c r="BA317" s="10">
        <f t="shared" si="74"/>
        <v>80.523600000000002</v>
      </c>
    </row>
    <row r="318" spans="1:53" x14ac:dyDescent="0.3">
      <c r="A318" s="17">
        <v>44848</v>
      </c>
      <c r="B318" s="8">
        <v>1641.7</v>
      </c>
      <c r="C318" s="7">
        <v>1667</v>
      </c>
      <c r="D318" s="7">
        <v>1640</v>
      </c>
      <c r="E318" s="7">
        <v>1665.3</v>
      </c>
      <c r="F318" s="18">
        <v>82</v>
      </c>
      <c r="G318" s="7">
        <v>1684.9713999999999</v>
      </c>
      <c r="H318" s="7">
        <v>1681.4</v>
      </c>
      <c r="I318" s="7">
        <v>1740.9232999999999</v>
      </c>
      <c r="J318" s="8">
        <v>-0.59099999999999997</v>
      </c>
      <c r="K318" s="7">
        <v>0.80120000000000002</v>
      </c>
      <c r="L318" s="7">
        <v>1.0535000000000001</v>
      </c>
      <c r="M318" s="8">
        <v>60</v>
      </c>
      <c r="N318" s="8">
        <v>-7.1816000000000004</v>
      </c>
      <c r="O318" s="7">
        <v>-9.1338000000000008</v>
      </c>
      <c r="P318" s="7">
        <v>1726.9594999999999</v>
      </c>
      <c r="Q318" s="7">
        <v>1613.4604999999999</v>
      </c>
      <c r="R318" s="7" t="str">
        <f t="shared" si="61"/>
        <v>Up</v>
      </c>
      <c r="S318" s="7" t="str">
        <f t="shared" si="62"/>
        <v>Hold</v>
      </c>
      <c r="T318" s="8">
        <f t="shared" si="63"/>
        <v>0.13940128956623674</v>
      </c>
      <c r="U318" s="18">
        <f t="shared" si="64"/>
        <v>3650493</v>
      </c>
      <c r="V318" s="7">
        <f t="shared" si="65"/>
        <v>5586.2002000000002</v>
      </c>
      <c r="W318" s="7">
        <f t="shared" si="66"/>
        <v>1615.1</v>
      </c>
      <c r="X318" s="7">
        <f t="shared" si="67"/>
        <v>1665.3</v>
      </c>
      <c r="Y318" s="7">
        <f t="shared" si="68"/>
        <v>362</v>
      </c>
      <c r="Z318" s="7">
        <f t="shared" si="69"/>
        <v>1332140</v>
      </c>
      <c r="AA318" s="7" t="str">
        <f t="shared" si="70"/>
        <v>14-Oct-2022</v>
      </c>
      <c r="AB318" s="7">
        <f t="shared" si="71"/>
        <v>1665.3</v>
      </c>
      <c r="AC318" s="7">
        <f t="shared" si="75"/>
        <v>1</v>
      </c>
      <c r="AD318" s="7">
        <f t="shared" si="72"/>
        <v>2022</v>
      </c>
      <c r="AE318" s="19">
        <f t="shared" si="73"/>
        <v>-0.59</v>
      </c>
      <c r="BA318" s="10">
        <f t="shared" si="74"/>
        <v>80.523600000000002</v>
      </c>
    </row>
    <row r="319" spans="1:53" x14ac:dyDescent="0.3">
      <c r="A319" s="17">
        <v>44851</v>
      </c>
      <c r="B319" s="8">
        <v>1657</v>
      </c>
      <c r="C319" s="7">
        <v>1657</v>
      </c>
      <c r="D319" s="7">
        <v>1646.8</v>
      </c>
      <c r="E319" s="7">
        <v>1650.2</v>
      </c>
      <c r="F319" s="18">
        <v>238</v>
      </c>
      <c r="G319" s="7">
        <v>1674.8570999999999</v>
      </c>
      <c r="H319" s="7">
        <v>1679.6267</v>
      </c>
      <c r="I319" s="7">
        <v>1738.7610999999999</v>
      </c>
      <c r="J319" s="8">
        <v>-0.90669999999999995</v>
      </c>
      <c r="K319" s="7">
        <v>0.80120000000000002</v>
      </c>
      <c r="L319" s="7">
        <v>1.0639000000000001</v>
      </c>
      <c r="M319" s="8">
        <v>54.162799999999997</v>
      </c>
      <c r="N319" s="8">
        <v>-8.8857999999999997</v>
      </c>
      <c r="O319" s="7">
        <v>-9.0841999999999992</v>
      </c>
      <c r="P319" s="7">
        <v>1726.9754</v>
      </c>
      <c r="Q319" s="7">
        <v>1612.2846</v>
      </c>
      <c r="R319" s="7" t="str">
        <f t="shared" si="61"/>
        <v>Down</v>
      </c>
      <c r="S319" s="7" t="str">
        <f t="shared" si="62"/>
        <v>Hold</v>
      </c>
      <c r="T319" s="8">
        <f t="shared" si="63"/>
        <v>0.14025856807511733</v>
      </c>
      <c r="U319" s="18">
        <f t="shared" si="64"/>
        <v>3650411</v>
      </c>
      <c r="V319" s="7">
        <f t="shared" si="65"/>
        <v>5586.2002000000002</v>
      </c>
      <c r="W319" s="7">
        <f t="shared" si="66"/>
        <v>1615.1</v>
      </c>
      <c r="X319" s="7">
        <f t="shared" si="67"/>
        <v>1650.2</v>
      </c>
      <c r="Y319" s="7">
        <f t="shared" si="68"/>
        <v>361</v>
      </c>
      <c r="Z319" s="7">
        <f t="shared" si="69"/>
        <v>1332058</v>
      </c>
      <c r="AA319" s="7" t="str">
        <f t="shared" si="70"/>
        <v>17-Oct-2022</v>
      </c>
      <c r="AB319" s="7">
        <f t="shared" si="71"/>
        <v>1650.2</v>
      </c>
      <c r="AC319" s="7">
        <f t="shared" si="75"/>
        <v>1</v>
      </c>
      <c r="AD319" s="7">
        <f t="shared" si="72"/>
        <v>2022</v>
      </c>
      <c r="AE319" s="19">
        <f t="shared" si="73"/>
        <v>-0.91</v>
      </c>
      <c r="BA319" s="10">
        <f t="shared" si="74"/>
        <v>80.523600000000002</v>
      </c>
    </row>
    <row r="320" spans="1:53" x14ac:dyDescent="0.3">
      <c r="A320" s="17">
        <v>44852</v>
      </c>
      <c r="B320" s="8">
        <v>1649</v>
      </c>
      <c r="C320" s="7">
        <v>1655.2</v>
      </c>
      <c r="D320" s="7">
        <v>1649</v>
      </c>
      <c r="E320" s="7">
        <v>1651.4</v>
      </c>
      <c r="F320" s="18">
        <v>597</v>
      </c>
      <c r="G320" s="7">
        <v>1666.4713999999999</v>
      </c>
      <c r="H320" s="7">
        <v>1677.6832999999999</v>
      </c>
      <c r="I320" s="7">
        <v>1736.5978</v>
      </c>
      <c r="J320" s="8">
        <v>7.2700000000000001E-2</v>
      </c>
      <c r="K320" s="7">
        <v>0.83909999999999996</v>
      </c>
      <c r="L320" s="7">
        <v>1.0607</v>
      </c>
      <c r="M320" s="8">
        <v>57.538899999999998</v>
      </c>
      <c r="N320" s="8">
        <v>-10.024100000000001</v>
      </c>
      <c r="O320" s="7">
        <v>-9.2721999999999998</v>
      </c>
      <c r="P320" s="7">
        <v>1726.9815000000001</v>
      </c>
      <c r="Q320" s="7">
        <v>1611.4485</v>
      </c>
      <c r="R320" s="7" t="str">
        <f t="shared" si="61"/>
        <v>Up</v>
      </c>
      <c r="S320" s="7" t="str">
        <f t="shared" si="62"/>
        <v>Hold</v>
      </c>
      <c r="T320" s="8">
        <f t="shared" si="63"/>
        <v>0.14148883666274964</v>
      </c>
      <c r="U320" s="18">
        <f t="shared" si="64"/>
        <v>3650173</v>
      </c>
      <c r="V320" s="7">
        <f t="shared" si="65"/>
        <v>5586.2002000000002</v>
      </c>
      <c r="W320" s="7">
        <f t="shared" si="66"/>
        <v>1615.1</v>
      </c>
      <c r="X320" s="7">
        <f t="shared" si="67"/>
        <v>1651.4</v>
      </c>
      <c r="Y320" s="7">
        <f t="shared" si="68"/>
        <v>361</v>
      </c>
      <c r="Z320" s="7">
        <f t="shared" si="69"/>
        <v>1332058</v>
      </c>
      <c r="AA320" s="7" t="str">
        <f t="shared" si="70"/>
        <v>18-Oct-2022</v>
      </c>
      <c r="AB320" s="7">
        <f t="shared" si="71"/>
        <v>1651.4</v>
      </c>
      <c r="AC320" s="7">
        <f t="shared" si="75"/>
        <v>1</v>
      </c>
      <c r="AD320" s="7">
        <f t="shared" si="72"/>
        <v>2022</v>
      </c>
      <c r="AE320" s="19">
        <f t="shared" si="73"/>
        <v>7.0000000000000007E-2</v>
      </c>
      <c r="BA320" s="10">
        <f t="shared" si="74"/>
        <v>80.523600000000002</v>
      </c>
    </row>
    <row r="321" spans="1:53" x14ac:dyDescent="0.3">
      <c r="A321" s="17">
        <v>44853</v>
      </c>
      <c r="B321" s="8">
        <v>1627.5</v>
      </c>
      <c r="C321" s="7">
        <v>1637.5</v>
      </c>
      <c r="D321" s="7">
        <v>1627.5</v>
      </c>
      <c r="E321" s="7">
        <v>1637.5</v>
      </c>
      <c r="F321" s="18">
        <v>84</v>
      </c>
      <c r="G321" s="7">
        <v>1658.4857</v>
      </c>
      <c r="H321" s="7">
        <v>1675.7733000000001</v>
      </c>
      <c r="I321" s="7">
        <v>1734.3178</v>
      </c>
      <c r="J321" s="8">
        <v>-0.8417</v>
      </c>
      <c r="K321" s="7">
        <v>0.82769999999999999</v>
      </c>
      <c r="L321" s="7">
        <v>1.06</v>
      </c>
      <c r="M321" s="8">
        <v>44.669199999999996</v>
      </c>
      <c r="N321" s="8">
        <v>-11.910500000000001</v>
      </c>
      <c r="O321" s="7">
        <v>-9.7998999999999992</v>
      </c>
      <c r="P321" s="7">
        <v>1727.2925</v>
      </c>
      <c r="Q321" s="7">
        <v>1608.3375000000001</v>
      </c>
      <c r="R321" s="7" t="str">
        <f t="shared" si="61"/>
        <v>Up</v>
      </c>
      <c r="S321" s="7" t="str">
        <f t="shared" si="62"/>
        <v>Hold</v>
      </c>
      <c r="T321" s="8">
        <f t="shared" si="63"/>
        <v>0.14156976470588231</v>
      </c>
      <c r="U321" s="18">
        <f t="shared" si="64"/>
        <v>3649576</v>
      </c>
      <c r="V321" s="7">
        <f t="shared" si="65"/>
        <v>5586.2002000000002</v>
      </c>
      <c r="W321" s="7">
        <f t="shared" si="66"/>
        <v>1615.1</v>
      </c>
      <c r="X321" s="7">
        <f t="shared" si="67"/>
        <v>1637.5</v>
      </c>
      <c r="Y321" s="7">
        <f t="shared" si="68"/>
        <v>360</v>
      </c>
      <c r="Z321" s="7">
        <f t="shared" si="69"/>
        <v>1331461</v>
      </c>
      <c r="AA321" s="7" t="str">
        <f t="shared" si="70"/>
        <v>19-Oct-2022</v>
      </c>
      <c r="AB321" s="7">
        <f t="shared" si="71"/>
        <v>1637.5</v>
      </c>
      <c r="AC321" s="7">
        <f t="shared" si="75"/>
        <v>1</v>
      </c>
      <c r="AD321" s="7">
        <f t="shared" si="72"/>
        <v>2022</v>
      </c>
      <c r="AE321" s="19">
        <f t="shared" si="73"/>
        <v>-0.84</v>
      </c>
      <c r="BA321" s="10">
        <f t="shared" si="74"/>
        <v>80.523600000000002</v>
      </c>
    </row>
    <row r="322" spans="1:53" x14ac:dyDescent="0.3">
      <c r="A322" s="17">
        <v>44854</v>
      </c>
      <c r="B322" s="8">
        <v>1630.8</v>
      </c>
      <c r="C322" s="7">
        <v>1641.4</v>
      </c>
      <c r="D322" s="7">
        <v>1622.8</v>
      </c>
      <c r="E322" s="7">
        <v>1622.8</v>
      </c>
      <c r="F322" s="18">
        <v>477</v>
      </c>
      <c r="G322" s="7">
        <v>1652.9142999999999</v>
      </c>
      <c r="H322" s="7">
        <v>1672.5933</v>
      </c>
      <c r="I322" s="7">
        <v>1731.5289</v>
      </c>
      <c r="J322" s="8">
        <v>-0.89770000000000005</v>
      </c>
      <c r="K322" s="7">
        <v>0.60840000000000005</v>
      </c>
      <c r="L322" s="7">
        <v>1.0307999999999999</v>
      </c>
      <c r="M322" s="8">
        <v>39.917099999999998</v>
      </c>
      <c r="N322" s="8">
        <v>-14.4253</v>
      </c>
      <c r="O322" s="7">
        <v>-10.725</v>
      </c>
      <c r="P322" s="7">
        <v>1728.3279</v>
      </c>
      <c r="Q322" s="7">
        <v>1602.752</v>
      </c>
      <c r="R322" s="7" t="str">
        <f t="shared" si="61"/>
        <v>Down</v>
      </c>
      <c r="S322" s="7" t="str">
        <f t="shared" si="62"/>
        <v>Hold</v>
      </c>
      <c r="T322" s="8">
        <f t="shared" si="63"/>
        <v>0.14272791519434624</v>
      </c>
      <c r="U322" s="18">
        <f t="shared" si="64"/>
        <v>3649492</v>
      </c>
      <c r="V322" s="7">
        <f t="shared" si="65"/>
        <v>5586.2002000000002</v>
      </c>
      <c r="W322" s="7">
        <f t="shared" si="66"/>
        <v>1615.1</v>
      </c>
      <c r="X322" s="7">
        <f t="shared" si="67"/>
        <v>1622.8</v>
      </c>
      <c r="Y322" s="7">
        <f t="shared" si="68"/>
        <v>359</v>
      </c>
      <c r="Z322" s="7">
        <f t="shared" si="69"/>
        <v>1331377</v>
      </c>
      <c r="AA322" s="7" t="str">
        <f t="shared" si="70"/>
        <v>20-Oct-2022</v>
      </c>
      <c r="AB322" s="7">
        <f t="shared" si="71"/>
        <v>1622.8</v>
      </c>
      <c r="AC322" s="7">
        <f t="shared" si="75"/>
        <v>1</v>
      </c>
      <c r="AD322" s="7">
        <f t="shared" si="72"/>
        <v>2022</v>
      </c>
      <c r="AE322" s="19">
        <f t="shared" si="73"/>
        <v>-0.9</v>
      </c>
      <c r="BA322" s="10">
        <f t="shared" si="74"/>
        <v>80.523600000000002</v>
      </c>
    </row>
    <row r="323" spans="1:53" x14ac:dyDescent="0.3">
      <c r="A323" s="17">
        <v>44855</v>
      </c>
      <c r="B323" s="8">
        <v>1651</v>
      </c>
      <c r="C323" s="7">
        <v>1653.9</v>
      </c>
      <c r="D323" s="7">
        <v>1634.1</v>
      </c>
      <c r="E323" s="7">
        <v>1634.1</v>
      </c>
      <c r="F323" s="18">
        <v>224</v>
      </c>
      <c r="G323" s="7">
        <v>1648.0714</v>
      </c>
      <c r="H323" s="7">
        <v>1669.7566999999999</v>
      </c>
      <c r="I323" s="7">
        <v>1729.4078</v>
      </c>
      <c r="J323" s="8">
        <v>0.69630000000000003</v>
      </c>
      <c r="K323" s="7">
        <v>0.6794</v>
      </c>
      <c r="L323" s="7">
        <v>1.0425</v>
      </c>
      <c r="M323" s="8">
        <v>41.670900000000003</v>
      </c>
      <c r="N323" s="8">
        <v>-15.3299</v>
      </c>
      <c r="O323" s="7">
        <v>-11.645899999999999</v>
      </c>
      <c r="P323" s="7">
        <v>1728.2267999999999</v>
      </c>
      <c r="Q323" s="7">
        <v>1599.5632000000001</v>
      </c>
      <c r="R323" s="7" t="str">
        <f t="shared" ref="R323:R386" si="76">IF(E323&gt;B323,"Up","Down")</f>
        <v>Down</v>
      </c>
      <c r="S323" s="7" t="str">
        <f t="shared" ref="S323:S386" si="77">IF(M323&gt;70,"Sell",IF(M323&lt;30,"Buy","Hold"))</f>
        <v>Hold</v>
      </c>
      <c r="T323" s="8">
        <f t="shared" ref="T323:T386" si="78">AVERAGE(J323:J1491)</f>
        <v>0.1439548349056603</v>
      </c>
      <c r="U323" s="18">
        <f t="shared" ref="U323:U386" si="79">SUM(F323:F1491)</f>
        <v>3649015</v>
      </c>
      <c r="V323" s="7">
        <f t="shared" ref="V323:V386" si="80">MAX(C323:C1491)</f>
        <v>5586.2002000000002</v>
      </c>
      <c r="W323" s="7">
        <f t="shared" ref="W323:W386" si="81">MIN(D323:D1491)</f>
        <v>1615.1</v>
      </c>
      <c r="X323" s="7">
        <f t="shared" ref="X323:X386" si="82">INDEX(E323:E1491,MATCH(A323,A323:A1491,0))</f>
        <v>1634.1</v>
      </c>
      <c r="Y323" s="7">
        <f t="shared" ref="Y323:Y386" si="83">COUNTIF(R323:R1491,"Up")</f>
        <v>359</v>
      </c>
      <c r="Z323" s="7">
        <f t="shared" ref="Z323:Z386" si="84">SUMIF(R323:R1491,"Up",F323:F1491)</f>
        <v>1331377</v>
      </c>
      <c r="AA323" s="7" t="str">
        <f t="shared" ref="AA323:AA386" si="85">TEXT(A323,"DD-MMM-YYYY")</f>
        <v>21-Oct-2022</v>
      </c>
      <c r="AB323" s="7">
        <f t="shared" ref="AB323:AB386" si="86">_xlfn.XLOOKUP(A323,A323:A1491,E323:E1491)</f>
        <v>1634.1</v>
      </c>
      <c r="AC323" s="7">
        <f t="shared" si="75"/>
        <v>1</v>
      </c>
      <c r="AD323" s="7">
        <f t="shared" ref="AD323:AD386" si="87">YEAR(A323)</f>
        <v>2022</v>
      </c>
      <c r="AE323" s="19">
        <f t="shared" ref="AE323:AE386" si="88">ROUND(J323,2)</f>
        <v>0.7</v>
      </c>
      <c r="BA323" s="10">
        <f t="shared" ref="BA323:BA386" si="89">MODE(M323:M1491)</f>
        <v>80.523600000000002</v>
      </c>
    </row>
    <row r="324" spans="1:53" x14ac:dyDescent="0.3">
      <c r="A324" s="17">
        <v>44858</v>
      </c>
      <c r="B324" s="8">
        <v>1648.7</v>
      </c>
      <c r="C324" s="7">
        <v>1662.7</v>
      </c>
      <c r="D324" s="7">
        <v>1648.7</v>
      </c>
      <c r="E324" s="7">
        <v>1662.7</v>
      </c>
      <c r="F324" s="18">
        <v>29</v>
      </c>
      <c r="G324" s="7">
        <v>1646.2856999999999</v>
      </c>
      <c r="H324" s="7">
        <v>1667.6</v>
      </c>
      <c r="I324" s="7">
        <v>1727.7256</v>
      </c>
      <c r="J324" s="8">
        <v>1.7502</v>
      </c>
      <c r="K324" s="7">
        <v>1.0137</v>
      </c>
      <c r="L324" s="7">
        <v>1.0941000000000001</v>
      </c>
      <c r="M324" s="8">
        <v>40.041400000000003</v>
      </c>
      <c r="N324" s="8">
        <v>-13.5824</v>
      </c>
      <c r="O324" s="7">
        <v>-12.033200000000001</v>
      </c>
      <c r="P324" s="7">
        <v>1727.3109999999999</v>
      </c>
      <c r="Q324" s="7">
        <v>1604.4190000000001</v>
      </c>
      <c r="R324" s="7" t="str">
        <f t="shared" si="76"/>
        <v>Up</v>
      </c>
      <c r="S324" s="7" t="str">
        <f t="shared" si="77"/>
        <v>Hold</v>
      </c>
      <c r="T324" s="8">
        <f t="shared" si="78"/>
        <v>0.14330271546635176</v>
      </c>
      <c r="U324" s="18">
        <f t="shared" si="79"/>
        <v>3648791</v>
      </c>
      <c r="V324" s="7">
        <f t="shared" si="80"/>
        <v>5586.2002000000002</v>
      </c>
      <c r="W324" s="7">
        <f t="shared" si="81"/>
        <v>1615.1</v>
      </c>
      <c r="X324" s="7">
        <f t="shared" si="82"/>
        <v>1662.7</v>
      </c>
      <c r="Y324" s="7">
        <f t="shared" si="83"/>
        <v>359</v>
      </c>
      <c r="Z324" s="7">
        <f t="shared" si="84"/>
        <v>1331377</v>
      </c>
      <c r="AA324" s="7" t="str">
        <f t="shared" si="85"/>
        <v>24-Oct-2022</v>
      </c>
      <c r="AB324" s="7">
        <f t="shared" si="86"/>
        <v>1662.7</v>
      </c>
      <c r="AC324" s="7">
        <f t="shared" si="75"/>
        <v>1</v>
      </c>
      <c r="AD324" s="7">
        <f t="shared" si="87"/>
        <v>2022</v>
      </c>
      <c r="AE324" s="19">
        <f t="shared" si="88"/>
        <v>1.75</v>
      </c>
      <c r="BA324" s="10">
        <f t="shared" si="89"/>
        <v>80.523600000000002</v>
      </c>
    </row>
    <row r="325" spans="1:53" x14ac:dyDescent="0.3">
      <c r="A325" s="17">
        <v>44859</v>
      </c>
      <c r="B325" s="8">
        <v>1652.8</v>
      </c>
      <c r="C325" s="7">
        <v>1652.8</v>
      </c>
      <c r="D325" s="7">
        <v>1637.3</v>
      </c>
      <c r="E325" s="7">
        <v>1648.2</v>
      </c>
      <c r="F325" s="18">
        <v>880</v>
      </c>
      <c r="G325" s="7">
        <v>1643.8427999999999</v>
      </c>
      <c r="H325" s="7">
        <v>1665.19</v>
      </c>
      <c r="I325" s="7">
        <v>1725.8255999999999</v>
      </c>
      <c r="J325" s="8">
        <v>-0.87209999999999999</v>
      </c>
      <c r="K325" s="7">
        <v>1.0415000000000001</v>
      </c>
      <c r="L325" s="7">
        <v>1.1015999999999999</v>
      </c>
      <c r="M325" s="8">
        <v>29.4754</v>
      </c>
      <c r="N325" s="8">
        <v>-13.2151</v>
      </c>
      <c r="O325" s="7">
        <v>-12.269600000000001</v>
      </c>
      <c r="P325" s="7">
        <v>1726.6650999999999</v>
      </c>
      <c r="Q325" s="7">
        <v>1606.6649</v>
      </c>
      <c r="R325" s="7" t="str">
        <f t="shared" si="76"/>
        <v>Down</v>
      </c>
      <c r="S325" s="7" t="str">
        <f t="shared" si="77"/>
        <v>Buy</v>
      </c>
      <c r="T325" s="8">
        <f t="shared" si="78"/>
        <v>0.14140330969267134</v>
      </c>
      <c r="U325" s="18">
        <f t="shared" si="79"/>
        <v>3648762</v>
      </c>
      <c r="V325" s="7">
        <f t="shared" si="80"/>
        <v>5586.2002000000002</v>
      </c>
      <c r="W325" s="7">
        <f t="shared" si="81"/>
        <v>1615.1</v>
      </c>
      <c r="X325" s="7">
        <f t="shared" si="82"/>
        <v>1648.2</v>
      </c>
      <c r="Y325" s="7">
        <f t="shared" si="83"/>
        <v>358</v>
      </c>
      <c r="Z325" s="7">
        <f t="shared" si="84"/>
        <v>1331348</v>
      </c>
      <c r="AA325" s="7" t="str">
        <f t="shared" si="85"/>
        <v>25-Oct-2022</v>
      </c>
      <c r="AB325" s="7">
        <f t="shared" si="86"/>
        <v>1648.2</v>
      </c>
      <c r="AC325" s="7">
        <f t="shared" ref="AC325:AC388" si="90">_xlfn.XMATCH(A325,A325:A1493)</f>
        <v>1</v>
      </c>
      <c r="AD325" s="7">
        <f t="shared" si="87"/>
        <v>2022</v>
      </c>
      <c r="AE325" s="19">
        <f t="shared" si="88"/>
        <v>-0.87</v>
      </c>
      <c r="BA325" s="10">
        <f t="shared" si="89"/>
        <v>80.523600000000002</v>
      </c>
    </row>
    <row r="326" spans="1:53" x14ac:dyDescent="0.3">
      <c r="A326" s="17">
        <v>44860</v>
      </c>
      <c r="B326" s="8">
        <v>1664</v>
      </c>
      <c r="C326" s="7">
        <v>1667</v>
      </c>
      <c r="D326" s="7">
        <v>1649.8</v>
      </c>
      <c r="E326" s="7">
        <v>1649.8</v>
      </c>
      <c r="F326" s="18">
        <v>89</v>
      </c>
      <c r="G326" s="7">
        <v>1643.7856999999999</v>
      </c>
      <c r="H326" s="7">
        <v>1663.56</v>
      </c>
      <c r="I326" s="7">
        <v>1723.56</v>
      </c>
      <c r="J326" s="8">
        <v>9.7100000000000006E-2</v>
      </c>
      <c r="K326" s="7">
        <v>0.98640000000000005</v>
      </c>
      <c r="L326" s="7">
        <v>1.0813999999999999</v>
      </c>
      <c r="M326" s="8">
        <v>30.588899999999999</v>
      </c>
      <c r="N326" s="8">
        <v>-12.6492</v>
      </c>
      <c r="O326" s="7">
        <v>-12.345499999999999</v>
      </c>
      <c r="P326" s="7">
        <v>1724.7050999999999</v>
      </c>
      <c r="Q326" s="7">
        <v>1611.5649000000001</v>
      </c>
      <c r="R326" s="7" t="str">
        <f t="shared" si="76"/>
        <v>Down</v>
      </c>
      <c r="S326" s="7" t="str">
        <f t="shared" si="77"/>
        <v>Hold</v>
      </c>
      <c r="T326" s="8">
        <f t="shared" si="78"/>
        <v>0.14260272189349107</v>
      </c>
      <c r="U326" s="18">
        <f t="shared" si="79"/>
        <v>3647882</v>
      </c>
      <c r="V326" s="7">
        <f t="shared" si="80"/>
        <v>5586.2002000000002</v>
      </c>
      <c r="W326" s="7">
        <f t="shared" si="81"/>
        <v>1615.1</v>
      </c>
      <c r="X326" s="7">
        <f t="shared" si="82"/>
        <v>1649.8</v>
      </c>
      <c r="Y326" s="7">
        <f t="shared" si="83"/>
        <v>358</v>
      </c>
      <c r="Z326" s="7">
        <f t="shared" si="84"/>
        <v>1331348</v>
      </c>
      <c r="AA326" s="7" t="str">
        <f t="shared" si="85"/>
        <v>26-Oct-2022</v>
      </c>
      <c r="AB326" s="7">
        <f t="shared" si="86"/>
        <v>1649.8</v>
      </c>
      <c r="AC326" s="7">
        <f t="shared" si="90"/>
        <v>1</v>
      </c>
      <c r="AD326" s="7">
        <f t="shared" si="87"/>
        <v>2022</v>
      </c>
      <c r="AE326" s="19">
        <f t="shared" si="88"/>
        <v>0.1</v>
      </c>
      <c r="BA326" s="10">
        <f t="shared" si="89"/>
        <v>80.523600000000002</v>
      </c>
    </row>
    <row r="327" spans="1:53" x14ac:dyDescent="0.3">
      <c r="A327" s="17">
        <v>44861</v>
      </c>
      <c r="B327" s="8">
        <v>1660.7</v>
      </c>
      <c r="C327" s="7">
        <v>1660.7</v>
      </c>
      <c r="D327" s="7">
        <v>1660.7</v>
      </c>
      <c r="E327" s="7">
        <v>1660.7</v>
      </c>
      <c r="F327" s="18">
        <v>2298</v>
      </c>
      <c r="G327" s="7">
        <v>1645.1143</v>
      </c>
      <c r="H327" s="7">
        <v>1662.7333000000001</v>
      </c>
      <c r="I327" s="7">
        <v>1721.62</v>
      </c>
      <c r="J327" s="8">
        <v>0.66069999999999995</v>
      </c>
      <c r="K327" s="7">
        <v>1.0181</v>
      </c>
      <c r="L327" s="7">
        <v>1.0818000000000001</v>
      </c>
      <c r="M327" s="8">
        <v>36.5321</v>
      </c>
      <c r="N327" s="8">
        <v>-11.1921</v>
      </c>
      <c r="O327" s="7">
        <v>-12.114800000000001</v>
      </c>
      <c r="P327" s="7">
        <v>1724.7608</v>
      </c>
      <c r="Q327" s="7">
        <v>1611.8792000000001</v>
      </c>
      <c r="R327" s="7" t="str">
        <f t="shared" si="76"/>
        <v>Down</v>
      </c>
      <c r="S327" s="7" t="str">
        <f t="shared" si="77"/>
        <v>Hold</v>
      </c>
      <c r="T327" s="8">
        <f t="shared" si="78"/>
        <v>0.14265663507108997</v>
      </c>
      <c r="U327" s="18">
        <f t="shared" si="79"/>
        <v>3647793</v>
      </c>
      <c r="V327" s="7">
        <f t="shared" si="80"/>
        <v>5586.2002000000002</v>
      </c>
      <c r="W327" s="7">
        <f t="shared" si="81"/>
        <v>1615.1</v>
      </c>
      <c r="X327" s="7">
        <f t="shared" si="82"/>
        <v>1660.7</v>
      </c>
      <c r="Y327" s="7">
        <f t="shared" si="83"/>
        <v>358</v>
      </c>
      <c r="Z327" s="7">
        <f t="shared" si="84"/>
        <v>1331348</v>
      </c>
      <c r="AA327" s="7" t="str">
        <f t="shared" si="85"/>
        <v>27-Oct-2022</v>
      </c>
      <c r="AB327" s="7">
        <f t="shared" si="86"/>
        <v>1660.7</v>
      </c>
      <c r="AC327" s="7">
        <f t="shared" si="90"/>
        <v>1</v>
      </c>
      <c r="AD327" s="7">
        <f t="shared" si="87"/>
        <v>2022</v>
      </c>
      <c r="AE327" s="19">
        <f t="shared" si="88"/>
        <v>0.66</v>
      </c>
      <c r="BA327" s="10">
        <f t="shared" si="89"/>
        <v>80.523600000000002</v>
      </c>
    </row>
    <row r="328" spans="1:53" x14ac:dyDescent="0.3">
      <c r="A328" s="17">
        <v>44862</v>
      </c>
      <c r="B328" s="8">
        <v>1639.6</v>
      </c>
      <c r="C328" s="7">
        <v>1661</v>
      </c>
      <c r="D328" s="7">
        <v>1638.7</v>
      </c>
      <c r="E328" s="7">
        <v>1661</v>
      </c>
      <c r="F328" s="18">
        <v>626</v>
      </c>
      <c r="G328" s="7">
        <v>1648.4713999999999</v>
      </c>
      <c r="H328" s="7">
        <v>1662.7533000000001</v>
      </c>
      <c r="I328" s="7">
        <v>1719.7478000000001</v>
      </c>
      <c r="J328" s="8">
        <v>1.8100000000000002E-2</v>
      </c>
      <c r="K328" s="7">
        <v>0.93620000000000003</v>
      </c>
      <c r="L328" s="7">
        <v>1.0468</v>
      </c>
      <c r="M328" s="8">
        <v>40.299399999999999</v>
      </c>
      <c r="N328" s="8">
        <v>-9.8991000000000007</v>
      </c>
      <c r="O328" s="7">
        <v>-11.6717</v>
      </c>
      <c r="P328" s="7">
        <v>1724.7438999999999</v>
      </c>
      <c r="Q328" s="7">
        <v>1611.8261</v>
      </c>
      <c r="R328" s="7" t="str">
        <f t="shared" si="76"/>
        <v>Up</v>
      </c>
      <c r="S328" s="7" t="str">
        <f t="shared" si="77"/>
        <v>Hold</v>
      </c>
      <c r="T328" s="8">
        <f t="shared" si="78"/>
        <v>0.14204211150652427</v>
      </c>
      <c r="U328" s="18">
        <f t="shared" si="79"/>
        <v>3645495</v>
      </c>
      <c r="V328" s="7">
        <f t="shared" si="80"/>
        <v>5586.2002000000002</v>
      </c>
      <c r="W328" s="7">
        <f t="shared" si="81"/>
        <v>1615.1</v>
      </c>
      <c r="X328" s="7">
        <f t="shared" si="82"/>
        <v>1661</v>
      </c>
      <c r="Y328" s="7">
        <f t="shared" si="83"/>
        <v>358</v>
      </c>
      <c r="Z328" s="7">
        <f t="shared" si="84"/>
        <v>1331348</v>
      </c>
      <c r="AA328" s="7" t="str">
        <f t="shared" si="85"/>
        <v>28-Oct-2022</v>
      </c>
      <c r="AB328" s="7">
        <f t="shared" si="86"/>
        <v>1661</v>
      </c>
      <c r="AC328" s="7">
        <f t="shared" si="90"/>
        <v>1</v>
      </c>
      <c r="AD328" s="7">
        <f t="shared" si="87"/>
        <v>2022</v>
      </c>
      <c r="AE328" s="19">
        <f t="shared" si="88"/>
        <v>0.02</v>
      </c>
      <c r="BA328" s="10">
        <f t="shared" si="89"/>
        <v>80.523600000000002</v>
      </c>
    </row>
    <row r="329" spans="1:53" x14ac:dyDescent="0.3">
      <c r="A329" s="17">
        <v>44865</v>
      </c>
      <c r="B329" s="8">
        <v>1635.9</v>
      </c>
      <c r="C329" s="7">
        <v>1641.8</v>
      </c>
      <c r="D329" s="7">
        <v>1633.4</v>
      </c>
      <c r="E329" s="7">
        <v>1641.8</v>
      </c>
      <c r="F329" s="18">
        <v>522</v>
      </c>
      <c r="G329" s="7">
        <v>1651.1857</v>
      </c>
      <c r="H329" s="7">
        <v>1662.0867000000001</v>
      </c>
      <c r="I329" s="7">
        <v>1717.5956000000001</v>
      </c>
      <c r="J329" s="8">
        <v>-1.1558999999999999</v>
      </c>
      <c r="K329" s="7">
        <v>0.99060000000000004</v>
      </c>
      <c r="L329" s="7">
        <v>1.0679000000000001</v>
      </c>
      <c r="M329" s="8">
        <v>43.531700000000001</v>
      </c>
      <c r="N329" s="8">
        <v>-10.3048</v>
      </c>
      <c r="O329" s="7">
        <v>-11.398300000000001</v>
      </c>
      <c r="P329" s="7">
        <v>1724.7059999999999</v>
      </c>
      <c r="Q329" s="7">
        <v>1609.3240000000001</v>
      </c>
      <c r="R329" s="7" t="str">
        <f t="shared" si="76"/>
        <v>Up</v>
      </c>
      <c r="S329" s="7" t="str">
        <f t="shared" si="77"/>
        <v>Hold</v>
      </c>
      <c r="T329" s="8">
        <f t="shared" si="78"/>
        <v>0.14218931116389541</v>
      </c>
      <c r="U329" s="18">
        <f t="shared" si="79"/>
        <v>3644869</v>
      </c>
      <c r="V329" s="7">
        <f t="shared" si="80"/>
        <v>5586.2002000000002</v>
      </c>
      <c r="W329" s="7">
        <f t="shared" si="81"/>
        <v>1615.1</v>
      </c>
      <c r="X329" s="7">
        <f t="shared" si="82"/>
        <v>1641.8</v>
      </c>
      <c r="Y329" s="7">
        <f t="shared" si="83"/>
        <v>357</v>
      </c>
      <c r="Z329" s="7">
        <f t="shared" si="84"/>
        <v>1330722</v>
      </c>
      <c r="AA329" s="7" t="str">
        <f t="shared" si="85"/>
        <v>31-Oct-2022</v>
      </c>
      <c r="AB329" s="7">
        <f t="shared" si="86"/>
        <v>1641.8</v>
      </c>
      <c r="AC329" s="7">
        <f t="shared" si="90"/>
        <v>1</v>
      </c>
      <c r="AD329" s="7">
        <f t="shared" si="87"/>
        <v>2022</v>
      </c>
      <c r="AE329" s="19">
        <f t="shared" si="88"/>
        <v>-1.1599999999999999</v>
      </c>
      <c r="BA329" s="10">
        <f t="shared" si="89"/>
        <v>80.523600000000002</v>
      </c>
    </row>
    <row r="330" spans="1:53" x14ac:dyDescent="0.3">
      <c r="A330" s="17">
        <v>44866</v>
      </c>
      <c r="B330" s="8">
        <v>1645</v>
      </c>
      <c r="C330" s="7">
        <v>1653.7</v>
      </c>
      <c r="D330" s="7">
        <v>1630.8</v>
      </c>
      <c r="E330" s="7">
        <v>1630.8</v>
      </c>
      <c r="F330" s="18">
        <v>985</v>
      </c>
      <c r="G330" s="7">
        <v>1650.7143000000001</v>
      </c>
      <c r="H330" s="7">
        <v>1661.1233</v>
      </c>
      <c r="I330" s="7">
        <v>1715.4878000000001</v>
      </c>
      <c r="J330" s="8">
        <v>-0.67</v>
      </c>
      <c r="K330" s="7">
        <v>1.0042</v>
      </c>
      <c r="L330" s="7">
        <v>1.0741000000000001</v>
      </c>
      <c r="M330" s="8">
        <v>38.331299999999999</v>
      </c>
      <c r="N330" s="8">
        <v>-11.3827</v>
      </c>
      <c r="O330" s="7">
        <v>-11.395200000000001</v>
      </c>
      <c r="P330" s="7">
        <v>1720.9943000000001</v>
      </c>
      <c r="Q330" s="7">
        <v>1605.9957999999999</v>
      </c>
      <c r="R330" s="7" t="str">
        <f t="shared" si="76"/>
        <v>Down</v>
      </c>
      <c r="S330" s="7" t="str">
        <f t="shared" si="77"/>
        <v>Hold</v>
      </c>
      <c r="T330" s="8">
        <f t="shared" si="78"/>
        <v>0.14373281807372174</v>
      </c>
      <c r="U330" s="18">
        <f t="shared" si="79"/>
        <v>3644347</v>
      </c>
      <c r="V330" s="7">
        <f t="shared" si="80"/>
        <v>5586.2002000000002</v>
      </c>
      <c r="W330" s="7">
        <f t="shared" si="81"/>
        <v>1615.1</v>
      </c>
      <c r="X330" s="7">
        <f t="shared" si="82"/>
        <v>1630.8</v>
      </c>
      <c r="Y330" s="7">
        <f t="shared" si="83"/>
        <v>356</v>
      </c>
      <c r="Z330" s="7">
        <f t="shared" si="84"/>
        <v>1330200</v>
      </c>
      <c r="AA330" s="7" t="str">
        <f t="shared" si="85"/>
        <v>01-Nov-2022</v>
      </c>
      <c r="AB330" s="7">
        <f t="shared" si="86"/>
        <v>1630.8</v>
      </c>
      <c r="AC330" s="7">
        <f t="shared" si="90"/>
        <v>1</v>
      </c>
      <c r="AD330" s="7">
        <f t="shared" si="87"/>
        <v>2022</v>
      </c>
      <c r="AE330" s="19">
        <f t="shared" si="88"/>
        <v>-0.67</v>
      </c>
      <c r="BA330" s="10">
        <f t="shared" si="89"/>
        <v>80.523600000000002</v>
      </c>
    </row>
    <row r="331" spans="1:53" x14ac:dyDescent="0.3">
      <c r="A331" s="17">
        <v>44867</v>
      </c>
      <c r="B331" s="8">
        <v>1645.7</v>
      </c>
      <c r="C331" s="7">
        <v>1664.7</v>
      </c>
      <c r="D331" s="7">
        <v>1634</v>
      </c>
      <c r="E331" s="7">
        <v>1650.8</v>
      </c>
      <c r="F331" s="18">
        <v>612</v>
      </c>
      <c r="G331" s="7">
        <v>1649.0143</v>
      </c>
      <c r="H331" s="7">
        <v>1660.6333</v>
      </c>
      <c r="I331" s="7">
        <v>1713.4911</v>
      </c>
      <c r="J331" s="8">
        <v>1.2263999999999999</v>
      </c>
      <c r="K331" s="7">
        <v>0.8589</v>
      </c>
      <c r="L331" s="7">
        <v>1.0971</v>
      </c>
      <c r="M331" s="8">
        <v>42.915199999999999</v>
      </c>
      <c r="N331" s="8">
        <v>-10.5021</v>
      </c>
      <c r="O331" s="7">
        <v>-11.2166</v>
      </c>
      <c r="P331" s="7">
        <v>1709.9327000000001</v>
      </c>
      <c r="Q331" s="7">
        <v>1609.7273</v>
      </c>
      <c r="R331" s="7" t="str">
        <f t="shared" si="76"/>
        <v>Up</v>
      </c>
      <c r="S331" s="7" t="str">
        <f t="shared" si="77"/>
        <v>Hold</v>
      </c>
      <c r="T331" s="8">
        <f t="shared" si="78"/>
        <v>0.14470154761904758</v>
      </c>
      <c r="U331" s="18">
        <f t="shared" si="79"/>
        <v>3643362</v>
      </c>
      <c r="V331" s="7">
        <f t="shared" si="80"/>
        <v>5586.2002000000002</v>
      </c>
      <c r="W331" s="7">
        <f t="shared" si="81"/>
        <v>1615.1</v>
      </c>
      <c r="X331" s="7">
        <f t="shared" si="82"/>
        <v>1650.8</v>
      </c>
      <c r="Y331" s="7">
        <f t="shared" si="83"/>
        <v>356</v>
      </c>
      <c r="Z331" s="7">
        <f t="shared" si="84"/>
        <v>1330200</v>
      </c>
      <c r="AA331" s="7" t="str">
        <f t="shared" si="85"/>
        <v>02-Nov-2022</v>
      </c>
      <c r="AB331" s="7">
        <f t="shared" si="86"/>
        <v>1650.8</v>
      </c>
      <c r="AC331" s="7">
        <f t="shared" si="90"/>
        <v>1</v>
      </c>
      <c r="AD331" s="7">
        <f t="shared" si="87"/>
        <v>2022</v>
      </c>
      <c r="AE331" s="19">
        <f t="shared" si="88"/>
        <v>1.23</v>
      </c>
      <c r="BA331" s="10">
        <f t="shared" si="89"/>
        <v>80.523600000000002</v>
      </c>
    </row>
    <row r="332" spans="1:53" x14ac:dyDescent="0.3">
      <c r="A332" s="17">
        <v>44868</v>
      </c>
      <c r="B332" s="8">
        <v>1627.3</v>
      </c>
      <c r="C332" s="7">
        <v>1629.2</v>
      </c>
      <c r="D332" s="7">
        <v>1615.1</v>
      </c>
      <c r="E332" s="7">
        <v>1629.2</v>
      </c>
      <c r="F332" s="18">
        <v>1427</v>
      </c>
      <c r="G332" s="7">
        <v>1646.3</v>
      </c>
      <c r="H332" s="7">
        <v>1659.33</v>
      </c>
      <c r="I332" s="7">
        <v>1711.3244</v>
      </c>
      <c r="J332" s="8">
        <v>-1.3085</v>
      </c>
      <c r="K332" s="7">
        <v>0.93669999999999998</v>
      </c>
      <c r="L332" s="7">
        <v>1.1211</v>
      </c>
      <c r="M332" s="8">
        <v>40.184899999999999</v>
      </c>
      <c r="N332" s="8">
        <v>-11.4156</v>
      </c>
      <c r="O332" s="7">
        <v>-11.256399999999999</v>
      </c>
      <c r="P332" s="7">
        <v>1698.0343</v>
      </c>
      <c r="Q332" s="7">
        <v>1612.4458</v>
      </c>
      <c r="R332" s="7" t="str">
        <f t="shared" si="76"/>
        <v>Up</v>
      </c>
      <c r="S332" s="7" t="str">
        <f t="shared" si="77"/>
        <v>Hold</v>
      </c>
      <c r="T332" s="8">
        <f t="shared" si="78"/>
        <v>0.1434122765196662</v>
      </c>
      <c r="U332" s="18">
        <f t="shared" si="79"/>
        <v>3642750</v>
      </c>
      <c r="V332" s="7">
        <f t="shared" si="80"/>
        <v>5586.2002000000002</v>
      </c>
      <c r="W332" s="7">
        <f t="shared" si="81"/>
        <v>1615.1</v>
      </c>
      <c r="X332" s="7">
        <f t="shared" si="82"/>
        <v>1629.2</v>
      </c>
      <c r="Y332" s="7">
        <f t="shared" si="83"/>
        <v>355</v>
      </c>
      <c r="Z332" s="7">
        <f t="shared" si="84"/>
        <v>1329588</v>
      </c>
      <c r="AA332" s="7" t="str">
        <f t="shared" si="85"/>
        <v>03-Nov-2022</v>
      </c>
      <c r="AB332" s="7">
        <f t="shared" si="86"/>
        <v>1629.2</v>
      </c>
      <c r="AC332" s="7">
        <f t="shared" si="90"/>
        <v>1</v>
      </c>
      <c r="AD332" s="7">
        <f t="shared" si="87"/>
        <v>2022</v>
      </c>
      <c r="AE332" s="19">
        <f t="shared" si="88"/>
        <v>-1.31</v>
      </c>
      <c r="BA332" s="10">
        <f t="shared" si="89"/>
        <v>80.523600000000002</v>
      </c>
    </row>
    <row r="333" spans="1:53" x14ac:dyDescent="0.3">
      <c r="A333" s="17">
        <v>44869</v>
      </c>
      <c r="B333" s="8">
        <v>1672.5</v>
      </c>
      <c r="C333" s="7">
        <v>1674.5</v>
      </c>
      <c r="D333" s="7">
        <v>1629</v>
      </c>
      <c r="E333" s="7">
        <v>1630.2</v>
      </c>
      <c r="F333" s="18">
        <v>159</v>
      </c>
      <c r="G333" s="7">
        <v>1643.5</v>
      </c>
      <c r="H333" s="7">
        <v>1658.1033</v>
      </c>
      <c r="I333" s="7">
        <v>1709.2344000000001</v>
      </c>
      <c r="J333" s="8">
        <v>6.1400000000000003E-2</v>
      </c>
      <c r="K333" s="7">
        <v>0.93510000000000004</v>
      </c>
      <c r="L333" s="7">
        <v>1.1213</v>
      </c>
      <c r="M333" s="8">
        <v>44.110700000000001</v>
      </c>
      <c r="N333" s="8">
        <v>-11.9214</v>
      </c>
      <c r="O333" s="7">
        <v>-11.3894</v>
      </c>
      <c r="P333" s="7">
        <v>1686.7773</v>
      </c>
      <c r="Q333" s="7">
        <v>1615.7127</v>
      </c>
      <c r="R333" s="7" t="str">
        <f t="shared" si="76"/>
        <v>Down</v>
      </c>
      <c r="S333" s="7" t="str">
        <f t="shared" si="77"/>
        <v>Hold</v>
      </c>
      <c r="T333" s="8">
        <f t="shared" si="78"/>
        <v>0.14514486873508348</v>
      </c>
      <c r="U333" s="18">
        <f t="shared" si="79"/>
        <v>3641323</v>
      </c>
      <c r="V333" s="7">
        <f t="shared" si="80"/>
        <v>5586.2002000000002</v>
      </c>
      <c r="W333" s="7">
        <f t="shared" si="81"/>
        <v>1629</v>
      </c>
      <c r="X333" s="7">
        <f t="shared" si="82"/>
        <v>1630.2</v>
      </c>
      <c r="Y333" s="7">
        <f t="shared" si="83"/>
        <v>354</v>
      </c>
      <c r="Z333" s="7">
        <f t="shared" si="84"/>
        <v>1328161</v>
      </c>
      <c r="AA333" s="7" t="str">
        <f t="shared" si="85"/>
        <v>04-Nov-2022</v>
      </c>
      <c r="AB333" s="7">
        <f t="shared" si="86"/>
        <v>1630.2</v>
      </c>
      <c r="AC333" s="7">
        <f t="shared" si="90"/>
        <v>1</v>
      </c>
      <c r="AD333" s="7">
        <f t="shared" si="87"/>
        <v>2022</v>
      </c>
      <c r="AE333" s="19">
        <f t="shared" si="88"/>
        <v>0.06</v>
      </c>
      <c r="BA333" s="10">
        <f t="shared" si="89"/>
        <v>80.523600000000002</v>
      </c>
    </row>
    <row r="334" spans="1:53" x14ac:dyDescent="0.3">
      <c r="A334" s="17">
        <v>44872</v>
      </c>
      <c r="B334" s="8">
        <v>1676.5</v>
      </c>
      <c r="C334" s="7">
        <v>1677.9</v>
      </c>
      <c r="D334" s="7">
        <v>1672.9</v>
      </c>
      <c r="E334" s="7">
        <v>1676.9</v>
      </c>
      <c r="F334" s="18">
        <v>42</v>
      </c>
      <c r="G334" s="7">
        <v>1645.8143</v>
      </c>
      <c r="H334" s="7">
        <v>1659.89</v>
      </c>
      <c r="I334" s="7">
        <v>1707.76</v>
      </c>
      <c r="J334" s="8">
        <v>2.8647</v>
      </c>
      <c r="K334" s="7">
        <v>1.4753000000000001</v>
      </c>
      <c r="L334" s="7">
        <v>1.1377999999999999</v>
      </c>
      <c r="M334" s="8">
        <v>55.921999999999997</v>
      </c>
      <c r="N334" s="8">
        <v>-8.4565000000000001</v>
      </c>
      <c r="O334" s="7">
        <v>-10.8028</v>
      </c>
      <c r="P334" s="7">
        <v>1682.422</v>
      </c>
      <c r="Q334" s="7">
        <v>1618.4179999999999</v>
      </c>
      <c r="R334" s="7" t="str">
        <f t="shared" si="76"/>
        <v>Up</v>
      </c>
      <c r="S334" s="7" t="str">
        <f t="shared" si="77"/>
        <v>Hold</v>
      </c>
      <c r="T334" s="8">
        <f t="shared" si="78"/>
        <v>0.1452449223416965</v>
      </c>
      <c r="U334" s="18">
        <f t="shared" si="79"/>
        <v>3641164</v>
      </c>
      <c r="V334" s="7">
        <f t="shared" si="80"/>
        <v>5586.2002000000002</v>
      </c>
      <c r="W334" s="7">
        <f t="shared" si="81"/>
        <v>1672.9</v>
      </c>
      <c r="X334" s="7">
        <f t="shared" si="82"/>
        <v>1676.9</v>
      </c>
      <c r="Y334" s="7">
        <f t="shared" si="83"/>
        <v>354</v>
      </c>
      <c r="Z334" s="7">
        <f t="shared" si="84"/>
        <v>1328161</v>
      </c>
      <c r="AA334" s="7" t="str">
        <f t="shared" si="85"/>
        <v>07-Nov-2022</v>
      </c>
      <c r="AB334" s="7">
        <f t="shared" si="86"/>
        <v>1676.9</v>
      </c>
      <c r="AC334" s="7">
        <f t="shared" si="90"/>
        <v>1</v>
      </c>
      <c r="AD334" s="7">
        <f t="shared" si="87"/>
        <v>2022</v>
      </c>
      <c r="AE334" s="19">
        <f t="shared" si="88"/>
        <v>2.86</v>
      </c>
      <c r="BA334" s="10">
        <f t="shared" si="89"/>
        <v>80.523600000000002</v>
      </c>
    </row>
    <row r="335" spans="1:53" x14ac:dyDescent="0.3">
      <c r="A335" s="17">
        <v>44873</v>
      </c>
      <c r="B335" s="8">
        <v>1712.1</v>
      </c>
      <c r="C335" s="7">
        <v>1712.1</v>
      </c>
      <c r="D335" s="7">
        <v>1703.2</v>
      </c>
      <c r="E335" s="7">
        <v>1703.2</v>
      </c>
      <c r="F335" s="18">
        <v>23</v>
      </c>
      <c r="G335" s="7">
        <v>1651.8429000000001</v>
      </c>
      <c r="H335" s="7">
        <v>1662.2566999999999</v>
      </c>
      <c r="I335" s="7">
        <v>1706.7344000000001</v>
      </c>
      <c r="J335" s="8">
        <v>1.5684</v>
      </c>
      <c r="K335" s="7">
        <v>1.5661</v>
      </c>
      <c r="L335" s="7">
        <v>1.1660999999999999</v>
      </c>
      <c r="M335" s="8">
        <v>64.426900000000003</v>
      </c>
      <c r="N335" s="8">
        <v>-3.5474000000000001</v>
      </c>
      <c r="O335" s="7">
        <v>-9.3516999999999992</v>
      </c>
      <c r="P335" s="7">
        <v>1692.0537999999999</v>
      </c>
      <c r="Q335" s="7">
        <v>1612.9262000000001</v>
      </c>
      <c r="R335" s="7" t="str">
        <f t="shared" si="76"/>
        <v>Down</v>
      </c>
      <c r="S335" s="7" t="str">
        <f t="shared" si="77"/>
        <v>Hold</v>
      </c>
      <c r="T335" s="8">
        <f t="shared" si="78"/>
        <v>0.14199198564593293</v>
      </c>
      <c r="U335" s="18">
        <f t="shared" si="79"/>
        <v>3641122</v>
      </c>
      <c r="V335" s="7">
        <f t="shared" si="80"/>
        <v>5586.2002000000002</v>
      </c>
      <c r="W335" s="7">
        <f t="shared" si="81"/>
        <v>1703.2</v>
      </c>
      <c r="X335" s="7">
        <f t="shared" si="82"/>
        <v>1703.2</v>
      </c>
      <c r="Y335" s="7">
        <f t="shared" si="83"/>
        <v>353</v>
      </c>
      <c r="Z335" s="7">
        <f t="shared" si="84"/>
        <v>1328119</v>
      </c>
      <c r="AA335" s="7" t="str">
        <f t="shared" si="85"/>
        <v>08-Nov-2022</v>
      </c>
      <c r="AB335" s="7">
        <f t="shared" si="86"/>
        <v>1703.2</v>
      </c>
      <c r="AC335" s="7">
        <f t="shared" si="90"/>
        <v>1</v>
      </c>
      <c r="AD335" s="7">
        <f t="shared" si="87"/>
        <v>2022</v>
      </c>
      <c r="AE335" s="19">
        <f t="shared" si="88"/>
        <v>1.57</v>
      </c>
      <c r="BA335" s="10">
        <f t="shared" si="89"/>
        <v>80.523600000000002</v>
      </c>
    </row>
    <row r="336" spans="1:53" x14ac:dyDescent="0.3">
      <c r="A336" s="17">
        <v>44874</v>
      </c>
      <c r="B336" s="8">
        <v>1710.1</v>
      </c>
      <c r="C336" s="7">
        <v>1720.2</v>
      </c>
      <c r="D336" s="7">
        <v>1706</v>
      </c>
      <c r="E336" s="7">
        <v>1707.4</v>
      </c>
      <c r="F336" s="18">
        <v>497</v>
      </c>
      <c r="G336" s="7">
        <v>1661.2143000000001</v>
      </c>
      <c r="H336" s="7">
        <v>1665.1567</v>
      </c>
      <c r="I336" s="7">
        <v>1705.6456000000001</v>
      </c>
      <c r="J336" s="8">
        <v>0.24660000000000001</v>
      </c>
      <c r="K336" s="7">
        <v>1.4214</v>
      </c>
      <c r="L336" s="7">
        <v>1.1545000000000001</v>
      </c>
      <c r="M336" s="8">
        <v>69.475099999999998</v>
      </c>
      <c r="N336" s="8">
        <v>0.67420000000000002</v>
      </c>
      <c r="O336" s="7">
        <v>-7.3464999999999998</v>
      </c>
      <c r="P336" s="7">
        <v>1700.6451</v>
      </c>
      <c r="Q336" s="7">
        <v>1608.2748999999999</v>
      </c>
      <c r="R336" s="7" t="str">
        <f t="shared" si="76"/>
        <v>Down</v>
      </c>
      <c r="S336" s="7" t="str">
        <f t="shared" si="77"/>
        <v>Hold</v>
      </c>
      <c r="T336" s="8">
        <f t="shared" si="78"/>
        <v>0.14028371257485026</v>
      </c>
      <c r="U336" s="18">
        <f t="shared" si="79"/>
        <v>3641099</v>
      </c>
      <c r="V336" s="7">
        <f t="shared" si="80"/>
        <v>5586.2002000000002</v>
      </c>
      <c r="W336" s="7">
        <f t="shared" si="81"/>
        <v>1706</v>
      </c>
      <c r="X336" s="7">
        <f t="shared" si="82"/>
        <v>1707.4</v>
      </c>
      <c r="Y336" s="7">
        <f t="shared" si="83"/>
        <v>353</v>
      </c>
      <c r="Z336" s="7">
        <f t="shared" si="84"/>
        <v>1328119</v>
      </c>
      <c r="AA336" s="7" t="str">
        <f t="shared" si="85"/>
        <v>09-Nov-2022</v>
      </c>
      <c r="AB336" s="7">
        <f t="shared" si="86"/>
        <v>1707.4</v>
      </c>
      <c r="AC336" s="7">
        <f t="shared" si="90"/>
        <v>1</v>
      </c>
      <c r="AD336" s="7">
        <f t="shared" si="87"/>
        <v>2022</v>
      </c>
      <c r="AE336" s="19">
        <f t="shared" si="88"/>
        <v>0.25</v>
      </c>
      <c r="BA336" s="10">
        <f t="shared" si="89"/>
        <v>80.523600000000002</v>
      </c>
    </row>
    <row r="337" spans="1:53" x14ac:dyDescent="0.3">
      <c r="A337" s="17">
        <v>44875</v>
      </c>
      <c r="B337" s="8">
        <v>1750.3</v>
      </c>
      <c r="C337" s="7">
        <v>1750.3</v>
      </c>
      <c r="D337" s="7">
        <v>1708.2</v>
      </c>
      <c r="E337" s="7">
        <v>1708.2</v>
      </c>
      <c r="F337" s="18">
        <v>325</v>
      </c>
      <c r="G337" s="7">
        <v>1672.2714000000001</v>
      </c>
      <c r="H337" s="7">
        <v>1666.8633</v>
      </c>
      <c r="I337" s="7">
        <v>1705.0422000000001</v>
      </c>
      <c r="J337" s="8">
        <v>4.6899999999999997E-2</v>
      </c>
      <c r="K337" s="7">
        <v>1.3407</v>
      </c>
      <c r="L337" s="7">
        <v>1.0858000000000001</v>
      </c>
      <c r="M337" s="8">
        <v>67.924499999999995</v>
      </c>
      <c r="N337" s="8">
        <v>4.0378999999999996</v>
      </c>
      <c r="O337" s="7">
        <v>-5.0697000000000001</v>
      </c>
      <c r="P337" s="7">
        <v>1707.4816000000001</v>
      </c>
      <c r="Q337" s="7">
        <v>1604.7384</v>
      </c>
      <c r="R337" s="7" t="str">
        <f t="shared" si="76"/>
        <v>Down</v>
      </c>
      <c r="S337" s="7" t="str">
        <f t="shared" si="77"/>
        <v>Hold</v>
      </c>
      <c r="T337" s="8">
        <f t="shared" si="78"/>
        <v>0.14015623501199037</v>
      </c>
      <c r="U337" s="18">
        <f t="shared" si="79"/>
        <v>3640602</v>
      </c>
      <c r="V337" s="7">
        <f t="shared" si="80"/>
        <v>5586.2002000000002</v>
      </c>
      <c r="W337" s="7">
        <f t="shared" si="81"/>
        <v>1708.2</v>
      </c>
      <c r="X337" s="7">
        <f t="shared" si="82"/>
        <v>1708.2</v>
      </c>
      <c r="Y337" s="7">
        <f t="shared" si="83"/>
        <v>353</v>
      </c>
      <c r="Z337" s="7">
        <f t="shared" si="84"/>
        <v>1328119</v>
      </c>
      <c r="AA337" s="7" t="str">
        <f t="shared" si="85"/>
        <v>10-Nov-2022</v>
      </c>
      <c r="AB337" s="7">
        <f t="shared" si="86"/>
        <v>1708.2</v>
      </c>
      <c r="AC337" s="7">
        <f t="shared" si="90"/>
        <v>1</v>
      </c>
      <c r="AD337" s="7">
        <f t="shared" si="87"/>
        <v>2022</v>
      </c>
      <c r="AE337" s="19">
        <f t="shared" si="88"/>
        <v>0.05</v>
      </c>
      <c r="BA337" s="10">
        <f t="shared" si="89"/>
        <v>80.523600000000002</v>
      </c>
    </row>
    <row r="338" spans="1:53" x14ac:dyDescent="0.3">
      <c r="A338" s="17">
        <v>44876</v>
      </c>
      <c r="B338" s="8">
        <v>1766</v>
      </c>
      <c r="C338" s="7">
        <v>1766</v>
      </c>
      <c r="D338" s="7">
        <v>1757.6</v>
      </c>
      <c r="E338" s="7">
        <v>1763.8</v>
      </c>
      <c r="F338" s="18">
        <v>257</v>
      </c>
      <c r="G338" s="7">
        <v>1688.4142999999999</v>
      </c>
      <c r="H338" s="7">
        <v>1670.2666999999999</v>
      </c>
      <c r="I338" s="7">
        <v>1705.2489</v>
      </c>
      <c r="J338" s="8">
        <v>3.2549000000000001</v>
      </c>
      <c r="K338" s="7">
        <v>1.6614</v>
      </c>
      <c r="L338" s="7">
        <v>1.2285999999999999</v>
      </c>
      <c r="M338" s="8">
        <v>71.630300000000005</v>
      </c>
      <c r="N338" s="8">
        <v>11.0625</v>
      </c>
      <c r="O338" s="7">
        <v>-1.8431999999999999</v>
      </c>
      <c r="P338" s="7">
        <v>1731.4667999999999</v>
      </c>
      <c r="Q338" s="7">
        <v>1590.6032</v>
      </c>
      <c r="R338" s="7" t="str">
        <f t="shared" si="76"/>
        <v>Down</v>
      </c>
      <c r="S338" s="7" t="str">
        <f t="shared" si="77"/>
        <v>Sell</v>
      </c>
      <c r="T338" s="8">
        <f t="shared" si="78"/>
        <v>0.14026818727490994</v>
      </c>
      <c r="U338" s="18">
        <f t="shared" si="79"/>
        <v>3640277</v>
      </c>
      <c r="V338" s="7">
        <f t="shared" si="80"/>
        <v>5586.2002000000002</v>
      </c>
      <c r="W338" s="7">
        <f t="shared" si="81"/>
        <v>1736.1</v>
      </c>
      <c r="X338" s="7">
        <f t="shared" si="82"/>
        <v>1763.8</v>
      </c>
      <c r="Y338" s="7">
        <f t="shared" si="83"/>
        <v>353</v>
      </c>
      <c r="Z338" s="7">
        <f t="shared" si="84"/>
        <v>1328119</v>
      </c>
      <c r="AA338" s="7" t="str">
        <f t="shared" si="85"/>
        <v>11-Nov-2022</v>
      </c>
      <c r="AB338" s="7">
        <f t="shared" si="86"/>
        <v>1763.8</v>
      </c>
      <c r="AC338" s="7">
        <f t="shared" si="90"/>
        <v>1</v>
      </c>
      <c r="AD338" s="7">
        <f t="shared" si="87"/>
        <v>2022</v>
      </c>
      <c r="AE338" s="19">
        <f t="shared" si="88"/>
        <v>3.25</v>
      </c>
      <c r="BA338" s="10">
        <f t="shared" si="89"/>
        <v>80.523600000000002</v>
      </c>
    </row>
    <row r="339" spans="1:53" x14ac:dyDescent="0.3">
      <c r="A339" s="17">
        <v>44879</v>
      </c>
      <c r="B339" s="8">
        <v>1773.6</v>
      </c>
      <c r="C339" s="7">
        <v>1773.6</v>
      </c>
      <c r="D339" s="7">
        <v>1761.6</v>
      </c>
      <c r="E339" s="7">
        <v>1762</v>
      </c>
      <c r="F339" s="18">
        <v>358</v>
      </c>
      <c r="G339" s="7">
        <v>1707.3857</v>
      </c>
      <c r="H339" s="7">
        <v>1673.4267</v>
      </c>
      <c r="I339" s="7">
        <v>1705.5144</v>
      </c>
      <c r="J339" s="8">
        <v>-0.1021</v>
      </c>
      <c r="K339" s="7">
        <v>1.4335</v>
      </c>
      <c r="L339" s="7">
        <v>1.2296</v>
      </c>
      <c r="M339" s="8">
        <v>75.746600000000001</v>
      </c>
      <c r="N339" s="8">
        <v>16.296500000000002</v>
      </c>
      <c r="O339" s="7">
        <v>1.7847</v>
      </c>
      <c r="P339" s="7">
        <v>1749.9943000000001</v>
      </c>
      <c r="Q339" s="7">
        <v>1583.2556999999999</v>
      </c>
      <c r="R339" s="7" t="str">
        <f t="shared" si="76"/>
        <v>Down</v>
      </c>
      <c r="S339" s="7" t="str">
        <f t="shared" si="77"/>
        <v>Sell</v>
      </c>
      <c r="T339" s="8">
        <f t="shared" si="78"/>
        <v>0.13652463942307685</v>
      </c>
      <c r="U339" s="18">
        <f t="shared" si="79"/>
        <v>3640020</v>
      </c>
      <c r="V339" s="7">
        <f t="shared" si="80"/>
        <v>5586.2002000000002</v>
      </c>
      <c r="W339" s="7">
        <f t="shared" si="81"/>
        <v>1736.1</v>
      </c>
      <c r="X339" s="7">
        <f t="shared" si="82"/>
        <v>1762</v>
      </c>
      <c r="Y339" s="7">
        <f t="shared" si="83"/>
        <v>353</v>
      </c>
      <c r="Z339" s="7">
        <f t="shared" si="84"/>
        <v>1328119</v>
      </c>
      <c r="AA339" s="7" t="str">
        <f t="shared" si="85"/>
        <v>14-Nov-2022</v>
      </c>
      <c r="AB339" s="7">
        <f t="shared" si="86"/>
        <v>1762</v>
      </c>
      <c r="AC339" s="7">
        <f t="shared" si="90"/>
        <v>1</v>
      </c>
      <c r="AD339" s="7">
        <f t="shared" si="87"/>
        <v>2022</v>
      </c>
      <c r="AE339" s="19">
        <f t="shared" si="88"/>
        <v>-0.1</v>
      </c>
      <c r="BA339" s="10">
        <f t="shared" si="89"/>
        <v>80.523600000000002</v>
      </c>
    </row>
    <row r="340" spans="1:53" x14ac:dyDescent="0.3">
      <c r="A340" s="17">
        <v>44880</v>
      </c>
      <c r="B340" s="8">
        <v>1773.8</v>
      </c>
      <c r="C340" s="7">
        <v>1773.8</v>
      </c>
      <c r="D340" s="7">
        <v>1769.9</v>
      </c>
      <c r="E340" s="7">
        <v>1770.8</v>
      </c>
      <c r="F340" s="18">
        <v>57</v>
      </c>
      <c r="G340" s="7">
        <v>1727.4713999999999</v>
      </c>
      <c r="H340" s="7">
        <v>1675.7466999999999</v>
      </c>
      <c r="I340" s="7">
        <v>1705.94</v>
      </c>
      <c r="J340" s="8">
        <v>0.49940000000000001</v>
      </c>
      <c r="K340" s="7">
        <v>1.3876999999999999</v>
      </c>
      <c r="L340" s="7">
        <v>1.181</v>
      </c>
      <c r="M340" s="8">
        <v>76.511799999999994</v>
      </c>
      <c r="N340" s="8">
        <v>20.913499999999999</v>
      </c>
      <c r="O340" s="7">
        <v>5.6105</v>
      </c>
      <c r="P340" s="7">
        <v>1767.6545000000001</v>
      </c>
      <c r="Q340" s="7">
        <v>1577.5355</v>
      </c>
      <c r="R340" s="7" t="str">
        <f t="shared" si="76"/>
        <v>Down</v>
      </c>
      <c r="S340" s="7" t="str">
        <f t="shared" si="77"/>
        <v>Sell</v>
      </c>
      <c r="T340" s="8">
        <f t="shared" si="78"/>
        <v>0.13681179302045723</v>
      </c>
      <c r="U340" s="18">
        <f t="shared" si="79"/>
        <v>3639662</v>
      </c>
      <c r="V340" s="7">
        <f t="shared" si="80"/>
        <v>5586.2002000000002</v>
      </c>
      <c r="W340" s="7">
        <f t="shared" si="81"/>
        <v>1736.1</v>
      </c>
      <c r="X340" s="7">
        <f t="shared" si="82"/>
        <v>1770.8</v>
      </c>
      <c r="Y340" s="7">
        <f t="shared" si="83"/>
        <v>353</v>
      </c>
      <c r="Z340" s="7">
        <f t="shared" si="84"/>
        <v>1328119</v>
      </c>
      <c r="AA340" s="7" t="str">
        <f t="shared" si="85"/>
        <v>15-Nov-2022</v>
      </c>
      <c r="AB340" s="7">
        <f t="shared" si="86"/>
        <v>1770.8</v>
      </c>
      <c r="AC340" s="7">
        <f t="shared" si="90"/>
        <v>1</v>
      </c>
      <c r="AD340" s="7">
        <f t="shared" si="87"/>
        <v>2022</v>
      </c>
      <c r="AE340" s="19">
        <f t="shared" si="88"/>
        <v>0.5</v>
      </c>
      <c r="BA340" s="10">
        <f t="shared" si="89"/>
        <v>80.523600000000002</v>
      </c>
    </row>
    <row r="341" spans="1:53" x14ac:dyDescent="0.3">
      <c r="A341" s="17">
        <v>44881</v>
      </c>
      <c r="B341" s="8">
        <v>1773</v>
      </c>
      <c r="C341" s="7">
        <v>1778.9</v>
      </c>
      <c r="D341" s="7">
        <v>1773</v>
      </c>
      <c r="E341" s="7">
        <v>1776.6</v>
      </c>
      <c r="F341" s="18">
        <v>303</v>
      </c>
      <c r="G341" s="7">
        <v>1741.7143000000001</v>
      </c>
      <c r="H341" s="7">
        <v>1677.4966999999999</v>
      </c>
      <c r="I341" s="7">
        <v>1706.4111</v>
      </c>
      <c r="J341" s="8">
        <v>0.32750000000000001</v>
      </c>
      <c r="K341" s="7">
        <v>1.1979</v>
      </c>
      <c r="L341" s="7">
        <v>1.1596</v>
      </c>
      <c r="M341" s="8">
        <v>75.974900000000005</v>
      </c>
      <c r="N341" s="8">
        <v>24.755099999999999</v>
      </c>
      <c r="O341" s="7">
        <v>9.4393999999999991</v>
      </c>
      <c r="P341" s="7">
        <v>1783.7162000000001</v>
      </c>
      <c r="Q341" s="7">
        <v>1575.3838000000001</v>
      </c>
      <c r="R341" s="7" t="str">
        <f t="shared" si="76"/>
        <v>Up</v>
      </c>
      <c r="S341" s="7" t="str">
        <f t="shared" si="77"/>
        <v>Sell</v>
      </c>
      <c r="T341" s="8">
        <f t="shared" si="78"/>
        <v>0.13637493975903608</v>
      </c>
      <c r="U341" s="18">
        <f t="shared" si="79"/>
        <v>3639605</v>
      </c>
      <c r="V341" s="7">
        <f t="shared" si="80"/>
        <v>5586.2002000000002</v>
      </c>
      <c r="W341" s="7">
        <f t="shared" si="81"/>
        <v>1736.1</v>
      </c>
      <c r="X341" s="7">
        <f t="shared" si="82"/>
        <v>1776.6</v>
      </c>
      <c r="Y341" s="7">
        <f t="shared" si="83"/>
        <v>353</v>
      </c>
      <c r="Z341" s="7">
        <f t="shared" si="84"/>
        <v>1328119</v>
      </c>
      <c r="AA341" s="7" t="str">
        <f t="shared" si="85"/>
        <v>16-Nov-2022</v>
      </c>
      <c r="AB341" s="7">
        <f t="shared" si="86"/>
        <v>1776.6</v>
      </c>
      <c r="AC341" s="7">
        <f t="shared" si="90"/>
        <v>1</v>
      </c>
      <c r="AD341" s="7">
        <f t="shared" si="87"/>
        <v>2022</v>
      </c>
      <c r="AE341" s="19">
        <f t="shared" si="88"/>
        <v>0.33</v>
      </c>
      <c r="BA341" s="10">
        <f t="shared" si="89"/>
        <v>80.523600000000002</v>
      </c>
    </row>
    <row r="342" spans="1:53" x14ac:dyDescent="0.3">
      <c r="A342" s="17">
        <v>44882</v>
      </c>
      <c r="B342" s="8">
        <v>1760.8</v>
      </c>
      <c r="C342" s="7">
        <v>1763</v>
      </c>
      <c r="D342" s="7">
        <v>1756</v>
      </c>
      <c r="E342" s="7">
        <v>1763</v>
      </c>
      <c r="F342" s="18">
        <v>18</v>
      </c>
      <c r="G342" s="7">
        <v>1750.2571</v>
      </c>
      <c r="H342" s="7">
        <v>1678.8967</v>
      </c>
      <c r="I342" s="7">
        <v>1707</v>
      </c>
      <c r="J342" s="8">
        <v>-0.76549999999999996</v>
      </c>
      <c r="K342" s="7">
        <v>1.2815000000000001</v>
      </c>
      <c r="L342" s="7">
        <v>1.1695</v>
      </c>
      <c r="M342" s="8">
        <v>71.573599999999999</v>
      </c>
      <c r="N342" s="8">
        <v>26.398</v>
      </c>
      <c r="O342" s="7">
        <v>12.831099999999999</v>
      </c>
      <c r="P342" s="7">
        <v>1793.4793999999999</v>
      </c>
      <c r="Q342" s="7">
        <v>1579.6405</v>
      </c>
      <c r="R342" s="7" t="str">
        <f t="shared" si="76"/>
        <v>Up</v>
      </c>
      <c r="S342" s="7" t="str">
        <f t="shared" si="77"/>
        <v>Sell</v>
      </c>
      <c r="T342" s="8">
        <f t="shared" si="78"/>
        <v>0.13614439083232807</v>
      </c>
      <c r="U342" s="18">
        <f t="shared" si="79"/>
        <v>3639302</v>
      </c>
      <c r="V342" s="7">
        <f t="shared" si="80"/>
        <v>5586.2002000000002</v>
      </c>
      <c r="W342" s="7">
        <f t="shared" si="81"/>
        <v>1736.1</v>
      </c>
      <c r="X342" s="7">
        <f t="shared" si="82"/>
        <v>1763</v>
      </c>
      <c r="Y342" s="7">
        <f t="shared" si="83"/>
        <v>352</v>
      </c>
      <c r="Z342" s="7">
        <f t="shared" si="84"/>
        <v>1327816</v>
      </c>
      <c r="AA342" s="7" t="str">
        <f t="shared" si="85"/>
        <v>17-Nov-2022</v>
      </c>
      <c r="AB342" s="7">
        <f t="shared" si="86"/>
        <v>1763</v>
      </c>
      <c r="AC342" s="7">
        <f t="shared" si="90"/>
        <v>1</v>
      </c>
      <c r="AD342" s="7">
        <f t="shared" si="87"/>
        <v>2022</v>
      </c>
      <c r="AE342" s="19">
        <f t="shared" si="88"/>
        <v>-0.77</v>
      </c>
      <c r="BA342" s="10">
        <f t="shared" si="89"/>
        <v>80.523600000000002</v>
      </c>
    </row>
    <row r="343" spans="1:53" x14ac:dyDescent="0.3">
      <c r="A343" s="17">
        <v>44883</v>
      </c>
      <c r="B343" s="8">
        <v>1751.9</v>
      </c>
      <c r="C343" s="7">
        <v>1763.3</v>
      </c>
      <c r="D343" s="7">
        <v>1747.6</v>
      </c>
      <c r="E343" s="7">
        <v>1763.3</v>
      </c>
      <c r="F343" s="18">
        <v>414</v>
      </c>
      <c r="G343" s="7">
        <v>1758.2429</v>
      </c>
      <c r="H343" s="7">
        <v>1680.67</v>
      </c>
      <c r="I343" s="7">
        <v>1707.5889</v>
      </c>
      <c r="J343" s="8">
        <v>1.7000000000000001E-2</v>
      </c>
      <c r="K343" s="7">
        <v>1.2919</v>
      </c>
      <c r="L343" s="7">
        <v>1.1617</v>
      </c>
      <c r="M343" s="8">
        <v>77.930999999999997</v>
      </c>
      <c r="N343" s="8">
        <v>27.408200000000001</v>
      </c>
      <c r="O343" s="7">
        <v>15.746499999999999</v>
      </c>
      <c r="P343" s="7">
        <v>1802.1826000000001</v>
      </c>
      <c r="Q343" s="7">
        <v>1583.8574000000001</v>
      </c>
      <c r="R343" s="7" t="str">
        <f t="shared" si="76"/>
        <v>Up</v>
      </c>
      <c r="S343" s="7" t="str">
        <f t="shared" si="77"/>
        <v>Sell</v>
      </c>
      <c r="T343" s="8">
        <f t="shared" si="78"/>
        <v>0.13723333333333326</v>
      </c>
      <c r="U343" s="18">
        <f t="shared" si="79"/>
        <v>3639284</v>
      </c>
      <c r="V343" s="7">
        <f t="shared" si="80"/>
        <v>5586.2002000000002</v>
      </c>
      <c r="W343" s="7">
        <f t="shared" si="81"/>
        <v>1736.1</v>
      </c>
      <c r="X343" s="7">
        <f t="shared" si="82"/>
        <v>1763.3</v>
      </c>
      <c r="Y343" s="7">
        <f t="shared" si="83"/>
        <v>351</v>
      </c>
      <c r="Z343" s="7">
        <f t="shared" si="84"/>
        <v>1327798</v>
      </c>
      <c r="AA343" s="7" t="str">
        <f t="shared" si="85"/>
        <v>18-Nov-2022</v>
      </c>
      <c r="AB343" s="7">
        <f t="shared" si="86"/>
        <v>1763.3</v>
      </c>
      <c r="AC343" s="7">
        <f t="shared" si="90"/>
        <v>1</v>
      </c>
      <c r="AD343" s="7">
        <f t="shared" si="87"/>
        <v>2022</v>
      </c>
      <c r="AE343" s="19">
        <f t="shared" si="88"/>
        <v>0.02</v>
      </c>
      <c r="BA343" s="10">
        <f t="shared" si="89"/>
        <v>80.523600000000002</v>
      </c>
    </row>
    <row r="344" spans="1:53" x14ac:dyDescent="0.3">
      <c r="A344" s="17">
        <v>44886</v>
      </c>
      <c r="B344" s="8">
        <v>1737.4</v>
      </c>
      <c r="C344" s="7">
        <v>1744.9</v>
      </c>
      <c r="D344" s="7">
        <v>1736.1</v>
      </c>
      <c r="E344" s="7">
        <v>1739</v>
      </c>
      <c r="F344" s="18">
        <v>544</v>
      </c>
      <c r="G344" s="7">
        <v>1762.6429000000001</v>
      </c>
      <c r="H344" s="7">
        <v>1682.19</v>
      </c>
      <c r="I344" s="7">
        <v>1707.9621999999999</v>
      </c>
      <c r="J344" s="8">
        <v>-1.3781000000000001</v>
      </c>
      <c r="K344" s="7">
        <v>1.4695</v>
      </c>
      <c r="L344" s="7">
        <v>1.1768000000000001</v>
      </c>
      <c r="M344" s="8">
        <v>73.440200000000004</v>
      </c>
      <c r="N344" s="8">
        <v>25.948799999999999</v>
      </c>
      <c r="O344" s="7">
        <v>17.786999999999999</v>
      </c>
      <c r="P344" s="7">
        <v>1806.8656000000001</v>
      </c>
      <c r="Q344" s="7">
        <v>1586.8044</v>
      </c>
      <c r="R344" s="7" t="str">
        <f t="shared" si="76"/>
        <v>Up</v>
      </c>
      <c r="S344" s="7" t="str">
        <f t="shared" si="77"/>
        <v>Sell</v>
      </c>
      <c r="T344" s="8">
        <f t="shared" si="78"/>
        <v>0.13737871825876655</v>
      </c>
      <c r="U344" s="18">
        <f t="shared" si="79"/>
        <v>3638870</v>
      </c>
      <c r="V344" s="7">
        <f t="shared" si="80"/>
        <v>5586.2002000000002</v>
      </c>
      <c r="W344" s="7">
        <f t="shared" si="81"/>
        <v>1736.1</v>
      </c>
      <c r="X344" s="7">
        <f t="shared" si="82"/>
        <v>1739</v>
      </c>
      <c r="Y344" s="7">
        <f t="shared" si="83"/>
        <v>350</v>
      </c>
      <c r="Z344" s="7">
        <f t="shared" si="84"/>
        <v>1327384</v>
      </c>
      <c r="AA344" s="7" t="str">
        <f t="shared" si="85"/>
        <v>21-Nov-2022</v>
      </c>
      <c r="AB344" s="7">
        <f t="shared" si="86"/>
        <v>1739</v>
      </c>
      <c r="AC344" s="7">
        <f t="shared" si="90"/>
        <v>1</v>
      </c>
      <c r="AD344" s="7">
        <f t="shared" si="87"/>
        <v>2022</v>
      </c>
      <c r="AE344" s="19">
        <f t="shared" si="88"/>
        <v>-1.38</v>
      </c>
      <c r="BA344" s="10">
        <f t="shared" si="89"/>
        <v>80.523600000000002</v>
      </c>
    </row>
    <row r="345" spans="1:53" x14ac:dyDescent="0.3">
      <c r="A345" s="17">
        <v>44887</v>
      </c>
      <c r="B345" s="8">
        <v>1738.3</v>
      </c>
      <c r="C345" s="7">
        <v>1741.7</v>
      </c>
      <c r="D345" s="7">
        <v>1738.3</v>
      </c>
      <c r="E345" s="7">
        <v>1741.7</v>
      </c>
      <c r="F345" s="18">
        <v>15</v>
      </c>
      <c r="G345" s="7">
        <v>1759.4857</v>
      </c>
      <c r="H345" s="7">
        <v>1684.8533</v>
      </c>
      <c r="I345" s="7">
        <v>1708.29</v>
      </c>
      <c r="J345" s="8">
        <v>0.15529999999999999</v>
      </c>
      <c r="K345" s="7">
        <v>0.66520000000000001</v>
      </c>
      <c r="L345" s="7">
        <v>1.117</v>
      </c>
      <c r="M345" s="8">
        <v>71.287999999999997</v>
      </c>
      <c r="N345" s="8">
        <v>24.725200000000001</v>
      </c>
      <c r="O345" s="7">
        <v>19.174600000000002</v>
      </c>
      <c r="P345" s="7">
        <v>1810.7826</v>
      </c>
      <c r="Q345" s="7">
        <v>1592.2374</v>
      </c>
      <c r="R345" s="7" t="str">
        <f t="shared" si="76"/>
        <v>Up</v>
      </c>
      <c r="S345" s="7" t="str">
        <f t="shared" si="77"/>
        <v>Sell</v>
      </c>
      <c r="T345" s="8">
        <f t="shared" si="78"/>
        <v>0.13921343825665855</v>
      </c>
      <c r="U345" s="18">
        <f t="shared" si="79"/>
        <v>3638326</v>
      </c>
      <c r="V345" s="7">
        <f t="shared" si="80"/>
        <v>5586.2002000000002</v>
      </c>
      <c r="W345" s="7">
        <f t="shared" si="81"/>
        <v>1736.5</v>
      </c>
      <c r="X345" s="7">
        <f t="shared" si="82"/>
        <v>1741.7</v>
      </c>
      <c r="Y345" s="7">
        <f t="shared" si="83"/>
        <v>349</v>
      </c>
      <c r="Z345" s="7">
        <f t="shared" si="84"/>
        <v>1326840</v>
      </c>
      <c r="AA345" s="7" t="str">
        <f t="shared" si="85"/>
        <v>22-Nov-2022</v>
      </c>
      <c r="AB345" s="7">
        <f t="shared" si="86"/>
        <v>1741.7</v>
      </c>
      <c r="AC345" s="7">
        <f t="shared" si="90"/>
        <v>1</v>
      </c>
      <c r="AD345" s="7">
        <f t="shared" si="87"/>
        <v>2022</v>
      </c>
      <c r="AE345" s="19">
        <f t="shared" si="88"/>
        <v>0.16</v>
      </c>
      <c r="BA345" s="10">
        <f t="shared" si="89"/>
        <v>80.523600000000002</v>
      </c>
    </row>
    <row r="346" spans="1:53" x14ac:dyDescent="0.3">
      <c r="A346" s="17">
        <v>44888</v>
      </c>
      <c r="B346" s="8">
        <v>1744.9</v>
      </c>
      <c r="C346" s="7">
        <v>1750.9</v>
      </c>
      <c r="D346" s="7">
        <v>1736.5</v>
      </c>
      <c r="E346" s="7">
        <v>1736.5</v>
      </c>
      <c r="F346" s="18">
        <v>39</v>
      </c>
      <c r="G346" s="7">
        <v>1755.8429000000001</v>
      </c>
      <c r="H346" s="7">
        <v>1687.1367</v>
      </c>
      <c r="I346" s="7">
        <v>1708.5589</v>
      </c>
      <c r="J346" s="8">
        <v>-0.29859999999999998</v>
      </c>
      <c r="K346" s="7">
        <v>0.66559999999999997</v>
      </c>
      <c r="L346" s="7">
        <v>1.1194</v>
      </c>
      <c r="M346" s="8">
        <v>77.219700000000003</v>
      </c>
      <c r="N346" s="8">
        <v>23.069900000000001</v>
      </c>
      <c r="O346" s="7">
        <v>19.953700000000001</v>
      </c>
      <c r="P346" s="7">
        <v>1813.3448000000001</v>
      </c>
      <c r="Q346" s="7">
        <v>1598.3452</v>
      </c>
      <c r="R346" s="7" t="str">
        <f t="shared" si="76"/>
        <v>Down</v>
      </c>
      <c r="S346" s="7" t="str">
        <f t="shared" si="77"/>
        <v>Sell</v>
      </c>
      <c r="T346" s="8">
        <f t="shared" si="78"/>
        <v>0.13919393939393937</v>
      </c>
      <c r="U346" s="18">
        <f t="shared" si="79"/>
        <v>3638311</v>
      </c>
      <c r="V346" s="7">
        <f t="shared" si="80"/>
        <v>5586.2002000000002</v>
      </c>
      <c r="W346" s="7">
        <f t="shared" si="81"/>
        <v>1736.5</v>
      </c>
      <c r="X346" s="7">
        <f t="shared" si="82"/>
        <v>1736.5</v>
      </c>
      <c r="Y346" s="7">
        <f t="shared" si="83"/>
        <v>348</v>
      </c>
      <c r="Z346" s="7">
        <f t="shared" si="84"/>
        <v>1326825</v>
      </c>
      <c r="AA346" s="7" t="str">
        <f t="shared" si="85"/>
        <v>23-Nov-2022</v>
      </c>
      <c r="AB346" s="7">
        <f t="shared" si="86"/>
        <v>1736.5</v>
      </c>
      <c r="AC346" s="7">
        <f t="shared" si="90"/>
        <v>1</v>
      </c>
      <c r="AD346" s="7">
        <f t="shared" si="87"/>
        <v>2022</v>
      </c>
      <c r="AE346" s="19">
        <f t="shared" si="88"/>
        <v>-0.3</v>
      </c>
      <c r="BA346" s="10">
        <f t="shared" si="89"/>
        <v>80.523600000000002</v>
      </c>
    </row>
    <row r="347" spans="1:53" x14ac:dyDescent="0.3">
      <c r="A347" s="17">
        <v>44890</v>
      </c>
      <c r="B347" s="8">
        <v>1753.3</v>
      </c>
      <c r="C347" s="7">
        <v>1757.9</v>
      </c>
      <c r="D347" s="7">
        <v>1749.2</v>
      </c>
      <c r="E347" s="7">
        <v>1753</v>
      </c>
      <c r="F347" s="18">
        <v>216</v>
      </c>
      <c r="G347" s="7">
        <v>1753.3</v>
      </c>
      <c r="H347" s="7">
        <v>1689.73</v>
      </c>
      <c r="I347" s="7">
        <v>1709.0689</v>
      </c>
      <c r="J347" s="8">
        <v>0.95020000000000004</v>
      </c>
      <c r="K347" s="7">
        <v>0.76029999999999998</v>
      </c>
      <c r="L347" s="7">
        <v>1.1279999999999999</v>
      </c>
      <c r="M347" s="8">
        <v>78.880499999999998</v>
      </c>
      <c r="N347" s="8">
        <v>22.8263</v>
      </c>
      <c r="O347" s="7">
        <v>20.528199999999998</v>
      </c>
      <c r="P347" s="7">
        <v>1817.7240999999999</v>
      </c>
      <c r="Q347" s="7">
        <v>1603.1958999999999</v>
      </c>
      <c r="R347" s="7" t="str">
        <f t="shared" si="76"/>
        <v>Down</v>
      </c>
      <c r="S347" s="7" t="str">
        <f t="shared" si="77"/>
        <v>Sell</v>
      </c>
      <c r="T347" s="8">
        <f t="shared" si="78"/>
        <v>0.13972524271844652</v>
      </c>
      <c r="U347" s="18">
        <f t="shared" si="79"/>
        <v>3638272</v>
      </c>
      <c r="V347" s="7">
        <f t="shared" si="80"/>
        <v>5586.2002000000002</v>
      </c>
      <c r="W347" s="7">
        <f t="shared" si="81"/>
        <v>1737.9</v>
      </c>
      <c r="X347" s="7">
        <f t="shared" si="82"/>
        <v>1753</v>
      </c>
      <c r="Y347" s="7">
        <f t="shared" si="83"/>
        <v>348</v>
      </c>
      <c r="Z347" s="7">
        <f t="shared" si="84"/>
        <v>1326825</v>
      </c>
      <c r="AA347" s="7" t="str">
        <f t="shared" si="85"/>
        <v>25-Nov-2022</v>
      </c>
      <c r="AB347" s="7">
        <f t="shared" si="86"/>
        <v>1753</v>
      </c>
      <c r="AC347" s="7">
        <f t="shared" si="90"/>
        <v>1</v>
      </c>
      <c r="AD347" s="7">
        <f t="shared" si="87"/>
        <v>2022</v>
      </c>
      <c r="AE347" s="19">
        <f t="shared" si="88"/>
        <v>0.95</v>
      </c>
      <c r="BA347" s="10">
        <f t="shared" si="89"/>
        <v>80.523600000000002</v>
      </c>
    </row>
    <row r="348" spans="1:53" x14ac:dyDescent="0.3">
      <c r="A348" s="17">
        <v>44893</v>
      </c>
      <c r="B348" s="8">
        <v>1740.1</v>
      </c>
      <c r="C348" s="7">
        <v>1741.3</v>
      </c>
      <c r="D348" s="7">
        <v>1740.1</v>
      </c>
      <c r="E348" s="7">
        <v>1741.3</v>
      </c>
      <c r="F348" s="18">
        <v>132767</v>
      </c>
      <c r="G348" s="7">
        <v>1748.2571</v>
      </c>
      <c r="H348" s="7">
        <v>1692.2633000000001</v>
      </c>
      <c r="I348" s="7">
        <v>1709.6722</v>
      </c>
      <c r="J348" s="8">
        <v>-0.66739999999999999</v>
      </c>
      <c r="K348" s="7">
        <v>0.75090000000000001</v>
      </c>
      <c r="L348" s="7">
        <v>1.1297999999999999</v>
      </c>
      <c r="M348" s="8">
        <v>68.130600000000001</v>
      </c>
      <c r="N348" s="8">
        <v>21.442</v>
      </c>
      <c r="O348" s="7">
        <v>20.710999999999999</v>
      </c>
      <c r="P348" s="7">
        <v>1819.9403</v>
      </c>
      <c r="Q348" s="7">
        <v>1609.0097000000001</v>
      </c>
      <c r="R348" s="7" t="str">
        <f t="shared" si="76"/>
        <v>Up</v>
      </c>
      <c r="S348" s="7" t="str">
        <f t="shared" si="77"/>
        <v>Hold</v>
      </c>
      <c r="T348" s="8">
        <f t="shared" si="78"/>
        <v>0.13874046172539484</v>
      </c>
      <c r="U348" s="18">
        <f t="shared" si="79"/>
        <v>3638056</v>
      </c>
      <c r="V348" s="7">
        <f t="shared" si="80"/>
        <v>5586.2002000000002</v>
      </c>
      <c r="W348" s="7">
        <f t="shared" si="81"/>
        <v>1737.9</v>
      </c>
      <c r="X348" s="7">
        <f t="shared" si="82"/>
        <v>1741.3</v>
      </c>
      <c r="Y348" s="7">
        <f t="shared" si="83"/>
        <v>348</v>
      </c>
      <c r="Z348" s="7">
        <f t="shared" si="84"/>
        <v>1326825</v>
      </c>
      <c r="AA348" s="7" t="str">
        <f t="shared" si="85"/>
        <v>28-Nov-2022</v>
      </c>
      <c r="AB348" s="7">
        <f t="shared" si="86"/>
        <v>1741.3</v>
      </c>
      <c r="AC348" s="7">
        <f t="shared" si="90"/>
        <v>1</v>
      </c>
      <c r="AD348" s="7">
        <f t="shared" si="87"/>
        <v>2022</v>
      </c>
      <c r="AE348" s="19">
        <f t="shared" si="88"/>
        <v>-0.67</v>
      </c>
      <c r="BA348" s="10">
        <f t="shared" si="89"/>
        <v>80.523600000000002</v>
      </c>
    </row>
    <row r="349" spans="1:53" x14ac:dyDescent="0.3">
      <c r="A349" s="17">
        <v>44894</v>
      </c>
      <c r="B349" s="8">
        <v>1748.4</v>
      </c>
      <c r="C349" s="7">
        <v>1758.2</v>
      </c>
      <c r="D349" s="7">
        <v>1737.9</v>
      </c>
      <c r="E349" s="7">
        <v>1739.5</v>
      </c>
      <c r="F349" s="18">
        <v>19416</v>
      </c>
      <c r="G349" s="7">
        <v>1744.9</v>
      </c>
      <c r="H349" s="7">
        <v>1695.24</v>
      </c>
      <c r="I349" s="7">
        <v>1709.9632999999999</v>
      </c>
      <c r="J349" s="8">
        <v>-0.10340000000000001</v>
      </c>
      <c r="K349" s="7">
        <v>0.72119999999999995</v>
      </c>
      <c r="L349" s="7">
        <v>1.1132</v>
      </c>
      <c r="M349" s="8">
        <v>61.854999999999997</v>
      </c>
      <c r="N349" s="8">
        <v>19.9695</v>
      </c>
      <c r="O349" s="7">
        <v>20.5627</v>
      </c>
      <c r="P349" s="7">
        <v>1819.5716</v>
      </c>
      <c r="Q349" s="7">
        <v>1619.1484</v>
      </c>
      <c r="R349" s="7" t="str">
        <f t="shared" si="76"/>
        <v>Down</v>
      </c>
      <c r="S349" s="7" t="str">
        <f t="shared" si="77"/>
        <v>Hold</v>
      </c>
      <c r="T349" s="8">
        <f t="shared" si="78"/>
        <v>0.13972116788321162</v>
      </c>
      <c r="U349" s="18">
        <f t="shared" si="79"/>
        <v>3505289</v>
      </c>
      <c r="V349" s="7">
        <f t="shared" si="80"/>
        <v>5586.2002000000002</v>
      </c>
      <c r="W349" s="7">
        <f t="shared" si="81"/>
        <v>1737.9</v>
      </c>
      <c r="X349" s="7">
        <f t="shared" si="82"/>
        <v>1739.5</v>
      </c>
      <c r="Y349" s="7">
        <f t="shared" si="83"/>
        <v>347</v>
      </c>
      <c r="Z349" s="7">
        <f t="shared" si="84"/>
        <v>1194058</v>
      </c>
      <c r="AA349" s="7" t="str">
        <f t="shared" si="85"/>
        <v>29-Nov-2022</v>
      </c>
      <c r="AB349" s="7">
        <f t="shared" si="86"/>
        <v>1739.5</v>
      </c>
      <c r="AC349" s="7">
        <f t="shared" si="90"/>
        <v>1</v>
      </c>
      <c r="AD349" s="7">
        <f t="shared" si="87"/>
        <v>2022</v>
      </c>
      <c r="AE349" s="19">
        <f t="shared" si="88"/>
        <v>-0.1</v>
      </c>
      <c r="BA349" s="10">
        <f t="shared" si="89"/>
        <v>80.523600000000002</v>
      </c>
    </row>
    <row r="350" spans="1:53" x14ac:dyDescent="0.3">
      <c r="A350" s="17">
        <v>44895</v>
      </c>
      <c r="B350" s="8">
        <v>1746</v>
      </c>
      <c r="C350" s="7">
        <v>1769.4</v>
      </c>
      <c r="D350" s="7">
        <v>1745.1</v>
      </c>
      <c r="E350" s="7">
        <v>1748.1</v>
      </c>
      <c r="F350" s="18">
        <v>3339</v>
      </c>
      <c r="G350" s="7">
        <v>1742.7285999999999</v>
      </c>
      <c r="H350" s="7">
        <v>1698.4632999999999</v>
      </c>
      <c r="I350" s="7">
        <v>1710.1977999999999</v>
      </c>
      <c r="J350" s="8">
        <v>0.49440000000000001</v>
      </c>
      <c r="K350" s="7">
        <v>0.76519999999999999</v>
      </c>
      <c r="L350" s="7">
        <v>1.1144000000000001</v>
      </c>
      <c r="M350" s="8">
        <v>62.9206</v>
      </c>
      <c r="N350" s="8">
        <v>19.2743</v>
      </c>
      <c r="O350" s="7">
        <v>20.305</v>
      </c>
      <c r="P350" s="7">
        <v>1816.9872</v>
      </c>
      <c r="Q350" s="7">
        <v>1633.4628</v>
      </c>
      <c r="R350" s="7" t="str">
        <f t="shared" si="76"/>
        <v>Up</v>
      </c>
      <c r="S350" s="7" t="str">
        <f t="shared" si="77"/>
        <v>Hold</v>
      </c>
      <c r="T350" s="8">
        <f t="shared" si="78"/>
        <v>0.14001729598051152</v>
      </c>
      <c r="U350" s="18">
        <f t="shared" si="79"/>
        <v>3485873</v>
      </c>
      <c r="V350" s="7">
        <f t="shared" si="80"/>
        <v>5586.2002000000002</v>
      </c>
      <c r="W350" s="7">
        <f t="shared" si="81"/>
        <v>1745.1</v>
      </c>
      <c r="X350" s="7">
        <f t="shared" si="82"/>
        <v>1748.1</v>
      </c>
      <c r="Y350" s="7">
        <f t="shared" si="83"/>
        <v>347</v>
      </c>
      <c r="Z350" s="7">
        <f t="shared" si="84"/>
        <v>1194058</v>
      </c>
      <c r="AA350" s="7" t="str">
        <f t="shared" si="85"/>
        <v>30-Nov-2022</v>
      </c>
      <c r="AB350" s="7">
        <f t="shared" si="86"/>
        <v>1748.1</v>
      </c>
      <c r="AC350" s="7">
        <f t="shared" si="90"/>
        <v>1</v>
      </c>
      <c r="AD350" s="7">
        <f t="shared" si="87"/>
        <v>2022</v>
      </c>
      <c r="AE350" s="19">
        <f t="shared" si="88"/>
        <v>0.49</v>
      </c>
      <c r="BA350" s="10">
        <f t="shared" si="89"/>
        <v>80.523600000000002</v>
      </c>
    </row>
    <row r="351" spans="1:53" x14ac:dyDescent="0.3">
      <c r="A351" s="17">
        <v>44896</v>
      </c>
      <c r="B351" s="8">
        <v>1801.1</v>
      </c>
      <c r="C351" s="7">
        <v>1803.7</v>
      </c>
      <c r="D351" s="7">
        <v>1768.7</v>
      </c>
      <c r="E351" s="7">
        <v>1768.7</v>
      </c>
      <c r="F351" s="18">
        <v>1053</v>
      </c>
      <c r="G351" s="7">
        <v>1746.9713999999999</v>
      </c>
      <c r="H351" s="7">
        <v>1702.8367000000001</v>
      </c>
      <c r="I351" s="7">
        <v>1710.7610999999999</v>
      </c>
      <c r="J351" s="8">
        <v>1.1783999999999999</v>
      </c>
      <c r="K351" s="7">
        <v>0.66930000000000001</v>
      </c>
      <c r="L351" s="7">
        <v>1.1106</v>
      </c>
      <c r="M351" s="8">
        <v>67.061499999999995</v>
      </c>
      <c r="N351" s="8">
        <v>20.153300000000002</v>
      </c>
      <c r="O351" s="7">
        <v>20.274699999999999</v>
      </c>
      <c r="P351" s="7">
        <v>1817.7557999999999</v>
      </c>
      <c r="Q351" s="7">
        <v>1644.4842000000001</v>
      </c>
      <c r="R351" s="7" t="str">
        <f t="shared" si="76"/>
        <v>Down</v>
      </c>
      <c r="S351" s="7" t="str">
        <f t="shared" si="77"/>
        <v>Hold</v>
      </c>
      <c r="T351" s="8">
        <f t="shared" si="78"/>
        <v>0.13958512195121947</v>
      </c>
      <c r="U351" s="18">
        <f t="shared" si="79"/>
        <v>3482534</v>
      </c>
      <c r="V351" s="7">
        <f t="shared" si="80"/>
        <v>5586.2002000000002</v>
      </c>
      <c r="W351" s="7">
        <f t="shared" si="81"/>
        <v>1764.3</v>
      </c>
      <c r="X351" s="7">
        <f t="shared" si="82"/>
        <v>1768.7</v>
      </c>
      <c r="Y351" s="7">
        <f t="shared" si="83"/>
        <v>346</v>
      </c>
      <c r="Z351" s="7">
        <f t="shared" si="84"/>
        <v>1190719</v>
      </c>
      <c r="AA351" s="7" t="str">
        <f t="shared" si="85"/>
        <v>01-Dec-2022</v>
      </c>
      <c r="AB351" s="7">
        <f t="shared" si="86"/>
        <v>1768.7</v>
      </c>
      <c r="AC351" s="7">
        <f t="shared" si="90"/>
        <v>1</v>
      </c>
      <c r="AD351" s="7">
        <f t="shared" si="87"/>
        <v>2022</v>
      </c>
      <c r="AE351" s="19">
        <f t="shared" si="88"/>
        <v>1.18</v>
      </c>
      <c r="BA351" s="10">
        <f t="shared" si="89"/>
        <v>80.523600000000002</v>
      </c>
    </row>
    <row r="352" spans="1:53" x14ac:dyDescent="0.3">
      <c r="A352" s="17">
        <v>44897</v>
      </c>
      <c r="B352" s="8">
        <v>1795.9</v>
      </c>
      <c r="C352" s="7">
        <v>1802.3</v>
      </c>
      <c r="D352" s="7">
        <v>1779.4</v>
      </c>
      <c r="E352" s="7">
        <v>1802</v>
      </c>
      <c r="F352" s="18">
        <v>1725</v>
      </c>
      <c r="G352" s="7">
        <v>1755.5857000000001</v>
      </c>
      <c r="H352" s="7">
        <v>1708.81</v>
      </c>
      <c r="I352" s="7">
        <v>1711.6822</v>
      </c>
      <c r="J352" s="8">
        <v>1.8827</v>
      </c>
      <c r="K352" s="7">
        <v>0.9073</v>
      </c>
      <c r="L352" s="7">
        <v>1.1263000000000001</v>
      </c>
      <c r="M352" s="8">
        <v>62.322600000000001</v>
      </c>
      <c r="N352" s="8">
        <v>23.268699999999999</v>
      </c>
      <c r="O352" s="7">
        <v>20.8735</v>
      </c>
      <c r="P352" s="7">
        <v>1817.6204</v>
      </c>
      <c r="Q352" s="7">
        <v>1661.8996</v>
      </c>
      <c r="R352" s="7" t="str">
        <f t="shared" si="76"/>
        <v>Up</v>
      </c>
      <c r="S352" s="7" t="str">
        <f t="shared" si="77"/>
        <v>Hold</v>
      </c>
      <c r="T352" s="8">
        <f t="shared" si="78"/>
        <v>0.13831672771672768</v>
      </c>
      <c r="U352" s="18">
        <f t="shared" si="79"/>
        <v>3481481</v>
      </c>
      <c r="V352" s="7">
        <f t="shared" si="80"/>
        <v>5586.2002000000002</v>
      </c>
      <c r="W352" s="7">
        <f t="shared" si="81"/>
        <v>1764.3</v>
      </c>
      <c r="X352" s="7">
        <f t="shared" si="82"/>
        <v>1802</v>
      </c>
      <c r="Y352" s="7">
        <f t="shared" si="83"/>
        <v>346</v>
      </c>
      <c r="Z352" s="7">
        <f t="shared" si="84"/>
        <v>1190719</v>
      </c>
      <c r="AA352" s="7" t="str">
        <f t="shared" si="85"/>
        <v>02-Dec-2022</v>
      </c>
      <c r="AB352" s="7">
        <f t="shared" si="86"/>
        <v>1802</v>
      </c>
      <c r="AC352" s="7">
        <f t="shared" si="90"/>
        <v>1</v>
      </c>
      <c r="AD352" s="7">
        <f t="shared" si="87"/>
        <v>2022</v>
      </c>
      <c r="AE352" s="19">
        <f t="shared" si="88"/>
        <v>1.88</v>
      </c>
      <c r="BA352" s="10">
        <f t="shared" si="89"/>
        <v>80.523600000000002</v>
      </c>
    </row>
    <row r="353" spans="1:53" x14ac:dyDescent="0.3">
      <c r="A353" s="17">
        <v>44900</v>
      </c>
      <c r="B353" s="8">
        <v>1767.4</v>
      </c>
      <c r="C353" s="7">
        <v>1808</v>
      </c>
      <c r="D353" s="7">
        <v>1764.3</v>
      </c>
      <c r="E353" s="7">
        <v>1795.7</v>
      </c>
      <c r="F353" s="18">
        <v>1713</v>
      </c>
      <c r="G353" s="7">
        <v>1764.0427999999999</v>
      </c>
      <c r="H353" s="7">
        <v>1714.1967</v>
      </c>
      <c r="I353" s="7">
        <v>1712.3867</v>
      </c>
      <c r="J353" s="8">
        <v>-0.34960000000000002</v>
      </c>
      <c r="K353" s="7">
        <v>0.91490000000000005</v>
      </c>
      <c r="L353" s="7">
        <v>1.1315999999999999</v>
      </c>
      <c r="M353" s="8">
        <v>60.5642</v>
      </c>
      <c r="N353" s="8">
        <v>24.941800000000001</v>
      </c>
      <c r="O353" s="7">
        <v>21.687100000000001</v>
      </c>
      <c r="P353" s="7">
        <v>1810.5305000000001</v>
      </c>
      <c r="Q353" s="7">
        <v>1685.5395000000001</v>
      </c>
      <c r="R353" s="7" t="str">
        <f t="shared" si="76"/>
        <v>Up</v>
      </c>
      <c r="S353" s="7" t="str">
        <f t="shared" si="77"/>
        <v>Hold</v>
      </c>
      <c r="T353" s="8">
        <f t="shared" si="78"/>
        <v>0.13618422982885081</v>
      </c>
      <c r="U353" s="18">
        <f t="shared" si="79"/>
        <v>3479756</v>
      </c>
      <c r="V353" s="7">
        <f t="shared" si="80"/>
        <v>5586.2002000000002</v>
      </c>
      <c r="W353" s="7">
        <f t="shared" si="81"/>
        <v>1764.3</v>
      </c>
      <c r="X353" s="7">
        <f t="shared" si="82"/>
        <v>1795.7</v>
      </c>
      <c r="Y353" s="7">
        <f t="shared" si="83"/>
        <v>345</v>
      </c>
      <c r="Z353" s="7">
        <f t="shared" si="84"/>
        <v>1188994</v>
      </c>
      <c r="AA353" s="7" t="str">
        <f t="shared" si="85"/>
        <v>05-Dec-2022</v>
      </c>
      <c r="AB353" s="7">
        <f t="shared" si="86"/>
        <v>1795.7</v>
      </c>
      <c r="AC353" s="7">
        <f t="shared" si="90"/>
        <v>1</v>
      </c>
      <c r="AD353" s="7">
        <f t="shared" si="87"/>
        <v>2022</v>
      </c>
      <c r="AE353" s="19">
        <f t="shared" si="88"/>
        <v>-0.35</v>
      </c>
      <c r="BA353" s="10">
        <f t="shared" si="89"/>
        <v>80.523600000000002</v>
      </c>
    </row>
    <row r="354" spans="1:53" x14ac:dyDescent="0.3">
      <c r="A354" s="17">
        <v>44901</v>
      </c>
      <c r="B354" s="8">
        <v>1769.3</v>
      </c>
      <c r="C354" s="7">
        <v>1779.4</v>
      </c>
      <c r="D354" s="7">
        <v>1767.9</v>
      </c>
      <c r="E354" s="7">
        <v>1768.6</v>
      </c>
      <c r="F354" s="18">
        <v>105</v>
      </c>
      <c r="G354" s="7">
        <v>1766.2714000000001</v>
      </c>
      <c r="H354" s="7">
        <v>1717.7266999999999</v>
      </c>
      <c r="I354" s="7">
        <v>1712.5489</v>
      </c>
      <c r="J354" s="8">
        <v>-1.5092000000000001</v>
      </c>
      <c r="K354" s="7">
        <v>1.1483000000000001</v>
      </c>
      <c r="L354" s="7">
        <v>1.1459999999999999</v>
      </c>
      <c r="M354" s="8">
        <v>49.381300000000003</v>
      </c>
      <c r="N354" s="8">
        <v>23.8066</v>
      </c>
      <c r="O354" s="7">
        <v>22.111000000000001</v>
      </c>
      <c r="P354" s="7">
        <v>1805.9202</v>
      </c>
      <c r="Q354" s="7">
        <v>1699.3198</v>
      </c>
      <c r="R354" s="7" t="str">
        <f t="shared" si="76"/>
        <v>Down</v>
      </c>
      <c r="S354" s="7" t="str">
        <f t="shared" si="77"/>
        <v>Hold</v>
      </c>
      <c r="T354" s="8">
        <f t="shared" si="78"/>
        <v>0.13677882496940016</v>
      </c>
      <c r="U354" s="18">
        <f t="shared" si="79"/>
        <v>3478043</v>
      </c>
      <c r="V354" s="7">
        <f t="shared" si="80"/>
        <v>5586.2002000000002</v>
      </c>
      <c r="W354" s="7">
        <f t="shared" si="81"/>
        <v>1767.9</v>
      </c>
      <c r="X354" s="7">
        <f t="shared" si="82"/>
        <v>1768.6</v>
      </c>
      <c r="Y354" s="7">
        <f t="shared" si="83"/>
        <v>344</v>
      </c>
      <c r="Z354" s="7">
        <f t="shared" si="84"/>
        <v>1187281</v>
      </c>
      <c r="AA354" s="7" t="str">
        <f t="shared" si="85"/>
        <v>06-Dec-2022</v>
      </c>
      <c r="AB354" s="7">
        <f t="shared" si="86"/>
        <v>1768.6</v>
      </c>
      <c r="AC354" s="7">
        <f t="shared" si="90"/>
        <v>1</v>
      </c>
      <c r="AD354" s="7">
        <f t="shared" si="87"/>
        <v>2022</v>
      </c>
      <c r="AE354" s="19">
        <f t="shared" si="88"/>
        <v>-1.51</v>
      </c>
      <c r="BA354" s="10">
        <f t="shared" si="89"/>
        <v>80.523600000000002</v>
      </c>
    </row>
    <row r="355" spans="1:53" x14ac:dyDescent="0.3">
      <c r="A355" s="17">
        <v>44902</v>
      </c>
      <c r="B355" s="8">
        <v>1785.5</v>
      </c>
      <c r="C355" s="7">
        <v>1790.3</v>
      </c>
      <c r="D355" s="7">
        <v>1769.3</v>
      </c>
      <c r="E355" s="7">
        <v>1769.3</v>
      </c>
      <c r="F355" s="18">
        <v>422</v>
      </c>
      <c r="G355" s="7">
        <v>1770.2714000000001</v>
      </c>
      <c r="H355" s="7">
        <v>1721.7633000000001</v>
      </c>
      <c r="I355" s="7">
        <v>1712.6088999999999</v>
      </c>
      <c r="J355" s="8">
        <v>3.9600000000000003E-2</v>
      </c>
      <c r="K355" s="7">
        <v>1.0961000000000001</v>
      </c>
      <c r="L355" s="7">
        <v>1.1282000000000001</v>
      </c>
      <c r="M355" s="8">
        <v>47.886499999999998</v>
      </c>
      <c r="N355" s="8">
        <v>22.701699999999999</v>
      </c>
      <c r="O355" s="7">
        <v>22.229199999999999</v>
      </c>
      <c r="P355" s="7">
        <v>1804.2914000000001</v>
      </c>
      <c r="Q355" s="7">
        <v>1707.5586000000001</v>
      </c>
      <c r="R355" s="7" t="str">
        <f t="shared" si="76"/>
        <v>Down</v>
      </c>
      <c r="S355" s="7" t="str">
        <f t="shared" si="77"/>
        <v>Hold</v>
      </c>
      <c r="T355" s="8">
        <f t="shared" si="78"/>
        <v>0.13879595588235291</v>
      </c>
      <c r="U355" s="18">
        <f t="shared" si="79"/>
        <v>3477938</v>
      </c>
      <c r="V355" s="7">
        <f t="shared" si="80"/>
        <v>5586.2002000000002</v>
      </c>
      <c r="W355" s="7">
        <f t="shared" si="81"/>
        <v>1769.3</v>
      </c>
      <c r="X355" s="7">
        <f t="shared" si="82"/>
        <v>1769.3</v>
      </c>
      <c r="Y355" s="7">
        <f t="shared" si="83"/>
        <v>344</v>
      </c>
      <c r="Z355" s="7">
        <f t="shared" si="84"/>
        <v>1187281</v>
      </c>
      <c r="AA355" s="7" t="str">
        <f t="shared" si="85"/>
        <v>07-Dec-2022</v>
      </c>
      <c r="AB355" s="7">
        <f t="shared" si="86"/>
        <v>1769.3</v>
      </c>
      <c r="AC355" s="7">
        <f t="shared" si="90"/>
        <v>1</v>
      </c>
      <c r="AD355" s="7">
        <f t="shared" si="87"/>
        <v>2022</v>
      </c>
      <c r="AE355" s="19">
        <f t="shared" si="88"/>
        <v>0.04</v>
      </c>
      <c r="BA355" s="10">
        <f t="shared" si="89"/>
        <v>80.523600000000002</v>
      </c>
    </row>
    <row r="356" spans="1:53" x14ac:dyDescent="0.3">
      <c r="A356" s="17">
        <v>44903</v>
      </c>
      <c r="B356" s="8">
        <v>1788.7</v>
      </c>
      <c r="C356" s="7">
        <v>1790.9</v>
      </c>
      <c r="D356" s="7">
        <v>1782</v>
      </c>
      <c r="E356" s="7">
        <v>1782</v>
      </c>
      <c r="F356" s="18">
        <v>713</v>
      </c>
      <c r="G356" s="7">
        <v>1776.3427999999999</v>
      </c>
      <c r="H356" s="7">
        <v>1726.17</v>
      </c>
      <c r="I356" s="7">
        <v>1712.7189000000001</v>
      </c>
      <c r="J356" s="8">
        <v>0.71779999999999999</v>
      </c>
      <c r="K356" s="7">
        <v>1.0980000000000001</v>
      </c>
      <c r="L356" s="7">
        <v>1.1311</v>
      </c>
      <c r="M356" s="8">
        <v>55.529699999999998</v>
      </c>
      <c r="N356" s="8">
        <v>22.590499999999999</v>
      </c>
      <c r="O356" s="7">
        <v>22.301400000000001</v>
      </c>
      <c r="P356" s="7">
        <v>1803.5657000000001</v>
      </c>
      <c r="Q356" s="7">
        <v>1715.7443000000001</v>
      </c>
      <c r="R356" s="7" t="str">
        <f t="shared" si="76"/>
        <v>Down</v>
      </c>
      <c r="S356" s="7" t="str">
        <f t="shared" si="77"/>
        <v>Hold</v>
      </c>
      <c r="T356" s="8">
        <f t="shared" si="78"/>
        <v>0.13891766871165639</v>
      </c>
      <c r="U356" s="18">
        <f t="shared" si="79"/>
        <v>3477516</v>
      </c>
      <c r="V356" s="7">
        <f t="shared" si="80"/>
        <v>5586.2002000000002</v>
      </c>
      <c r="W356" s="7">
        <f t="shared" si="81"/>
        <v>1774.8</v>
      </c>
      <c r="X356" s="7">
        <f t="shared" si="82"/>
        <v>1782</v>
      </c>
      <c r="Y356" s="7">
        <f t="shared" si="83"/>
        <v>344</v>
      </c>
      <c r="Z356" s="7">
        <f t="shared" si="84"/>
        <v>1187281</v>
      </c>
      <c r="AA356" s="7" t="str">
        <f t="shared" si="85"/>
        <v>08-Dec-2022</v>
      </c>
      <c r="AB356" s="7">
        <f t="shared" si="86"/>
        <v>1782</v>
      </c>
      <c r="AC356" s="7">
        <f t="shared" si="90"/>
        <v>1</v>
      </c>
      <c r="AD356" s="7">
        <f t="shared" si="87"/>
        <v>2022</v>
      </c>
      <c r="AE356" s="19">
        <f t="shared" si="88"/>
        <v>0.72</v>
      </c>
      <c r="BA356" s="10">
        <f t="shared" si="89"/>
        <v>80.523600000000002</v>
      </c>
    </row>
    <row r="357" spans="1:53" x14ac:dyDescent="0.3">
      <c r="A357" s="17">
        <v>44904</v>
      </c>
      <c r="B357" s="8">
        <v>1798.1</v>
      </c>
      <c r="C357" s="7">
        <v>1804.3</v>
      </c>
      <c r="D357" s="7">
        <v>1791.1</v>
      </c>
      <c r="E357" s="7">
        <v>1794.9</v>
      </c>
      <c r="F357" s="18">
        <v>125</v>
      </c>
      <c r="G357" s="7">
        <v>1783.0286000000001</v>
      </c>
      <c r="H357" s="7">
        <v>1730.6433</v>
      </c>
      <c r="I357" s="7">
        <v>1713.1433</v>
      </c>
      <c r="J357" s="8">
        <v>0.72389999999999999</v>
      </c>
      <c r="K357" s="7">
        <v>1.1064000000000001</v>
      </c>
      <c r="L357" s="7">
        <v>1.1318999999999999</v>
      </c>
      <c r="M357" s="8">
        <v>58.568300000000001</v>
      </c>
      <c r="N357" s="8">
        <v>23.274899999999999</v>
      </c>
      <c r="O357" s="7">
        <v>22.496099999999998</v>
      </c>
      <c r="P357" s="7">
        <v>1803.4</v>
      </c>
      <c r="Q357" s="7">
        <v>1724.58</v>
      </c>
      <c r="R357" s="7" t="str">
        <f t="shared" si="76"/>
        <v>Down</v>
      </c>
      <c r="S357" s="7" t="str">
        <f t="shared" si="77"/>
        <v>Hold</v>
      </c>
      <c r="T357" s="8">
        <f t="shared" si="78"/>
        <v>0.13820651105651099</v>
      </c>
      <c r="U357" s="18">
        <f t="shared" si="79"/>
        <v>3476803</v>
      </c>
      <c r="V357" s="7">
        <f t="shared" si="80"/>
        <v>5586.2002000000002</v>
      </c>
      <c r="W357" s="7">
        <f t="shared" si="81"/>
        <v>1774.8</v>
      </c>
      <c r="X357" s="7">
        <f t="shared" si="82"/>
        <v>1794.9</v>
      </c>
      <c r="Y357" s="7">
        <f t="shared" si="83"/>
        <v>344</v>
      </c>
      <c r="Z357" s="7">
        <f t="shared" si="84"/>
        <v>1187281</v>
      </c>
      <c r="AA357" s="7" t="str">
        <f t="shared" si="85"/>
        <v>09-Dec-2022</v>
      </c>
      <c r="AB357" s="7">
        <f t="shared" si="86"/>
        <v>1794.9</v>
      </c>
      <c r="AC357" s="7">
        <f t="shared" si="90"/>
        <v>1</v>
      </c>
      <c r="AD357" s="7">
        <f t="shared" si="87"/>
        <v>2022</v>
      </c>
      <c r="AE357" s="19">
        <f t="shared" si="88"/>
        <v>0.72</v>
      </c>
      <c r="BA357" s="10">
        <f t="shared" si="89"/>
        <v>80.523600000000002</v>
      </c>
    </row>
    <row r="358" spans="1:53" x14ac:dyDescent="0.3">
      <c r="A358" s="17">
        <v>44907</v>
      </c>
      <c r="B358" s="8">
        <v>1780.5</v>
      </c>
      <c r="C358" s="7">
        <v>1793.9</v>
      </c>
      <c r="D358" s="7">
        <v>1777.7</v>
      </c>
      <c r="E358" s="7">
        <v>1787.3</v>
      </c>
      <c r="F358" s="18">
        <v>85</v>
      </c>
      <c r="G358" s="7">
        <v>1785.6857</v>
      </c>
      <c r="H358" s="7">
        <v>1734.8533</v>
      </c>
      <c r="I358" s="7">
        <v>1713.3422</v>
      </c>
      <c r="J358" s="8">
        <v>-0.4234</v>
      </c>
      <c r="K358" s="7">
        <v>1.0799000000000001</v>
      </c>
      <c r="L358" s="7">
        <v>1.1380999999999999</v>
      </c>
      <c r="M358" s="8">
        <v>64.400700000000001</v>
      </c>
      <c r="N358" s="8">
        <v>22.939699999999998</v>
      </c>
      <c r="O358" s="7">
        <v>22.584800000000001</v>
      </c>
      <c r="P358" s="7">
        <v>1805.9292</v>
      </c>
      <c r="Q358" s="7">
        <v>1724.4007999999999</v>
      </c>
      <c r="R358" s="7" t="str">
        <f t="shared" si="76"/>
        <v>Up</v>
      </c>
      <c r="S358" s="7" t="str">
        <f t="shared" si="77"/>
        <v>Hold</v>
      </c>
      <c r="T358" s="8">
        <f t="shared" si="78"/>
        <v>0.13748610086100857</v>
      </c>
      <c r="U358" s="18">
        <f t="shared" si="79"/>
        <v>3476678</v>
      </c>
      <c r="V358" s="7">
        <f t="shared" si="80"/>
        <v>5586.2002000000002</v>
      </c>
      <c r="W358" s="7">
        <f t="shared" si="81"/>
        <v>1774.8</v>
      </c>
      <c r="X358" s="7">
        <f t="shared" si="82"/>
        <v>1787.3</v>
      </c>
      <c r="Y358" s="7">
        <f t="shared" si="83"/>
        <v>344</v>
      </c>
      <c r="Z358" s="7">
        <f t="shared" si="84"/>
        <v>1187281</v>
      </c>
      <c r="AA358" s="7" t="str">
        <f t="shared" si="85"/>
        <v>12-Dec-2022</v>
      </c>
      <c r="AB358" s="7">
        <f t="shared" si="86"/>
        <v>1787.3</v>
      </c>
      <c r="AC358" s="7">
        <f t="shared" si="90"/>
        <v>1</v>
      </c>
      <c r="AD358" s="7">
        <f t="shared" si="87"/>
        <v>2022</v>
      </c>
      <c r="AE358" s="19">
        <f t="shared" si="88"/>
        <v>-0.42</v>
      </c>
      <c r="BA358" s="10">
        <f t="shared" si="89"/>
        <v>80.523600000000002</v>
      </c>
    </row>
    <row r="359" spans="1:53" x14ac:dyDescent="0.3">
      <c r="A359" s="17">
        <v>44908</v>
      </c>
      <c r="B359" s="8">
        <v>1813.9</v>
      </c>
      <c r="C359" s="7">
        <v>1819.8</v>
      </c>
      <c r="D359" s="7">
        <v>1780.5</v>
      </c>
      <c r="E359" s="7">
        <v>1780.7</v>
      </c>
      <c r="F359" s="18">
        <v>205</v>
      </c>
      <c r="G359" s="7">
        <v>1782.6429000000001</v>
      </c>
      <c r="H359" s="7">
        <v>1739.4833000000001</v>
      </c>
      <c r="I359" s="7">
        <v>1713.2256</v>
      </c>
      <c r="J359" s="8">
        <v>-0.36930000000000002</v>
      </c>
      <c r="K359" s="7">
        <v>0.77039999999999997</v>
      </c>
      <c r="L359" s="7">
        <v>1.1133999999999999</v>
      </c>
      <c r="M359" s="8">
        <v>61.363599999999998</v>
      </c>
      <c r="N359" s="8">
        <v>21.889099999999999</v>
      </c>
      <c r="O359" s="7">
        <v>22.445699999999999</v>
      </c>
      <c r="P359" s="7">
        <v>1807.4127000000001</v>
      </c>
      <c r="Q359" s="7">
        <v>1724.7873</v>
      </c>
      <c r="R359" s="7" t="str">
        <f t="shared" si="76"/>
        <v>Down</v>
      </c>
      <c r="S359" s="7" t="str">
        <f t="shared" si="77"/>
        <v>Hold</v>
      </c>
      <c r="T359" s="8">
        <f t="shared" si="78"/>
        <v>0.13817684729064034</v>
      </c>
      <c r="U359" s="18">
        <f t="shared" si="79"/>
        <v>3476593</v>
      </c>
      <c r="V359" s="7">
        <f t="shared" si="80"/>
        <v>5586.2002000000002</v>
      </c>
      <c r="W359" s="7">
        <f t="shared" si="81"/>
        <v>1774.8</v>
      </c>
      <c r="X359" s="7">
        <f t="shared" si="82"/>
        <v>1780.7</v>
      </c>
      <c r="Y359" s="7">
        <f t="shared" si="83"/>
        <v>343</v>
      </c>
      <c r="Z359" s="7">
        <f t="shared" si="84"/>
        <v>1187196</v>
      </c>
      <c r="AA359" s="7" t="str">
        <f t="shared" si="85"/>
        <v>13-Dec-2022</v>
      </c>
      <c r="AB359" s="7">
        <f t="shared" si="86"/>
        <v>1780.7</v>
      </c>
      <c r="AC359" s="7">
        <f t="shared" si="90"/>
        <v>1</v>
      </c>
      <c r="AD359" s="7">
        <f t="shared" si="87"/>
        <v>2022</v>
      </c>
      <c r="AE359" s="19">
        <f t="shared" si="88"/>
        <v>-0.37</v>
      </c>
      <c r="BA359" s="10">
        <f t="shared" si="89"/>
        <v>80.523600000000002</v>
      </c>
    </row>
    <row r="360" spans="1:53" x14ac:dyDescent="0.3">
      <c r="A360" s="17">
        <v>44909</v>
      </c>
      <c r="B360" s="8">
        <v>1807.5</v>
      </c>
      <c r="C360" s="7">
        <v>1812.8</v>
      </c>
      <c r="D360" s="7">
        <v>1797.9</v>
      </c>
      <c r="E360" s="7">
        <v>1810.8</v>
      </c>
      <c r="F360" s="18">
        <v>1074</v>
      </c>
      <c r="G360" s="7">
        <v>1784.8</v>
      </c>
      <c r="H360" s="7">
        <v>1745.4833000000001</v>
      </c>
      <c r="I360" s="7">
        <v>1713.6588999999999</v>
      </c>
      <c r="J360" s="8">
        <v>1.6903999999999999</v>
      </c>
      <c r="K360" s="7">
        <v>1.0314000000000001</v>
      </c>
      <c r="L360" s="7">
        <v>1.1274999999999999</v>
      </c>
      <c r="M360" s="8">
        <v>68.905799999999999</v>
      </c>
      <c r="N360" s="8">
        <v>23.217700000000001</v>
      </c>
      <c r="O360" s="7">
        <v>22.600100000000001</v>
      </c>
      <c r="P360" s="7">
        <v>1813.99</v>
      </c>
      <c r="Q360" s="7">
        <v>1722.21</v>
      </c>
      <c r="R360" s="7" t="str">
        <f t="shared" si="76"/>
        <v>Up</v>
      </c>
      <c r="S360" s="7" t="str">
        <f t="shared" si="77"/>
        <v>Hold</v>
      </c>
      <c r="T360" s="8">
        <f t="shared" si="78"/>
        <v>0.13880258939580759</v>
      </c>
      <c r="U360" s="18">
        <f t="shared" si="79"/>
        <v>3476388</v>
      </c>
      <c r="V360" s="7">
        <f t="shared" si="80"/>
        <v>5586.2002000000002</v>
      </c>
      <c r="W360" s="7">
        <f t="shared" si="81"/>
        <v>1774.8</v>
      </c>
      <c r="X360" s="7">
        <f t="shared" si="82"/>
        <v>1810.8</v>
      </c>
      <c r="Y360" s="7">
        <f t="shared" si="83"/>
        <v>343</v>
      </c>
      <c r="Z360" s="7">
        <f t="shared" si="84"/>
        <v>1187196</v>
      </c>
      <c r="AA360" s="7" t="str">
        <f t="shared" si="85"/>
        <v>14-Dec-2022</v>
      </c>
      <c r="AB360" s="7">
        <f t="shared" si="86"/>
        <v>1810.8</v>
      </c>
      <c r="AC360" s="7">
        <f t="shared" si="90"/>
        <v>1</v>
      </c>
      <c r="AD360" s="7">
        <f t="shared" si="87"/>
        <v>2022</v>
      </c>
      <c r="AE360" s="19">
        <f t="shared" si="88"/>
        <v>1.69</v>
      </c>
      <c r="BA360" s="10">
        <f t="shared" si="89"/>
        <v>80.523600000000002</v>
      </c>
    </row>
    <row r="361" spans="1:53" x14ac:dyDescent="0.3">
      <c r="A361" s="17">
        <v>44910</v>
      </c>
      <c r="B361" s="8">
        <v>1777.2</v>
      </c>
      <c r="C361" s="7">
        <v>1801</v>
      </c>
      <c r="D361" s="7">
        <v>1774.8</v>
      </c>
      <c r="E361" s="7">
        <v>1801</v>
      </c>
      <c r="F361" s="18">
        <v>421</v>
      </c>
      <c r="G361" s="7">
        <v>1789.4286</v>
      </c>
      <c r="H361" s="7">
        <v>1750.49</v>
      </c>
      <c r="I361" s="7">
        <v>1713.7810999999999</v>
      </c>
      <c r="J361" s="8">
        <v>-0.54120000000000001</v>
      </c>
      <c r="K361" s="7">
        <v>0.81899999999999995</v>
      </c>
      <c r="L361" s="7">
        <v>1.1266</v>
      </c>
      <c r="M361" s="8">
        <v>62.6449</v>
      </c>
      <c r="N361" s="8">
        <v>23.212299999999999</v>
      </c>
      <c r="O361" s="7">
        <v>22.7225</v>
      </c>
      <c r="P361" s="7">
        <v>1817.4063000000001</v>
      </c>
      <c r="Q361" s="7">
        <v>1721.2337</v>
      </c>
      <c r="R361" s="7" t="str">
        <f t="shared" si="76"/>
        <v>Up</v>
      </c>
      <c r="S361" s="7" t="str">
        <f t="shared" si="77"/>
        <v>Hold</v>
      </c>
      <c r="T361" s="8">
        <f t="shared" si="78"/>
        <v>0.13688703703703695</v>
      </c>
      <c r="U361" s="18">
        <f t="shared" si="79"/>
        <v>3475314</v>
      </c>
      <c r="V361" s="7">
        <f t="shared" si="80"/>
        <v>5586.2002000000002</v>
      </c>
      <c r="W361" s="7">
        <f t="shared" si="81"/>
        <v>1774.8</v>
      </c>
      <c r="X361" s="7">
        <f t="shared" si="82"/>
        <v>1801</v>
      </c>
      <c r="Y361" s="7">
        <f t="shared" si="83"/>
        <v>342</v>
      </c>
      <c r="Z361" s="7">
        <f t="shared" si="84"/>
        <v>1186122</v>
      </c>
      <c r="AA361" s="7" t="str">
        <f t="shared" si="85"/>
        <v>15-Dec-2022</v>
      </c>
      <c r="AB361" s="7">
        <f t="shared" si="86"/>
        <v>1801</v>
      </c>
      <c r="AC361" s="7">
        <f t="shared" si="90"/>
        <v>1</v>
      </c>
      <c r="AD361" s="7">
        <f t="shared" si="87"/>
        <v>2022</v>
      </c>
      <c r="AE361" s="19">
        <f t="shared" si="88"/>
        <v>-0.54</v>
      </c>
      <c r="BA361" s="10">
        <f t="shared" si="89"/>
        <v>80.523600000000002</v>
      </c>
    </row>
    <row r="362" spans="1:53" x14ac:dyDescent="0.3">
      <c r="A362" s="17">
        <v>44911</v>
      </c>
      <c r="B362" s="8">
        <v>1790</v>
      </c>
      <c r="C362" s="7">
        <v>1791.4</v>
      </c>
      <c r="D362" s="7">
        <v>1777.9</v>
      </c>
      <c r="E362" s="7">
        <v>1777.9</v>
      </c>
      <c r="F362" s="18">
        <v>206</v>
      </c>
      <c r="G362" s="7">
        <v>1790.6572000000001</v>
      </c>
      <c r="H362" s="7">
        <v>1755.4467</v>
      </c>
      <c r="I362" s="7">
        <v>1713.4866999999999</v>
      </c>
      <c r="J362" s="8">
        <v>-1.2826</v>
      </c>
      <c r="K362" s="7">
        <v>1.0093000000000001</v>
      </c>
      <c r="L362" s="7">
        <v>1.1253</v>
      </c>
      <c r="M362" s="8">
        <v>59.095399999999998</v>
      </c>
      <c r="N362" s="8">
        <v>21.1007</v>
      </c>
      <c r="O362" s="7">
        <v>22.398199999999999</v>
      </c>
      <c r="P362" s="7">
        <v>1818.2007000000001</v>
      </c>
      <c r="Q362" s="7">
        <v>1721.9293</v>
      </c>
      <c r="R362" s="7" t="str">
        <f t="shared" si="76"/>
        <v>Down</v>
      </c>
      <c r="S362" s="7" t="str">
        <f t="shared" si="77"/>
        <v>Hold</v>
      </c>
      <c r="T362" s="8">
        <f t="shared" si="78"/>
        <v>0.13772521631644</v>
      </c>
      <c r="U362" s="18">
        <f t="shared" si="79"/>
        <v>3474893</v>
      </c>
      <c r="V362" s="7">
        <f t="shared" si="80"/>
        <v>5586.2002000000002</v>
      </c>
      <c r="W362" s="7">
        <f t="shared" si="81"/>
        <v>1777.9</v>
      </c>
      <c r="X362" s="7">
        <f t="shared" si="82"/>
        <v>1777.9</v>
      </c>
      <c r="Y362" s="7">
        <f t="shared" si="83"/>
        <v>341</v>
      </c>
      <c r="Z362" s="7">
        <f t="shared" si="84"/>
        <v>1185701</v>
      </c>
      <c r="AA362" s="7" t="str">
        <f t="shared" si="85"/>
        <v>16-Dec-2022</v>
      </c>
      <c r="AB362" s="7">
        <f t="shared" si="86"/>
        <v>1777.9</v>
      </c>
      <c r="AC362" s="7">
        <f t="shared" si="90"/>
        <v>1</v>
      </c>
      <c r="AD362" s="7">
        <f t="shared" si="87"/>
        <v>2022</v>
      </c>
      <c r="AE362" s="19">
        <f t="shared" si="88"/>
        <v>-1.28</v>
      </c>
      <c r="BA362" s="10">
        <f t="shared" si="89"/>
        <v>80.523600000000002</v>
      </c>
    </row>
    <row r="363" spans="1:53" x14ac:dyDescent="0.3">
      <c r="A363" s="17">
        <v>44914</v>
      </c>
      <c r="B363" s="8">
        <v>1787.7</v>
      </c>
      <c r="C363" s="7">
        <v>1796.3</v>
      </c>
      <c r="D363" s="7">
        <v>1785.6</v>
      </c>
      <c r="E363" s="7">
        <v>1791.6</v>
      </c>
      <c r="F363" s="18">
        <v>79</v>
      </c>
      <c r="G363" s="7">
        <v>1792.0286000000001</v>
      </c>
      <c r="H363" s="7">
        <v>1760.8267000000001</v>
      </c>
      <c r="I363" s="7">
        <v>1713.4567</v>
      </c>
      <c r="J363" s="8">
        <v>0.77059999999999995</v>
      </c>
      <c r="K363" s="7">
        <v>1.0150999999999999</v>
      </c>
      <c r="L363" s="7">
        <v>1.1275999999999999</v>
      </c>
      <c r="M363" s="8">
        <v>62.224299999999999</v>
      </c>
      <c r="N363" s="8">
        <v>20.2988</v>
      </c>
      <c r="O363" s="7">
        <v>21.978300000000001</v>
      </c>
      <c r="P363" s="7">
        <v>1820.4351999999999</v>
      </c>
      <c r="Q363" s="7">
        <v>1722.5247999999999</v>
      </c>
      <c r="R363" s="7" t="str">
        <f t="shared" si="76"/>
        <v>Up</v>
      </c>
      <c r="S363" s="7" t="str">
        <f t="shared" si="77"/>
        <v>Hold</v>
      </c>
      <c r="T363" s="8">
        <f t="shared" si="78"/>
        <v>0.1394830445544554</v>
      </c>
      <c r="U363" s="18">
        <f t="shared" si="79"/>
        <v>3474687</v>
      </c>
      <c r="V363" s="7">
        <f t="shared" si="80"/>
        <v>5586.2002000000002</v>
      </c>
      <c r="W363" s="7">
        <f t="shared" si="81"/>
        <v>1785</v>
      </c>
      <c r="X363" s="7">
        <f t="shared" si="82"/>
        <v>1791.6</v>
      </c>
      <c r="Y363" s="7">
        <f t="shared" si="83"/>
        <v>341</v>
      </c>
      <c r="Z363" s="7">
        <f t="shared" si="84"/>
        <v>1185701</v>
      </c>
      <c r="AA363" s="7" t="str">
        <f t="shared" si="85"/>
        <v>19-Dec-2022</v>
      </c>
      <c r="AB363" s="7">
        <f t="shared" si="86"/>
        <v>1791.6</v>
      </c>
      <c r="AC363" s="7">
        <f t="shared" si="90"/>
        <v>1</v>
      </c>
      <c r="AD363" s="7">
        <f t="shared" si="87"/>
        <v>2022</v>
      </c>
      <c r="AE363" s="19">
        <f t="shared" si="88"/>
        <v>0.77</v>
      </c>
      <c r="BA363" s="10">
        <f t="shared" si="89"/>
        <v>80.523600000000002</v>
      </c>
    </row>
    <row r="364" spans="1:53" x14ac:dyDescent="0.3">
      <c r="A364" s="17">
        <v>44915</v>
      </c>
      <c r="B364" s="8">
        <v>1815.9</v>
      </c>
      <c r="C364" s="7">
        <v>1821.4</v>
      </c>
      <c r="D364" s="7">
        <v>1786.5</v>
      </c>
      <c r="E364" s="7">
        <v>1786.5</v>
      </c>
      <c r="F364" s="18">
        <v>51</v>
      </c>
      <c r="G364" s="7">
        <v>1790.8286000000001</v>
      </c>
      <c r="H364" s="7">
        <v>1764.48</v>
      </c>
      <c r="I364" s="7">
        <v>1713.4589000000001</v>
      </c>
      <c r="J364" s="8">
        <v>-0.28470000000000001</v>
      </c>
      <c r="K364" s="7">
        <v>0.97960000000000003</v>
      </c>
      <c r="L364" s="7">
        <v>1.0246</v>
      </c>
      <c r="M364" s="8">
        <v>59.160299999999999</v>
      </c>
      <c r="N364" s="8">
        <v>19.032399999999999</v>
      </c>
      <c r="O364" s="7">
        <v>21.389099999999999</v>
      </c>
      <c r="P364" s="7">
        <v>1820.7406000000001</v>
      </c>
      <c r="Q364" s="7">
        <v>1726.9694</v>
      </c>
      <c r="R364" s="7" t="str">
        <f t="shared" si="76"/>
        <v>Down</v>
      </c>
      <c r="S364" s="7" t="str">
        <f t="shared" si="77"/>
        <v>Hold</v>
      </c>
      <c r="T364" s="8">
        <f t="shared" si="78"/>
        <v>0.1387009913258983</v>
      </c>
      <c r="U364" s="18">
        <f t="shared" si="79"/>
        <v>3474608</v>
      </c>
      <c r="V364" s="7">
        <f t="shared" si="80"/>
        <v>5586.2002000000002</v>
      </c>
      <c r="W364" s="7">
        <f t="shared" si="81"/>
        <v>1785</v>
      </c>
      <c r="X364" s="7">
        <f t="shared" si="82"/>
        <v>1786.5</v>
      </c>
      <c r="Y364" s="7">
        <f t="shared" si="83"/>
        <v>340</v>
      </c>
      <c r="Z364" s="7">
        <f t="shared" si="84"/>
        <v>1185622</v>
      </c>
      <c r="AA364" s="7" t="str">
        <f t="shared" si="85"/>
        <v>20-Dec-2022</v>
      </c>
      <c r="AB364" s="7">
        <f t="shared" si="86"/>
        <v>1786.5</v>
      </c>
      <c r="AC364" s="7">
        <f t="shared" si="90"/>
        <v>1</v>
      </c>
      <c r="AD364" s="7">
        <f t="shared" si="87"/>
        <v>2022</v>
      </c>
      <c r="AE364" s="19">
        <f t="shared" si="88"/>
        <v>-0.28000000000000003</v>
      </c>
      <c r="BA364" s="10">
        <f t="shared" si="89"/>
        <v>80.523600000000002</v>
      </c>
    </row>
    <row r="365" spans="1:53" x14ac:dyDescent="0.3">
      <c r="A365" s="17">
        <v>44916</v>
      </c>
      <c r="B365" s="8">
        <v>1815.9</v>
      </c>
      <c r="C365" s="7">
        <v>1821.4</v>
      </c>
      <c r="D365" s="7">
        <v>1814.4</v>
      </c>
      <c r="E365" s="7">
        <v>1817.4</v>
      </c>
      <c r="F365" s="18">
        <v>35</v>
      </c>
      <c r="G365" s="7">
        <v>1795.1286</v>
      </c>
      <c r="H365" s="7">
        <v>1768.2867000000001</v>
      </c>
      <c r="I365" s="7">
        <v>1713.6632999999999</v>
      </c>
      <c r="J365" s="8">
        <v>1.7296</v>
      </c>
      <c r="K365" s="7">
        <v>1.1675</v>
      </c>
      <c r="L365" s="7">
        <v>1.0323</v>
      </c>
      <c r="M365" s="8">
        <v>61.0732</v>
      </c>
      <c r="N365" s="8">
        <v>20.2882</v>
      </c>
      <c r="O365" s="7">
        <v>21.168900000000001</v>
      </c>
      <c r="P365" s="7">
        <v>1825.8008</v>
      </c>
      <c r="Q365" s="7">
        <v>1729.4792</v>
      </c>
      <c r="R365" s="7" t="str">
        <f t="shared" si="76"/>
        <v>Up</v>
      </c>
      <c r="S365" s="7" t="str">
        <f t="shared" si="77"/>
        <v>Hold</v>
      </c>
      <c r="T365" s="8">
        <f t="shared" si="78"/>
        <v>0.13922630272952846</v>
      </c>
      <c r="U365" s="18">
        <f t="shared" si="79"/>
        <v>3474557</v>
      </c>
      <c r="V365" s="7">
        <f t="shared" si="80"/>
        <v>5586.2002000000002</v>
      </c>
      <c r="W365" s="7">
        <f t="shared" si="81"/>
        <v>1785</v>
      </c>
      <c r="X365" s="7">
        <f t="shared" si="82"/>
        <v>1817.4</v>
      </c>
      <c r="Y365" s="7">
        <f t="shared" si="83"/>
        <v>340</v>
      </c>
      <c r="Z365" s="7">
        <f t="shared" si="84"/>
        <v>1185622</v>
      </c>
      <c r="AA365" s="7" t="str">
        <f t="shared" si="85"/>
        <v>21-Dec-2022</v>
      </c>
      <c r="AB365" s="7">
        <f t="shared" si="86"/>
        <v>1817.4</v>
      </c>
      <c r="AC365" s="7">
        <f t="shared" si="90"/>
        <v>1</v>
      </c>
      <c r="AD365" s="7">
        <f t="shared" si="87"/>
        <v>2022</v>
      </c>
      <c r="AE365" s="19">
        <f t="shared" si="88"/>
        <v>1.73</v>
      </c>
      <c r="BA365" s="10">
        <f t="shared" si="89"/>
        <v>80.523600000000002</v>
      </c>
    </row>
    <row r="366" spans="1:53" x14ac:dyDescent="0.3">
      <c r="A366" s="17">
        <v>44917</v>
      </c>
      <c r="B366" s="8">
        <v>1787</v>
      </c>
      <c r="C366" s="7">
        <v>1818.1</v>
      </c>
      <c r="D366" s="7">
        <v>1785</v>
      </c>
      <c r="E366" s="7">
        <v>1818.1</v>
      </c>
      <c r="F366" s="18">
        <v>411</v>
      </c>
      <c r="G366" s="7">
        <v>1800.4713999999999</v>
      </c>
      <c r="H366" s="7">
        <v>1771.9766999999999</v>
      </c>
      <c r="I366" s="7">
        <v>1714.1156000000001</v>
      </c>
      <c r="J366" s="8">
        <v>3.85E-2</v>
      </c>
      <c r="K366" s="7">
        <v>1.1416999999999999</v>
      </c>
      <c r="L366" s="7">
        <v>1.0327999999999999</v>
      </c>
      <c r="M366" s="8">
        <v>54.297899999999998</v>
      </c>
      <c r="N366" s="8">
        <v>21.096800000000002</v>
      </c>
      <c r="O366" s="7">
        <v>21.154499999999999</v>
      </c>
      <c r="P366" s="7">
        <v>1829.0242000000001</v>
      </c>
      <c r="Q366" s="7">
        <v>1734.4158</v>
      </c>
      <c r="R366" s="7" t="str">
        <f t="shared" si="76"/>
        <v>Up</v>
      </c>
      <c r="S366" s="7" t="str">
        <f t="shared" si="77"/>
        <v>Hold</v>
      </c>
      <c r="T366" s="8">
        <f t="shared" si="78"/>
        <v>0.13725068322981357</v>
      </c>
      <c r="U366" s="18">
        <f t="shared" si="79"/>
        <v>3474522</v>
      </c>
      <c r="V366" s="7">
        <f t="shared" si="80"/>
        <v>5586.2002000000002</v>
      </c>
      <c r="W366" s="7">
        <f t="shared" si="81"/>
        <v>1785</v>
      </c>
      <c r="X366" s="7">
        <f t="shared" si="82"/>
        <v>1818.1</v>
      </c>
      <c r="Y366" s="7">
        <f t="shared" si="83"/>
        <v>339</v>
      </c>
      <c r="Z366" s="7">
        <f t="shared" si="84"/>
        <v>1185587</v>
      </c>
      <c r="AA366" s="7" t="str">
        <f t="shared" si="85"/>
        <v>22-Dec-2022</v>
      </c>
      <c r="AB366" s="7">
        <f t="shared" si="86"/>
        <v>1818.1</v>
      </c>
      <c r="AC366" s="7">
        <f t="shared" si="90"/>
        <v>1</v>
      </c>
      <c r="AD366" s="7">
        <f t="shared" si="87"/>
        <v>2022</v>
      </c>
      <c r="AE366" s="19">
        <f t="shared" si="88"/>
        <v>0.04</v>
      </c>
      <c r="BA366" s="10">
        <f t="shared" si="89"/>
        <v>80.523600000000002</v>
      </c>
    </row>
    <row r="367" spans="1:53" x14ac:dyDescent="0.3">
      <c r="A367" s="17">
        <v>44918</v>
      </c>
      <c r="B367" s="8">
        <v>1795.9</v>
      </c>
      <c r="C367" s="7">
        <v>1802.8</v>
      </c>
      <c r="D367" s="7">
        <v>1794.1</v>
      </c>
      <c r="E367" s="7">
        <v>1794.3</v>
      </c>
      <c r="F367" s="18">
        <v>49</v>
      </c>
      <c r="G367" s="7">
        <v>1798.1143</v>
      </c>
      <c r="H367" s="7">
        <v>1774.8467000000001</v>
      </c>
      <c r="I367" s="7">
        <v>1714.3888999999999</v>
      </c>
      <c r="J367" s="8">
        <v>-1.3090999999999999</v>
      </c>
      <c r="K367" s="7">
        <v>1.0961000000000001</v>
      </c>
      <c r="L367" s="7">
        <v>1.0693999999999999</v>
      </c>
      <c r="M367" s="8">
        <v>49.658200000000001</v>
      </c>
      <c r="N367" s="8">
        <v>19.5913</v>
      </c>
      <c r="O367" s="7">
        <v>20.841899999999999</v>
      </c>
      <c r="P367" s="7">
        <v>1829.3855000000001</v>
      </c>
      <c r="Q367" s="7">
        <v>1738.1845000000001</v>
      </c>
      <c r="R367" s="7" t="str">
        <f t="shared" si="76"/>
        <v>Down</v>
      </c>
      <c r="S367" s="7" t="str">
        <f t="shared" si="77"/>
        <v>Hold</v>
      </c>
      <c r="T367" s="8">
        <f t="shared" si="78"/>
        <v>0.13737350746268648</v>
      </c>
      <c r="U367" s="18">
        <f t="shared" si="79"/>
        <v>3474111</v>
      </c>
      <c r="V367" s="7">
        <f t="shared" si="80"/>
        <v>5586.2002000000002</v>
      </c>
      <c r="W367" s="7">
        <f t="shared" si="81"/>
        <v>1794.1</v>
      </c>
      <c r="X367" s="7">
        <f t="shared" si="82"/>
        <v>1794.3</v>
      </c>
      <c r="Y367" s="7">
        <f t="shared" si="83"/>
        <v>338</v>
      </c>
      <c r="Z367" s="7">
        <f t="shared" si="84"/>
        <v>1185176</v>
      </c>
      <c r="AA367" s="7" t="str">
        <f t="shared" si="85"/>
        <v>23-Dec-2022</v>
      </c>
      <c r="AB367" s="7">
        <f t="shared" si="86"/>
        <v>1794.3</v>
      </c>
      <c r="AC367" s="7">
        <f t="shared" si="90"/>
        <v>1</v>
      </c>
      <c r="AD367" s="7">
        <f t="shared" si="87"/>
        <v>2022</v>
      </c>
      <c r="AE367" s="19">
        <f t="shared" si="88"/>
        <v>-1.31</v>
      </c>
      <c r="BA367" s="10">
        <f t="shared" si="89"/>
        <v>80.523600000000002</v>
      </c>
    </row>
    <row r="368" spans="1:53" x14ac:dyDescent="0.3">
      <c r="A368" s="17">
        <v>44922</v>
      </c>
      <c r="B368" s="8">
        <v>1814.8</v>
      </c>
      <c r="C368" s="7">
        <v>1826.3</v>
      </c>
      <c r="D368" s="7">
        <v>1803.4</v>
      </c>
      <c r="E368" s="7">
        <v>1803.4</v>
      </c>
      <c r="F368" s="18">
        <v>69</v>
      </c>
      <c r="G368" s="7">
        <v>1798.4572000000001</v>
      </c>
      <c r="H368" s="7">
        <v>1776.1667</v>
      </c>
      <c r="I368" s="7">
        <v>1714.8389</v>
      </c>
      <c r="J368" s="8">
        <v>0.50719999999999998</v>
      </c>
      <c r="K368" s="7">
        <v>1.1014999999999999</v>
      </c>
      <c r="L368" s="7">
        <v>0.90039999999999998</v>
      </c>
      <c r="M368" s="8">
        <v>59.314799999999998</v>
      </c>
      <c r="N368" s="8">
        <v>18.914400000000001</v>
      </c>
      <c r="O368" s="7">
        <v>20.456399999999999</v>
      </c>
      <c r="P368" s="7">
        <v>1828.6011000000001</v>
      </c>
      <c r="Q368" s="7">
        <v>1745.1789000000001</v>
      </c>
      <c r="R368" s="7" t="str">
        <f t="shared" si="76"/>
        <v>Down</v>
      </c>
      <c r="S368" s="7" t="str">
        <f t="shared" si="77"/>
        <v>Hold</v>
      </c>
      <c r="T368" s="8">
        <f t="shared" si="78"/>
        <v>0.13917484433374838</v>
      </c>
      <c r="U368" s="18">
        <f t="shared" si="79"/>
        <v>3474062</v>
      </c>
      <c r="V368" s="7">
        <f t="shared" si="80"/>
        <v>5586.2002000000002</v>
      </c>
      <c r="W368" s="7">
        <f t="shared" si="81"/>
        <v>1803.1</v>
      </c>
      <c r="X368" s="7">
        <f t="shared" si="82"/>
        <v>1803.4</v>
      </c>
      <c r="Y368" s="7">
        <f t="shared" si="83"/>
        <v>338</v>
      </c>
      <c r="Z368" s="7">
        <f t="shared" si="84"/>
        <v>1185176</v>
      </c>
      <c r="AA368" s="7" t="str">
        <f t="shared" si="85"/>
        <v>27-Dec-2022</v>
      </c>
      <c r="AB368" s="7">
        <f t="shared" si="86"/>
        <v>1803.4</v>
      </c>
      <c r="AC368" s="7">
        <f t="shared" si="90"/>
        <v>1</v>
      </c>
      <c r="AD368" s="7">
        <f t="shared" si="87"/>
        <v>2022</v>
      </c>
      <c r="AE368" s="19">
        <f t="shared" si="88"/>
        <v>0.51</v>
      </c>
      <c r="BA368" s="10">
        <f t="shared" si="89"/>
        <v>80.523600000000002</v>
      </c>
    </row>
    <row r="369" spans="1:53" x14ac:dyDescent="0.3">
      <c r="A369" s="17">
        <v>44923</v>
      </c>
      <c r="B369" s="8">
        <v>1807.9</v>
      </c>
      <c r="C369" s="7">
        <v>1807.9</v>
      </c>
      <c r="D369" s="7">
        <v>1803.1</v>
      </c>
      <c r="E369" s="7">
        <v>1803.2</v>
      </c>
      <c r="F369" s="18">
        <v>434</v>
      </c>
      <c r="G369" s="7">
        <v>1802.0714</v>
      </c>
      <c r="H369" s="7">
        <v>1777.54</v>
      </c>
      <c r="I369" s="7">
        <v>1715.3888999999999</v>
      </c>
      <c r="J369" s="8">
        <v>-1.11E-2</v>
      </c>
      <c r="K369" s="7">
        <v>0.94359999999999999</v>
      </c>
      <c r="L369" s="7">
        <v>0.89990000000000003</v>
      </c>
      <c r="M369" s="8">
        <v>59.098199999999999</v>
      </c>
      <c r="N369" s="8">
        <v>18.1526</v>
      </c>
      <c r="O369" s="7">
        <v>19.9956</v>
      </c>
      <c r="P369" s="7">
        <v>1825.8562999999999</v>
      </c>
      <c r="Q369" s="7">
        <v>1754.2936999999999</v>
      </c>
      <c r="R369" s="7" t="str">
        <f t="shared" si="76"/>
        <v>Down</v>
      </c>
      <c r="S369" s="7" t="str">
        <f t="shared" si="77"/>
        <v>Hold</v>
      </c>
      <c r="T369" s="8">
        <f t="shared" si="78"/>
        <v>0.1387159600997506</v>
      </c>
      <c r="U369" s="18">
        <f t="shared" si="79"/>
        <v>3473993</v>
      </c>
      <c r="V369" s="7">
        <f t="shared" si="80"/>
        <v>5586.2002000000002</v>
      </c>
      <c r="W369" s="7">
        <f t="shared" si="81"/>
        <v>1803.1</v>
      </c>
      <c r="X369" s="7">
        <f t="shared" si="82"/>
        <v>1803.2</v>
      </c>
      <c r="Y369" s="7">
        <f t="shared" si="83"/>
        <v>338</v>
      </c>
      <c r="Z369" s="7">
        <f t="shared" si="84"/>
        <v>1185176</v>
      </c>
      <c r="AA369" s="7" t="str">
        <f t="shared" si="85"/>
        <v>28-Dec-2022</v>
      </c>
      <c r="AB369" s="7">
        <f t="shared" si="86"/>
        <v>1803.2</v>
      </c>
      <c r="AC369" s="7">
        <f t="shared" si="90"/>
        <v>1</v>
      </c>
      <c r="AD369" s="7">
        <f t="shared" si="87"/>
        <v>2022</v>
      </c>
      <c r="AE369" s="19">
        <f t="shared" si="88"/>
        <v>-0.01</v>
      </c>
      <c r="BA369" s="10">
        <f t="shared" si="89"/>
        <v>80.523600000000002</v>
      </c>
    </row>
    <row r="370" spans="1:53" x14ac:dyDescent="0.3">
      <c r="A370" s="17">
        <v>44924</v>
      </c>
      <c r="B370" s="8">
        <v>1819.5</v>
      </c>
      <c r="C370" s="7">
        <v>1819.5</v>
      </c>
      <c r="D370" s="7">
        <v>1805.8</v>
      </c>
      <c r="E370" s="7">
        <v>1805.8</v>
      </c>
      <c r="F370" s="18">
        <v>277</v>
      </c>
      <c r="G370" s="7">
        <v>1804.1</v>
      </c>
      <c r="H370" s="7">
        <v>1778.7067</v>
      </c>
      <c r="I370" s="7">
        <v>1716.1143999999999</v>
      </c>
      <c r="J370" s="8">
        <v>0.14419999999999999</v>
      </c>
      <c r="K370" s="7">
        <v>0.91020000000000001</v>
      </c>
      <c r="L370" s="7">
        <v>0.89659999999999995</v>
      </c>
      <c r="M370" s="8">
        <v>56.753700000000002</v>
      </c>
      <c r="N370" s="8">
        <v>17.5563</v>
      </c>
      <c r="O370" s="7">
        <v>19.5077</v>
      </c>
      <c r="P370" s="7">
        <v>1823.3967</v>
      </c>
      <c r="Q370" s="7">
        <v>1762.5234</v>
      </c>
      <c r="R370" s="7" t="str">
        <f t="shared" si="76"/>
        <v>Down</v>
      </c>
      <c r="S370" s="7" t="str">
        <f t="shared" si="77"/>
        <v>Hold</v>
      </c>
      <c r="T370" s="8">
        <f t="shared" si="78"/>
        <v>0.13890299625468161</v>
      </c>
      <c r="U370" s="18">
        <f t="shared" si="79"/>
        <v>3473559</v>
      </c>
      <c r="V370" s="7">
        <f t="shared" si="80"/>
        <v>5586.2002000000002</v>
      </c>
      <c r="W370" s="7">
        <f t="shared" si="81"/>
        <v>1805.8</v>
      </c>
      <c r="X370" s="7">
        <f t="shared" si="82"/>
        <v>1805.8</v>
      </c>
      <c r="Y370" s="7">
        <f t="shared" si="83"/>
        <v>338</v>
      </c>
      <c r="Z370" s="7">
        <f t="shared" si="84"/>
        <v>1185176</v>
      </c>
      <c r="AA370" s="7" t="str">
        <f t="shared" si="85"/>
        <v>29-Dec-2022</v>
      </c>
      <c r="AB370" s="7">
        <f t="shared" si="86"/>
        <v>1805.8</v>
      </c>
      <c r="AC370" s="7">
        <f t="shared" si="90"/>
        <v>1</v>
      </c>
      <c r="AD370" s="7">
        <f t="shared" si="87"/>
        <v>2022</v>
      </c>
      <c r="AE370" s="19">
        <f t="shared" si="88"/>
        <v>0.14000000000000001</v>
      </c>
      <c r="BA370" s="10">
        <f t="shared" si="89"/>
        <v>80.523600000000002</v>
      </c>
    </row>
    <row r="371" spans="1:53" x14ac:dyDescent="0.3">
      <c r="A371" s="17">
        <v>44925</v>
      </c>
      <c r="B371" s="8">
        <v>1819.7</v>
      </c>
      <c r="C371" s="7">
        <v>1822.3</v>
      </c>
      <c r="D371" s="7">
        <v>1816.8</v>
      </c>
      <c r="E371" s="7">
        <v>1817</v>
      </c>
      <c r="F371" s="18">
        <v>95</v>
      </c>
      <c r="G371" s="7">
        <v>1808.4572000000001</v>
      </c>
      <c r="H371" s="7">
        <v>1780.0533</v>
      </c>
      <c r="I371" s="7">
        <v>1716.9921999999999</v>
      </c>
      <c r="J371" s="8">
        <v>0.62019999999999997</v>
      </c>
      <c r="K371" s="7">
        <v>0.90800000000000003</v>
      </c>
      <c r="L371" s="7">
        <v>0.90100000000000002</v>
      </c>
      <c r="M371" s="8">
        <v>56.3324</v>
      </c>
      <c r="N371" s="8">
        <v>17.782399999999999</v>
      </c>
      <c r="O371" s="7">
        <v>19.162700000000001</v>
      </c>
      <c r="P371" s="7">
        <v>1825.3683000000001</v>
      </c>
      <c r="Q371" s="7">
        <v>1765.3818000000001</v>
      </c>
      <c r="R371" s="7" t="str">
        <f t="shared" si="76"/>
        <v>Down</v>
      </c>
      <c r="S371" s="7" t="str">
        <f t="shared" si="77"/>
        <v>Hold</v>
      </c>
      <c r="T371" s="8">
        <f t="shared" si="78"/>
        <v>0.13889637499999996</v>
      </c>
      <c r="U371" s="18">
        <f t="shared" si="79"/>
        <v>3473282</v>
      </c>
      <c r="V371" s="7">
        <f t="shared" si="80"/>
        <v>5586.2002000000002</v>
      </c>
      <c r="W371" s="7">
        <f t="shared" si="81"/>
        <v>1808.1</v>
      </c>
      <c r="X371" s="7">
        <f t="shared" si="82"/>
        <v>1817</v>
      </c>
      <c r="Y371" s="7">
        <f t="shared" si="83"/>
        <v>338</v>
      </c>
      <c r="Z371" s="7">
        <f t="shared" si="84"/>
        <v>1185176</v>
      </c>
      <c r="AA371" s="7" t="str">
        <f t="shared" si="85"/>
        <v>30-Dec-2022</v>
      </c>
      <c r="AB371" s="7">
        <f t="shared" si="86"/>
        <v>1817</v>
      </c>
      <c r="AC371" s="7">
        <f t="shared" si="90"/>
        <v>1</v>
      </c>
      <c r="AD371" s="7">
        <f t="shared" si="87"/>
        <v>2022</v>
      </c>
      <c r="AE371" s="19">
        <f t="shared" si="88"/>
        <v>0.62</v>
      </c>
      <c r="BA371" s="10">
        <f t="shared" si="89"/>
        <v>80.523600000000002</v>
      </c>
    </row>
    <row r="372" spans="1:53" x14ac:dyDescent="0.3">
      <c r="A372" s="17">
        <v>44929</v>
      </c>
      <c r="B372" s="8">
        <v>1839.7</v>
      </c>
      <c r="C372" s="7">
        <v>1839.7</v>
      </c>
      <c r="D372" s="7">
        <v>1836.2</v>
      </c>
      <c r="E372" s="7">
        <v>1836.2</v>
      </c>
      <c r="F372" s="18">
        <v>29</v>
      </c>
      <c r="G372" s="7">
        <v>1811.1429000000001</v>
      </c>
      <c r="H372" s="7">
        <v>1782.4933000000001</v>
      </c>
      <c r="I372" s="7">
        <v>1718.0056</v>
      </c>
      <c r="J372" s="8">
        <v>1.0567</v>
      </c>
      <c r="K372" s="7">
        <v>0.74590000000000001</v>
      </c>
      <c r="L372" s="7">
        <v>0.90359999999999996</v>
      </c>
      <c r="M372" s="8">
        <v>63.138100000000001</v>
      </c>
      <c r="N372" s="8">
        <v>19.288599999999999</v>
      </c>
      <c r="O372" s="7">
        <v>19.187899999999999</v>
      </c>
      <c r="P372" s="7">
        <v>1832.1410000000001</v>
      </c>
      <c r="Q372" s="7">
        <v>1762.029</v>
      </c>
      <c r="R372" s="7" t="str">
        <f t="shared" si="76"/>
        <v>Down</v>
      </c>
      <c r="S372" s="7" t="str">
        <f t="shared" si="77"/>
        <v>Hold</v>
      </c>
      <c r="T372" s="8">
        <f t="shared" si="78"/>
        <v>0.13829399249061322</v>
      </c>
      <c r="U372" s="18">
        <f t="shared" si="79"/>
        <v>3473187</v>
      </c>
      <c r="V372" s="7">
        <f t="shared" si="80"/>
        <v>5586.2002000000002</v>
      </c>
      <c r="W372" s="7">
        <f t="shared" si="81"/>
        <v>1808.1</v>
      </c>
      <c r="X372" s="7">
        <f t="shared" si="82"/>
        <v>1836.2</v>
      </c>
      <c r="Y372" s="7">
        <f t="shared" si="83"/>
        <v>338</v>
      </c>
      <c r="Z372" s="7">
        <f t="shared" si="84"/>
        <v>1185176</v>
      </c>
      <c r="AA372" s="7" t="str">
        <f t="shared" si="85"/>
        <v>03-Jan-2023</v>
      </c>
      <c r="AB372" s="7">
        <f t="shared" si="86"/>
        <v>1836.2</v>
      </c>
      <c r="AC372" s="7">
        <f t="shared" si="90"/>
        <v>1</v>
      </c>
      <c r="AD372" s="7">
        <f t="shared" si="87"/>
        <v>2023</v>
      </c>
      <c r="AE372" s="19">
        <f t="shared" si="88"/>
        <v>1.06</v>
      </c>
      <c r="BA372" s="10">
        <f t="shared" si="89"/>
        <v>80.523600000000002</v>
      </c>
    </row>
    <row r="373" spans="1:53" x14ac:dyDescent="0.3">
      <c r="A373" s="17">
        <v>44930</v>
      </c>
      <c r="B373" s="8">
        <v>1852.8</v>
      </c>
      <c r="C373" s="7">
        <v>1859.1</v>
      </c>
      <c r="D373" s="7">
        <v>1845.6</v>
      </c>
      <c r="E373" s="7">
        <v>1845.6</v>
      </c>
      <c r="F373" s="18">
        <v>25</v>
      </c>
      <c r="G373" s="7">
        <v>1815.0714</v>
      </c>
      <c r="H373" s="7">
        <v>1785.2366999999999</v>
      </c>
      <c r="I373" s="7">
        <v>1718.9389000000001</v>
      </c>
      <c r="J373" s="8">
        <v>0.51190000000000002</v>
      </c>
      <c r="K373" s="7">
        <v>0.75549999999999995</v>
      </c>
      <c r="L373" s="7">
        <v>0.90580000000000005</v>
      </c>
      <c r="M373" s="8">
        <v>67.178399999999996</v>
      </c>
      <c r="N373" s="8">
        <v>20.998699999999999</v>
      </c>
      <c r="O373" s="7">
        <v>19.55</v>
      </c>
      <c r="P373" s="7">
        <v>1840.7846999999999</v>
      </c>
      <c r="Q373" s="7">
        <v>1758.3752999999999</v>
      </c>
      <c r="R373" s="7" t="str">
        <f t="shared" si="76"/>
        <v>Down</v>
      </c>
      <c r="S373" s="7" t="str">
        <f t="shared" si="77"/>
        <v>Hold</v>
      </c>
      <c r="T373" s="8">
        <f t="shared" si="78"/>
        <v>0.13714310776942343</v>
      </c>
      <c r="U373" s="18">
        <f t="shared" si="79"/>
        <v>3473158</v>
      </c>
      <c r="V373" s="7">
        <f t="shared" si="80"/>
        <v>5586.2002000000002</v>
      </c>
      <c r="W373" s="7">
        <f t="shared" si="81"/>
        <v>1808.1</v>
      </c>
      <c r="X373" s="7">
        <f t="shared" si="82"/>
        <v>1845.6</v>
      </c>
      <c r="Y373" s="7">
        <f t="shared" si="83"/>
        <v>338</v>
      </c>
      <c r="Z373" s="7">
        <f t="shared" si="84"/>
        <v>1185176</v>
      </c>
      <c r="AA373" s="7" t="str">
        <f t="shared" si="85"/>
        <v>04-Jan-2023</v>
      </c>
      <c r="AB373" s="7">
        <f t="shared" si="86"/>
        <v>1845.6</v>
      </c>
      <c r="AC373" s="7">
        <f t="shared" si="90"/>
        <v>1</v>
      </c>
      <c r="AD373" s="7">
        <f t="shared" si="87"/>
        <v>2023</v>
      </c>
      <c r="AE373" s="19">
        <f t="shared" si="88"/>
        <v>0.51</v>
      </c>
      <c r="BA373" s="10">
        <f t="shared" si="89"/>
        <v>80.523600000000002</v>
      </c>
    </row>
    <row r="374" spans="1:53" x14ac:dyDescent="0.3">
      <c r="A374" s="17">
        <v>44931</v>
      </c>
      <c r="B374" s="8">
        <v>1834.8</v>
      </c>
      <c r="C374" s="7">
        <v>1855.2</v>
      </c>
      <c r="D374" s="7">
        <v>1834.8</v>
      </c>
      <c r="E374" s="7">
        <v>1855.2</v>
      </c>
      <c r="F374" s="18">
        <v>24</v>
      </c>
      <c r="G374" s="7">
        <v>1823.7714000000001</v>
      </c>
      <c r="H374" s="7">
        <v>1789.11</v>
      </c>
      <c r="I374" s="7">
        <v>1720.0633</v>
      </c>
      <c r="J374" s="8">
        <v>0.5202</v>
      </c>
      <c r="K374" s="7">
        <v>0.34389999999999998</v>
      </c>
      <c r="L374" s="7">
        <v>0.86009999999999998</v>
      </c>
      <c r="M374" s="8">
        <v>63.182899999999997</v>
      </c>
      <c r="N374" s="8">
        <v>22.864999999999998</v>
      </c>
      <c r="O374" s="7">
        <v>20.213000000000001</v>
      </c>
      <c r="P374" s="7">
        <v>1849.3864000000001</v>
      </c>
      <c r="Q374" s="7">
        <v>1758.4336000000001</v>
      </c>
      <c r="R374" s="7" t="str">
        <f t="shared" si="76"/>
        <v>Up</v>
      </c>
      <c r="S374" s="7" t="str">
        <f t="shared" si="77"/>
        <v>Hold</v>
      </c>
      <c r="T374" s="8">
        <f t="shared" si="78"/>
        <v>0.13667289836888322</v>
      </c>
      <c r="U374" s="18">
        <f t="shared" si="79"/>
        <v>3473133</v>
      </c>
      <c r="V374" s="7">
        <f t="shared" si="80"/>
        <v>5586.2002000000002</v>
      </c>
      <c r="W374" s="7">
        <f t="shared" si="81"/>
        <v>1808.1</v>
      </c>
      <c r="X374" s="7">
        <f t="shared" si="82"/>
        <v>1855.2</v>
      </c>
      <c r="Y374" s="7">
        <f t="shared" si="83"/>
        <v>338</v>
      </c>
      <c r="Z374" s="7">
        <f t="shared" si="84"/>
        <v>1185176</v>
      </c>
      <c r="AA374" s="7" t="str">
        <f t="shared" si="85"/>
        <v>05-Jan-2023</v>
      </c>
      <c r="AB374" s="7">
        <f t="shared" si="86"/>
        <v>1855.2</v>
      </c>
      <c r="AC374" s="7">
        <f t="shared" si="90"/>
        <v>1</v>
      </c>
      <c r="AD374" s="7">
        <f t="shared" si="87"/>
        <v>2023</v>
      </c>
      <c r="AE374" s="19">
        <f t="shared" si="88"/>
        <v>0.52</v>
      </c>
      <c r="BA374" s="10">
        <f t="shared" si="89"/>
        <v>80.523600000000002</v>
      </c>
    </row>
    <row r="375" spans="1:53" x14ac:dyDescent="0.3">
      <c r="A375" s="17">
        <v>44932</v>
      </c>
      <c r="B375" s="8">
        <v>1864.2</v>
      </c>
      <c r="C375" s="7">
        <v>1868.2</v>
      </c>
      <c r="D375" s="7">
        <v>1835.3</v>
      </c>
      <c r="E375" s="7">
        <v>1838.4</v>
      </c>
      <c r="F375" s="18">
        <v>26</v>
      </c>
      <c r="G375" s="7">
        <v>1828.7714000000001</v>
      </c>
      <c r="H375" s="7">
        <v>1792.3333</v>
      </c>
      <c r="I375" s="7">
        <v>1721.2411</v>
      </c>
      <c r="J375" s="8">
        <v>-0.90559999999999996</v>
      </c>
      <c r="K375" s="7">
        <v>0.62439999999999996</v>
      </c>
      <c r="L375" s="7">
        <v>0.88419999999999999</v>
      </c>
      <c r="M375" s="8">
        <v>60.6614</v>
      </c>
      <c r="N375" s="8">
        <v>22.726500000000001</v>
      </c>
      <c r="O375" s="7">
        <v>20.715699999999998</v>
      </c>
      <c r="P375" s="7">
        <v>1852.2660000000001</v>
      </c>
      <c r="Q375" s="7">
        <v>1762.4639999999999</v>
      </c>
      <c r="R375" s="7" t="str">
        <f t="shared" si="76"/>
        <v>Down</v>
      </c>
      <c r="S375" s="7" t="str">
        <f t="shared" si="77"/>
        <v>Hold</v>
      </c>
      <c r="T375" s="8">
        <f t="shared" si="78"/>
        <v>0.13619108040200992</v>
      </c>
      <c r="U375" s="18">
        <f t="shared" si="79"/>
        <v>3473109</v>
      </c>
      <c r="V375" s="7">
        <f t="shared" si="80"/>
        <v>5586.2002000000002</v>
      </c>
      <c r="W375" s="7">
        <f t="shared" si="81"/>
        <v>1808.1</v>
      </c>
      <c r="X375" s="7">
        <f t="shared" si="82"/>
        <v>1838.4</v>
      </c>
      <c r="Y375" s="7">
        <f t="shared" si="83"/>
        <v>337</v>
      </c>
      <c r="Z375" s="7">
        <f t="shared" si="84"/>
        <v>1185152</v>
      </c>
      <c r="AA375" s="7" t="str">
        <f t="shared" si="85"/>
        <v>06-Jan-2023</v>
      </c>
      <c r="AB375" s="7">
        <f t="shared" si="86"/>
        <v>1838.4</v>
      </c>
      <c r="AC375" s="7">
        <f t="shared" si="90"/>
        <v>1</v>
      </c>
      <c r="AD375" s="7">
        <f t="shared" si="87"/>
        <v>2023</v>
      </c>
      <c r="AE375" s="19">
        <f t="shared" si="88"/>
        <v>-0.91</v>
      </c>
      <c r="BA375" s="10">
        <f t="shared" si="89"/>
        <v>80.523600000000002</v>
      </c>
    </row>
    <row r="376" spans="1:53" x14ac:dyDescent="0.3">
      <c r="A376" s="17">
        <v>44935</v>
      </c>
      <c r="B376" s="8">
        <v>1872.7</v>
      </c>
      <c r="C376" s="7">
        <v>1880</v>
      </c>
      <c r="D376" s="7">
        <v>1867</v>
      </c>
      <c r="E376" s="7">
        <v>1867</v>
      </c>
      <c r="F376" s="18">
        <v>62</v>
      </c>
      <c r="G376" s="7">
        <v>1837.8857</v>
      </c>
      <c r="H376" s="7">
        <v>1796.6832999999999</v>
      </c>
      <c r="I376" s="7">
        <v>1722.6922</v>
      </c>
      <c r="J376" s="8">
        <v>1.5557000000000001</v>
      </c>
      <c r="K376" s="7">
        <v>0.76829999999999998</v>
      </c>
      <c r="L376" s="7">
        <v>0.91369999999999996</v>
      </c>
      <c r="M376" s="8">
        <v>74.626900000000006</v>
      </c>
      <c r="N376" s="8">
        <v>24.640499999999999</v>
      </c>
      <c r="O376" s="7">
        <v>21.500699999999998</v>
      </c>
      <c r="P376" s="7">
        <v>1862.1451999999999</v>
      </c>
      <c r="Q376" s="7">
        <v>1761.0848000000001</v>
      </c>
      <c r="R376" s="7" t="str">
        <f t="shared" si="76"/>
        <v>Down</v>
      </c>
      <c r="S376" s="7" t="str">
        <f t="shared" si="77"/>
        <v>Sell</v>
      </c>
      <c r="T376" s="8">
        <f t="shared" si="78"/>
        <v>0.13750150943396214</v>
      </c>
      <c r="U376" s="18">
        <f t="shared" si="79"/>
        <v>3473083</v>
      </c>
      <c r="V376" s="7">
        <f t="shared" si="80"/>
        <v>5586.2002000000002</v>
      </c>
      <c r="W376" s="7">
        <f t="shared" si="81"/>
        <v>1808.1</v>
      </c>
      <c r="X376" s="7">
        <f t="shared" si="82"/>
        <v>1867</v>
      </c>
      <c r="Y376" s="7">
        <f t="shared" si="83"/>
        <v>337</v>
      </c>
      <c r="Z376" s="7">
        <f t="shared" si="84"/>
        <v>1185152</v>
      </c>
      <c r="AA376" s="7" t="str">
        <f t="shared" si="85"/>
        <v>09-Jan-2023</v>
      </c>
      <c r="AB376" s="7">
        <f t="shared" si="86"/>
        <v>1867</v>
      </c>
      <c r="AC376" s="7">
        <f t="shared" si="90"/>
        <v>1</v>
      </c>
      <c r="AD376" s="7">
        <f t="shared" si="87"/>
        <v>2023</v>
      </c>
      <c r="AE376" s="19">
        <f t="shared" si="88"/>
        <v>1.56</v>
      </c>
      <c r="BA376" s="10">
        <f t="shared" si="89"/>
        <v>80.523600000000002</v>
      </c>
    </row>
    <row r="377" spans="1:53" x14ac:dyDescent="0.3">
      <c r="A377" s="17">
        <v>44936</v>
      </c>
      <c r="B377" s="8">
        <v>1871.6</v>
      </c>
      <c r="C377" s="7">
        <v>1878.1</v>
      </c>
      <c r="D377" s="7">
        <v>1871.6</v>
      </c>
      <c r="E377" s="7">
        <v>1877.8</v>
      </c>
      <c r="F377" s="18">
        <v>101</v>
      </c>
      <c r="G377" s="7">
        <v>1848.1713999999999</v>
      </c>
      <c r="H377" s="7">
        <v>1800.8433</v>
      </c>
      <c r="I377" s="7">
        <v>1724.4644000000001</v>
      </c>
      <c r="J377" s="8">
        <v>0.57850000000000001</v>
      </c>
      <c r="K377" s="7">
        <v>0.75209999999999999</v>
      </c>
      <c r="L377" s="7">
        <v>0.90629999999999999</v>
      </c>
      <c r="M377" s="8">
        <v>74.213499999999996</v>
      </c>
      <c r="N377" s="8">
        <v>26.720800000000001</v>
      </c>
      <c r="O377" s="7">
        <v>22.544699999999999</v>
      </c>
      <c r="P377" s="7">
        <v>1873.5903000000001</v>
      </c>
      <c r="Q377" s="7">
        <v>1757.9296999999999</v>
      </c>
      <c r="R377" s="7" t="str">
        <f t="shared" si="76"/>
        <v>Up</v>
      </c>
      <c r="S377" s="7" t="str">
        <f t="shared" si="77"/>
        <v>Sell</v>
      </c>
      <c r="T377" s="8">
        <f t="shared" si="78"/>
        <v>0.13571536523929459</v>
      </c>
      <c r="U377" s="18">
        <f t="shared" si="79"/>
        <v>3473021</v>
      </c>
      <c r="V377" s="7">
        <f t="shared" si="80"/>
        <v>5586.2002000000002</v>
      </c>
      <c r="W377" s="7">
        <f t="shared" si="81"/>
        <v>1808.1</v>
      </c>
      <c r="X377" s="7">
        <f t="shared" si="82"/>
        <v>1877.8</v>
      </c>
      <c r="Y377" s="7">
        <f t="shared" si="83"/>
        <v>337</v>
      </c>
      <c r="Z377" s="7">
        <f t="shared" si="84"/>
        <v>1185152</v>
      </c>
      <c r="AA377" s="7" t="str">
        <f t="shared" si="85"/>
        <v>10-Jan-2023</v>
      </c>
      <c r="AB377" s="7">
        <f t="shared" si="86"/>
        <v>1877.8</v>
      </c>
      <c r="AC377" s="7">
        <f t="shared" si="90"/>
        <v>1</v>
      </c>
      <c r="AD377" s="7">
        <f t="shared" si="87"/>
        <v>2023</v>
      </c>
      <c r="AE377" s="19">
        <f t="shared" si="88"/>
        <v>0.57999999999999996</v>
      </c>
      <c r="BA377" s="10">
        <f t="shared" si="89"/>
        <v>80.523600000000002</v>
      </c>
    </row>
    <row r="378" spans="1:53" x14ac:dyDescent="0.3">
      <c r="A378" s="17">
        <v>44937</v>
      </c>
      <c r="B378" s="8">
        <v>1874.6</v>
      </c>
      <c r="C378" s="7">
        <v>1877.8</v>
      </c>
      <c r="D378" s="7">
        <v>1873.1</v>
      </c>
      <c r="E378" s="7">
        <v>1873.1</v>
      </c>
      <c r="F378" s="18">
        <v>1236</v>
      </c>
      <c r="G378" s="7">
        <v>1856.1857</v>
      </c>
      <c r="H378" s="7">
        <v>1805.2366999999999</v>
      </c>
      <c r="I378" s="7">
        <v>1726.3</v>
      </c>
      <c r="J378" s="8">
        <v>-0.25030000000000002</v>
      </c>
      <c r="K378" s="7">
        <v>0.81059999999999999</v>
      </c>
      <c r="L378" s="7">
        <v>0.89510000000000001</v>
      </c>
      <c r="M378" s="8">
        <v>74.380600000000001</v>
      </c>
      <c r="N378" s="8">
        <v>27.671199999999999</v>
      </c>
      <c r="O378" s="7">
        <v>23.57</v>
      </c>
      <c r="P378" s="7">
        <v>1881.6008999999999</v>
      </c>
      <c r="Q378" s="7">
        <v>1758.4991</v>
      </c>
      <c r="R378" s="7" t="str">
        <f t="shared" si="76"/>
        <v>Down</v>
      </c>
      <c r="S378" s="7" t="str">
        <f t="shared" si="77"/>
        <v>Sell</v>
      </c>
      <c r="T378" s="8">
        <f t="shared" si="78"/>
        <v>0.13515699873896583</v>
      </c>
      <c r="U378" s="18">
        <f t="shared" si="79"/>
        <v>3472920</v>
      </c>
      <c r="V378" s="7">
        <f t="shared" si="80"/>
        <v>5586.2002000000002</v>
      </c>
      <c r="W378" s="7">
        <f t="shared" si="81"/>
        <v>1808.1</v>
      </c>
      <c r="X378" s="7">
        <f t="shared" si="82"/>
        <v>1873.1</v>
      </c>
      <c r="Y378" s="7">
        <f t="shared" si="83"/>
        <v>336</v>
      </c>
      <c r="Z378" s="7">
        <f t="shared" si="84"/>
        <v>1185051</v>
      </c>
      <c r="AA378" s="7" t="str">
        <f t="shared" si="85"/>
        <v>11-Jan-2023</v>
      </c>
      <c r="AB378" s="7">
        <f t="shared" si="86"/>
        <v>1873.1</v>
      </c>
      <c r="AC378" s="7">
        <f t="shared" si="90"/>
        <v>1</v>
      </c>
      <c r="AD378" s="7">
        <f t="shared" si="87"/>
        <v>2023</v>
      </c>
      <c r="AE378" s="19">
        <f t="shared" si="88"/>
        <v>-0.25</v>
      </c>
      <c r="BA378" s="10">
        <f t="shared" si="89"/>
        <v>80.523600000000002</v>
      </c>
    </row>
    <row r="379" spans="1:53" x14ac:dyDescent="0.3">
      <c r="A379" s="17">
        <v>44938</v>
      </c>
      <c r="B379" s="8">
        <v>1895.5</v>
      </c>
      <c r="C379" s="7">
        <v>1897.4</v>
      </c>
      <c r="D379" s="7">
        <v>1877.2</v>
      </c>
      <c r="E379" s="7">
        <v>1877.2</v>
      </c>
      <c r="F379" s="18">
        <v>59</v>
      </c>
      <c r="G379" s="7">
        <v>1862.0427999999999</v>
      </c>
      <c r="H379" s="7">
        <v>1809.8267000000001</v>
      </c>
      <c r="I379" s="7">
        <v>1728.2311</v>
      </c>
      <c r="J379" s="8">
        <v>0.21890000000000001</v>
      </c>
      <c r="K379" s="7">
        <v>0.76459999999999995</v>
      </c>
      <c r="L379" s="7">
        <v>0.89270000000000005</v>
      </c>
      <c r="M379" s="8">
        <v>69.827600000000004</v>
      </c>
      <c r="N379" s="8">
        <v>28.427499999999998</v>
      </c>
      <c r="O379" s="7">
        <v>24.541499999999999</v>
      </c>
      <c r="P379" s="7">
        <v>1888.5311999999999</v>
      </c>
      <c r="Q379" s="7">
        <v>1761.2188000000001</v>
      </c>
      <c r="R379" s="7" t="str">
        <f t="shared" si="76"/>
        <v>Down</v>
      </c>
      <c r="S379" s="7" t="str">
        <f t="shared" si="77"/>
        <v>Hold</v>
      </c>
      <c r="T379" s="8">
        <f t="shared" si="78"/>
        <v>0.13564368686868677</v>
      </c>
      <c r="U379" s="18">
        <f t="shared" si="79"/>
        <v>3471684</v>
      </c>
      <c r="V379" s="7">
        <f t="shared" si="80"/>
        <v>5586.2002000000002</v>
      </c>
      <c r="W379" s="7">
        <f t="shared" si="81"/>
        <v>1808.1</v>
      </c>
      <c r="X379" s="7">
        <f t="shared" si="82"/>
        <v>1877.2</v>
      </c>
      <c r="Y379" s="7">
        <f t="shared" si="83"/>
        <v>336</v>
      </c>
      <c r="Z379" s="7">
        <f t="shared" si="84"/>
        <v>1185051</v>
      </c>
      <c r="AA379" s="7" t="str">
        <f t="shared" si="85"/>
        <v>12-Jan-2023</v>
      </c>
      <c r="AB379" s="7">
        <f t="shared" si="86"/>
        <v>1877.2</v>
      </c>
      <c r="AC379" s="7">
        <f t="shared" si="90"/>
        <v>1</v>
      </c>
      <c r="AD379" s="7">
        <f t="shared" si="87"/>
        <v>2023</v>
      </c>
      <c r="AE379" s="19">
        <f t="shared" si="88"/>
        <v>0.22</v>
      </c>
      <c r="BA379" s="10">
        <f t="shared" si="89"/>
        <v>80.523600000000002</v>
      </c>
    </row>
    <row r="380" spans="1:53" x14ac:dyDescent="0.3">
      <c r="A380" s="17">
        <v>44939</v>
      </c>
      <c r="B380" s="8">
        <v>1918.4</v>
      </c>
      <c r="C380" s="7">
        <v>1920.9</v>
      </c>
      <c r="D380" s="7">
        <v>1898.3</v>
      </c>
      <c r="E380" s="7">
        <v>1899</v>
      </c>
      <c r="F380" s="18">
        <v>512</v>
      </c>
      <c r="G380" s="7">
        <v>1869.6713999999999</v>
      </c>
      <c r="H380" s="7">
        <v>1814.8567</v>
      </c>
      <c r="I380" s="7">
        <v>1730.3344</v>
      </c>
      <c r="J380" s="8">
        <v>1.1613</v>
      </c>
      <c r="K380" s="7">
        <v>0.82869999999999999</v>
      </c>
      <c r="L380" s="7">
        <v>0.90700000000000003</v>
      </c>
      <c r="M380" s="8">
        <v>73.531099999999995</v>
      </c>
      <c r="N380" s="8">
        <v>30.435199999999998</v>
      </c>
      <c r="O380" s="7">
        <v>25.720199999999998</v>
      </c>
      <c r="P380" s="7">
        <v>1900.596</v>
      </c>
      <c r="Q380" s="7">
        <v>1757.9739999999999</v>
      </c>
      <c r="R380" s="7" t="str">
        <f t="shared" si="76"/>
        <v>Down</v>
      </c>
      <c r="S380" s="7" t="str">
        <f t="shared" si="77"/>
        <v>Sell</v>
      </c>
      <c r="T380" s="8">
        <f t="shared" si="78"/>
        <v>0.13553843236409599</v>
      </c>
      <c r="U380" s="18">
        <f t="shared" si="79"/>
        <v>3471625</v>
      </c>
      <c r="V380" s="7">
        <f t="shared" si="80"/>
        <v>5586.2002000000002</v>
      </c>
      <c r="W380" s="7">
        <f t="shared" si="81"/>
        <v>1808.1</v>
      </c>
      <c r="X380" s="7">
        <f t="shared" si="82"/>
        <v>1899</v>
      </c>
      <c r="Y380" s="7">
        <f t="shared" si="83"/>
        <v>336</v>
      </c>
      <c r="Z380" s="7">
        <f t="shared" si="84"/>
        <v>1185051</v>
      </c>
      <c r="AA380" s="7" t="str">
        <f t="shared" si="85"/>
        <v>13-Jan-2023</v>
      </c>
      <c r="AB380" s="7">
        <f t="shared" si="86"/>
        <v>1899</v>
      </c>
      <c r="AC380" s="7">
        <f t="shared" si="90"/>
        <v>1</v>
      </c>
      <c r="AD380" s="7">
        <f t="shared" si="87"/>
        <v>2023</v>
      </c>
      <c r="AE380" s="19">
        <f t="shared" si="88"/>
        <v>1.1599999999999999</v>
      </c>
      <c r="BA380" s="10">
        <f t="shared" si="89"/>
        <v>80.523600000000002</v>
      </c>
    </row>
    <row r="381" spans="1:53" x14ac:dyDescent="0.3">
      <c r="A381" s="17">
        <v>44943</v>
      </c>
      <c r="B381" s="8">
        <v>1907.2</v>
      </c>
      <c r="C381" s="7">
        <v>1920.1</v>
      </c>
      <c r="D381" s="7">
        <v>1905.2</v>
      </c>
      <c r="E381" s="7">
        <v>1920.1</v>
      </c>
      <c r="F381" s="18">
        <v>706</v>
      </c>
      <c r="G381" s="7">
        <v>1878.9429</v>
      </c>
      <c r="H381" s="7">
        <v>1819.9032999999999</v>
      </c>
      <c r="I381" s="7">
        <v>1732.8378</v>
      </c>
      <c r="J381" s="8">
        <v>1.1111</v>
      </c>
      <c r="K381" s="7">
        <v>0.87070000000000003</v>
      </c>
      <c r="L381" s="7">
        <v>0.90469999999999995</v>
      </c>
      <c r="M381" s="8">
        <v>87.174899999999994</v>
      </c>
      <c r="N381" s="8">
        <v>33.344499999999996</v>
      </c>
      <c r="O381" s="7">
        <v>27.245100000000001</v>
      </c>
      <c r="P381" s="7">
        <v>1915.8860999999999</v>
      </c>
      <c r="Q381" s="7">
        <v>1754.5939000000001</v>
      </c>
      <c r="R381" s="7" t="str">
        <f t="shared" si="76"/>
        <v>Up</v>
      </c>
      <c r="S381" s="7" t="str">
        <f t="shared" si="77"/>
        <v>Sell</v>
      </c>
      <c r="T381" s="8">
        <f t="shared" si="78"/>
        <v>0.13423999999999991</v>
      </c>
      <c r="U381" s="18">
        <f t="shared" si="79"/>
        <v>3471113</v>
      </c>
      <c r="V381" s="7">
        <f t="shared" si="80"/>
        <v>5586.2002000000002</v>
      </c>
      <c r="W381" s="7">
        <f t="shared" si="81"/>
        <v>1808.1</v>
      </c>
      <c r="X381" s="7">
        <f t="shared" si="82"/>
        <v>1920.1</v>
      </c>
      <c r="Y381" s="7">
        <f t="shared" si="83"/>
        <v>336</v>
      </c>
      <c r="Z381" s="7">
        <f t="shared" si="84"/>
        <v>1185051</v>
      </c>
      <c r="AA381" s="7" t="str">
        <f t="shared" si="85"/>
        <v>17-Jan-2023</v>
      </c>
      <c r="AB381" s="7">
        <f t="shared" si="86"/>
        <v>1920.1</v>
      </c>
      <c r="AC381" s="7">
        <f t="shared" si="90"/>
        <v>1</v>
      </c>
      <c r="AD381" s="7">
        <f t="shared" si="87"/>
        <v>2023</v>
      </c>
      <c r="AE381" s="19">
        <f t="shared" si="88"/>
        <v>1.1100000000000001</v>
      </c>
      <c r="BA381" s="10">
        <f t="shared" si="89"/>
        <v>80.523600000000002</v>
      </c>
    </row>
    <row r="382" spans="1:53" x14ac:dyDescent="0.3">
      <c r="A382" s="17">
        <v>44944</v>
      </c>
      <c r="B382" s="8">
        <v>1904.4</v>
      </c>
      <c r="C382" s="7">
        <v>1911.1</v>
      </c>
      <c r="D382" s="7">
        <v>1903.1</v>
      </c>
      <c r="E382" s="7">
        <v>1911.1</v>
      </c>
      <c r="F382" s="18">
        <v>1027</v>
      </c>
      <c r="G382" s="7">
        <v>1889.3286000000001</v>
      </c>
      <c r="H382" s="7">
        <v>1823.54</v>
      </c>
      <c r="I382" s="7">
        <v>1734.9811</v>
      </c>
      <c r="J382" s="8">
        <v>-0.46870000000000001</v>
      </c>
      <c r="K382" s="7">
        <v>0.76249999999999996</v>
      </c>
      <c r="L382" s="7">
        <v>0.86180000000000001</v>
      </c>
      <c r="M382" s="8">
        <v>81.844999999999999</v>
      </c>
      <c r="N382" s="8">
        <v>34.5259</v>
      </c>
      <c r="O382" s="7">
        <v>28.7012</v>
      </c>
      <c r="P382" s="7">
        <v>1924.5824</v>
      </c>
      <c r="Q382" s="7">
        <v>1759.2175999999999</v>
      </c>
      <c r="R382" s="7" t="str">
        <f t="shared" si="76"/>
        <v>Up</v>
      </c>
      <c r="S382" s="7" t="str">
        <f t="shared" si="77"/>
        <v>Sell</v>
      </c>
      <c r="T382" s="8">
        <f t="shared" si="78"/>
        <v>0.1330019011406843</v>
      </c>
      <c r="U382" s="18">
        <f t="shared" si="79"/>
        <v>3470407</v>
      </c>
      <c r="V382" s="7">
        <f t="shared" si="80"/>
        <v>5586.2002000000002</v>
      </c>
      <c r="W382" s="7">
        <f t="shared" si="81"/>
        <v>1808.1</v>
      </c>
      <c r="X382" s="7">
        <f t="shared" si="82"/>
        <v>1911.1</v>
      </c>
      <c r="Y382" s="7">
        <f t="shared" si="83"/>
        <v>335</v>
      </c>
      <c r="Z382" s="7">
        <f t="shared" si="84"/>
        <v>1184345</v>
      </c>
      <c r="AA382" s="7" t="str">
        <f t="shared" si="85"/>
        <v>18-Jan-2023</v>
      </c>
      <c r="AB382" s="7">
        <f t="shared" si="86"/>
        <v>1911.1</v>
      </c>
      <c r="AC382" s="7">
        <f t="shared" si="90"/>
        <v>1</v>
      </c>
      <c r="AD382" s="7">
        <f t="shared" si="87"/>
        <v>2023</v>
      </c>
      <c r="AE382" s="19">
        <f t="shared" si="88"/>
        <v>-0.47</v>
      </c>
      <c r="BA382" s="10">
        <f t="shared" si="89"/>
        <v>80.523600000000002</v>
      </c>
    </row>
    <row r="383" spans="1:53" x14ac:dyDescent="0.3">
      <c r="A383" s="17">
        <v>44945</v>
      </c>
      <c r="B383" s="8">
        <v>1922.1</v>
      </c>
      <c r="C383" s="7">
        <v>1931.8</v>
      </c>
      <c r="D383" s="7">
        <v>1922.1</v>
      </c>
      <c r="E383" s="7">
        <v>1922.1</v>
      </c>
      <c r="F383" s="18">
        <v>371</v>
      </c>
      <c r="G383" s="7">
        <v>1897.2</v>
      </c>
      <c r="H383" s="7">
        <v>1827.7533000000001</v>
      </c>
      <c r="I383" s="7">
        <v>1737.2356</v>
      </c>
      <c r="J383" s="8">
        <v>0.5756</v>
      </c>
      <c r="K383" s="7">
        <v>0.62660000000000005</v>
      </c>
      <c r="L383" s="7">
        <v>0.85799999999999998</v>
      </c>
      <c r="M383" s="8">
        <v>83.046099999999996</v>
      </c>
      <c r="N383" s="8">
        <v>35.935499999999998</v>
      </c>
      <c r="O383" s="7">
        <v>30.148099999999999</v>
      </c>
      <c r="P383" s="7">
        <v>1934.9038</v>
      </c>
      <c r="Q383" s="7">
        <v>1761.9462000000001</v>
      </c>
      <c r="R383" s="7" t="str">
        <f t="shared" si="76"/>
        <v>Down</v>
      </c>
      <c r="S383" s="7" t="str">
        <f t="shared" si="77"/>
        <v>Sell</v>
      </c>
      <c r="T383" s="8">
        <f t="shared" si="78"/>
        <v>0.13376548223350246</v>
      </c>
      <c r="U383" s="18">
        <f t="shared" si="79"/>
        <v>3469380</v>
      </c>
      <c r="V383" s="7">
        <f t="shared" si="80"/>
        <v>5586.2002000000002</v>
      </c>
      <c r="W383" s="7">
        <f t="shared" si="81"/>
        <v>1808.1</v>
      </c>
      <c r="X383" s="7">
        <f t="shared" si="82"/>
        <v>1922.1</v>
      </c>
      <c r="Y383" s="7">
        <f t="shared" si="83"/>
        <v>334</v>
      </c>
      <c r="Z383" s="7">
        <f t="shared" si="84"/>
        <v>1183318</v>
      </c>
      <c r="AA383" s="7" t="str">
        <f t="shared" si="85"/>
        <v>19-Jan-2023</v>
      </c>
      <c r="AB383" s="7">
        <f t="shared" si="86"/>
        <v>1922.1</v>
      </c>
      <c r="AC383" s="7">
        <f t="shared" si="90"/>
        <v>1</v>
      </c>
      <c r="AD383" s="7">
        <f t="shared" si="87"/>
        <v>2023</v>
      </c>
      <c r="AE383" s="19">
        <f t="shared" si="88"/>
        <v>0.57999999999999996</v>
      </c>
      <c r="BA383" s="10">
        <f t="shared" si="89"/>
        <v>80.523600000000002</v>
      </c>
    </row>
    <row r="384" spans="1:53" x14ac:dyDescent="0.3">
      <c r="A384" s="17">
        <v>44946</v>
      </c>
      <c r="B384" s="8">
        <v>1926.4</v>
      </c>
      <c r="C384" s="7">
        <v>1928.5</v>
      </c>
      <c r="D384" s="7">
        <v>1921.4</v>
      </c>
      <c r="E384" s="7">
        <v>1922.1</v>
      </c>
      <c r="F384" s="18">
        <v>1346</v>
      </c>
      <c r="G384" s="7">
        <v>1903.5284999999999</v>
      </c>
      <c r="H384" s="7">
        <v>1832.87</v>
      </c>
      <c r="I384" s="7">
        <v>1739.3988999999999</v>
      </c>
      <c r="J384" s="8">
        <v>0</v>
      </c>
      <c r="K384" s="7">
        <v>0.64</v>
      </c>
      <c r="L384" s="7">
        <v>0.79430000000000001</v>
      </c>
      <c r="M384" s="8">
        <v>82.797499999999999</v>
      </c>
      <c r="N384" s="8">
        <v>36.630400000000002</v>
      </c>
      <c r="O384" s="7">
        <v>31.444600000000001</v>
      </c>
      <c r="P384" s="7">
        <v>1942.5001999999999</v>
      </c>
      <c r="Q384" s="7">
        <v>1767.9097999999999</v>
      </c>
      <c r="R384" s="7" t="str">
        <f t="shared" si="76"/>
        <v>Down</v>
      </c>
      <c r="S384" s="7" t="str">
        <f t="shared" si="77"/>
        <v>Sell</v>
      </c>
      <c r="T384" s="8">
        <f t="shared" si="78"/>
        <v>0.1332040660736975</v>
      </c>
      <c r="U384" s="18">
        <f t="shared" si="79"/>
        <v>3469009</v>
      </c>
      <c r="V384" s="7">
        <f t="shared" si="80"/>
        <v>5586.2002000000002</v>
      </c>
      <c r="W384" s="7">
        <f t="shared" si="81"/>
        <v>1808.1</v>
      </c>
      <c r="X384" s="7">
        <f t="shared" si="82"/>
        <v>1922.1</v>
      </c>
      <c r="Y384" s="7">
        <f t="shared" si="83"/>
        <v>334</v>
      </c>
      <c r="Z384" s="7">
        <f t="shared" si="84"/>
        <v>1183318</v>
      </c>
      <c r="AA384" s="7" t="str">
        <f t="shared" si="85"/>
        <v>20-Jan-2023</v>
      </c>
      <c r="AB384" s="7">
        <f t="shared" si="86"/>
        <v>1922.1</v>
      </c>
      <c r="AC384" s="7">
        <f t="shared" si="90"/>
        <v>1</v>
      </c>
      <c r="AD384" s="7">
        <f t="shared" si="87"/>
        <v>2023</v>
      </c>
      <c r="AE384" s="19">
        <f t="shared" si="88"/>
        <v>0</v>
      </c>
      <c r="BA384" s="10">
        <f t="shared" si="89"/>
        <v>80.523600000000002</v>
      </c>
    </row>
    <row r="385" spans="1:53" x14ac:dyDescent="0.3">
      <c r="A385" s="17">
        <v>44949</v>
      </c>
      <c r="B385" s="8">
        <v>1927.1</v>
      </c>
      <c r="C385" s="7">
        <v>1927.1</v>
      </c>
      <c r="D385" s="7">
        <v>1915</v>
      </c>
      <c r="E385" s="7">
        <v>1926.5</v>
      </c>
      <c r="F385" s="18">
        <v>218</v>
      </c>
      <c r="G385" s="7">
        <v>1911.1570999999999</v>
      </c>
      <c r="H385" s="7">
        <v>1838.11</v>
      </c>
      <c r="I385" s="7">
        <v>1741.6877999999999</v>
      </c>
      <c r="J385" s="8">
        <v>0.22889999999999999</v>
      </c>
      <c r="K385" s="7">
        <v>0.59060000000000001</v>
      </c>
      <c r="L385" s="7">
        <v>0.79310000000000003</v>
      </c>
      <c r="M385" s="8">
        <v>82.111400000000003</v>
      </c>
      <c r="N385" s="8">
        <v>37.108400000000003</v>
      </c>
      <c r="O385" s="7">
        <v>32.577300000000001</v>
      </c>
      <c r="P385" s="7">
        <v>1951.5686000000001</v>
      </c>
      <c r="Q385" s="7">
        <v>1769.7514000000001</v>
      </c>
      <c r="R385" s="7" t="str">
        <f t="shared" si="76"/>
        <v>Down</v>
      </c>
      <c r="S385" s="7" t="str">
        <f t="shared" si="77"/>
        <v>Sell</v>
      </c>
      <c r="T385" s="8">
        <f t="shared" si="78"/>
        <v>0.13337353689567422</v>
      </c>
      <c r="U385" s="18">
        <f t="shared" si="79"/>
        <v>3467663</v>
      </c>
      <c r="V385" s="7">
        <f t="shared" si="80"/>
        <v>5586.2002000000002</v>
      </c>
      <c r="W385" s="7">
        <f t="shared" si="81"/>
        <v>1808.1</v>
      </c>
      <c r="X385" s="7">
        <f t="shared" si="82"/>
        <v>1926.5</v>
      </c>
      <c r="Y385" s="7">
        <f t="shared" si="83"/>
        <v>334</v>
      </c>
      <c r="Z385" s="7">
        <f t="shared" si="84"/>
        <v>1183318</v>
      </c>
      <c r="AA385" s="7" t="str">
        <f t="shared" si="85"/>
        <v>23-Jan-2023</v>
      </c>
      <c r="AB385" s="7">
        <f t="shared" si="86"/>
        <v>1926.5</v>
      </c>
      <c r="AC385" s="7">
        <f t="shared" si="90"/>
        <v>1</v>
      </c>
      <c r="AD385" s="7">
        <f t="shared" si="87"/>
        <v>2023</v>
      </c>
      <c r="AE385" s="19">
        <f t="shared" si="88"/>
        <v>0.23</v>
      </c>
      <c r="BA385" s="10">
        <f t="shared" si="89"/>
        <v>80.523600000000002</v>
      </c>
    </row>
    <row r="386" spans="1:53" x14ac:dyDescent="0.3">
      <c r="A386" s="17">
        <v>44950</v>
      </c>
      <c r="B386" s="8">
        <v>1933.9</v>
      </c>
      <c r="C386" s="7">
        <v>1936.8</v>
      </c>
      <c r="D386" s="7">
        <v>1931.8</v>
      </c>
      <c r="E386" s="7">
        <v>1931.8</v>
      </c>
      <c r="F386" s="18">
        <v>201</v>
      </c>
      <c r="G386" s="7">
        <v>1918.9571000000001</v>
      </c>
      <c r="H386" s="7">
        <v>1843.1033</v>
      </c>
      <c r="I386" s="7">
        <v>1744.2778000000001</v>
      </c>
      <c r="J386" s="8">
        <v>0.27510000000000001</v>
      </c>
      <c r="K386" s="7">
        <v>0.58799999999999997</v>
      </c>
      <c r="L386" s="7">
        <v>0.78890000000000005</v>
      </c>
      <c r="M386" s="8">
        <v>80.523600000000002</v>
      </c>
      <c r="N386" s="8">
        <v>37.482799999999997</v>
      </c>
      <c r="O386" s="7">
        <v>33.558399999999999</v>
      </c>
      <c r="P386" s="7">
        <v>1960.2194</v>
      </c>
      <c r="Q386" s="7">
        <v>1772.4704999999999</v>
      </c>
      <c r="R386" s="7" t="str">
        <f t="shared" si="76"/>
        <v>Down</v>
      </c>
      <c r="S386" s="7" t="str">
        <f t="shared" si="77"/>
        <v>Sell</v>
      </c>
      <c r="T386" s="8">
        <f t="shared" si="78"/>
        <v>0.13325184713375784</v>
      </c>
      <c r="U386" s="18">
        <f t="shared" si="79"/>
        <v>3467445</v>
      </c>
      <c r="V386" s="7">
        <f t="shared" si="80"/>
        <v>5586.2002000000002</v>
      </c>
      <c r="W386" s="7">
        <f t="shared" si="81"/>
        <v>1808.1</v>
      </c>
      <c r="X386" s="7">
        <f t="shared" si="82"/>
        <v>1931.8</v>
      </c>
      <c r="Y386" s="7">
        <f t="shared" si="83"/>
        <v>334</v>
      </c>
      <c r="Z386" s="7">
        <f t="shared" si="84"/>
        <v>1183318</v>
      </c>
      <c r="AA386" s="7" t="str">
        <f t="shared" si="85"/>
        <v>24-Jan-2023</v>
      </c>
      <c r="AB386" s="7">
        <f t="shared" si="86"/>
        <v>1931.8</v>
      </c>
      <c r="AC386" s="7">
        <f t="shared" si="90"/>
        <v>1</v>
      </c>
      <c r="AD386" s="7">
        <f t="shared" si="87"/>
        <v>2023</v>
      </c>
      <c r="AE386" s="19">
        <f t="shared" si="88"/>
        <v>0.28000000000000003</v>
      </c>
      <c r="BA386" s="10">
        <f t="shared" si="89"/>
        <v>80.523600000000002</v>
      </c>
    </row>
    <row r="387" spans="1:53" x14ac:dyDescent="0.3">
      <c r="A387" s="17">
        <v>44951</v>
      </c>
      <c r="B387" s="8">
        <v>1941.2</v>
      </c>
      <c r="C387" s="7">
        <v>1941.2</v>
      </c>
      <c r="D387" s="7">
        <v>1939.8</v>
      </c>
      <c r="E387" s="7">
        <v>1941.2</v>
      </c>
      <c r="F387" s="18">
        <v>7</v>
      </c>
      <c r="G387" s="7">
        <v>1924.9857</v>
      </c>
      <c r="H387" s="7">
        <v>1847.98</v>
      </c>
      <c r="I387" s="7">
        <v>1747.1188999999999</v>
      </c>
      <c r="J387" s="8">
        <v>0.48659999999999998</v>
      </c>
      <c r="K387" s="7">
        <v>0.49220000000000003</v>
      </c>
      <c r="L387" s="7">
        <v>0.78539999999999999</v>
      </c>
      <c r="M387" s="8">
        <v>80.523600000000002</v>
      </c>
      <c r="N387" s="8">
        <v>38.0989</v>
      </c>
      <c r="O387" s="7">
        <v>34.466500000000003</v>
      </c>
      <c r="P387" s="7">
        <v>1966.8144</v>
      </c>
      <c r="Q387" s="7">
        <v>1780.5654999999999</v>
      </c>
      <c r="R387" s="7" t="str">
        <f t="shared" ref="R387:R450" si="91">IF(E387&gt;B387,"Up","Down")</f>
        <v>Down</v>
      </c>
      <c r="S387" s="7" t="str">
        <f t="shared" ref="S387:S450" si="92">IF(M387&gt;70,"Sell",IF(M387&lt;30,"Buy","Hold"))</f>
        <v>Sell</v>
      </c>
      <c r="T387" s="8">
        <f t="shared" ref="T387:T450" si="93">AVERAGE(J387:J1555)</f>
        <v>0.13307091836734683</v>
      </c>
      <c r="U387" s="18">
        <f t="shared" ref="U387:U450" si="94">SUM(F387:F1555)</f>
        <v>3467244</v>
      </c>
      <c r="V387" s="7">
        <f t="shared" ref="V387:V450" si="95">MAX(C387:C1555)</f>
        <v>5586.2002000000002</v>
      </c>
      <c r="W387" s="7">
        <f t="shared" ref="W387:W450" si="96">MIN(D387:D1555)</f>
        <v>1808.1</v>
      </c>
      <c r="X387" s="7">
        <f t="shared" ref="X387:X450" si="97">INDEX(E387:E1555,MATCH(A387,A387:A1555,0))</f>
        <v>1941.2</v>
      </c>
      <c r="Y387" s="7">
        <f t="shared" ref="Y387:Y450" si="98">COUNTIF(R387:R1555,"Up")</f>
        <v>334</v>
      </c>
      <c r="Z387" s="7">
        <f t="shared" ref="Z387:Z450" si="99">SUMIF(R387:R1555,"Up",F387:F1555)</f>
        <v>1183318</v>
      </c>
      <c r="AA387" s="7" t="str">
        <f t="shared" ref="AA387:AA450" si="100">TEXT(A387,"DD-MMM-YYYY")</f>
        <v>25-Jan-2023</v>
      </c>
      <c r="AB387" s="7">
        <f t="shared" ref="AB387:AB450" si="101">_xlfn.XLOOKUP(A387,A387:A1555,E387:E1555)</f>
        <v>1941.2</v>
      </c>
      <c r="AC387" s="7">
        <f t="shared" si="90"/>
        <v>1</v>
      </c>
      <c r="AD387" s="7">
        <f t="shared" ref="AD387:AD450" si="102">YEAR(A387)</f>
        <v>2023</v>
      </c>
      <c r="AE387" s="19">
        <f t="shared" ref="AE387:AE450" si="103">ROUND(J387,2)</f>
        <v>0.49</v>
      </c>
      <c r="BA387" s="10">
        <f t="shared" ref="BA387:BA450" si="104">MODE(M387:M1555)</f>
        <v>26.997800000000002</v>
      </c>
    </row>
    <row r="388" spans="1:53" x14ac:dyDescent="0.3">
      <c r="A388" s="17">
        <v>44952</v>
      </c>
      <c r="B388" s="8">
        <v>1929.1</v>
      </c>
      <c r="C388" s="7">
        <v>1937.1</v>
      </c>
      <c r="D388" s="7">
        <v>1927.1</v>
      </c>
      <c r="E388" s="7">
        <v>1936.6</v>
      </c>
      <c r="F388" s="18">
        <v>131</v>
      </c>
      <c r="G388" s="7">
        <v>1927.3427999999999</v>
      </c>
      <c r="H388" s="7">
        <v>1852.9567</v>
      </c>
      <c r="I388" s="7">
        <v>1750.1877999999999</v>
      </c>
      <c r="J388" s="8">
        <v>-0.23699999999999999</v>
      </c>
      <c r="K388" s="7">
        <v>0.38</v>
      </c>
      <c r="L388" s="7">
        <v>0.78049999999999997</v>
      </c>
      <c r="M388" s="8">
        <v>76.846999999999994</v>
      </c>
      <c r="N388" s="8">
        <v>37.7804</v>
      </c>
      <c r="O388" s="7">
        <v>35.129300000000001</v>
      </c>
      <c r="P388" s="7">
        <v>1971.336</v>
      </c>
      <c r="Q388" s="7">
        <v>1789.364</v>
      </c>
      <c r="R388" s="7" t="str">
        <f t="shared" si="91"/>
        <v>Up</v>
      </c>
      <c r="S388" s="7" t="str">
        <f t="shared" si="92"/>
        <v>Sell</v>
      </c>
      <c r="T388" s="8">
        <f t="shared" si="93"/>
        <v>0.1326194125159641</v>
      </c>
      <c r="U388" s="18">
        <f t="shared" si="94"/>
        <v>3467237</v>
      </c>
      <c r="V388" s="7">
        <f t="shared" si="95"/>
        <v>5586.2002000000002</v>
      </c>
      <c r="W388" s="7">
        <f t="shared" si="96"/>
        <v>1808.1</v>
      </c>
      <c r="X388" s="7">
        <f t="shared" si="97"/>
        <v>1936.6</v>
      </c>
      <c r="Y388" s="7">
        <f t="shared" si="98"/>
        <v>334</v>
      </c>
      <c r="Z388" s="7">
        <f t="shared" si="99"/>
        <v>1183318</v>
      </c>
      <c r="AA388" s="7" t="str">
        <f t="shared" si="100"/>
        <v>26-Jan-2023</v>
      </c>
      <c r="AB388" s="7">
        <f t="shared" si="101"/>
        <v>1936.6</v>
      </c>
      <c r="AC388" s="7">
        <f t="shared" si="90"/>
        <v>1</v>
      </c>
      <c r="AD388" s="7">
        <f t="shared" si="102"/>
        <v>2023</v>
      </c>
      <c r="AE388" s="19">
        <f t="shared" si="103"/>
        <v>-0.24</v>
      </c>
      <c r="BA388" s="10">
        <f t="shared" si="104"/>
        <v>26.997800000000002</v>
      </c>
    </row>
    <row r="389" spans="1:53" x14ac:dyDescent="0.3">
      <c r="A389" s="17">
        <v>44953</v>
      </c>
      <c r="B389" s="8">
        <v>1928.6</v>
      </c>
      <c r="C389" s="7">
        <v>1928.6</v>
      </c>
      <c r="D389" s="7">
        <v>1928.6</v>
      </c>
      <c r="E389" s="7">
        <v>1928.6</v>
      </c>
      <c r="F389" s="18">
        <v>150902</v>
      </c>
      <c r="G389" s="7">
        <v>1929.8427999999999</v>
      </c>
      <c r="H389" s="7">
        <v>1857.8867</v>
      </c>
      <c r="I389" s="7">
        <v>1753.1522</v>
      </c>
      <c r="J389" s="8">
        <v>-0.41310000000000002</v>
      </c>
      <c r="K389" s="7">
        <v>0.36580000000000001</v>
      </c>
      <c r="L389" s="7">
        <v>0.78180000000000005</v>
      </c>
      <c r="M389" s="8">
        <v>81.582599999999999</v>
      </c>
      <c r="N389" s="8">
        <v>36.462200000000003</v>
      </c>
      <c r="O389" s="7">
        <v>35.395899999999997</v>
      </c>
      <c r="P389" s="7">
        <v>1972.3518999999999</v>
      </c>
      <c r="Q389" s="7">
        <v>1800.8880999999999</v>
      </c>
      <c r="R389" s="7" t="str">
        <f t="shared" si="91"/>
        <v>Down</v>
      </c>
      <c r="S389" s="7" t="str">
        <f t="shared" si="92"/>
        <v>Sell</v>
      </c>
      <c r="T389" s="8">
        <f t="shared" si="93"/>
        <v>0.13309207161125308</v>
      </c>
      <c r="U389" s="18">
        <f t="shared" si="94"/>
        <v>3467106</v>
      </c>
      <c r="V389" s="7">
        <f t="shared" si="95"/>
        <v>5586.2002000000002</v>
      </c>
      <c r="W389" s="7">
        <f t="shared" si="96"/>
        <v>1808.1</v>
      </c>
      <c r="X389" s="7">
        <f t="shared" si="97"/>
        <v>1928.6</v>
      </c>
      <c r="Y389" s="7">
        <f t="shared" si="98"/>
        <v>333</v>
      </c>
      <c r="Z389" s="7">
        <f t="shared" si="99"/>
        <v>1183187</v>
      </c>
      <c r="AA389" s="7" t="str">
        <f t="shared" si="100"/>
        <v>27-Jan-2023</v>
      </c>
      <c r="AB389" s="7">
        <f t="shared" si="101"/>
        <v>1928.6</v>
      </c>
      <c r="AC389" s="7">
        <f t="shared" ref="AC389:AC452" si="105">_xlfn.XMATCH(A389,A389:A1557)</f>
        <v>1</v>
      </c>
      <c r="AD389" s="7">
        <f t="shared" si="102"/>
        <v>2023</v>
      </c>
      <c r="AE389" s="19">
        <f t="shared" si="103"/>
        <v>-0.41</v>
      </c>
      <c r="BA389" s="10">
        <f t="shared" si="104"/>
        <v>26.997800000000002</v>
      </c>
    </row>
    <row r="390" spans="1:53" x14ac:dyDescent="0.3">
      <c r="A390" s="17">
        <v>44956</v>
      </c>
      <c r="B390" s="8">
        <v>1922.9</v>
      </c>
      <c r="C390" s="7">
        <v>1933.6</v>
      </c>
      <c r="D390" s="7">
        <v>1920.3</v>
      </c>
      <c r="E390" s="7">
        <v>1928.3</v>
      </c>
      <c r="F390" s="18">
        <v>27220</v>
      </c>
      <c r="G390" s="7">
        <v>1930.7285999999999</v>
      </c>
      <c r="H390" s="7">
        <v>1861.8033</v>
      </c>
      <c r="I390" s="7">
        <v>1756.1367</v>
      </c>
      <c r="J390" s="8">
        <v>-1.5599999999999999E-2</v>
      </c>
      <c r="K390" s="7">
        <v>0.31009999999999999</v>
      </c>
      <c r="L390" s="7">
        <v>0.73550000000000004</v>
      </c>
      <c r="M390" s="8">
        <v>76.768600000000006</v>
      </c>
      <c r="N390" s="8">
        <v>34.989899999999999</v>
      </c>
      <c r="O390" s="7">
        <v>35.314700000000002</v>
      </c>
      <c r="P390" s="7">
        <v>1971.3744999999999</v>
      </c>
      <c r="Q390" s="7">
        <v>1814.1153999999999</v>
      </c>
      <c r="R390" s="7" t="str">
        <f t="shared" si="91"/>
        <v>Up</v>
      </c>
      <c r="S390" s="7" t="str">
        <f t="shared" si="92"/>
        <v>Sell</v>
      </c>
      <c r="T390" s="8">
        <f t="shared" si="93"/>
        <v>0.13379142125480145</v>
      </c>
      <c r="U390" s="18">
        <f t="shared" si="94"/>
        <v>3316204</v>
      </c>
      <c r="V390" s="7">
        <f t="shared" si="95"/>
        <v>5586.2002000000002</v>
      </c>
      <c r="W390" s="7">
        <f t="shared" si="96"/>
        <v>1808.1</v>
      </c>
      <c r="X390" s="7">
        <f t="shared" si="97"/>
        <v>1928.3</v>
      </c>
      <c r="Y390" s="7">
        <f t="shared" si="98"/>
        <v>333</v>
      </c>
      <c r="Z390" s="7">
        <f t="shared" si="99"/>
        <v>1183187</v>
      </c>
      <c r="AA390" s="7" t="str">
        <f t="shared" si="100"/>
        <v>30-Jan-2023</v>
      </c>
      <c r="AB390" s="7">
        <f t="shared" si="101"/>
        <v>1928.3</v>
      </c>
      <c r="AC390" s="7">
        <f t="shared" si="105"/>
        <v>1</v>
      </c>
      <c r="AD390" s="7">
        <f t="shared" si="102"/>
        <v>2023</v>
      </c>
      <c r="AE390" s="19">
        <f t="shared" si="103"/>
        <v>-0.02</v>
      </c>
      <c r="BA390" s="10">
        <f t="shared" si="104"/>
        <v>26.997800000000002</v>
      </c>
    </row>
    <row r="391" spans="1:53" x14ac:dyDescent="0.3">
      <c r="A391" s="17">
        <v>44957</v>
      </c>
      <c r="B391" s="8">
        <v>1929.5</v>
      </c>
      <c r="C391" s="7">
        <v>1930.4</v>
      </c>
      <c r="D391" s="7">
        <v>1900.6</v>
      </c>
      <c r="E391" s="7">
        <v>1923</v>
      </c>
      <c r="F391" s="18">
        <v>1910</v>
      </c>
      <c r="G391" s="7">
        <v>1930.8570999999999</v>
      </c>
      <c r="H391" s="7">
        <v>1865.87</v>
      </c>
      <c r="I391" s="7">
        <v>1758.9978000000001</v>
      </c>
      <c r="J391" s="8">
        <v>-0.27489999999999998</v>
      </c>
      <c r="K391" s="7">
        <v>0.33339999999999997</v>
      </c>
      <c r="L391" s="7">
        <v>0.72770000000000001</v>
      </c>
      <c r="M391" s="8">
        <v>70.733900000000006</v>
      </c>
      <c r="N391" s="8">
        <v>33.014899999999997</v>
      </c>
      <c r="O391" s="7">
        <v>34.854700000000001</v>
      </c>
      <c r="P391" s="7">
        <v>1969.1025999999999</v>
      </c>
      <c r="Q391" s="7">
        <v>1826.9874</v>
      </c>
      <c r="R391" s="7" t="str">
        <f t="shared" si="91"/>
        <v>Down</v>
      </c>
      <c r="S391" s="7" t="str">
        <f t="shared" si="92"/>
        <v>Sell</v>
      </c>
      <c r="T391" s="8">
        <f t="shared" si="93"/>
        <v>0.13398294871794861</v>
      </c>
      <c r="U391" s="18">
        <f t="shared" si="94"/>
        <v>3288984</v>
      </c>
      <c r="V391" s="7">
        <f t="shared" si="95"/>
        <v>5586.2002000000002</v>
      </c>
      <c r="W391" s="7">
        <f t="shared" si="96"/>
        <v>1808.1</v>
      </c>
      <c r="X391" s="7">
        <f t="shared" si="97"/>
        <v>1923</v>
      </c>
      <c r="Y391" s="7">
        <f t="shared" si="98"/>
        <v>332</v>
      </c>
      <c r="Z391" s="7">
        <f t="shared" si="99"/>
        <v>1155967</v>
      </c>
      <c r="AA391" s="7" t="str">
        <f t="shared" si="100"/>
        <v>31-Jan-2023</v>
      </c>
      <c r="AB391" s="7">
        <f t="shared" si="101"/>
        <v>1923</v>
      </c>
      <c r="AC391" s="7">
        <f t="shared" si="105"/>
        <v>1</v>
      </c>
      <c r="AD391" s="7">
        <f t="shared" si="102"/>
        <v>2023</v>
      </c>
      <c r="AE391" s="19">
        <f t="shared" si="103"/>
        <v>-0.27</v>
      </c>
      <c r="BA391" s="10">
        <f t="shared" si="104"/>
        <v>26.997800000000002</v>
      </c>
    </row>
    <row r="392" spans="1:53" x14ac:dyDescent="0.3">
      <c r="A392" s="17">
        <v>44958</v>
      </c>
      <c r="B392" s="8">
        <v>1927.8</v>
      </c>
      <c r="C392" s="7">
        <v>1955</v>
      </c>
      <c r="D392" s="7">
        <v>1922</v>
      </c>
      <c r="E392" s="7">
        <v>1927.2</v>
      </c>
      <c r="F392" s="18">
        <v>2290</v>
      </c>
      <c r="G392" s="7">
        <v>1930.9571000000001</v>
      </c>
      <c r="H392" s="7">
        <v>1870.8467000000001</v>
      </c>
      <c r="I392" s="7">
        <v>1761.8743999999999</v>
      </c>
      <c r="J392" s="8">
        <v>0.21840000000000001</v>
      </c>
      <c r="K392" s="7">
        <v>0.33229999999999998</v>
      </c>
      <c r="L392" s="7">
        <v>0.67010000000000003</v>
      </c>
      <c r="M392" s="8">
        <v>74.930899999999994</v>
      </c>
      <c r="N392" s="8">
        <v>31.426300000000001</v>
      </c>
      <c r="O392" s="7">
        <v>34.168999999999997</v>
      </c>
      <c r="P392" s="7">
        <v>1968.4413999999999</v>
      </c>
      <c r="Q392" s="7">
        <v>1836.7485999999999</v>
      </c>
      <c r="R392" s="7" t="str">
        <f t="shared" si="91"/>
        <v>Down</v>
      </c>
      <c r="S392" s="7" t="str">
        <f t="shared" si="92"/>
        <v>Sell</v>
      </c>
      <c r="T392" s="8">
        <f t="shared" si="93"/>
        <v>0.13450783055198964</v>
      </c>
      <c r="U392" s="18">
        <f t="shared" si="94"/>
        <v>3287074</v>
      </c>
      <c r="V392" s="7">
        <f t="shared" si="95"/>
        <v>5586.2002000000002</v>
      </c>
      <c r="W392" s="7">
        <f t="shared" si="96"/>
        <v>1808.1</v>
      </c>
      <c r="X392" s="7">
        <f t="shared" si="97"/>
        <v>1927.2</v>
      </c>
      <c r="Y392" s="7">
        <f t="shared" si="98"/>
        <v>332</v>
      </c>
      <c r="Z392" s="7">
        <f t="shared" si="99"/>
        <v>1155967</v>
      </c>
      <c r="AA392" s="7" t="str">
        <f t="shared" si="100"/>
        <v>01-Feb-2023</v>
      </c>
      <c r="AB392" s="7">
        <f t="shared" si="101"/>
        <v>1927.2</v>
      </c>
      <c r="AC392" s="7">
        <f t="shared" si="105"/>
        <v>1</v>
      </c>
      <c r="AD392" s="7">
        <f t="shared" si="102"/>
        <v>2023</v>
      </c>
      <c r="AE392" s="19">
        <f t="shared" si="103"/>
        <v>0.22</v>
      </c>
      <c r="BA392" s="10">
        <f t="shared" si="104"/>
        <v>26.997800000000002</v>
      </c>
    </row>
    <row r="393" spans="1:53" x14ac:dyDescent="0.3">
      <c r="A393" s="17">
        <v>44959</v>
      </c>
      <c r="B393" s="8">
        <v>1916.3</v>
      </c>
      <c r="C393" s="7">
        <v>1959.1</v>
      </c>
      <c r="D393" s="7">
        <v>1911.3</v>
      </c>
      <c r="E393" s="7">
        <v>1952.3</v>
      </c>
      <c r="F393" s="18">
        <v>748</v>
      </c>
      <c r="G393" s="7">
        <v>1933.8857</v>
      </c>
      <c r="H393" s="7">
        <v>1876.2032999999999</v>
      </c>
      <c r="I393" s="7">
        <v>1765.0444</v>
      </c>
      <c r="J393" s="8">
        <v>1.3024</v>
      </c>
      <c r="K393" s="7">
        <v>0.59450000000000003</v>
      </c>
      <c r="L393" s="7">
        <v>0.69040000000000001</v>
      </c>
      <c r="M393" s="8">
        <v>78.996200000000002</v>
      </c>
      <c r="N393" s="8">
        <v>31.825800000000001</v>
      </c>
      <c r="O393" s="7">
        <v>33.700400000000002</v>
      </c>
      <c r="P393" s="7">
        <v>1971.5864999999999</v>
      </c>
      <c r="Q393" s="7">
        <v>1844.2735</v>
      </c>
      <c r="R393" s="7" t="str">
        <f t="shared" si="91"/>
        <v>Up</v>
      </c>
      <c r="S393" s="7" t="str">
        <f t="shared" si="92"/>
        <v>Sell</v>
      </c>
      <c r="T393" s="8">
        <f t="shared" si="93"/>
        <v>0.13439999999999988</v>
      </c>
      <c r="U393" s="18">
        <f t="shared" si="94"/>
        <v>3284784</v>
      </c>
      <c r="V393" s="7">
        <f t="shared" si="95"/>
        <v>5586.2002000000002</v>
      </c>
      <c r="W393" s="7">
        <f t="shared" si="96"/>
        <v>1808.1</v>
      </c>
      <c r="X393" s="7">
        <f t="shared" si="97"/>
        <v>1952.3</v>
      </c>
      <c r="Y393" s="7">
        <f t="shared" si="98"/>
        <v>332</v>
      </c>
      <c r="Z393" s="7">
        <f t="shared" si="99"/>
        <v>1155967</v>
      </c>
      <c r="AA393" s="7" t="str">
        <f t="shared" si="100"/>
        <v>02-Feb-2023</v>
      </c>
      <c r="AB393" s="7">
        <f t="shared" si="101"/>
        <v>1952.3</v>
      </c>
      <c r="AC393" s="7">
        <f t="shared" si="105"/>
        <v>1</v>
      </c>
      <c r="AD393" s="7">
        <f t="shared" si="102"/>
        <v>2023</v>
      </c>
      <c r="AE393" s="19">
        <f t="shared" si="103"/>
        <v>1.3</v>
      </c>
      <c r="BA393" s="10">
        <f t="shared" si="104"/>
        <v>26.997800000000002</v>
      </c>
    </row>
    <row r="394" spans="1:53" x14ac:dyDescent="0.3">
      <c r="A394" s="17">
        <v>44960</v>
      </c>
      <c r="B394" s="8">
        <v>1862.9</v>
      </c>
      <c r="C394" s="7">
        <v>1917</v>
      </c>
      <c r="D394" s="7">
        <v>1861.5</v>
      </c>
      <c r="E394" s="7">
        <v>1912.4</v>
      </c>
      <c r="F394" s="18">
        <v>992</v>
      </c>
      <c r="G394" s="7">
        <v>1929.7714000000001</v>
      </c>
      <c r="H394" s="7">
        <v>1880.4</v>
      </c>
      <c r="I394" s="7">
        <v>1768.2566999999999</v>
      </c>
      <c r="J394" s="8">
        <v>-2.0436999999999999</v>
      </c>
      <c r="K394" s="7">
        <v>0.99309999999999998</v>
      </c>
      <c r="L394" s="7">
        <v>0.80589999999999995</v>
      </c>
      <c r="M394" s="8">
        <v>54.539299999999997</v>
      </c>
      <c r="N394" s="8">
        <v>28.593299999999999</v>
      </c>
      <c r="O394" s="7">
        <v>32.679000000000002</v>
      </c>
      <c r="P394" s="7">
        <v>1969.4121</v>
      </c>
      <c r="Q394" s="7">
        <v>1852.1678999999999</v>
      </c>
      <c r="R394" s="7" t="str">
        <f t="shared" si="91"/>
        <v>Up</v>
      </c>
      <c r="S394" s="7" t="str">
        <f t="shared" si="92"/>
        <v>Hold</v>
      </c>
      <c r="T394" s="8">
        <f t="shared" si="93"/>
        <v>0.13289678249678238</v>
      </c>
      <c r="U394" s="18">
        <f t="shared" si="94"/>
        <v>3284036</v>
      </c>
      <c r="V394" s="7">
        <f t="shared" si="95"/>
        <v>5586.2002000000002</v>
      </c>
      <c r="W394" s="7">
        <f t="shared" si="96"/>
        <v>1808.1</v>
      </c>
      <c r="X394" s="7">
        <f t="shared" si="97"/>
        <v>1912.4</v>
      </c>
      <c r="Y394" s="7">
        <f t="shared" si="98"/>
        <v>331</v>
      </c>
      <c r="Z394" s="7">
        <f t="shared" si="99"/>
        <v>1155219</v>
      </c>
      <c r="AA394" s="7" t="str">
        <f t="shared" si="100"/>
        <v>03-Feb-2023</v>
      </c>
      <c r="AB394" s="7">
        <f t="shared" si="101"/>
        <v>1912.4</v>
      </c>
      <c r="AC394" s="7">
        <f t="shared" si="105"/>
        <v>1</v>
      </c>
      <c r="AD394" s="7">
        <f t="shared" si="102"/>
        <v>2023</v>
      </c>
      <c r="AE394" s="19">
        <f t="shared" si="103"/>
        <v>-2.04</v>
      </c>
      <c r="BA394" s="10">
        <f t="shared" si="104"/>
        <v>26.997800000000002</v>
      </c>
    </row>
    <row r="395" spans="1:53" x14ac:dyDescent="0.3">
      <c r="A395" s="17">
        <v>44963</v>
      </c>
      <c r="B395" s="8">
        <v>1866.2</v>
      </c>
      <c r="C395" s="7">
        <v>1880</v>
      </c>
      <c r="D395" s="7">
        <v>1863.4</v>
      </c>
      <c r="E395" s="7">
        <v>1865.6</v>
      </c>
      <c r="F395" s="18">
        <v>424</v>
      </c>
      <c r="G395" s="7">
        <v>1919.6286</v>
      </c>
      <c r="H395" s="7">
        <v>1882.0066999999999</v>
      </c>
      <c r="I395" s="7">
        <v>1770.85</v>
      </c>
      <c r="J395" s="8">
        <v>-2.4472</v>
      </c>
      <c r="K395" s="7">
        <v>1.3056000000000001</v>
      </c>
      <c r="L395" s="7">
        <v>0.89390000000000003</v>
      </c>
      <c r="M395" s="8">
        <v>34.275799999999997</v>
      </c>
      <c r="N395" s="8">
        <v>22.0015</v>
      </c>
      <c r="O395" s="7">
        <v>30.543500000000002</v>
      </c>
      <c r="P395" s="7">
        <v>1964.6424999999999</v>
      </c>
      <c r="Q395" s="7">
        <v>1859.6574000000001</v>
      </c>
      <c r="R395" s="7" t="str">
        <f t="shared" si="91"/>
        <v>Down</v>
      </c>
      <c r="S395" s="7" t="str">
        <f t="shared" si="92"/>
        <v>Hold</v>
      </c>
      <c r="T395" s="8">
        <f t="shared" si="93"/>
        <v>0.13570167525773189</v>
      </c>
      <c r="U395" s="18">
        <f t="shared" si="94"/>
        <v>3283044</v>
      </c>
      <c r="V395" s="7">
        <f t="shared" si="95"/>
        <v>5586.2002000000002</v>
      </c>
      <c r="W395" s="7">
        <f t="shared" si="96"/>
        <v>1808.1</v>
      </c>
      <c r="X395" s="7">
        <f t="shared" si="97"/>
        <v>1865.6</v>
      </c>
      <c r="Y395" s="7">
        <f t="shared" si="98"/>
        <v>330</v>
      </c>
      <c r="Z395" s="7">
        <f t="shared" si="99"/>
        <v>1154227</v>
      </c>
      <c r="AA395" s="7" t="str">
        <f t="shared" si="100"/>
        <v>06-Feb-2023</v>
      </c>
      <c r="AB395" s="7">
        <f t="shared" si="101"/>
        <v>1865.6</v>
      </c>
      <c r="AC395" s="7">
        <f t="shared" si="105"/>
        <v>1</v>
      </c>
      <c r="AD395" s="7">
        <f t="shared" si="102"/>
        <v>2023</v>
      </c>
      <c r="AE395" s="19">
        <f t="shared" si="103"/>
        <v>-2.4500000000000002</v>
      </c>
      <c r="BA395" s="10">
        <f t="shared" si="104"/>
        <v>26.997800000000002</v>
      </c>
    </row>
    <row r="396" spans="1:53" x14ac:dyDescent="0.3">
      <c r="A396" s="17">
        <v>44964</v>
      </c>
      <c r="B396" s="8">
        <v>1871.7</v>
      </c>
      <c r="C396" s="7">
        <v>1875.7</v>
      </c>
      <c r="D396" s="7">
        <v>1868</v>
      </c>
      <c r="E396" s="7">
        <v>1870</v>
      </c>
      <c r="F396" s="18">
        <v>297</v>
      </c>
      <c r="G396" s="7">
        <v>1911.2571</v>
      </c>
      <c r="H396" s="7">
        <v>1883.7366999999999</v>
      </c>
      <c r="I396" s="7">
        <v>1773.6233</v>
      </c>
      <c r="J396" s="8">
        <v>0.2359</v>
      </c>
      <c r="K396" s="7">
        <v>1.3374999999999999</v>
      </c>
      <c r="L396" s="7">
        <v>0.89429999999999998</v>
      </c>
      <c r="M396" s="8">
        <v>37.818600000000004</v>
      </c>
      <c r="N396" s="8">
        <v>16.937200000000001</v>
      </c>
      <c r="O396" s="7">
        <v>27.822199999999999</v>
      </c>
      <c r="P396" s="7">
        <v>1964.2637999999999</v>
      </c>
      <c r="Q396" s="7">
        <v>1860.3362</v>
      </c>
      <c r="R396" s="7" t="str">
        <f t="shared" si="91"/>
        <v>Down</v>
      </c>
      <c r="S396" s="7" t="str">
        <f t="shared" si="92"/>
        <v>Hold</v>
      </c>
      <c r="T396" s="8">
        <f t="shared" si="93"/>
        <v>0.13903445161290312</v>
      </c>
      <c r="U396" s="18">
        <f t="shared" si="94"/>
        <v>3282620</v>
      </c>
      <c r="V396" s="7">
        <f t="shared" si="95"/>
        <v>5586.2002000000002</v>
      </c>
      <c r="W396" s="7">
        <f t="shared" si="96"/>
        <v>1808.1</v>
      </c>
      <c r="X396" s="7">
        <f t="shared" si="97"/>
        <v>1870</v>
      </c>
      <c r="Y396" s="7">
        <f t="shared" si="98"/>
        <v>330</v>
      </c>
      <c r="Z396" s="7">
        <f t="shared" si="99"/>
        <v>1154227</v>
      </c>
      <c r="AA396" s="7" t="str">
        <f t="shared" si="100"/>
        <v>07-Feb-2023</v>
      </c>
      <c r="AB396" s="7">
        <f t="shared" si="101"/>
        <v>1870</v>
      </c>
      <c r="AC396" s="7">
        <f t="shared" si="105"/>
        <v>1</v>
      </c>
      <c r="AD396" s="7">
        <f t="shared" si="102"/>
        <v>2023</v>
      </c>
      <c r="AE396" s="19">
        <f t="shared" si="103"/>
        <v>0.24</v>
      </c>
      <c r="BA396" s="10">
        <f t="shared" si="104"/>
        <v>26.997800000000002</v>
      </c>
    </row>
    <row r="397" spans="1:53" x14ac:dyDescent="0.3">
      <c r="A397" s="17">
        <v>44965</v>
      </c>
      <c r="B397" s="8">
        <v>1877.4</v>
      </c>
      <c r="C397" s="7">
        <v>1880.4</v>
      </c>
      <c r="D397" s="7">
        <v>1872.1</v>
      </c>
      <c r="E397" s="7">
        <v>1872.1</v>
      </c>
      <c r="F397" s="18">
        <v>230</v>
      </c>
      <c r="G397" s="7">
        <v>1903.2285999999999</v>
      </c>
      <c r="H397" s="7">
        <v>1886.33</v>
      </c>
      <c r="I397" s="7">
        <v>1776.0133000000001</v>
      </c>
      <c r="J397" s="8">
        <v>0.1123</v>
      </c>
      <c r="K397" s="7">
        <v>1.345</v>
      </c>
      <c r="L397" s="7">
        <v>0.85389999999999999</v>
      </c>
      <c r="M397" s="8">
        <v>34.355400000000003</v>
      </c>
      <c r="N397" s="8">
        <v>12.944000000000001</v>
      </c>
      <c r="O397" s="7">
        <v>24.846599999999999</v>
      </c>
      <c r="P397" s="7">
        <v>1964.8309999999999</v>
      </c>
      <c r="Q397" s="7">
        <v>1859.1989000000001</v>
      </c>
      <c r="R397" s="7" t="str">
        <f t="shared" si="91"/>
        <v>Down</v>
      </c>
      <c r="S397" s="7" t="str">
        <f t="shared" si="92"/>
        <v>Hold</v>
      </c>
      <c r="T397" s="8">
        <f t="shared" si="93"/>
        <v>0.13890930232558127</v>
      </c>
      <c r="U397" s="18">
        <f t="shared" si="94"/>
        <v>3282323</v>
      </c>
      <c r="V397" s="7">
        <f t="shared" si="95"/>
        <v>5586.2002000000002</v>
      </c>
      <c r="W397" s="7">
        <f t="shared" si="96"/>
        <v>1808.1</v>
      </c>
      <c r="X397" s="7">
        <f t="shared" si="97"/>
        <v>1872.1</v>
      </c>
      <c r="Y397" s="7">
        <f t="shared" si="98"/>
        <v>330</v>
      </c>
      <c r="Z397" s="7">
        <f t="shared" si="99"/>
        <v>1154227</v>
      </c>
      <c r="AA397" s="7" t="str">
        <f t="shared" si="100"/>
        <v>08-Feb-2023</v>
      </c>
      <c r="AB397" s="7">
        <f t="shared" si="101"/>
        <v>1872.1</v>
      </c>
      <c r="AC397" s="7">
        <f t="shared" si="105"/>
        <v>1</v>
      </c>
      <c r="AD397" s="7">
        <f t="shared" si="102"/>
        <v>2023</v>
      </c>
      <c r="AE397" s="19">
        <f t="shared" si="103"/>
        <v>0.11</v>
      </c>
      <c r="BA397" s="10">
        <f t="shared" si="104"/>
        <v>26.997800000000002</v>
      </c>
    </row>
    <row r="398" spans="1:53" x14ac:dyDescent="0.3">
      <c r="A398" s="17">
        <v>44966</v>
      </c>
      <c r="B398" s="8">
        <v>1866.2</v>
      </c>
      <c r="C398" s="7">
        <v>1884.6</v>
      </c>
      <c r="D398" s="7">
        <v>1859.8</v>
      </c>
      <c r="E398" s="7">
        <v>1875.3</v>
      </c>
      <c r="F398" s="18">
        <v>223</v>
      </c>
      <c r="G398" s="7">
        <v>1896.4142999999999</v>
      </c>
      <c r="H398" s="7">
        <v>1888.7266999999999</v>
      </c>
      <c r="I398" s="7">
        <v>1778.3867</v>
      </c>
      <c r="J398" s="8">
        <v>0.1709</v>
      </c>
      <c r="K398" s="7">
        <v>1.3631</v>
      </c>
      <c r="L398" s="7">
        <v>0.85119999999999996</v>
      </c>
      <c r="M398" s="8">
        <v>35.644199999999998</v>
      </c>
      <c r="N398" s="8">
        <v>9.9230999999999998</v>
      </c>
      <c r="O398" s="7">
        <v>21.861899999999999</v>
      </c>
      <c r="P398" s="7">
        <v>1964.6079</v>
      </c>
      <c r="Q398" s="7">
        <v>1859.6421</v>
      </c>
      <c r="R398" s="7" t="str">
        <f t="shared" si="91"/>
        <v>Up</v>
      </c>
      <c r="S398" s="7" t="str">
        <f t="shared" si="92"/>
        <v>Hold</v>
      </c>
      <c r="T398" s="8">
        <f t="shared" si="93"/>
        <v>0.13894372574385502</v>
      </c>
      <c r="U398" s="18">
        <f t="shared" si="94"/>
        <v>3282093</v>
      </c>
      <c r="V398" s="7">
        <f t="shared" si="95"/>
        <v>5586.2002000000002</v>
      </c>
      <c r="W398" s="7">
        <f t="shared" si="96"/>
        <v>1808.1</v>
      </c>
      <c r="X398" s="7">
        <f t="shared" si="97"/>
        <v>1875.3</v>
      </c>
      <c r="Y398" s="7">
        <f t="shared" si="98"/>
        <v>330</v>
      </c>
      <c r="Z398" s="7">
        <f t="shared" si="99"/>
        <v>1154227</v>
      </c>
      <c r="AA398" s="7" t="str">
        <f t="shared" si="100"/>
        <v>09-Feb-2023</v>
      </c>
      <c r="AB398" s="7">
        <f t="shared" si="101"/>
        <v>1875.3</v>
      </c>
      <c r="AC398" s="7">
        <f t="shared" si="105"/>
        <v>1</v>
      </c>
      <c r="AD398" s="7">
        <f t="shared" si="102"/>
        <v>2023</v>
      </c>
      <c r="AE398" s="19">
        <f t="shared" si="103"/>
        <v>0.17</v>
      </c>
      <c r="BA398" s="10">
        <f t="shared" si="104"/>
        <v>26.997800000000002</v>
      </c>
    </row>
    <row r="399" spans="1:53" x14ac:dyDescent="0.3">
      <c r="A399" s="17">
        <v>44967</v>
      </c>
      <c r="B399" s="8">
        <v>1862.8</v>
      </c>
      <c r="C399" s="7">
        <v>1863.5</v>
      </c>
      <c r="D399" s="7">
        <v>1852.4</v>
      </c>
      <c r="E399" s="7">
        <v>1861.6</v>
      </c>
      <c r="F399" s="18">
        <v>27</v>
      </c>
      <c r="G399" s="7">
        <v>1887.0428999999999</v>
      </c>
      <c r="H399" s="7">
        <v>1890.6732999999999</v>
      </c>
      <c r="I399" s="7">
        <v>1780.5467000000001</v>
      </c>
      <c r="J399" s="8">
        <v>-0.73060000000000003</v>
      </c>
      <c r="K399" s="7">
        <v>1.3442000000000001</v>
      </c>
      <c r="L399" s="7">
        <v>0.86539999999999995</v>
      </c>
      <c r="M399" s="8">
        <v>31.166599999999999</v>
      </c>
      <c r="N399" s="8">
        <v>6.3503999999999996</v>
      </c>
      <c r="O399" s="7">
        <v>18.759599999999999</v>
      </c>
      <c r="P399" s="7">
        <v>1966.4133999999999</v>
      </c>
      <c r="Q399" s="7">
        <v>1856.2765999999999</v>
      </c>
      <c r="R399" s="7" t="str">
        <f t="shared" si="91"/>
        <v>Down</v>
      </c>
      <c r="S399" s="7" t="str">
        <f t="shared" si="92"/>
        <v>Hold</v>
      </c>
      <c r="T399" s="8">
        <f t="shared" si="93"/>
        <v>0.13890233160621748</v>
      </c>
      <c r="U399" s="18">
        <f t="shared" si="94"/>
        <v>3281870</v>
      </c>
      <c r="V399" s="7">
        <f t="shared" si="95"/>
        <v>5586.2002000000002</v>
      </c>
      <c r="W399" s="7">
        <f t="shared" si="96"/>
        <v>1808.1</v>
      </c>
      <c r="X399" s="7">
        <f t="shared" si="97"/>
        <v>1861.6</v>
      </c>
      <c r="Y399" s="7">
        <f t="shared" si="98"/>
        <v>329</v>
      </c>
      <c r="Z399" s="7">
        <f t="shared" si="99"/>
        <v>1154004</v>
      </c>
      <c r="AA399" s="7" t="str">
        <f t="shared" si="100"/>
        <v>10-Feb-2023</v>
      </c>
      <c r="AB399" s="7">
        <f t="shared" si="101"/>
        <v>1861.6</v>
      </c>
      <c r="AC399" s="7">
        <f t="shared" si="105"/>
        <v>1</v>
      </c>
      <c r="AD399" s="7">
        <f t="shared" si="102"/>
        <v>2023</v>
      </c>
      <c r="AE399" s="19">
        <f t="shared" si="103"/>
        <v>-0.73</v>
      </c>
      <c r="BA399" s="10">
        <f t="shared" si="104"/>
        <v>26.997800000000002</v>
      </c>
    </row>
    <row r="400" spans="1:53" x14ac:dyDescent="0.3">
      <c r="A400" s="17">
        <v>44970</v>
      </c>
      <c r="B400" s="8">
        <v>1851.9</v>
      </c>
      <c r="C400" s="7">
        <v>1861</v>
      </c>
      <c r="D400" s="7">
        <v>1850</v>
      </c>
      <c r="E400" s="7">
        <v>1859</v>
      </c>
      <c r="F400" s="18">
        <v>569</v>
      </c>
      <c r="G400" s="7">
        <v>1873.7143000000001</v>
      </c>
      <c r="H400" s="7">
        <v>1892.4467</v>
      </c>
      <c r="I400" s="7">
        <v>1782.3</v>
      </c>
      <c r="J400" s="8">
        <v>-0.13969999999999999</v>
      </c>
      <c r="K400" s="7">
        <v>1.1155999999999999</v>
      </c>
      <c r="L400" s="7">
        <v>0.86660000000000004</v>
      </c>
      <c r="M400" s="8">
        <v>28.537700000000001</v>
      </c>
      <c r="N400" s="8">
        <v>3.2715000000000001</v>
      </c>
      <c r="O400" s="7">
        <v>15.662000000000001</v>
      </c>
      <c r="P400" s="7">
        <v>1969.0145</v>
      </c>
      <c r="Q400" s="7">
        <v>1849.6755000000001</v>
      </c>
      <c r="R400" s="7" t="str">
        <f t="shared" si="91"/>
        <v>Up</v>
      </c>
      <c r="S400" s="7" t="str">
        <f t="shared" si="92"/>
        <v>Buy</v>
      </c>
      <c r="T400" s="8">
        <f t="shared" si="93"/>
        <v>0.14003009079118017</v>
      </c>
      <c r="U400" s="18">
        <f t="shared" si="94"/>
        <v>3281843</v>
      </c>
      <c r="V400" s="7">
        <f t="shared" si="95"/>
        <v>5586.2002000000002</v>
      </c>
      <c r="W400" s="7">
        <f t="shared" si="96"/>
        <v>1808.1</v>
      </c>
      <c r="X400" s="7">
        <f t="shared" si="97"/>
        <v>1859</v>
      </c>
      <c r="Y400" s="7">
        <f t="shared" si="98"/>
        <v>329</v>
      </c>
      <c r="Z400" s="7">
        <f t="shared" si="99"/>
        <v>1154004</v>
      </c>
      <c r="AA400" s="7" t="str">
        <f t="shared" si="100"/>
        <v>13-Feb-2023</v>
      </c>
      <c r="AB400" s="7">
        <f t="shared" si="101"/>
        <v>1859</v>
      </c>
      <c r="AC400" s="7">
        <f t="shared" si="105"/>
        <v>1</v>
      </c>
      <c r="AD400" s="7">
        <f t="shared" si="102"/>
        <v>2023</v>
      </c>
      <c r="AE400" s="19">
        <f t="shared" si="103"/>
        <v>-0.14000000000000001</v>
      </c>
      <c r="BA400" s="10">
        <f t="shared" si="104"/>
        <v>26.997800000000002</v>
      </c>
    </row>
    <row r="401" spans="1:53" x14ac:dyDescent="0.3">
      <c r="A401" s="17">
        <v>44971</v>
      </c>
      <c r="B401" s="8">
        <v>1854</v>
      </c>
      <c r="C401" s="7">
        <v>1862</v>
      </c>
      <c r="D401" s="7">
        <v>1846.2</v>
      </c>
      <c r="E401" s="7">
        <v>1854.1</v>
      </c>
      <c r="F401" s="18">
        <v>656</v>
      </c>
      <c r="G401" s="7">
        <v>1865.3857</v>
      </c>
      <c r="H401" s="7">
        <v>1893.6832999999999</v>
      </c>
      <c r="I401" s="7">
        <v>1783.7444</v>
      </c>
      <c r="J401" s="8">
        <v>-0.2636</v>
      </c>
      <c r="K401" s="7">
        <v>0.94599999999999995</v>
      </c>
      <c r="L401" s="7">
        <v>0.86329999999999996</v>
      </c>
      <c r="M401" s="8">
        <v>23.6221</v>
      </c>
      <c r="N401" s="8">
        <v>0.43109999999999998</v>
      </c>
      <c r="O401" s="7">
        <v>12.6158</v>
      </c>
      <c r="P401" s="7">
        <v>1970.3316</v>
      </c>
      <c r="Q401" s="7">
        <v>1841.7583999999999</v>
      </c>
      <c r="R401" s="7" t="str">
        <f t="shared" si="91"/>
        <v>Up</v>
      </c>
      <c r="S401" s="7" t="str">
        <f t="shared" si="92"/>
        <v>Buy</v>
      </c>
      <c r="T401" s="8">
        <f t="shared" si="93"/>
        <v>0.14039337662337653</v>
      </c>
      <c r="U401" s="18">
        <f t="shared" si="94"/>
        <v>3281274</v>
      </c>
      <c r="V401" s="7">
        <f t="shared" si="95"/>
        <v>5586.2002000000002</v>
      </c>
      <c r="W401" s="7">
        <f t="shared" si="96"/>
        <v>1808.1</v>
      </c>
      <c r="X401" s="7">
        <f t="shared" si="97"/>
        <v>1854.1</v>
      </c>
      <c r="Y401" s="7">
        <f t="shared" si="98"/>
        <v>328</v>
      </c>
      <c r="Z401" s="7">
        <f t="shared" si="99"/>
        <v>1153435</v>
      </c>
      <c r="AA401" s="7" t="str">
        <f t="shared" si="100"/>
        <v>14-Feb-2023</v>
      </c>
      <c r="AB401" s="7">
        <f t="shared" si="101"/>
        <v>1854.1</v>
      </c>
      <c r="AC401" s="7">
        <f t="shared" si="105"/>
        <v>1</v>
      </c>
      <c r="AD401" s="7">
        <f t="shared" si="102"/>
        <v>2023</v>
      </c>
      <c r="AE401" s="19">
        <f t="shared" si="103"/>
        <v>-0.26</v>
      </c>
      <c r="BA401" s="10">
        <f t="shared" si="104"/>
        <v>26.997800000000002</v>
      </c>
    </row>
    <row r="402" spans="1:53" x14ac:dyDescent="0.3">
      <c r="A402" s="17">
        <v>44972</v>
      </c>
      <c r="B402" s="8">
        <v>1834.2</v>
      </c>
      <c r="C402" s="7">
        <v>1842</v>
      </c>
      <c r="D402" s="7">
        <v>1828.2</v>
      </c>
      <c r="E402" s="7">
        <v>1842</v>
      </c>
      <c r="F402" s="18">
        <v>368</v>
      </c>
      <c r="G402" s="7">
        <v>1862.0143</v>
      </c>
      <c r="H402" s="7">
        <v>1893.8767</v>
      </c>
      <c r="I402" s="7">
        <v>1785.0889</v>
      </c>
      <c r="J402" s="8">
        <v>-0.65259999999999996</v>
      </c>
      <c r="K402" s="7">
        <v>0.39090000000000003</v>
      </c>
      <c r="L402" s="7">
        <v>0.85240000000000005</v>
      </c>
      <c r="M402" s="8">
        <v>22.595600000000001</v>
      </c>
      <c r="N402" s="8">
        <v>-2.7645</v>
      </c>
      <c r="O402" s="7">
        <v>9.5396999999999998</v>
      </c>
      <c r="P402" s="7">
        <v>1972.8797999999999</v>
      </c>
      <c r="Q402" s="7">
        <v>1832.3001999999999</v>
      </c>
      <c r="R402" s="7" t="str">
        <f t="shared" si="91"/>
        <v>Up</v>
      </c>
      <c r="S402" s="7" t="str">
        <f t="shared" si="92"/>
        <v>Buy</v>
      </c>
      <c r="T402" s="8">
        <f t="shared" si="93"/>
        <v>0.1409187256176852</v>
      </c>
      <c r="U402" s="18">
        <f t="shared" si="94"/>
        <v>3280618</v>
      </c>
      <c r="V402" s="7">
        <f t="shared" si="95"/>
        <v>5586.2002000000002</v>
      </c>
      <c r="W402" s="7">
        <f t="shared" si="96"/>
        <v>1808.1</v>
      </c>
      <c r="X402" s="7">
        <f t="shared" si="97"/>
        <v>1842</v>
      </c>
      <c r="Y402" s="7">
        <f t="shared" si="98"/>
        <v>327</v>
      </c>
      <c r="Z402" s="7">
        <f t="shared" si="99"/>
        <v>1152779</v>
      </c>
      <c r="AA402" s="7" t="str">
        <f t="shared" si="100"/>
        <v>15-Feb-2023</v>
      </c>
      <c r="AB402" s="7">
        <f t="shared" si="101"/>
        <v>1842</v>
      </c>
      <c r="AC402" s="7">
        <f t="shared" si="105"/>
        <v>1</v>
      </c>
      <c r="AD402" s="7">
        <f t="shared" si="102"/>
        <v>2023</v>
      </c>
      <c r="AE402" s="19">
        <f t="shared" si="103"/>
        <v>-0.65</v>
      </c>
      <c r="BA402" s="10">
        <f t="shared" si="104"/>
        <v>26.997800000000002</v>
      </c>
    </row>
    <row r="403" spans="1:53" x14ac:dyDescent="0.3">
      <c r="A403" s="17">
        <v>44973</v>
      </c>
      <c r="B403" s="8">
        <v>1842</v>
      </c>
      <c r="C403" s="7">
        <v>1843.7</v>
      </c>
      <c r="D403" s="7">
        <v>1827.2</v>
      </c>
      <c r="E403" s="7">
        <v>1838.6</v>
      </c>
      <c r="F403" s="18">
        <v>222</v>
      </c>
      <c r="G403" s="7">
        <v>1857.5286000000001</v>
      </c>
      <c r="H403" s="7">
        <v>1893.6433</v>
      </c>
      <c r="I403" s="7">
        <v>1786.5166999999999</v>
      </c>
      <c r="J403" s="8">
        <v>-0.18459999999999999</v>
      </c>
      <c r="K403" s="7">
        <v>0.3458</v>
      </c>
      <c r="L403" s="7">
        <v>0.8478</v>
      </c>
      <c r="M403" s="8">
        <v>23.214300000000001</v>
      </c>
      <c r="N403" s="8">
        <v>-5.5077999999999996</v>
      </c>
      <c r="O403" s="7">
        <v>6.5301999999999998</v>
      </c>
      <c r="P403" s="7">
        <v>1973.576</v>
      </c>
      <c r="Q403" s="7">
        <v>1823.2539999999999</v>
      </c>
      <c r="R403" s="7" t="str">
        <f t="shared" si="91"/>
        <v>Down</v>
      </c>
      <c r="S403" s="7" t="str">
        <f t="shared" si="92"/>
        <v>Buy</v>
      </c>
      <c r="T403" s="8">
        <f t="shared" si="93"/>
        <v>0.14195195312499989</v>
      </c>
      <c r="U403" s="18">
        <f t="shared" si="94"/>
        <v>3280250</v>
      </c>
      <c r="V403" s="7">
        <f t="shared" si="95"/>
        <v>5586.2002000000002</v>
      </c>
      <c r="W403" s="7">
        <f t="shared" si="96"/>
        <v>1808.1</v>
      </c>
      <c r="X403" s="7">
        <f t="shared" si="97"/>
        <v>1838.6</v>
      </c>
      <c r="Y403" s="7">
        <f t="shared" si="98"/>
        <v>326</v>
      </c>
      <c r="Z403" s="7">
        <f t="shared" si="99"/>
        <v>1152411</v>
      </c>
      <c r="AA403" s="7" t="str">
        <f t="shared" si="100"/>
        <v>16-Feb-2023</v>
      </c>
      <c r="AB403" s="7">
        <f t="shared" si="101"/>
        <v>1838.6</v>
      </c>
      <c r="AC403" s="7">
        <f t="shared" si="105"/>
        <v>1</v>
      </c>
      <c r="AD403" s="7">
        <f t="shared" si="102"/>
        <v>2023</v>
      </c>
      <c r="AE403" s="19">
        <f t="shared" si="103"/>
        <v>-0.18</v>
      </c>
      <c r="BA403" s="10">
        <f t="shared" si="104"/>
        <v>26.997800000000002</v>
      </c>
    </row>
    <row r="404" spans="1:53" x14ac:dyDescent="0.3">
      <c r="A404" s="17">
        <v>44974</v>
      </c>
      <c r="B404" s="8">
        <v>1840.4</v>
      </c>
      <c r="C404" s="7">
        <v>1842.2</v>
      </c>
      <c r="D404" s="7">
        <v>1818.4</v>
      </c>
      <c r="E404" s="7">
        <v>1827.4</v>
      </c>
      <c r="F404" s="18">
        <v>35</v>
      </c>
      <c r="G404" s="7">
        <v>1851.1429000000001</v>
      </c>
      <c r="H404" s="7">
        <v>1892.7166999999999</v>
      </c>
      <c r="I404" s="7">
        <v>1788.0056</v>
      </c>
      <c r="J404" s="8">
        <v>-0.60919999999999996</v>
      </c>
      <c r="K404" s="7">
        <v>0.3301</v>
      </c>
      <c r="L404" s="7">
        <v>0.84860000000000002</v>
      </c>
      <c r="M404" s="8">
        <v>21.799900000000001</v>
      </c>
      <c r="N404" s="8">
        <v>-8.4878999999999998</v>
      </c>
      <c r="O404" s="7">
        <v>3.5266000000000002</v>
      </c>
      <c r="P404" s="7">
        <v>1974.2926</v>
      </c>
      <c r="Q404" s="7">
        <v>1813.0673999999999</v>
      </c>
      <c r="R404" s="7" t="str">
        <f t="shared" si="91"/>
        <v>Down</v>
      </c>
      <c r="S404" s="7" t="str">
        <f t="shared" si="92"/>
        <v>Buy</v>
      </c>
      <c r="T404" s="8">
        <f t="shared" si="93"/>
        <v>0.14237770534550184</v>
      </c>
      <c r="U404" s="18">
        <f t="shared" si="94"/>
        <v>3280028</v>
      </c>
      <c r="V404" s="7">
        <f t="shared" si="95"/>
        <v>5586.2002000000002</v>
      </c>
      <c r="W404" s="7">
        <f t="shared" si="96"/>
        <v>1808.1</v>
      </c>
      <c r="X404" s="7">
        <f t="shared" si="97"/>
        <v>1827.4</v>
      </c>
      <c r="Y404" s="7">
        <f t="shared" si="98"/>
        <v>326</v>
      </c>
      <c r="Z404" s="7">
        <f t="shared" si="99"/>
        <v>1152411</v>
      </c>
      <c r="AA404" s="7" t="str">
        <f t="shared" si="100"/>
        <v>17-Feb-2023</v>
      </c>
      <c r="AB404" s="7">
        <f t="shared" si="101"/>
        <v>1827.4</v>
      </c>
      <c r="AC404" s="7">
        <f t="shared" si="105"/>
        <v>1</v>
      </c>
      <c r="AD404" s="7">
        <f t="shared" si="102"/>
        <v>2023</v>
      </c>
      <c r="AE404" s="19">
        <f t="shared" si="103"/>
        <v>-0.61</v>
      </c>
      <c r="BA404" s="10">
        <f t="shared" si="104"/>
        <v>26.997800000000002</v>
      </c>
    </row>
    <row r="405" spans="1:53" x14ac:dyDescent="0.3">
      <c r="A405" s="17">
        <v>44978</v>
      </c>
      <c r="B405" s="8">
        <v>1833</v>
      </c>
      <c r="C405" s="7">
        <v>1843</v>
      </c>
      <c r="D405" s="7">
        <v>1833</v>
      </c>
      <c r="E405" s="7">
        <v>1842.6</v>
      </c>
      <c r="F405" s="18">
        <v>862</v>
      </c>
      <c r="G405" s="7">
        <v>1846.4713999999999</v>
      </c>
      <c r="H405" s="7">
        <v>1892.8567</v>
      </c>
      <c r="I405" s="7">
        <v>1790.0144</v>
      </c>
      <c r="J405" s="8">
        <v>0.83179999999999998</v>
      </c>
      <c r="K405" s="7">
        <v>0.53369999999999995</v>
      </c>
      <c r="L405" s="7">
        <v>0.84719999999999995</v>
      </c>
      <c r="M405" s="8">
        <v>28.707599999999999</v>
      </c>
      <c r="N405" s="8">
        <v>-9.5134000000000007</v>
      </c>
      <c r="O405" s="7">
        <v>0.91859999999999997</v>
      </c>
      <c r="P405" s="7">
        <v>1971.624</v>
      </c>
      <c r="Q405" s="7">
        <v>1807.346</v>
      </c>
      <c r="R405" s="7" t="str">
        <f t="shared" si="91"/>
        <v>Up</v>
      </c>
      <c r="S405" s="7" t="str">
        <f t="shared" si="92"/>
        <v>Buy</v>
      </c>
      <c r="T405" s="8">
        <f t="shared" si="93"/>
        <v>0.1433588772845952</v>
      </c>
      <c r="U405" s="18">
        <f t="shared" si="94"/>
        <v>3279993</v>
      </c>
      <c r="V405" s="7">
        <f t="shared" si="95"/>
        <v>5586.2002000000002</v>
      </c>
      <c r="W405" s="7">
        <f t="shared" si="96"/>
        <v>1808.1</v>
      </c>
      <c r="X405" s="7">
        <f t="shared" si="97"/>
        <v>1842.6</v>
      </c>
      <c r="Y405" s="7">
        <f t="shared" si="98"/>
        <v>326</v>
      </c>
      <c r="Z405" s="7">
        <f t="shared" si="99"/>
        <v>1152411</v>
      </c>
      <c r="AA405" s="7" t="str">
        <f t="shared" si="100"/>
        <v>21-Feb-2023</v>
      </c>
      <c r="AB405" s="7">
        <f t="shared" si="101"/>
        <v>1842.6</v>
      </c>
      <c r="AC405" s="7">
        <f t="shared" si="105"/>
        <v>1</v>
      </c>
      <c r="AD405" s="7">
        <f t="shared" si="102"/>
        <v>2023</v>
      </c>
      <c r="AE405" s="19">
        <f t="shared" si="103"/>
        <v>0.83</v>
      </c>
      <c r="BA405" s="10">
        <f t="shared" si="104"/>
        <v>26.997800000000002</v>
      </c>
    </row>
    <row r="406" spans="1:53" x14ac:dyDescent="0.3">
      <c r="A406" s="17">
        <v>44979</v>
      </c>
      <c r="B406" s="8">
        <v>1832</v>
      </c>
      <c r="C406" s="7">
        <v>1836.2</v>
      </c>
      <c r="D406" s="7">
        <v>1825.1</v>
      </c>
      <c r="E406" s="7">
        <v>1835.7</v>
      </c>
      <c r="F406" s="18">
        <v>278</v>
      </c>
      <c r="G406" s="7">
        <v>1842.7714000000001</v>
      </c>
      <c r="H406" s="7">
        <v>1891.8133</v>
      </c>
      <c r="I406" s="7">
        <v>1791.8778</v>
      </c>
      <c r="J406" s="8">
        <v>-0.3745</v>
      </c>
      <c r="K406" s="7">
        <v>0.49580000000000002</v>
      </c>
      <c r="L406" s="7">
        <v>0.79769999999999996</v>
      </c>
      <c r="M406" s="8">
        <v>26.1097</v>
      </c>
      <c r="N406" s="8">
        <v>-10.758900000000001</v>
      </c>
      <c r="O406" s="7">
        <v>-1.4169</v>
      </c>
      <c r="P406" s="7">
        <v>1967.6358</v>
      </c>
      <c r="Q406" s="7">
        <v>1801.7242000000001</v>
      </c>
      <c r="R406" s="7" t="str">
        <f t="shared" si="91"/>
        <v>Up</v>
      </c>
      <c r="S406" s="7" t="str">
        <f t="shared" si="92"/>
        <v>Buy</v>
      </c>
      <c r="T406" s="8">
        <f t="shared" si="93"/>
        <v>0.14245895424836591</v>
      </c>
      <c r="U406" s="18">
        <f t="shared" si="94"/>
        <v>3279131</v>
      </c>
      <c r="V406" s="7">
        <f t="shared" si="95"/>
        <v>5586.2002000000002</v>
      </c>
      <c r="W406" s="7">
        <f t="shared" si="96"/>
        <v>1808.1</v>
      </c>
      <c r="X406" s="7">
        <f t="shared" si="97"/>
        <v>1835.7</v>
      </c>
      <c r="Y406" s="7">
        <f t="shared" si="98"/>
        <v>325</v>
      </c>
      <c r="Z406" s="7">
        <f t="shared" si="99"/>
        <v>1151549</v>
      </c>
      <c r="AA406" s="7" t="str">
        <f t="shared" si="100"/>
        <v>22-Feb-2023</v>
      </c>
      <c r="AB406" s="7">
        <f t="shared" si="101"/>
        <v>1835.7</v>
      </c>
      <c r="AC406" s="7">
        <f t="shared" si="105"/>
        <v>1</v>
      </c>
      <c r="AD406" s="7">
        <f t="shared" si="102"/>
        <v>2023</v>
      </c>
      <c r="AE406" s="19">
        <f t="shared" si="103"/>
        <v>-0.37</v>
      </c>
      <c r="BA406" s="10">
        <f t="shared" si="104"/>
        <v>26.997800000000002</v>
      </c>
    </row>
    <row r="407" spans="1:53" x14ac:dyDescent="0.3">
      <c r="A407" s="17">
        <v>44980</v>
      </c>
      <c r="B407" s="8">
        <v>1818</v>
      </c>
      <c r="C407" s="7">
        <v>1827.5</v>
      </c>
      <c r="D407" s="7">
        <v>1818</v>
      </c>
      <c r="E407" s="7">
        <v>1826.4</v>
      </c>
      <c r="F407" s="18">
        <v>291</v>
      </c>
      <c r="G407" s="7">
        <v>1838.1143</v>
      </c>
      <c r="H407" s="7">
        <v>1890.1</v>
      </c>
      <c r="I407" s="7">
        <v>1793.5578</v>
      </c>
      <c r="J407" s="8">
        <v>-0.50660000000000005</v>
      </c>
      <c r="K407" s="7">
        <v>0.50780000000000003</v>
      </c>
      <c r="L407" s="7">
        <v>0.79269999999999996</v>
      </c>
      <c r="M407" s="8">
        <v>14.171900000000001</v>
      </c>
      <c r="N407" s="8">
        <v>-12.353899999999999</v>
      </c>
      <c r="O407" s="7">
        <v>-3.6042999999999998</v>
      </c>
      <c r="P407" s="7">
        <v>1961.3140000000001</v>
      </c>
      <c r="Q407" s="7">
        <v>1796.566</v>
      </c>
      <c r="R407" s="7" t="str">
        <f t="shared" si="91"/>
        <v>Up</v>
      </c>
      <c r="S407" s="7" t="str">
        <f t="shared" si="92"/>
        <v>Buy</v>
      </c>
      <c r="T407" s="8">
        <f t="shared" si="93"/>
        <v>0.1431356020942407</v>
      </c>
      <c r="U407" s="18">
        <f t="shared" si="94"/>
        <v>3278853</v>
      </c>
      <c r="V407" s="7">
        <f t="shared" si="95"/>
        <v>5586.2002000000002</v>
      </c>
      <c r="W407" s="7">
        <f t="shared" si="96"/>
        <v>1808.1</v>
      </c>
      <c r="X407" s="7">
        <f t="shared" si="97"/>
        <v>1826.4</v>
      </c>
      <c r="Y407" s="7">
        <f t="shared" si="98"/>
        <v>324</v>
      </c>
      <c r="Z407" s="7">
        <f t="shared" si="99"/>
        <v>1151271</v>
      </c>
      <c r="AA407" s="7" t="str">
        <f t="shared" si="100"/>
        <v>23-Feb-2023</v>
      </c>
      <c r="AB407" s="7">
        <f t="shared" si="101"/>
        <v>1826.4</v>
      </c>
      <c r="AC407" s="7">
        <f t="shared" si="105"/>
        <v>1</v>
      </c>
      <c r="AD407" s="7">
        <f t="shared" si="102"/>
        <v>2023</v>
      </c>
      <c r="AE407" s="19">
        <f t="shared" si="103"/>
        <v>-0.51</v>
      </c>
      <c r="BA407" s="10">
        <f t="shared" si="104"/>
        <v>26.997800000000002</v>
      </c>
    </row>
    <row r="408" spans="1:53" x14ac:dyDescent="0.3">
      <c r="A408" s="17">
        <v>44981</v>
      </c>
      <c r="B408" s="8">
        <v>1808.8</v>
      </c>
      <c r="C408" s="7">
        <v>1808.8</v>
      </c>
      <c r="D408" s="7">
        <v>1808.8</v>
      </c>
      <c r="E408" s="7">
        <v>1808.8</v>
      </c>
      <c r="F408" s="18">
        <v>404</v>
      </c>
      <c r="G408" s="7">
        <v>1831.6429000000001</v>
      </c>
      <c r="H408" s="7">
        <v>1887.9567</v>
      </c>
      <c r="I408" s="7">
        <v>1795.1522</v>
      </c>
      <c r="J408" s="8">
        <v>-0.96360000000000001</v>
      </c>
      <c r="K408" s="7">
        <v>0.57509999999999994</v>
      </c>
      <c r="L408" s="7">
        <v>0.80820000000000003</v>
      </c>
      <c r="M408" s="8">
        <v>16.232099999999999</v>
      </c>
      <c r="N408" s="8">
        <v>-14.8668</v>
      </c>
      <c r="O408" s="7">
        <v>-5.8567999999999998</v>
      </c>
      <c r="P408" s="7">
        <v>1955.9126000000001</v>
      </c>
      <c r="Q408" s="7">
        <v>1789.1874</v>
      </c>
      <c r="R408" s="7" t="str">
        <f t="shared" si="91"/>
        <v>Down</v>
      </c>
      <c r="S408" s="7" t="str">
        <f t="shared" si="92"/>
        <v>Buy</v>
      </c>
      <c r="T408" s="8">
        <f t="shared" si="93"/>
        <v>0.14398715596330264</v>
      </c>
      <c r="U408" s="18">
        <f t="shared" si="94"/>
        <v>3278562</v>
      </c>
      <c r="V408" s="7">
        <f t="shared" si="95"/>
        <v>5586.2002000000002</v>
      </c>
      <c r="W408" s="7">
        <f t="shared" si="96"/>
        <v>1808.1</v>
      </c>
      <c r="X408" s="7">
        <f t="shared" si="97"/>
        <v>1808.8</v>
      </c>
      <c r="Y408" s="7">
        <f t="shared" si="98"/>
        <v>323</v>
      </c>
      <c r="Z408" s="7">
        <f t="shared" si="99"/>
        <v>1150980</v>
      </c>
      <c r="AA408" s="7" t="str">
        <f t="shared" si="100"/>
        <v>24-Feb-2023</v>
      </c>
      <c r="AB408" s="7">
        <f t="shared" si="101"/>
        <v>1808.8</v>
      </c>
      <c r="AC408" s="7">
        <f t="shared" si="105"/>
        <v>1</v>
      </c>
      <c r="AD408" s="7">
        <f t="shared" si="102"/>
        <v>2023</v>
      </c>
      <c r="AE408" s="19">
        <f t="shared" si="103"/>
        <v>-0.96</v>
      </c>
      <c r="BA408" s="10">
        <f t="shared" si="104"/>
        <v>26.997800000000002</v>
      </c>
    </row>
    <row r="409" spans="1:53" x14ac:dyDescent="0.3">
      <c r="A409" s="17">
        <v>44984</v>
      </c>
      <c r="B409" s="8">
        <v>1817</v>
      </c>
      <c r="C409" s="7">
        <v>1817.5</v>
      </c>
      <c r="D409" s="7">
        <v>1808.9</v>
      </c>
      <c r="E409" s="7">
        <v>1811.6</v>
      </c>
      <c r="F409" s="18">
        <v>829</v>
      </c>
      <c r="G409" s="7">
        <v>1827.3</v>
      </c>
      <c r="H409" s="7">
        <v>1885.77</v>
      </c>
      <c r="I409" s="7">
        <v>1796.9456</v>
      </c>
      <c r="J409" s="8">
        <v>0.15479999999999999</v>
      </c>
      <c r="K409" s="7">
        <v>0.58550000000000002</v>
      </c>
      <c r="L409" s="7">
        <v>0.80740000000000001</v>
      </c>
      <c r="M409" s="8">
        <v>25.319900000000001</v>
      </c>
      <c r="N409" s="8">
        <v>-16.442900000000002</v>
      </c>
      <c r="O409" s="7">
        <v>-7.9740000000000002</v>
      </c>
      <c r="P409" s="7">
        <v>1949.9222</v>
      </c>
      <c r="Q409" s="7">
        <v>1783.4777999999999</v>
      </c>
      <c r="R409" s="7" t="str">
        <f t="shared" si="91"/>
        <v>Down</v>
      </c>
      <c r="S409" s="7" t="str">
        <f t="shared" si="92"/>
        <v>Buy</v>
      </c>
      <c r="T409" s="8">
        <f t="shared" si="93"/>
        <v>0.14544068241469807</v>
      </c>
      <c r="U409" s="18">
        <f t="shared" si="94"/>
        <v>3278158</v>
      </c>
      <c r="V409" s="7">
        <f t="shared" si="95"/>
        <v>5586.2002000000002</v>
      </c>
      <c r="W409" s="7">
        <f t="shared" si="96"/>
        <v>1808.1</v>
      </c>
      <c r="X409" s="7">
        <f t="shared" si="97"/>
        <v>1811.6</v>
      </c>
      <c r="Y409" s="7">
        <f t="shared" si="98"/>
        <v>323</v>
      </c>
      <c r="Z409" s="7">
        <f t="shared" si="99"/>
        <v>1150980</v>
      </c>
      <c r="AA409" s="7" t="str">
        <f t="shared" si="100"/>
        <v>27-Feb-2023</v>
      </c>
      <c r="AB409" s="7">
        <f t="shared" si="101"/>
        <v>1811.6</v>
      </c>
      <c r="AC409" s="7">
        <f t="shared" si="105"/>
        <v>1</v>
      </c>
      <c r="AD409" s="7">
        <f t="shared" si="102"/>
        <v>2023</v>
      </c>
      <c r="AE409" s="19">
        <f t="shared" si="103"/>
        <v>0.15</v>
      </c>
      <c r="BA409" s="10">
        <f t="shared" si="104"/>
        <v>26.997800000000002</v>
      </c>
    </row>
    <row r="410" spans="1:53" x14ac:dyDescent="0.3">
      <c r="A410" s="17">
        <v>44985</v>
      </c>
      <c r="B410" s="8">
        <v>1828.9</v>
      </c>
      <c r="C410" s="7">
        <v>1830</v>
      </c>
      <c r="D410" s="7">
        <v>1808.1</v>
      </c>
      <c r="E410" s="7">
        <v>1808.1</v>
      </c>
      <c r="F410" s="18">
        <v>618</v>
      </c>
      <c r="G410" s="7">
        <v>1822.9429</v>
      </c>
      <c r="H410" s="7">
        <v>1882.74</v>
      </c>
      <c r="I410" s="7">
        <v>1798.6867</v>
      </c>
      <c r="J410" s="8">
        <v>-0.19320000000000001</v>
      </c>
      <c r="K410" s="7">
        <v>0.58540000000000003</v>
      </c>
      <c r="L410" s="7">
        <v>0.77059999999999995</v>
      </c>
      <c r="M410" s="8">
        <v>21.474599999999999</v>
      </c>
      <c r="N410" s="8">
        <v>-17.769500000000001</v>
      </c>
      <c r="O410" s="7">
        <v>-9.9330999999999996</v>
      </c>
      <c r="P410" s="7">
        <v>1942.5308</v>
      </c>
      <c r="Q410" s="7">
        <v>1778.8490999999999</v>
      </c>
      <c r="R410" s="7" t="str">
        <f t="shared" si="91"/>
        <v>Down</v>
      </c>
      <c r="S410" s="7" t="str">
        <f t="shared" si="92"/>
        <v>Buy</v>
      </c>
      <c r="T410" s="8">
        <f t="shared" si="93"/>
        <v>0.14542838370565037</v>
      </c>
      <c r="U410" s="18">
        <f t="shared" si="94"/>
        <v>3277329</v>
      </c>
      <c r="V410" s="7">
        <f t="shared" si="95"/>
        <v>5586.2002000000002</v>
      </c>
      <c r="W410" s="7">
        <f t="shared" si="96"/>
        <v>1808.1</v>
      </c>
      <c r="X410" s="7">
        <f t="shared" si="97"/>
        <v>1808.1</v>
      </c>
      <c r="Y410" s="7">
        <f t="shared" si="98"/>
        <v>323</v>
      </c>
      <c r="Z410" s="7">
        <f t="shared" si="99"/>
        <v>1150980</v>
      </c>
      <c r="AA410" s="7" t="str">
        <f t="shared" si="100"/>
        <v>28-Feb-2023</v>
      </c>
      <c r="AB410" s="7">
        <f t="shared" si="101"/>
        <v>1808.1</v>
      </c>
      <c r="AC410" s="7">
        <f t="shared" si="105"/>
        <v>1</v>
      </c>
      <c r="AD410" s="7">
        <f t="shared" si="102"/>
        <v>2023</v>
      </c>
      <c r="AE410" s="19">
        <f t="shared" si="103"/>
        <v>-0.19</v>
      </c>
      <c r="BA410" s="10">
        <f t="shared" si="104"/>
        <v>26.997800000000002</v>
      </c>
    </row>
    <row r="411" spans="1:53" x14ac:dyDescent="0.3">
      <c r="A411" s="17">
        <v>44986</v>
      </c>
      <c r="B411" s="8">
        <v>1837.7</v>
      </c>
      <c r="C411" s="7">
        <v>1841.7</v>
      </c>
      <c r="D411" s="7">
        <v>1827.1</v>
      </c>
      <c r="E411" s="7">
        <v>1827.1</v>
      </c>
      <c r="F411" s="18">
        <v>211</v>
      </c>
      <c r="G411" s="7">
        <v>1822.9</v>
      </c>
      <c r="H411" s="7">
        <v>1879.64</v>
      </c>
      <c r="I411" s="7">
        <v>1800.7933</v>
      </c>
      <c r="J411" s="8">
        <v>1.0508</v>
      </c>
      <c r="K411" s="7">
        <v>0.72829999999999995</v>
      </c>
      <c r="L411" s="7">
        <v>0.76719999999999999</v>
      </c>
      <c r="M411" s="8">
        <v>32.057400000000001</v>
      </c>
      <c r="N411" s="8">
        <v>-17.090599999999998</v>
      </c>
      <c r="O411" s="7">
        <v>-11.364599999999999</v>
      </c>
      <c r="P411" s="7">
        <v>1933.4919</v>
      </c>
      <c r="Q411" s="7">
        <v>1778.2981</v>
      </c>
      <c r="R411" s="7" t="str">
        <f t="shared" si="91"/>
        <v>Down</v>
      </c>
      <c r="S411" s="7" t="str">
        <f t="shared" si="92"/>
        <v>Hold</v>
      </c>
      <c r="T411" s="8">
        <f t="shared" si="93"/>
        <v>0.14587394736842096</v>
      </c>
      <c r="U411" s="18">
        <f t="shared" si="94"/>
        <v>3276711</v>
      </c>
      <c r="V411" s="7">
        <f t="shared" si="95"/>
        <v>5586.2002000000002</v>
      </c>
      <c r="W411" s="7">
        <f t="shared" si="96"/>
        <v>1809.4</v>
      </c>
      <c r="X411" s="7">
        <f t="shared" si="97"/>
        <v>1827.1</v>
      </c>
      <c r="Y411" s="7">
        <f t="shared" si="98"/>
        <v>323</v>
      </c>
      <c r="Z411" s="7">
        <f t="shared" si="99"/>
        <v>1150980</v>
      </c>
      <c r="AA411" s="7" t="str">
        <f t="shared" si="100"/>
        <v>01-Mar-2023</v>
      </c>
      <c r="AB411" s="7">
        <f t="shared" si="101"/>
        <v>1827.1</v>
      </c>
      <c r="AC411" s="7">
        <f t="shared" si="105"/>
        <v>1</v>
      </c>
      <c r="AD411" s="7">
        <f t="shared" si="102"/>
        <v>2023</v>
      </c>
      <c r="AE411" s="19">
        <f t="shared" si="103"/>
        <v>1.05</v>
      </c>
      <c r="BA411" s="10">
        <f t="shared" si="104"/>
        <v>26.997800000000002</v>
      </c>
    </row>
    <row r="412" spans="1:53" x14ac:dyDescent="0.3">
      <c r="A412" s="17">
        <v>44987</v>
      </c>
      <c r="B412" s="8">
        <v>1833.5</v>
      </c>
      <c r="C412" s="7">
        <v>1836.3</v>
      </c>
      <c r="D412" s="7">
        <v>1830</v>
      </c>
      <c r="E412" s="7">
        <v>1830</v>
      </c>
      <c r="F412" s="18">
        <v>154</v>
      </c>
      <c r="G412" s="7">
        <v>1821.1</v>
      </c>
      <c r="H412" s="7">
        <v>1876.9367</v>
      </c>
      <c r="I412" s="7">
        <v>1803.0956000000001</v>
      </c>
      <c r="J412" s="8">
        <v>0.15870000000000001</v>
      </c>
      <c r="K412" s="7">
        <v>0.63919999999999999</v>
      </c>
      <c r="L412" s="7">
        <v>0.7671</v>
      </c>
      <c r="M412" s="8">
        <v>31.894400000000001</v>
      </c>
      <c r="N412" s="8">
        <v>-16.1327</v>
      </c>
      <c r="O412" s="7">
        <v>-12.318199999999999</v>
      </c>
      <c r="P412" s="7">
        <v>1921.6932999999999</v>
      </c>
      <c r="Q412" s="7">
        <v>1780.3767</v>
      </c>
      <c r="R412" s="7" t="str">
        <f t="shared" si="91"/>
        <v>Down</v>
      </c>
      <c r="S412" s="7" t="str">
        <f t="shared" si="92"/>
        <v>Hold</v>
      </c>
      <c r="T412" s="8">
        <f t="shared" si="93"/>
        <v>0.1446816864295124</v>
      </c>
      <c r="U412" s="18">
        <f t="shared" si="94"/>
        <v>3276500</v>
      </c>
      <c r="V412" s="7">
        <f t="shared" si="95"/>
        <v>5586.2002000000002</v>
      </c>
      <c r="W412" s="7">
        <f t="shared" si="96"/>
        <v>1809.4</v>
      </c>
      <c r="X412" s="7">
        <f t="shared" si="97"/>
        <v>1830</v>
      </c>
      <c r="Y412" s="7">
        <f t="shared" si="98"/>
        <v>323</v>
      </c>
      <c r="Z412" s="7">
        <f t="shared" si="99"/>
        <v>1150980</v>
      </c>
      <c r="AA412" s="7" t="str">
        <f t="shared" si="100"/>
        <v>02-Mar-2023</v>
      </c>
      <c r="AB412" s="7">
        <f t="shared" si="101"/>
        <v>1830</v>
      </c>
      <c r="AC412" s="7">
        <f t="shared" si="105"/>
        <v>1</v>
      </c>
      <c r="AD412" s="7">
        <f t="shared" si="102"/>
        <v>2023</v>
      </c>
      <c r="AE412" s="19">
        <f t="shared" si="103"/>
        <v>0.16</v>
      </c>
      <c r="BA412" s="10">
        <f t="shared" si="104"/>
        <v>26.997800000000002</v>
      </c>
    </row>
    <row r="413" spans="1:53" x14ac:dyDescent="0.3">
      <c r="A413" s="17">
        <v>44988</v>
      </c>
      <c r="B413" s="8">
        <v>1847.7</v>
      </c>
      <c r="C413" s="7">
        <v>1855.4</v>
      </c>
      <c r="D413" s="7">
        <v>1837.3</v>
      </c>
      <c r="E413" s="7">
        <v>1837.3</v>
      </c>
      <c r="F413" s="18">
        <v>61</v>
      </c>
      <c r="G413" s="7">
        <v>1821.3286000000001</v>
      </c>
      <c r="H413" s="7">
        <v>1874.11</v>
      </c>
      <c r="I413" s="7">
        <v>1805.3533</v>
      </c>
      <c r="J413" s="8">
        <v>0.39889999999999998</v>
      </c>
      <c r="K413" s="7">
        <v>0.64980000000000004</v>
      </c>
      <c r="L413" s="7">
        <v>0.7621</v>
      </c>
      <c r="M413" s="8">
        <v>39.764099999999999</v>
      </c>
      <c r="N413" s="8">
        <v>-14.616</v>
      </c>
      <c r="O413" s="7">
        <v>-12.777799999999999</v>
      </c>
      <c r="P413" s="7">
        <v>1897.5749000000001</v>
      </c>
      <c r="Q413" s="7">
        <v>1792.9951000000001</v>
      </c>
      <c r="R413" s="7" t="str">
        <f t="shared" si="91"/>
        <v>Down</v>
      </c>
      <c r="S413" s="7" t="str">
        <f t="shared" si="92"/>
        <v>Hold</v>
      </c>
      <c r="T413" s="8">
        <f t="shared" si="93"/>
        <v>0.14466319261213711</v>
      </c>
      <c r="U413" s="18">
        <f t="shared" si="94"/>
        <v>3276346</v>
      </c>
      <c r="V413" s="7">
        <f t="shared" si="95"/>
        <v>5586.2002000000002</v>
      </c>
      <c r="W413" s="7">
        <f t="shared" si="96"/>
        <v>1809.4</v>
      </c>
      <c r="X413" s="7">
        <f t="shared" si="97"/>
        <v>1837.3</v>
      </c>
      <c r="Y413" s="7">
        <f t="shared" si="98"/>
        <v>323</v>
      </c>
      <c r="Z413" s="7">
        <f t="shared" si="99"/>
        <v>1150980</v>
      </c>
      <c r="AA413" s="7" t="str">
        <f t="shared" si="100"/>
        <v>03-Mar-2023</v>
      </c>
      <c r="AB413" s="7">
        <f t="shared" si="101"/>
        <v>1837.3</v>
      </c>
      <c r="AC413" s="7">
        <f t="shared" si="105"/>
        <v>1</v>
      </c>
      <c r="AD413" s="7">
        <f t="shared" si="102"/>
        <v>2023</v>
      </c>
      <c r="AE413" s="19">
        <f t="shared" si="103"/>
        <v>0.4</v>
      </c>
      <c r="BA413" s="10">
        <f t="shared" si="104"/>
        <v>26.997800000000002</v>
      </c>
    </row>
    <row r="414" spans="1:53" x14ac:dyDescent="0.3">
      <c r="A414" s="17">
        <v>44991</v>
      </c>
      <c r="B414" s="8">
        <v>1847.9</v>
      </c>
      <c r="C414" s="7">
        <v>1853.8</v>
      </c>
      <c r="D414" s="7">
        <v>1844.2</v>
      </c>
      <c r="E414" s="7">
        <v>1853.3</v>
      </c>
      <c r="F414" s="18">
        <v>5</v>
      </c>
      <c r="G414" s="7">
        <v>1825.1713999999999</v>
      </c>
      <c r="H414" s="7">
        <v>1871.8167000000001</v>
      </c>
      <c r="I414" s="7">
        <v>1807.4711</v>
      </c>
      <c r="J414" s="8">
        <v>0.87080000000000002</v>
      </c>
      <c r="K414" s="7">
        <v>0.67390000000000005</v>
      </c>
      <c r="L414" s="7">
        <v>0.78420000000000001</v>
      </c>
      <c r="M414" s="8">
        <v>47.842599999999997</v>
      </c>
      <c r="N414" s="8">
        <v>-11.9848</v>
      </c>
      <c r="O414" s="7">
        <v>-12.619199999999999</v>
      </c>
      <c r="P414" s="7">
        <v>1884.3144</v>
      </c>
      <c r="Q414" s="7">
        <v>1800.3456000000001</v>
      </c>
      <c r="R414" s="7" t="str">
        <f t="shared" si="91"/>
        <v>Up</v>
      </c>
      <c r="S414" s="7" t="str">
        <f t="shared" si="92"/>
        <v>Hold</v>
      </c>
      <c r="T414" s="8">
        <f t="shared" si="93"/>
        <v>0.14432734478203421</v>
      </c>
      <c r="U414" s="18">
        <f t="shared" si="94"/>
        <v>3276285</v>
      </c>
      <c r="V414" s="7">
        <f t="shared" si="95"/>
        <v>5586.2002000000002</v>
      </c>
      <c r="W414" s="7">
        <f t="shared" si="96"/>
        <v>1809.4</v>
      </c>
      <c r="X414" s="7">
        <f t="shared" si="97"/>
        <v>1853.3</v>
      </c>
      <c r="Y414" s="7">
        <f t="shared" si="98"/>
        <v>323</v>
      </c>
      <c r="Z414" s="7">
        <f t="shared" si="99"/>
        <v>1150980</v>
      </c>
      <c r="AA414" s="7" t="str">
        <f t="shared" si="100"/>
        <v>06-Mar-2023</v>
      </c>
      <c r="AB414" s="7">
        <f t="shared" si="101"/>
        <v>1853.3</v>
      </c>
      <c r="AC414" s="7">
        <f t="shared" si="105"/>
        <v>1</v>
      </c>
      <c r="AD414" s="7">
        <f t="shared" si="102"/>
        <v>2023</v>
      </c>
      <c r="AE414" s="19">
        <f t="shared" si="103"/>
        <v>0.87</v>
      </c>
      <c r="BA414" s="10">
        <f t="shared" si="104"/>
        <v>26.997800000000002</v>
      </c>
    </row>
    <row r="415" spans="1:53" x14ac:dyDescent="0.3">
      <c r="A415" s="17">
        <v>44992</v>
      </c>
      <c r="B415" s="8">
        <v>1813.9</v>
      </c>
      <c r="C415" s="7">
        <v>1840.9</v>
      </c>
      <c r="D415" s="7">
        <v>1813.9</v>
      </c>
      <c r="E415" s="7">
        <v>1840.9</v>
      </c>
      <c r="F415" s="18">
        <v>450</v>
      </c>
      <c r="G415" s="7">
        <v>1829.7571</v>
      </c>
      <c r="H415" s="7">
        <v>1868.9632999999999</v>
      </c>
      <c r="I415" s="7">
        <v>1809.6122</v>
      </c>
      <c r="J415" s="8">
        <v>-0.66910000000000003</v>
      </c>
      <c r="K415" s="7">
        <v>0.59260000000000002</v>
      </c>
      <c r="L415" s="7">
        <v>0.78759999999999997</v>
      </c>
      <c r="M415" s="8">
        <v>45.272199999999998</v>
      </c>
      <c r="N415" s="8">
        <v>-10.7759</v>
      </c>
      <c r="O415" s="7">
        <v>-12.250500000000001</v>
      </c>
      <c r="P415" s="7">
        <v>1881.6252999999999</v>
      </c>
      <c r="Q415" s="7">
        <v>1800.5648000000001</v>
      </c>
      <c r="R415" s="7" t="str">
        <f t="shared" si="91"/>
        <v>Up</v>
      </c>
      <c r="S415" s="7" t="str">
        <f t="shared" si="92"/>
        <v>Hold</v>
      </c>
      <c r="T415" s="8">
        <f t="shared" si="93"/>
        <v>0.143366402116402</v>
      </c>
      <c r="U415" s="18">
        <f t="shared" si="94"/>
        <v>3276280</v>
      </c>
      <c r="V415" s="7">
        <f t="shared" si="95"/>
        <v>5586.2002000000002</v>
      </c>
      <c r="W415" s="7">
        <f t="shared" si="96"/>
        <v>1809.4</v>
      </c>
      <c r="X415" s="7">
        <f t="shared" si="97"/>
        <v>1840.9</v>
      </c>
      <c r="Y415" s="7">
        <f t="shared" si="98"/>
        <v>322</v>
      </c>
      <c r="Z415" s="7">
        <f t="shared" si="99"/>
        <v>1150975</v>
      </c>
      <c r="AA415" s="7" t="str">
        <f t="shared" si="100"/>
        <v>07-Mar-2023</v>
      </c>
      <c r="AB415" s="7">
        <f t="shared" si="101"/>
        <v>1840.9</v>
      </c>
      <c r="AC415" s="7">
        <f t="shared" si="105"/>
        <v>1</v>
      </c>
      <c r="AD415" s="7">
        <f t="shared" si="102"/>
        <v>2023</v>
      </c>
      <c r="AE415" s="19">
        <f t="shared" si="103"/>
        <v>-0.67</v>
      </c>
      <c r="BA415" s="10">
        <f t="shared" si="104"/>
        <v>26.997800000000002</v>
      </c>
    </row>
    <row r="416" spans="1:53" x14ac:dyDescent="0.3">
      <c r="A416" s="17">
        <v>44993</v>
      </c>
      <c r="B416" s="8">
        <v>1812.7</v>
      </c>
      <c r="C416" s="7">
        <v>1812.9</v>
      </c>
      <c r="D416" s="7">
        <v>1811.5</v>
      </c>
      <c r="E416" s="7">
        <v>1811.6</v>
      </c>
      <c r="F416" s="18">
        <v>75</v>
      </c>
      <c r="G416" s="7">
        <v>1829.7571</v>
      </c>
      <c r="H416" s="7">
        <v>1864.9567</v>
      </c>
      <c r="I416" s="7">
        <v>1811.41</v>
      </c>
      <c r="J416" s="8">
        <v>-1.5915999999999999</v>
      </c>
      <c r="K416" s="7">
        <v>0.91879999999999995</v>
      </c>
      <c r="L416" s="7">
        <v>0.82579999999999998</v>
      </c>
      <c r="M416" s="8">
        <v>40.306100000000001</v>
      </c>
      <c r="N416" s="8">
        <v>-12.043200000000001</v>
      </c>
      <c r="O416" s="7">
        <v>-12.209099999999999</v>
      </c>
      <c r="P416" s="7">
        <v>1878.3503000000001</v>
      </c>
      <c r="Q416" s="7">
        <v>1797.9997000000001</v>
      </c>
      <c r="R416" s="7" t="str">
        <f t="shared" si="91"/>
        <v>Down</v>
      </c>
      <c r="S416" s="7" t="str">
        <f t="shared" si="92"/>
        <v>Hold</v>
      </c>
      <c r="T416" s="8">
        <f t="shared" si="93"/>
        <v>0.14444251655629128</v>
      </c>
      <c r="U416" s="18">
        <f t="shared" si="94"/>
        <v>3275830</v>
      </c>
      <c r="V416" s="7">
        <f t="shared" si="95"/>
        <v>5586.2002000000002</v>
      </c>
      <c r="W416" s="7">
        <f t="shared" si="96"/>
        <v>1809.4</v>
      </c>
      <c r="X416" s="7">
        <f t="shared" si="97"/>
        <v>1811.6</v>
      </c>
      <c r="Y416" s="7">
        <f t="shared" si="98"/>
        <v>321</v>
      </c>
      <c r="Z416" s="7">
        <f t="shared" si="99"/>
        <v>1150525</v>
      </c>
      <c r="AA416" s="7" t="str">
        <f t="shared" si="100"/>
        <v>08-Mar-2023</v>
      </c>
      <c r="AB416" s="7">
        <f t="shared" si="101"/>
        <v>1811.6</v>
      </c>
      <c r="AC416" s="7">
        <f t="shared" si="105"/>
        <v>1</v>
      </c>
      <c r="AD416" s="7">
        <f t="shared" si="102"/>
        <v>2023</v>
      </c>
      <c r="AE416" s="19">
        <f t="shared" si="103"/>
        <v>-1.59</v>
      </c>
      <c r="BA416" s="10">
        <f t="shared" si="104"/>
        <v>26.997800000000002</v>
      </c>
    </row>
    <row r="417" spans="1:53" x14ac:dyDescent="0.3">
      <c r="A417" s="17">
        <v>44994</v>
      </c>
      <c r="B417" s="8">
        <v>1829.3</v>
      </c>
      <c r="C417" s="7">
        <v>1829.3</v>
      </c>
      <c r="D417" s="7">
        <v>1815.6</v>
      </c>
      <c r="E417" s="7">
        <v>1816.4</v>
      </c>
      <c r="F417" s="18">
        <v>332</v>
      </c>
      <c r="G417" s="7">
        <v>1830.9429</v>
      </c>
      <c r="H417" s="7">
        <v>1860.7967000000001</v>
      </c>
      <c r="I417" s="7">
        <v>1813.14</v>
      </c>
      <c r="J417" s="8">
        <v>0.26500000000000001</v>
      </c>
      <c r="K417" s="7">
        <v>0.91879999999999995</v>
      </c>
      <c r="L417" s="7">
        <v>0.82030000000000003</v>
      </c>
      <c r="M417" s="8">
        <v>42.983600000000003</v>
      </c>
      <c r="N417" s="8">
        <v>-12.516</v>
      </c>
      <c r="O417" s="7">
        <v>-12.2705</v>
      </c>
      <c r="P417" s="7">
        <v>1873.3231000000001</v>
      </c>
      <c r="Q417" s="7">
        <v>1797.4568999999999</v>
      </c>
      <c r="R417" s="7" t="str">
        <f t="shared" si="91"/>
        <v>Down</v>
      </c>
      <c r="S417" s="7" t="str">
        <f t="shared" si="92"/>
        <v>Hold</v>
      </c>
      <c r="T417" s="8">
        <f t="shared" si="93"/>
        <v>0.14674496021220151</v>
      </c>
      <c r="U417" s="18">
        <f t="shared" si="94"/>
        <v>3275755</v>
      </c>
      <c r="V417" s="7">
        <f t="shared" si="95"/>
        <v>5586.2002000000002</v>
      </c>
      <c r="W417" s="7">
        <f t="shared" si="96"/>
        <v>1809.4</v>
      </c>
      <c r="X417" s="7">
        <f t="shared" si="97"/>
        <v>1816.4</v>
      </c>
      <c r="Y417" s="7">
        <f t="shared" si="98"/>
        <v>321</v>
      </c>
      <c r="Z417" s="7">
        <f t="shared" si="99"/>
        <v>1150525</v>
      </c>
      <c r="AA417" s="7" t="str">
        <f t="shared" si="100"/>
        <v>09-Mar-2023</v>
      </c>
      <c r="AB417" s="7">
        <f t="shared" si="101"/>
        <v>1816.4</v>
      </c>
      <c r="AC417" s="7">
        <f t="shared" si="105"/>
        <v>1</v>
      </c>
      <c r="AD417" s="7">
        <f t="shared" si="102"/>
        <v>2023</v>
      </c>
      <c r="AE417" s="19">
        <f t="shared" si="103"/>
        <v>0.27</v>
      </c>
      <c r="BA417" s="10">
        <f t="shared" si="104"/>
        <v>26.997800000000002</v>
      </c>
    </row>
    <row r="418" spans="1:53" x14ac:dyDescent="0.3">
      <c r="A418" s="17">
        <v>44995</v>
      </c>
      <c r="B418" s="8">
        <v>1862</v>
      </c>
      <c r="C418" s="7">
        <v>1868.5</v>
      </c>
      <c r="D418" s="7">
        <v>1852</v>
      </c>
      <c r="E418" s="7">
        <v>1852.3</v>
      </c>
      <c r="F418" s="18">
        <v>248</v>
      </c>
      <c r="G418" s="7">
        <v>1834.5428999999999</v>
      </c>
      <c r="H418" s="7">
        <v>1857.9866999999999</v>
      </c>
      <c r="I418" s="7">
        <v>1815.2655999999999</v>
      </c>
      <c r="J418" s="8">
        <v>1.9763999999999999</v>
      </c>
      <c r="K418" s="7">
        <v>1.1267</v>
      </c>
      <c r="L418" s="7">
        <v>0.91290000000000004</v>
      </c>
      <c r="M418" s="8">
        <v>56.807000000000002</v>
      </c>
      <c r="N418" s="8">
        <v>-9.8800000000000008</v>
      </c>
      <c r="O418" s="7">
        <v>-11.792400000000001</v>
      </c>
      <c r="P418" s="7">
        <v>1868.2727</v>
      </c>
      <c r="Q418" s="7">
        <v>1800.2073</v>
      </c>
      <c r="R418" s="7" t="str">
        <f t="shared" si="91"/>
        <v>Down</v>
      </c>
      <c r="S418" s="7" t="str">
        <f t="shared" si="92"/>
        <v>Hold</v>
      </c>
      <c r="T418" s="8">
        <f t="shared" si="93"/>
        <v>0.14658791500664001</v>
      </c>
      <c r="U418" s="18">
        <f t="shared" si="94"/>
        <v>3275423</v>
      </c>
      <c r="V418" s="7">
        <f t="shared" si="95"/>
        <v>5586.2002000000002</v>
      </c>
      <c r="W418" s="7">
        <f t="shared" si="96"/>
        <v>1809.4</v>
      </c>
      <c r="X418" s="7">
        <f t="shared" si="97"/>
        <v>1852.3</v>
      </c>
      <c r="Y418" s="7">
        <f t="shared" si="98"/>
        <v>321</v>
      </c>
      <c r="Z418" s="7">
        <f t="shared" si="99"/>
        <v>1150525</v>
      </c>
      <c r="AA418" s="7" t="str">
        <f t="shared" si="100"/>
        <v>10-Mar-2023</v>
      </c>
      <c r="AB418" s="7">
        <f t="shared" si="101"/>
        <v>1852.3</v>
      </c>
      <c r="AC418" s="7">
        <f t="shared" si="105"/>
        <v>1</v>
      </c>
      <c r="AD418" s="7">
        <f t="shared" si="102"/>
        <v>2023</v>
      </c>
      <c r="AE418" s="19">
        <f t="shared" si="103"/>
        <v>1.98</v>
      </c>
      <c r="BA418" s="10">
        <f t="shared" si="104"/>
        <v>26.997800000000002</v>
      </c>
    </row>
    <row r="419" spans="1:53" x14ac:dyDescent="0.3">
      <c r="A419" s="17">
        <v>44998</v>
      </c>
      <c r="B419" s="8">
        <v>1911.7</v>
      </c>
      <c r="C419" s="7">
        <v>1913.1</v>
      </c>
      <c r="D419" s="7">
        <v>1875.1</v>
      </c>
      <c r="E419" s="7">
        <v>1890.8</v>
      </c>
      <c r="F419" s="18">
        <v>503</v>
      </c>
      <c r="G419" s="7">
        <v>1843.2285999999999</v>
      </c>
      <c r="H419" s="7">
        <v>1856.7266999999999</v>
      </c>
      <c r="I419" s="7">
        <v>1818.0322000000001</v>
      </c>
      <c r="J419" s="8">
        <v>2.0785</v>
      </c>
      <c r="K419" s="7">
        <v>1.3299000000000001</v>
      </c>
      <c r="L419" s="7">
        <v>0.997</v>
      </c>
      <c r="M419" s="8">
        <v>61.6877</v>
      </c>
      <c r="N419" s="8">
        <v>-4.6308999999999996</v>
      </c>
      <c r="O419" s="7">
        <v>-10.360099999999999</v>
      </c>
      <c r="P419" s="7">
        <v>1876.5061000000001</v>
      </c>
      <c r="Q419" s="7">
        <v>1794.8939</v>
      </c>
      <c r="R419" s="7" t="str">
        <f t="shared" si="91"/>
        <v>Down</v>
      </c>
      <c r="S419" s="7" t="str">
        <f t="shared" si="92"/>
        <v>Hold</v>
      </c>
      <c r="T419" s="8">
        <f t="shared" si="93"/>
        <v>0.14415465425531904</v>
      </c>
      <c r="U419" s="18">
        <f t="shared" si="94"/>
        <v>3275175</v>
      </c>
      <c r="V419" s="7">
        <f t="shared" si="95"/>
        <v>5586.2002000000002</v>
      </c>
      <c r="W419" s="7">
        <f t="shared" si="96"/>
        <v>1809.4</v>
      </c>
      <c r="X419" s="7">
        <f t="shared" si="97"/>
        <v>1890.8</v>
      </c>
      <c r="Y419" s="7">
        <f t="shared" si="98"/>
        <v>321</v>
      </c>
      <c r="Z419" s="7">
        <f t="shared" si="99"/>
        <v>1150525</v>
      </c>
      <c r="AA419" s="7" t="str">
        <f t="shared" si="100"/>
        <v>13-Mar-2023</v>
      </c>
      <c r="AB419" s="7">
        <f t="shared" si="101"/>
        <v>1890.8</v>
      </c>
      <c r="AC419" s="7">
        <f t="shared" si="105"/>
        <v>1</v>
      </c>
      <c r="AD419" s="7">
        <f t="shared" si="102"/>
        <v>2023</v>
      </c>
      <c r="AE419" s="19">
        <f t="shared" si="103"/>
        <v>2.08</v>
      </c>
      <c r="BA419" s="10">
        <f t="shared" si="104"/>
        <v>26.997800000000002</v>
      </c>
    </row>
    <row r="420" spans="1:53" x14ac:dyDescent="0.3">
      <c r="A420" s="17">
        <v>44999</v>
      </c>
      <c r="B420" s="8">
        <v>1906.2</v>
      </c>
      <c r="C420" s="7">
        <v>1912.2</v>
      </c>
      <c r="D420" s="7">
        <v>1901.1</v>
      </c>
      <c r="E420" s="7">
        <v>1912.2</v>
      </c>
      <c r="F420" s="18">
        <v>107</v>
      </c>
      <c r="G420" s="7">
        <v>1853.9286</v>
      </c>
      <c r="H420" s="7">
        <v>1856.19</v>
      </c>
      <c r="I420" s="7">
        <v>1821.1588999999999</v>
      </c>
      <c r="J420" s="8">
        <v>1.1317999999999999</v>
      </c>
      <c r="K420" s="7">
        <v>1.3514999999999999</v>
      </c>
      <c r="L420" s="7">
        <v>1.0206</v>
      </c>
      <c r="M420" s="8">
        <v>67.331199999999995</v>
      </c>
      <c r="N420" s="8">
        <v>1.2415</v>
      </c>
      <c r="O420" s="7">
        <v>-8.0397999999999996</v>
      </c>
      <c r="P420" s="7">
        <v>1890.83</v>
      </c>
      <c r="Q420" s="7">
        <v>1785.89</v>
      </c>
      <c r="R420" s="7" t="str">
        <f t="shared" si="91"/>
        <v>Up</v>
      </c>
      <c r="S420" s="7" t="str">
        <f t="shared" si="92"/>
        <v>Hold</v>
      </c>
      <c r="T420" s="8">
        <f t="shared" si="93"/>
        <v>0.14157896138482015</v>
      </c>
      <c r="U420" s="18">
        <f t="shared" si="94"/>
        <v>3274672</v>
      </c>
      <c r="V420" s="7">
        <f t="shared" si="95"/>
        <v>5586.2002000000002</v>
      </c>
      <c r="W420" s="7">
        <f t="shared" si="96"/>
        <v>1809.4</v>
      </c>
      <c r="X420" s="7">
        <f t="shared" si="97"/>
        <v>1912.2</v>
      </c>
      <c r="Y420" s="7">
        <f t="shared" si="98"/>
        <v>321</v>
      </c>
      <c r="Z420" s="7">
        <f t="shared" si="99"/>
        <v>1150525</v>
      </c>
      <c r="AA420" s="7" t="str">
        <f t="shared" si="100"/>
        <v>14-Mar-2023</v>
      </c>
      <c r="AB420" s="7">
        <f t="shared" si="101"/>
        <v>1912.2</v>
      </c>
      <c r="AC420" s="7">
        <f t="shared" si="105"/>
        <v>1</v>
      </c>
      <c r="AD420" s="7">
        <f t="shared" si="102"/>
        <v>2023</v>
      </c>
      <c r="AE420" s="19">
        <f t="shared" si="103"/>
        <v>1.1299999999999999</v>
      </c>
      <c r="BA420" s="10">
        <f t="shared" si="104"/>
        <v>26.997800000000002</v>
      </c>
    </row>
    <row r="421" spans="1:53" x14ac:dyDescent="0.3">
      <c r="A421" s="17">
        <v>45000</v>
      </c>
      <c r="B421" s="8">
        <v>1926.6</v>
      </c>
      <c r="C421" s="7">
        <v>1926.6</v>
      </c>
      <c r="D421" s="7">
        <v>1898.5</v>
      </c>
      <c r="E421" s="7">
        <v>1903.9</v>
      </c>
      <c r="F421" s="18">
        <v>564</v>
      </c>
      <c r="G421" s="7">
        <v>1861.1572000000001</v>
      </c>
      <c r="H421" s="7">
        <v>1855.5533</v>
      </c>
      <c r="I421" s="7">
        <v>1823.9711</v>
      </c>
      <c r="J421" s="8">
        <v>-0.43409999999999999</v>
      </c>
      <c r="K421" s="7">
        <v>1.3940999999999999</v>
      </c>
      <c r="L421" s="7">
        <v>1.0223</v>
      </c>
      <c r="M421" s="8">
        <v>67.637699999999995</v>
      </c>
      <c r="N421" s="8">
        <v>5.1661000000000001</v>
      </c>
      <c r="O421" s="7">
        <v>-5.3986000000000001</v>
      </c>
      <c r="P421" s="7">
        <v>1900.6760999999999</v>
      </c>
      <c r="Q421" s="7">
        <v>1781.0239999999999</v>
      </c>
      <c r="R421" s="7" t="str">
        <f t="shared" si="91"/>
        <v>Down</v>
      </c>
      <c r="S421" s="7" t="str">
        <f t="shared" si="92"/>
        <v>Hold</v>
      </c>
      <c r="T421" s="8">
        <f t="shared" si="93"/>
        <v>0.14025866666666659</v>
      </c>
      <c r="U421" s="18">
        <f t="shared" si="94"/>
        <v>3274565</v>
      </c>
      <c r="V421" s="7">
        <f t="shared" si="95"/>
        <v>5586.2002000000002</v>
      </c>
      <c r="W421" s="7">
        <f t="shared" si="96"/>
        <v>1809.4</v>
      </c>
      <c r="X421" s="7">
        <f t="shared" si="97"/>
        <v>1903.9</v>
      </c>
      <c r="Y421" s="7">
        <f t="shared" si="98"/>
        <v>320</v>
      </c>
      <c r="Z421" s="7">
        <f t="shared" si="99"/>
        <v>1150418</v>
      </c>
      <c r="AA421" s="7" t="str">
        <f t="shared" si="100"/>
        <v>15-Mar-2023</v>
      </c>
      <c r="AB421" s="7">
        <f t="shared" si="101"/>
        <v>1903.9</v>
      </c>
      <c r="AC421" s="7">
        <f t="shared" si="105"/>
        <v>1</v>
      </c>
      <c r="AD421" s="7">
        <f t="shared" si="102"/>
        <v>2023</v>
      </c>
      <c r="AE421" s="19">
        <f t="shared" si="103"/>
        <v>-0.43</v>
      </c>
      <c r="BA421" s="10">
        <f t="shared" si="104"/>
        <v>26.997800000000002</v>
      </c>
    </row>
    <row r="422" spans="1:53" x14ac:dyDescent="0.3">
      <c r="A422" s="17">
        <v>45001</v>
      </c>
      <c r="B422" s="8">
        <v>1919</v>
      </c>
      <c r="C422" s="7">
        <v>1931.7</v>
      </c>
      <c r="D422" s="7">
        <v>1909.9</v>
      </c>
      <c r="E422" s="7">
        <v>1909.9</v>
      </c>
      <c r="F422" s="18">
        <v>394</v>
      </c>
      <c r="G422" s="7">
        <v>1871.0143</v>
      </c>
      <c r="H422" s="7">
        <v>1854.9766999999999</v>
      </c>
      <c r="I422" s="7">
        <v>1827.09</v>
      </c>
      <c r="J422" s="8">
        <v>0.31509999999999999</v>
      </c>
      <c r="K422" s="7">
        <v>1.3165</v>
      </c>
      <c r="L422" s="7">
        <v>1.0233000000000001</v>
      </c>
      <c r="M422" s="8">
        <v>74.291200000000003</v>
      </c>
      <c r="N422" s="8">
        <v>8.6607000000000003</v>
      </c>
      <c r="O422" s="7">
        <v>-2.5867</v>
      </c>
      <c r="P422" s="7">
        <v>1911.5808999999999</v>
      </c>
      <c r="Q422" s="7">
        <v>1776.9092000000001</v>
      </c>
      <c r="R422" s="7" t="str">
        <f t="shared" si="91"/>
        <v>Down</v>
      </c>
      <c r="S422" s="7" t="str">
        <f t="shared" si="92"/>
        <v>Sell</v>
      </c>
      <c r="T422" s="8">
        <f t="shared" si="93"/>
        <v>0.14102550066755665</v>
      </c>
      <c r="U422" s="18">
        <f t="shared" si="94"/>
        <v>3274001</v>
      </c>
      <c r="V422" s="7">
        <f t="shared" si="95"/>
        <v>5586.2002000000002</v>
      </c>
      <c r="W422" s="7">
        <f t="shared" si="96"/>
        <v>1809.4</v>
      </c>
      <c r="X422" s="7">
        <f t="shared" si="97"/>
        <v>1909.9</v>
      </c>
      <c r="Y422" s="7">
        <f t="shared" si="98"/>
        <v>320</v>
      </c>
      <c r="Z422" s="7">
        <f t="shared" si="99"/>
        <v>1150418</v>
      </c>
      <c r="AA422" s="7" t="str">
        <f t="shared" si="100"/>
        <v>16-Mar-2023</v>
      </c>
      <c r="AB422" s="7">
        <f t="shared" si="101"/>
        <v>1909.9</v>
      </c>
      <c r="AC422" s="7">
        <f t="shared" si="105"/>
        <v>1</v>
      </c>
      <c r="AD422" s="7">
        <f t="shared" si="102"/>
        <v>2023</v>
      </c>
      <c r="AE422" s="19">
        <f t="shared" si="103"/>
        <v>0.32</v>
      </c>
      <c r="BA422" s="10">
        <f t="shared" si="104"/>
        <v>26.997800000000002</v>
      </c>
    </row>
    <row r="423" spans="1:53" x14ac:dyDescent="0.3">
      <c r="A423" s="17">
        <v>45002</v>
      </c>
      <c r="B423" s="8">
        <v>1969.8</v>
      </c>
      <c r="C423" s="7">
        <v>1985.1</v>
      </c>
      <c r="D423" s="7">
        <v>1946</v>
      </c>
      <c r="E423" s="7">
        <v>1946</v>
      </c>
      <c r="F423" s="18">
        <v>82</v>
      </c>
      <c r="G423" s="7">
        <v>1890.2143000000001</v>
      </c>
      <c r="H423" s="7">
        <v>1854.7666999999999</v>
      </c>
      <c r="I423" s="7">
        <v>1830.5989</v>
      </c>
      <c r="J423" s="8">
        <v>1.8902000000000001</v>
      </c>
      <c r="K423" s="7">
        <v>0.99880000000000002</v>
      </c>
      <c r="L423" s="7">
        <v>1.0547</v>
      </c>
      <c r="M423" s="8">
        <v>77.837599999999995</v>
      </c>
      <c r="N423" s="8">
        <v>14.1798</v>
      </c>
      <c r="O423" s="7">
        <v>0.76659999999999995</v>
      </c>
      <c r="P423" s="7">
        <v>1930.7679000000001</v>
      </c>
      <c r="Q423" s="7">
        <v>1768.4621</v>
      </c>
      <c r="R423" s="7" t="str">
        <f t="shared" si="91"/>
        <v>Down</v>
      </c>
      <c r="S423" s="7" t="str">
        <f t="shared" si="92"/>
        <v>Sell</v>
      </c>
      <c r="T423" s="8">
        <f t="shared" si="93"/>
        <v>0.140792780748663</v>
      </c>
      <c r="U423" s="18">
        <f t="shared" si="94"/>
        <v>3273607</v>
      </c>
      <c r="V423" s="7">
        <f t="shared" si="95"/>
        <v>5586.2002000000002</v>
      </c>
      <c r="W423" s="7">
        <f t="shared" si="96"/>
        <v>1809.4</v>
      </c>
      <c r="X423" s="7">
        <f t="shared" si="97"/>
        <v>1946</v>
      </c>
      <c r="Y423" s="7">
        <f t="shared" si="98"/>
        <v>320</v>
      </c>
      <c r="Z423" s="7">
        <f t="shared" si="99"/>
        <v>1150418</v>
      </c>
      <c r="AA423" s="7" t="str">
        <f t="shared" si="100"/>
        <v>17-Mar-2023</v>
      </c>
      <c r="AB423" s="7">
        <f t="shared" si="101"/>
        <v>1946</v>
      </c>
      <c r="AC423" s="7">
        <f t="shared" si="105"/>
        <v>1</v>
      </c>
      <c r="AD423" s="7">
        <f t="shared" si="102"/>
        <v>2023</v>
      </c>
      <c r="AE423" s="19">
        <f t="shared" si="103"/>
        <v>1.89</v>
      </c>
      <c r="BA423" s="10">
        <f t="shared" si="104"/>
        <v>26.997800000000002</v>
      </c>
    </row>
    <row r="424" spans="1:53" x14ac:dyDescent="0.3">
      <c r="A424" s="17">
        <v>45005</v>
      </c>
      <c r="B424" s="8">
        <v>1979.2</v>
      </c>
      <c r="C424" s="7">
        <v>2003.9</v>
      </c>
      <c r="D424" s="7">
        <v>1968.9</v>
      </c>
      <c r="E424" s="7">
        <v>1988.3</v>
      </c>
      <c r="F424" s="18">
        <v>389</v>
      </c>
      <c r="G424" s="7">
        <v>1914.7714000000001</v>
      </c>
      <c r="H424" s="7">
        <v>1857.2967000000001</v>
      </c>
      <c r="I424" s="7">
        <v>1834.0589</v>
      </c>
      <c r="J424" s="8">
        <v>2.1737000000000002</v>
      </c>
      <c r="K424" s="7">
        <v>1.0148999999999999</v>
      </c>
      <c r="L424" s="7">
        <v>1.0547</v>
      </c>
      <c r="M424" s="8">
        <v>82.155600000000007</v>
      </c>
      <c r="N424" s="8">
        <v>21.7166</v>
      </c>
      <c r="O424" s="7">
        <v>4.9565999999999999</v>
      </c>
      <c r="P424" s="7">
        <v>1958.9445000000001</v>
      </c>
      <c r="Q424" s="7">
        <v>1756.3755000000001</v>
      </c>
      <c r="R424" s="7" t="str">
        <f t="shared" si="91"/>
        <v>Up</v>
      </c>
      <c r="S424" s="7" t="str">
        <f t="shared" si="92"/>
        <v>Sell</v>
      </c>
      <c r="T424" s="8">
        <f t="shared" si="93"/>
        <v>0.13845087014725557</v>
      </c>
      <c r="U424" s="18">
        <f t="shared" si="94"/>
        <v>3273525</v>
      </c>
      <c r="V424" s="7">
        <f t="shared" si="95"/>
        <v>5586.2002000000002</v>
      </c>
      <c r="W424" s="7">
        <f t="shared" si="96"/>
        <v>1809.4</v>
      </c>
      <c r="X424" s="7">
        <f t="shared" si="97"/>
        <v>1988.3</v>
      </c>
      <c r="Y424" s="7">
        <f t="shared" si="98"/>
        <v>320</v>
      </c>
      <c r="Z424" s="7">
        <f t="shared" si="99"/>
        <v>1150418</v>
      </c>
      <c r="AA424" s="7" t="str">
        <f t="shared" si="100"/>
        <v>20-Mar-2023</v>
      </c>
      <c r="AB424" s="7">
        <f t="shared" si="101"/>
        <v>1988.3</v>
      </c>
      <c r="AC424" s="7">
        <f t="shared" si="105"/>
        <v>1</v>
      </c>
      <c r="AD424" s="7">
        <f t="shared" si="102"/>
        <v>2023</v>
      </c>
      <c r="AE424" s="19">
        <f t="shared" si="103"/>
        <v>2.17</v>
      </c>
      <c r="BA424" s="10">
        <f t="shared" si="104"/>
        <v>26.997800000000002</v>
      </c>
    </row>
    <row r="425" spans="1:53" x14ac:dyDescent="0.3">
      <c r="A425" s="17">
        <v>45006</v>
      </c>
      <c r="B425" s="8">
        <v>1938</v>
      </c>
      <c r="C425" s="7">
        <v>1973.8</v>
      </c>
      <c r="D425" s="7">
        <v>1938</v>
      </c>
      <c r="E425" s="7">
        <v>1973.8</v>
      </c>
      <c r="F425" s="18">
        <v>47</v>
      </c>
      <c r="G425" s="7">
        <v>1932.1286</v>
      </c>
      <c r="H425" s="7">
        <v>1860.9032999999999</v>
      </c>
      <c r="I425" s="7">
        <v>1837.0655999999999</v>
      </c>
      <c r="J425" s="8">
        <v>-0.72929999999999995</v>
      </c>
      <c r="K425" s="7">
        <v>1.2123999999999999</v>
      </c>
      <c r="L425" s="7">
        <v>0.95120000000000005</v>
      </c>
      <c r="M425" s="8">
        <v>76.605000000000004</v>
      </c>
      <c r="N425" s="8">
        <v>26.217300000000002</v>
      </c>
      <c r="O425" s="7">
        <v>9.2087000000000003</v>
      </c>
      <c r="P425" s="7">
        <v>1977.6629</v>
      </c>
      <c r="Q425" s="7">
        <v>1750.7771</v>
      </c>
      <c r="R425" s="7" t="str">
        <f t="shared" si="91"/>
        <v>Up</v>
      </c>
      <c r="S425" s="7" t="str">
        <f t="shared" si="92"/>
        <v>Sell</v>
      </c>
      <c r="T425" s="8">
        <f t="shared" si="93"/>
        <v>0.13572265415549584</v>
      </c>
      <c r="U425" s="18">
        <f t="shared" si="94"/>
        <v>3273136</v>
      </c>
      <c r="V425" s="7">
        <f t="shared" si="95"/>
        <v>5586.2002000000002</v>
      </c>
      <c r="W425" s="7">
        <f t="shared" si="96"/>
        <v>1809.4</v>
      </c>
      <c r="X425" s="7">
        <f t="shared" si="97"/>
        <v>1973.8</v>
      </c>
      <c r="Y425" s="7">
        <f t="shared" si="98"/>
        <v>319</v>
      </c>
      <c r="Z425" s="7">
        <f t="shared" si="99"/>
        <v>1150029</v>
      </c>
      <c r="AA425" s="7" t="str">
        <f t="shared" si="100"/>
        <v>21-Mar-2023</v>
      </c>
      <c r="AB425" s="7">
        <f t="shared" si="101"/>
        <v>1973.8</v>
      </c>
      <c r="AC425" s="7">
        <f t="shared" si="105"/>
        <v>1</v>
      </c>
      <c r="AD425" s="7">
        <f t="shared" si="102"/>
        <v>2023</v>
      </c>
      <c r="AE425" s="19">
        <f t="shared" si="103"/>
        <v>-0.73</v>
      </c>
      <c r="BA425" s="10">
        <f t="shared" si="104"/>
        <v>26.997800000000002</v>
      </c>
    </row>
    <row r="426" spans="1:53" x14ac:dyDescent="0.3">
      <c r="A426" s="17">
        <v>45007</v>
      </c>
      <c r="B426" s="8">
        <v>1946.8</v>
      </c>
      <c r="C426" s="7">
        <v>1974</v>
      </c>
      <c r="D426" s="7">
        <v>1946.8</v>
      </c>
      <c r="E426" s="7">
        <v>1946.8</v>
      </c>
      <c r="F426" s="18">
        <v>50</v>
      </c>
      <c r="G426" s="7">
        <v>1940.1286</v>
      </c>
      <c r="H426" s="7">
        <v>1863.4632999999999</v>
      </c>
      <c r="I426" s="7">
        <v>1839.7256</v>
      </c>
      <c r="J426" s="8">
        <v>-1.3678999999999999</v>
      </c>
      <c r="K426" s="7">
        <v>1.3541000000000001</v>
      </c>
      <c r="L426" s="7">
        <v>0.9929</v>
      </c>
      <c r="M426" s="8">
        <v>69.479699999999994</v>
      </c>
      <c r="N426" s="8">
        <v>27.290900000000001</v>
      </c>
      <c r="O426" s="7">
        <v>12.825100000000001</v>
      </c>
      <c r="P426" s="7">
        <v>1988.1126999999999</v>
      </c>
      <c r="Q426" s="7">
        <v>1751.4374</v>
      </c>
      <c r="R426" s="7" t="str">
        <f t="shared" si="91"/>
        <v>Down</v>
      </c>
      <c r="S426" s="7" t="str">
        <f t="shared" si="92"/>
        <v>Hold</v>
      </c>
      <c r="T426" s="8">
        <f t="shared" si="93"/>
        <v>0.13688375838926159</v>
      </c>
      <c r="U426" s="18">
        <f t="shared" si="94"/>
        <v>3273089</v>
      </c>
      <c r="V426" s="7">
        <f t="shared" si="95"/>
        <v>5586.2002000000002</v>
      </c>
      <c r="W426" s="7">
        <f t="shared" si="96"/>
        <v>1809.4</v>
      </c>
      <c r="X426" s="7">
        <f t="shared" si="97"/>
        <v>1946.8</v>
      </c>
      <c r="Y426" s="7">
        <f t="shared" si="98"/>
        <v>318</v>
      </c>
      <c r="Z426" s="7">
        <f t="shared" si="99"/>
        <v>1149982</v>
      </c>
      <c r="AA426" s="7" t="str">
        <f t="shared" si="100"/>
        <v>22-Mar-2023</v>
      </c>
      <c r="AB426" s="7">
        <f t="shared" si="101"/>
        <v>1946.8</v>
      </c>
      <c r="AC426" s="7">
        <f t="shared" si="105"/>
        <v>1</v>
      </c>
      <c r="AD426" s="7">
        <f t="shared" si="102"/>
        <v>2023</v>
      </c>
      <c r="AE426" s="19">
        <f t="shared" si="103"/>
        <v>-1.37</v>
      </c>
      <c r="BA426" s="10">
        <f t="shared" si="104"/>
        <v>26.997800000000002</v>
      </c>
    </row>
    <row r="427" spans="1:53" x14ac:dyDescent="0.3">
      <c r="A427" s="17">
        <v>45008</v>
      </c>
      <c r="B427" s="8">
        <v>1993.8</v>
      </c>
      <c r="C427" s="7">
        <v>1994.6</v>
      </c>
      <c r="D427" s="7">
        <v>1990.5</v>
      </c>
      <c r="E427" s="7">
        <v>1990.5</v>
      </c>
      <c r="F427" s="18">
        <v>33</v>
      </c>
      <c r="G427" s="7">
        <v>1951.3143</v>
      </c>
      <c r="H427" s="7">
        <v>1867.41</v>
      </c>
      <c r="I427" s="7">
        <v>1842.8622</v>
      </c>
      <c r="J427" s="8">
        <v>2.2446999999999999</v>
      </c>
      <c r="K427" s="7">
        <v>1.5075000000000001</v>
      </c>
      <c r="L427" s="7">
        <v>1.0646</v>
      </c>
      <c r="M427" s="8">
        <v>72.784099999999995</v>
      </c>
      <c r="N427" s="8">
        <v>31.306999999999999</v>
      </c>
      <c r="O427" s="7">
        <v>16.5215</v>
      </c>
      <c r="P427" s="7">
        <v>2006.0135</v>
      </c>
      <c r="Q427" s="7">
        <v>1749.9465</v>
      </c>
      <c r="R427" s="7" t="str">
        <f t="shared" si="91"/>
        <v>Down</v>
      </c>
      <c r="S427" s="7" t="str">
        <f t="shared" si="92"/>
        <v>Sell</v>
      </c>
      <c r="T427" s="8">
        <f t="shared" si="93"/>
        <v>0.13890631720430094</v>
      </c>
      <c r="U427" s="18">
        <f t="shared" si="94"/>
        <v>3273039</v>
      </c>
      <c r="V427" s="7">
        <f t="shared" si="95"/>
        <v>5586.2002000000002</v>
      </c>
      <c r="W427" s="7">
        <f t="shared" si="96"/>
        <v>1809.4</v>
      </c>
      <c r="X427" s="7">
        <f t="shared" si="97"/>
        <v>1990.5</v>
      </c>
      <c r="Y427" s="7">
        <f t="shared" si="98"/>
        <v>318</v>
      </c>
      <c r="Z427" s="7">
        <f t="shared" si="99"/>
        <v>1149982</v>
      </c>
      <c r="AA427" s="7" t="str">
        <f t="shared" si="100"/>
        <v>23-Mar-2023</v>
      </c>
      <c r="AB427" s="7">
        <f t="shared" si="101"/>
        <v>1990.5</v>
      </c>
      <c r="AC427" s="7">
        <f t="shared" si="105"/>
        <v>1</v>
      </c>
      <c r="AD427" s="7">
        <f t="shared" si="102"/>
        <v>2023</v>
      </c>
      <c r="AE427" s="19">
        <f t="shared" si="103"/>
        <v>2.2400000000000002</v>
      </c>
      <c r="BA427" s="10">
        <f t="shared" si="104"/>
        <v>26.997800000000002</v>
      </c>
    </row>
    <row r="428" spans="1:53" x14ac:dyDescent="0.3">
      <c r="A428" s="17">
        <v>45009</v>
      </c>
      <c r="B428" s="8">
        <v>1982.1</v>
      </c>
      <c r="C428" s="7">
        <v>1995.4</v>
      </c>
      <c r="D428" s="7">
        <v>1982.1</v>
      </c>
      <c r="E428" s="7">
        <v>1991.7</v>
      </c>
      <c r="F428" s="18">
        <v>19</v>
      </c>
      <c r="G428" s="7">
        <v>1963.8571999999999</v>
      </c>
      <c r="H428" s="7">
        <v>1871.29</v>
      </c>
      <c r="I428" s="7">
        <v>1845.3943999999999</v>
      </c>
      <c r="J428" s="8">
        <v>6.0299999999999999E-2</v>
      </c>
      <c r="K428" s="7">
        <v>1.4626999999999999</v>
      </c>
      <c r="L428" s="7">
        <v>1.0649999999999999</v>
      </c>
      <c r="M428" s="8">
        <v>71.530799999999999</v>
      </c>
      <c r="N428" s="8">
        <v>34.192500000000003</v>
      </c>
      <c r="O428" s="7">
        <v>20.055700000000002</v>
      </c>
      <c r="P428" s="7">
        <v>2020.3747000000001</v>
      </c>
      <c r="Q428" s="7">
        <v>1753.8753999999999</v>
      </c>
      <c r="R428" s="7" t="str">
        <f t="shared" si="91"/>
        <v>Up</v>
      </c>
      <c r="S428" s="7" t="str">
        <f t="shared" si="92"/>
        <v>Sell</v>
      </c>
      <c r="T428" s="8">
        <f t="shared" si="93"/>
        <v>0.13607213997308193</v>
      </c>
      <c r="U428" s="18">
        <f t="shared" si="94"/>
        <v>3273006</v>
      </c>
      <c r="V428" s="7">
        <f t="shared" si="95"/>
        <v>5586.2002000000002</v>
      </c>
      <c r="W428" s="7">
        <f t="shared" si="96"/>
        <v>1809.4</v>
      </c>
      <c r="X428" s="7">
        <f t="shared" si="97"/>
        <v>1991.7</v>
      </c>
      <c r="Y428" s="7">
        <f t="shared" si="98"/>
        <v>318</v>
      </c>
      <c r="Z428" s="7">
        <f t="shared" si="99"/>
        <v>1149982</v>
      </c>
      <c r="AA428" s="7" t="str">
        <f t="shared" si="100"/>
        <v>24-Mar-2023</v>
      </c>
      <c r="AB428" s="7">
        <f t="shared" si="101"/>
        <v>1991.7</v>
      </c>
      <c r="AC428" s="7">
        <f t="shared" si="105"/>
        <v>1</v>
      </c>
      <c r="AD428" s="7">
        <f t="shared" si="102"/>
        <v>2023</v>
      </c>
      <c r="AE428" s="19">
        <f t="shared" si="103"/>
        <v>0.06</v>
      </c>
      <c r="BA428" s="10">
        <f t="shared" si="104"/>
        <v>26.997800000000002</v>
      </c>
    </row>
    <row r="429" spans="1:53" x14ac:dyDescent="0.3">
      <c r="A429" s="17">
        <v>45012</v>
      </c>
      <c r="B429" s="8">
        <v>1952.4</v>
      </c>
      <c r="C429" s="7">
        <v>1957.2</v>
      </c>
      <c r="D429" s="7">
        <v>1952.4</v>
      </c>
      <c r="E429" s="7">
        <v>1957.2</v>
      </c>
      <c r="F429" s="18">
        <v>877</v>
      </c>
      <c r="G429" s="7">
        <v>1970.6143</v>
      </c>
      <c r="H429" s="7">
        <v>1874.4766999999999</v>
      </c>
      <c r="I429" s="7">
        <v>1847.5633</v>
      </c>
      <c r="J429" s="8">
        <v>-1.7322</v>
      </c>
      <c r="K429" s="7">
        <v>1.7235</v>
      </c>
      <c r="L429" s="7">
        <v>1.1101000000000001</v>
      </c>
      <c r="M429" s="8">
        <v>66.928700000000006</v>
      </c>
      <c r="N429" s="8">
        <v>33.311500000000002</v>
      </c>
      <c r="O429" s="7">
        <v>22.706900000000001</v>
      </c>
      <c r="P429" s="7">
        <v>2026.1822999999999</v>
      </c>
      <c r="Q429" s="7">
        <v>1762.6277</v>
      </c>
      <c r="R429" s="7" t="str">
        <f t="shared" si="91"/>
        <v>Up</v>
      </c>
      <c r="S429" s="7" t="str">
        <f t="shared" si="92"/>
        <v>Hold</v>
      </c>
      <c r="T429" s="8">
        <f t="shared" si="93"/>
        <v>0.13617425876010766</v>
      </c>
      <c r="U429" s="18">
        <f t="shared" si="94"/>
        <v>3272987</v>
      </c>
      <c r="V429" s="7">
        <f t="shared" si="95"/>
        <v>5586.2002000000002</v>
      </c>
      <c r="W429" s="7">
        <f t="shared" si="96"/>
        <v>1809.4</v>
      </c>
      <c r="X429" s="7">
        <f t="shared" si="97"/>
        <v>1957.2</v>
      </c>
      <c r="Y429" s="7">
        <f t="shared" si="98"/>
        <v>317</v>
      </c>
      <c r="Z429" s="7">
        <f t="shared" si="99"/>
        <v>1149963</v>
      </c>
      <c r="AA429" s="7" t="str">
        <f t="shared" si="100"/>
        <v>27-Mar-2023</v>
      </c>
      <c r="AB429" s="7">
        <f t="shared" si="101"/>
        <v>1957.2</v>
      </c>
      <c r="AC429" s="7">
        <f t="shared" si="105"/>
        <v>1</v>
      </c>
      <c r="AD429" s="7">
        <f t="shared" si="102"/>
        <v>2023</v>
      </c>
      <c r="AE429" s="19">
        <f t="shared" si="103"/>
        <v>-1.73</v>
      </c>
      <c r="BA429" s="10">
        <f t="shared" si="104"/>
        <v>26.997800000000002</v>
      </c>
    </row>
    <row r="430" spans="1:53" x14ac:dyDescent="0.3">
      <c r="A430" s="17">
        <v>45013</v>
      </c>
      <c r="B430" s="8">
        <v>1972.4</v>
      </c>
      <c r="C430" s="7">
        <v>1972.4</v>
      </c>
      <c r="D430" s="7">
        <v>1972.4</v>
      </c>
      <c r="E430" s="7">
        <v>1972.4</v>
      </c>
      <c r="F430" s="18">
        <v>21</v>
      </c>
      <c r="G430" s="7">
        <v>1974.3857</v>
      </c>
      <c r="H430" s="7">
        <v>1878.2566999999999</v>
      </c>
      <c r="I430" s="7">
        <v>1849.8033</v>
      </c>
      <c r="J430" s="8">
        <v>0.77659999999999996</v>
      </c>
      <c r="K430" s="7">
        <v>1.6064000000000001</v>
      </c>
      <c r="L430" s="7">
        <v>1.1137999999999999</v>
      </c>
      <c r="M430" s="8">
        <v>74.408000000000001</v>
      </c>
      <c r="N430" s="8">
        <v>33.454099999999997</v>
      </c>
      <c r="O430" s="7">
        <v>24.856300000000001</v>
      </c>
      <c r="P430" s="7">
        <v>2032.2103999999999</v>
      </c>
      <c r="Q430" s="7">
        <v>1773.0296000000001</v>
      </c>
      <c r="R430" s="7" t="str">
        <f t="shared" si="91"/>
        <v>Down</v>
      </c>
      <c r="S430" s="7" t="str">
        <f t="shared" si="92"/>
        <v>Sell</v>
      </c>
      <c r="T430" s="8">
        <f t="shared" si="93"/>
        <v>0.13869568151147085</v>
      </c>
      <c r="U430" s="18">
        <f t="shared" si="94"/>
        <v>3272110</v>
      </c>
      <c r="V430" s="7">
        <f t="shared" si="95"/>
        <v>5586.2002000000002</v>
      </c>
      <c r="W430" s="7">
        <f t="shared" si="96"/>
        <v>1809.4</v>
      </c>
      <c r="X430" s="7">
        <f t="shared" si="97"/>
        <v>1972.4</v>
      </c>
      <c r="Y430" s="7">
        <f t="shared" si="98"/>
        <v>316</v>
      </c>
      <c r="Z430" s="7">
        <f t="shared" si="99"/>
        <v>1149086</v>
      </c>
      <c r="AA430" s="7" t="str">
        <f t="shared" si="100"/>
        <v>28-Mar-2023</v>
      </c>
      <c r="AB430" s="7">
        <f t="shared" si="101"/>
        <v>1972.4</v>
      </c>
      <c r="AC430" s="7">
        <f t="shared" si="105"/>
        <v>1</v>
      </c>
      <c r="AD430" s="7">
        <f t="shared" si="102"/>
        <v>2023</v>
      </c>
      <c r="AE430" s="19">
        <f t="shared" si="103"/>
        <v>0.78</v>
      </c>
      <c r="BA430" s="10">
        <f t="shared" si="104"/>
        <v>26.997800000000002</v>
      </c>
    </row>
    <row r="431" spans="1:53" x14ac:dyDescent="0.3">
      <c r="A431" s="17">
        <v>45014</v>
      </c>
      <c r="B431" s="8">
        <v>1966.1</v>
      </c>
      <c r="C431" s="7">
        <v>1966.1</v>
      </c>
      <c r="D431" s="7">
        <v>1966.1</v>
      </c>
      <c r="E431" s="7">
        <v>1966.1</v>
      </c>
      <c r="F431" s="18">
        <v>88563</v>
      </c>
      <c r="G431" s="7">
        <v>1971.2143000000001</v>
      </c>
      <c r="H431" s="7">
        <v>1881.99</v>
      </c>
      <c r="I431" s="7">
        <v>1851.9088999999999</v>
      </c>
      <c r="J431" s="8">
        <v>-0.31940000000000002</v>
      </c>
      <c r="K431" s="7">
        <v>1.3532999999999999</v>
      </c>
      <c r="L431" s="7">
        <v>1.1147</v>
      </c>
      <c r="M431" s="8">
        <v>72.620099999999994</v>
      </c>
      <c r="N431" s="8">
        <v>32.682000000000002</v>
      </c>
      <c r="O431" s="7">
        <v>26.421399999999998</v>
      </c>
      <c r="P431" s="7">
        <v>2036.9983</v>
      </c>
      <c r="Q431" s="7">
        <v>1782.1418000000001</v>
      </c>
      <c r="R431" s="7" t="str">
        <f t="shared" si="91"/>
        <v>Down</v>
      </c>
      <c r="S431" s="7" t="str">
        <f t="shared" si="92"/>
        <v>Sell</v>
      </c>
      <c r="T431" s="8">
        <f t="shared" si="93"/>
        <v>0.13783364864864847</v>
      </c>
      <c r="U431" s="18">
        <f t="shared" si="94"/>
        <v>3272089</v>
      </c>
      <c r="V431" s="7">
        <f t="shared" si="95"/>
        <v>5586.2002000000002</v>
      </c>
      <c r="W431" s="7">
        <f t="shared" si="96"/>
        <v>1809.4</v>
      </c>
      <c r="X431" s="7">
        <f t="shared" si="97"/>
        <v>1966.1</v>
      </c>
      <c r="Y431" s="7">
        <f t="shared" si="98"/>
        <v>316</v>
      </c>
      <c r="Z431" s="7">
        <f t="shared" si="99"/>
        <v>1149086</v>
      </c>
      <c r="AA431" s="7" t="str">
        <f t="shared" si="100"/>
        <v>29-Mar-2023</v>
      </c>
      <c r="AB431" s="7">
        <f t="shared" si="101"/>
        <v>1966.1</v>
      </c>
      <c r="AC431" s="7">
        <f t="shared" si="105"/>
        <v>1</v>
      </c>
      <c r="AD431" s="7">
        <f t="shared" si="102"/>
        <v>2023</v>
      </c>
      <c r="AE431" s="19">
        <f t="shared" si="103"/>
        <v>-0.32</v>
      </c>
      <c r="BA431" s="10">
        <f t="shared" si="104"/>
        <v>26.997800000000002</v>
      </c>
    </row>
    <row r="432" spans="1:53" x14ac:dyDescent="0.3">
      <c r="A432" s="17">
        <v>45015</v>
      </c>
      <c r="B432" s="8">
        <v>1980.3</v>
      </c>
      <c r="C432" s="7">
        <v>1984.4</v>
      </c>
      <c r="D432" s="7">
        <v>1954.9</v>
      </c>
      <c r="E432" s="7">
        <v>1965.9</v>
      </c>
      <c r="F432" s="18">
        <v>10119</v>
      </c>
      <c r="G432" s="7">
        <v>1970.0857000000001</v>
      </c>
      <c r="H432" s="7">
        <v>1886.12</v>
      </c>
      <c r="I432" s="7">
        <v>1854.1632999999999</v>
      </c>
      <c r="J432" s="8">
        <v>-1.0200000000000001E-2</v>
      </c>
      <c r="K432" s="7">
        <v>1.3292999999999999</v>
      </c>
      <c r="L432" s="7">
        <v>1.1037999999999999</v>
      </c>
      <c r="M432" s="8">
        <v>69.241200000000006</v>
      </c>
      <c r="N432" s="8">
        <v>31.688700000000001</v>
      </c>
      <c r="O432" s="7">
        <v>27.474900000000002</v>
      </c>
      <c r="P432" s="7">
        <v>2040.3757000000001</v>
      </c>
      <c r="Q432" s="7">
        <v>1792.3543999999999</v>
      </c>
      <c r="R432" s="7" t="str">
        <f t="shared" si="91"/>
        <v>Down</v>
      </c>
      <c r="S432" s="7" t="str">
        <f t="shared" si="92"/>
        <v>Hold</v>
      </c>
      <c r="T432" s="8">
        <f t="shared" si="93"/>
        <v>0.13845236806495245</v>
      </c>
      <c r="U432" s="18">
        <f t="shared" si="94"/>
        <v>3183526</v>
      </c>
      <c r="V432" s="7">
        <f t="shared" si="95"/>
        <v>5586.2002000000002</v>
      </c>
      <c r="W432" s="7">
        <f t="shared" si="96"/>
        <v>1809.4</v>
      </c>
      <c r="X432" s="7">
        <f t="shared" si="97"/>
        <v>1965.9</v>
      </c>
      <c r="Y432" s="7">
        <f t="shared" si="98"/>
        <v>316</v>
      </c>
      <c r="Z432" s="7">
        <f t="shared" si="99"/>
        <v>1149086</v>
      </c>
      <c r="AA432" s="7" t="str">
        <f t="shared" si="100"/>
        <v>30-Mar-2023</v>
      </c>
      <c r="AB432" s="7">
        <f t="shared" si="101"/>
        <v>1965.9</v>
      </c>
      <c r="AC432" s="7">
        <f t="shared" si="105"/>
        <v>1</v>
      </c>
      <c r="AD432" s="7">
        <f t="shared" si="102"/>
        <v>2023</v>
      </c>
      <c r="AE432" s="19">
        <f t="shared" si="103"/>
        <v>-0.01</v>
      </c>
      <c r="BA432" s="10">
        <f t="shared" si="104"/>
        <v>26.997800000000002</v>
      </c>
    </row>
    <row r="433" spans="1:53" x14ac:dyDescent="0.3">
      <c r="A433" s="17">
        <v>45016</v>
      </c>
      <c r="B433" s="8">
        <v>1969</v>
      </c>
      <c r="C433" s="7">
        <v>1986.8</v>
      </c>
      <c r="D433" s="7">
        <v>1968</v>
      </c>
      <c r="E433" s="7">
        <v>1981.3</v>
      </c>
      <c r="F433" s="18">
        <v>957</v>
      </c>
      <c r="G433" s="7">
        <v>1975.0143</v>
      </c>
      <c r="H433" s="7">
        <v>1890.8767</v>
      </c>
      <c r="I433" s="7">
        <v>1856.5856000000001</v>
      </c>
      <c r="J433" s="8">
        <v>0.78339999999999999</v>
      </c>
      <c r="K433" s="7">
        <v>1.2177</v>
      </c>
      <c r="L433" s="7">
        <v>1.1055999999999999</v>
      </c>
      <c r="M433" s="8">
        <v>66.629900000000006</v>
      </c>
      <c r="N433" s="8">
        <v>31.777899999999999</v>
      </c>
      <c r="O433" s="7">
        <v>28.3355</v>
      </c>
      <c r="P433" s="7">
        <v>2044.9404999999999</v>
      </c>
      <c r="Q433" s="7">
        <v>1802.1895</v>
      </c>
      <c r="R433" s="7" t="str">
        <f t="shared" si="91"/>
        <v>Up</v>
      </c>
      <c r="S433" s="7" t="str">
        <f t="shared" si="92"/>
        <v>Hold</v>
      </c>
      <c r="T433" s="8">
        <f t="shared" si="93"/>
        <v>0.1386537940379402</v>
      </c>
      <c r="U433" s="18">
        <f t="shared" si="94"/>
        <v>3173407</v>
      </c>
      <c r="V433" s="7">
        <f t="shared" si="95"/>
        <v>5586.2002000000002</v>
      </c>
      <c r="W433" s="7">
        <f t="shared" si="96"/>
        <v>1809.4</v>
      </c>
      <c r="X433" s="7">
        <f t="shared" si="97"/>
        <v>1981.3</v>
      </c>
      <c r="Y433" s="7">
        <f t="shared" si="98"/>
        <v>316</v>
      </c>
      <c r="Z433" s="7">
        <f t="shared" si="99"/>
        <v>1149086</v>
      </c>
      <c r="AA433" s="7" t="str">
        <f t="shared" si="100"/>
        <v>31-Mar-2023</v>
      </c>
      <c r="AB433" s="7">
        <f t="shared" si="101"/>
        <v>1981.3</v>
      </c>
      <c r="AC433" s="7">
        <f t="shared" si="105"/>
        <v>1</v>
      </c>
      <c r="AD433" s="7">
        <f t="shared" si="102"/>
        <v>2023</v>
      </c>
      <c r="AE433" s="19">
        <f t="shared" si="103"/>
        <v>0.78</v>
      </c>
      <c r="BA433" s="10">
        <f t="shared" si="104"/>
        <v>26.997800000000002</v>
      </c>
    </row>
    <row r="434" spans="1:53" x14ac:dyDescent="0.3">
      <c r="A434" s="17">
        <v>45019</v>
      </c>
      <c r="B434" s="8">
        <v>1983.9</v>
      </c>
      <c r="C434" s="7">
        <v>1991.7</v>
      </c>
      <c r="D434" s="7">
        <v>1950</v>
      </c>
      <c r="E434" s="7">
        <v>1968.1</v>
      </c>
      <c r="F434" s="18">
        <v>737</v>
      </c>
      <c r="G434" s="7">
        <v>1971.8143</v>
      </c>
      <c r="H434" s="7">
        <v>1895.5667000000001</v>
      </c>
      <c r="I434" s="7">
        <v>1859.1311000000001</v>
      </c>
      <c r="J434" s="8">
        <v>-0.66620000000000001</v>
      </c>
      <c r="K434" s="7">
        <v>0.87480000000000002</v>
      </c>
      <c r="L434" s="7">
        <v>1.1072</v>
      </c>
      <c r="M434" s="8">
        <v>60.591099999999997</v>
      </c>
      <c r="N434" s="8">
        <v>30.432600000000001</v>
      </c>
      <c r="O434" s="7">
        <v>28.754899999999999</v>
      </c>
      <c r="P434" s="7">
        <v>2047.5057999999999</v>
      </c>
      <c r="Q434" s="7">
        <v>1811.1042</v>
      </c>
      <c r="R434" s="7" t="str">
        <f t="shared" si="91"/>
        <v>Down</v>
      </c>
      <c r="S434" s="7" t="str">
        <f t="shared" si="92"/>
        <v>Hold</v>
      </c>
      <c r="T434" s="8">
        <f t="shared" si="93"/>
        <v>0.13777896879240148</v>
      </c>
      <c r="U434" s="18">
        <f t="shared" si="94"/>
        <v>3172450</v>
      </c>
      <c r="V434" s="7">
        <f t="shared" si="95"/>
        <v>5586.2002000000002</v>
      </c>
      <c r="W434" s="7">
        <f t="shared" si="96"/>
        <v>1809.4</v>
      </c>
      <c r="X434" s="7">
        <f t="shared" si="97"/>
        <v>1968.1</v>
      </c>
      <c r="Y434" s="7">
        <f t="shared" si="98"/>
        <v>315</v>
      </c>
      <c r="Z434" s="7">
        <f t="shared" si="99"/>
        <v>1148129</v>
      </c>
      <c r="AA434" s="7" t="str">
        <f t="shared" si="100"/>
        <v>03-Apr-2023</v>
      </c>
      <c r="AB434" s="7">
        <f t="shared" si="101"/>
        <v>1968.1</v>
      </c>
      <c r="AC434" s="7">
        <f t="shared" si="105"/>
        <v>1</v>
      </c>
      <c r="AD434" s="7">
        <f t="shared" si="102"/>
        <v>2023</v>
      </c>
      <c r="AE434" s="19">
        <f t="shared" si="103"/>
        <v>-0.67</v>
      </c>
      <c r="BA434" s="10">
        <f t="shared" si="104"/>
        <v>26.997800000000002</v>
      </c>
    </row>
    <row r="435" spans="1:53" x14ac:dyDescent="0.3">
      <c r="A435" s="17">
        <v>45020</v>
      </c>
      <c r="B435" s="8">
        <v>2022.2</v>
      </c>
      <c r="C435" s="7">
        <v>2027.1</v>
      </c>
      <c r="D435" s="7">
        <v>1979</v>
      </c>
      <c r="E435" s="7">
        <v>1984.6</v>
      </c>
      <c r="F435" s="18">
        <v>811</v>
      </c>
      <c r="G435" s="7">
        <v>1970.8</v>
      </c>
      <c r="H435" s="7">
        <v>1900.3</v>
      </c>
      <c r="I435" s="7">
        <v>1861.83</v>
      </c>
      <c r="J435" s="8">
        <v>0.83840000000000003</v>
      </c>
      <c r="K435" s="7">
        <v>0.95309999999999995</v>
      </c>
      <c r="L435" s="7">
        <v>1.1073</v>
      </c>
      <c r="M435" s="8">
        <v>64.829099999999997</v>
      </c>
      <c r="N435" s="8">
        <v>30.347999999999999</v>
      </c>
      <c r="O435" s="7">
        <v>29.073499999999999</v>
      </c>
      <c r="P435" s="7">
        <v>2049.4164999999998</v>
      </c>
      <c r="Q435" s="7">
        <v>1823.5635</v>
      </c>
      <c r="R435" s="7" t="str">
        <f t="shared" si="91"/>
        <v>Down</v>
      </c>
      <c r="S435" s="7" t="str">
        <f t="shared" si="92"/>
        <v>Hold</v>
      </c>
      <c r="T435" s="8">
        <f t="shared" si="93"/>
        <v>0.13887133152173894</v>
      </c>
      <c r="U435" s="18">
        <f t="shared" si="94"/>
        <v>3171713</v>
      </c>
      <c r="V435" s="7">
        <f t="shared" si="95"/>
        <v>5586.2002000000002</v>
      </c>
      <c r="W435" s="7">
        <f t="shared" si="96"/>
        <v>1809.4</v>
      </c>
      <c r="X435" s="7">
        <f t="shared" si="97"/>
        <v>1984.6</v>
      </c>
      <c r="Y435" s="7">
        <f t="shared" si="98"/>
        <v>315</v>
      </c>
      <c r="Z435" s="7">
        <f t="shared" si="99"/>
        <v>1148129</v>
      </c>
      <c r="AA435" s="7" t="str">
        <f t="shared" si="100"/>
        <v>04-Apr-2023</v>
      </c>
      <c r="AB435" s="7">
        <f t="shared" si="101"/>
        <v>1984.6</v>
      </c>
      <c r="AC435" s="7">
        <f t="shared" si="105"/>
        <v>1</v>
      </c>
      <c r="AD435" s="7">
        <f t="shared" si="102"/>
        <v>2023</v>
      </c>
      <c r="AE435" s="19">
        <f t="shared" si="103"/>
        <v>0.84</v>
      </c>
      <c r="BA435" s="10">
        <f t="shared" si="104"/>
        <v>26.997800000000002</v>
      </c>
    </row>
    <row r="436" spans="1:53" x14ac:dyDescent="0.3">
      <c r="A436" s="17">
        <v>45021</v>
      </c>
      <c r="B436" s="8">
        <v>2020.9</v>
      </c>
      <c r="C436" s="7">
        <v>2033.8</v>
      </c>
      <c r="D436" s="7">
        <v>2013.6</v>
      </c>
      <c r="E436" s="7">
        <v>2022.1</v>
      </c>
      <c r="F436" s="18">
        <v>525</v>
      </c>
      <c r="G436" s="7">
        <v>1980.0714</v>
      </c>
      <c r="H436" s="7">
        <v>1906.5133000000001</v>
      </c>
      <c r="I436" s="7">
        <v>1865.0033000000001</v>
      </c>
      <c r="J436" s="8">
        <v>1.8895</v>
      </c>
      <c r="K436" s="7">
        <v>0.86480000000000001</v>
      </c>
      <c r="L436" s="7">
        <v>1.1396999999999999</v>
      </c>
      <c r="M436" s="8">
        <v>68.478200000000001</v>
      </c>
      <c r="N436" s="8">
        <v>32.927300000000002</v>
      </c>
      <c r="O436" s="7">
        <v>29.8443</v>
      </c>
      <c r="P436" s="7">
        <v>2049.7051000000001</v>
      </c>
      <c r="Q436" s="7">
        <v>1844.325</v>
      </c>
      <c r="R436" s="7" t="str">
        <f t="shared" si="91"/>
        <v>Up</v>
      </c>
      <c r="S436" s="7" t="str">
        <f t="shared" si="92"/>
        <v>Hold</v>
      </c>
      <c r="T436" s="8">
        <f t="shared" si="93"/>
        <v>0.13791959183673455</v>
      </c>
      <c r="U436" s="18">
        <f t="shared" si="94"/>
        <v>3170902</v>
      </c>
      <c r="V436" s="7">
        <f t="shared" si="95"/>
        <v>5586.2002000000002</v>
      </c>
      <c r="W436" s="7">
        <f t="shared" si="96"/>
        <v>1809.4</v>
      </c>
      <c r="X436" s="7">
        <f t="shared" si="97"/>
        <v>2022.1</v>
      </c>
      <c r="Y436" s="7">
        <f t="shared" si="98"/>
        <v>315</v>
      </c>
      <c r="Z436" s="7">
        <f t="shared" si="99"/>
        <v>1148129</v>
      </c>
      <c r="AA436" s="7" t="str">
        <f t="shared" si="100"/>
        <v>05-Apr-2023</v>
      </c>
      <c r="AB436" s="7">
        <f t="shared" si="101"/>
        <v>2022.1</v>
      </c>
      <c r="AC436" s="7">
        <f t="shared" si="105"/>
        <v>1</v>
      </c>
      <c r="AD436" s="7">
        <f t="shared" si="102"/>
        <v>2023</v>
      </c>
      <c r="AE436" s="19">
        <f t="shared" si="103"/>
        <v>1.89</v>
      </c>
      <c r="BA436" s="10">
        <f t="shared" si="104"/>
        <v>26.997800000000002</v>
      </c>
    </row>
    <row r="437" spans="1:53" x14ac:dyDescent="0.3">
      <c r="A437" s="17">
        <v>45022</v>
      </c>
      <c r="B437" s="8">
        <v>2011.9</v>
      </c>
      <c r="C437" s="7">
        <v>2023.3</v>
      </c>
      <c r="D437" s="7">
        <v>2005</v>
      </c>
      <c r="E437" s="7">
        <v>2022.2</v>
      </c>
      <c r="F437" s="18">
        <v>0</v>
      </c>
      <c r="G437" s="7">
        <v>1987.1857</v>
      </c>
      <c r="H437" s="7">
        <v>1913.04</v>
      </c>
      <c r="I437" s="7">
        <v>1867.9944</v>
      </c>
      <c r="J437" s="8">
        <v>4.8999999999999998E-3</v>
      </c>
      <c r="K437" s="7">
        <v>0.86850000000000005</v>
      </c>
      <c r="L437" s="7">
        <v>1.1306</v>
      </c>
      <c r="M437" s="8">
        <v>64.237700000000004</v>
      </c>
      <c r="N437" s="8">
        <v>34.5809</v>
      </c>
      <c r="O437" s="7">
        <v>30.791599999999999</v>
      </c>
      <c r="P437" s="7">
        <v>2045.0423000000001</v>
      </c>
      <c r="Q437" s="7">
        <v>1869.5677000000001</v>
      </c>
      <c r="R437" s="7" t="str">
        <f t="shared" si="91"/>
        <v>Up</v>
      </c>
      <c r="S437" s="7" t="str">
        <f t="shared" si="92"/>
        <v>Hold</v>
      </c>
      <c r="T437" s="8">
        <f t="shared" si="93"/>
        <v>0.13553324250681184</v>
      </c>
      <c r="U437" s="18">
        <f t="shared" si="94"/>
        <v>3170377</v>
      </c>
      <c r="V437" s="7">
        <f t="shared" si="95"/>
        <v>5586.2002000000002</v>
      </c>
      <c r="W437" s="7">
        <f t="shared" si="96"/>
        <v>1809.4</v>
      </c>
      <c r="X437" s="7">
        <f t="shared" si="97"/>
        <v>2022.2</v>
      </c>
      <c r="Y437" s="7">
        <f t="shared" si="98"/>
        <v>314</v>
      </c>
      <c r="Z437" s="7">
        <f t="shared" si="99"/>
        <v>1147604</v>
      </c>
      <c r="AA437" s="7" t="str">
        <f t="shared" si="100"/>
        <v>06-Apr-2023</v>
      </c>
      <c r="AB437" s="7">
        <f t="shared" si="101"/>
        <v>2022.2</v>
      </c>
      <c r="AC437" s="7">
        <f t="shared" si="105"/>
        <v>1</v>
      </c>
      <c r="AD437" s="7">
        <f t="shared" si="102"/>
        <v>2023</v>
      </c>
      <c r="AE437" s="19">
        <f t="shared" si="103"/>
        <v>0</v>
      </c>
      <c r="BA437" s="10">
        <f t="shared" si="104"/>
        <v>26.997800000000002</v>
      </c>
    </row>
    <row r="438" spans="1:53" x14ac:dyDescent="0.3">
      <c r="A438" s="17">
        <v>45026</v>
      </c>
      <c r="B438" s="8">
        <v>1989.1</v>
      </c>
      <c r="C438" s="7">
        <v>2006.6</v>
      </c>
      <c r="D438" s="7">
        <v>1984</v>
      </c>
      <c r="E438" s="7">
        <v>2000</v>
      </c>
      <c r="F438" s="18">
        <v>652</v>
      </c>
      <c r="G438" s="7">
        <v>1992.0286000000001</v>
      </c>
      <c r="H438" s="7">
        <v>1919.4132999999999</v>
      </c>
      <c r="I438" s="7">
        <v>1870.8688999999999</v>
      </c>
      <c r="J438" s="8">
        <v>-1.0978000000000001</v>
      </c>
      <c r="K438" s="7">
        <v>1.0085</v>
      </c>
      <c r="L438" s="7">
        <v>1.1362000000000001</v>
      </c>
      <c r="M438" s="8">
        <v>52.363599999999998</v>
      </c>
      <c r="N438" s="8">
        <v>33.711500000000001</v>
      </c>
      <c r="O438" s="7">
        <v>31.375599999999999</v>
      </c>
      <c r="P438" s="7">
        <v>2039.0586000000001</v>
      </c>
      <c r="Q438" s="7">
        <v>1890.3214</v>
      </c>
      <c r="R438" s="7" t="str">
        <f t="shared" si="91"/>
        <v>Up</v>
      </c>
      <c r="S438" s="7" t="str">
        <f t="shared" si="92"/>
        <v>Hold</v>
      </c>
      <c r="T438" s="8">
        <f t="shared" si="93"/>
        <v>0.13571145975443369</v>
      </c>
      <c r="U438" s="18">
        <f t="shared" si="94"/>
        <v>3170377</v>
      </c>
      <c r="V438" s="7">
        <f t="shared" si="95"/>
        <v>5586.2002000000002</v>
      </c>
      <c r="W438" s="7">
        <f t="shared" si="96"/>
        <v>1809.4</v>
      </c>
      <c r="X438" s="7">
        <f t="shared" si="97"/>
        <v>2000</v>
      </c>
      <c r="Y438" s="7">
        <f t="shared" si="98"/>
        <v>313</v>
      </c>
      <c r="Z438" s="7">
        <f t="shared" si="99"/>
        <v>1147604</v>
      </c>
      <c r="AA438" s="7" t="str">
        <f t="shared" si="100"/>
        <v>10-Apr-2023</v>
      </c>
      <c r="AB438" s="7">
        <f t="shared" si="101"/>
        <v>2000</v>
      </c>
      <c r="AC438" s="7">
        <f t="shared" si="105"/>
        <v>1</v>
      </c>
      <c r="AD438" s="7">
        <f t="shared" si="102"/>
        <v>2023</v>
      </c>
      <c r="AE438" s="19">
        <f t="shared" si="103"/>
        <v>-1.1000000000000001</v>
      </c>
      <c r="BA438" s="10">
        <f t="shared" si="104"/>
        <v>26.997800000000002</v>
      </c>
    </row>
    <row r="439" spans="1:53" x14ac:dyDescent="0.3">
      <c r="A439" s="17">
        <v>45027</v>
      </c>
      <c r="B439" s="8">
        <v>2004.8</v>
      </c>
      <c r="C439" s="7">
        <v>2006.5</v>
      </c>
      <c r="D439" s="7">
        <v>1991.4</v>
      </c>
      <c r="E439" s="7">
        <v>1991.4</v>
      </c>
      <c r="F439" s="18">
        <v>68</v>
      </c>
      <c r="G439" s="7">
        <v>1995.6713999999999</v>
      </c>
      <c r="H439" s="7">
        <v>1925.4067</v>
      </c>
      <c r="I439" s="7">
        <v>1873.6677999999999</v>
      </c>
      <c r="J439" s="8">
        <v>-0.43</v>
      </c>
      <c r="K439" s="7">
        <v>1.0385</v>
      </c>
      <c r="L439" s="7">
        <v>1.1445000000000001</v>
      </c>
      <c r="M439" s="8">
        <v>53.642400000000002</v>
      </c>
      <c r="N439" s="8">
        <v>31.96</v>
      </c>
      <c r="O439" s="7">
        <v>31.4925</v>
      </c>
      <c r="P439" s="7">
        <v>2036.2402999999999</v>
      </c>
      <c r="Q439" s="7">
        <v>1903.1996999999999</v>
      </c>
      <c r="R439" s="7" t="str">
        <f t="shared" si="91"/>
        <v>Down</v>
      </c>
      <c r="S439" s="7" t="str">
        <f t="shared" si="92"/>
        <v>Hold</v>
      </c>
      <c r="T439" s="8">
        <f t="shared" si="93"/>
        <v>0.13739658469945343</v>
      </c>
      <c r="U439" s="18">
        <f t="shared" si="94"/>
        <v>3169725</v>
      </c>
      <c r="V439" s="7">
        <f t="shared" si="95"/>
        <v>5586.2002000000002</v>
      </c>
      <c r="W439" s="7">
        <f t="shared" si="96"/>
        <v>1809.4</v>
      </c>
      <c r="X439" s="7">
        <f t="shared" si="97"/>
        <v>1991.4</v>
      </c>
      <c r="Y439" s="7">
        <f t="shared" si="98"/>
        <v>312</v>
      </c>
      <c r="Z439" s="7">
        <f t="shared" si="99"/>
        <v>1146952</v>
      </c>
      <c r="AA439" s="7" t="str">
        <f t="shared" si="100"/>
        <v>11-Apr-2023</v>
      </c>
      <c r="AB439" s="7">
        <f t="shared" si="101"/>
        <v>1991.4</v>
      </c>
      <c r="AC439" s="7">
        <f t="shared" si="105"/>
        <v>1</v>
      </c>
      <c r="AD439" s="7">
        <f t="shared" si="102"/>
        <v>2023</v>
      </c>
      <c r="AE439" s="19">
        <f t="shared" si="103"/>
        <v>-0.43</v>
      </c>
      <c r="BA439" s="10">
        <f t="shared" si="104"/>
        <v>26.997800000000002</v>
      </c>
    </row>
    <row r="440" spans="1:53" x14ac:dyDescent="0.3">
      <c r="A440" s="17">
        <v>45028</v>
      </c>
      <c r="B440" s="8">
        <v>2010.9</v>
      </c>
      <c r="C440" s="7">
        <v>2025.7</v>
      </c>
      <c r="D440" s="7">
        <v>2005.2</v>
      </c>
      <c r="E440" s="7">
        <v>2005.2</v>
      </c>
      <c r="F440" s="18">
        <v>172</v>
      </c>
      <c r="G440" s="7">
        <v>1999.0857000000001</v>
      </c>
      <c r="H440" s="7">
        <v>1931.9766999999999</v>
      </c>
      <c r="I440" s="7">
        <v>1876.5244</v>
      </c>
      <c r="J440" s="8">
        <v>0.69299999999999995</v>
      </c>
      <c r="K440" s="7">
        <v>1.0304</v>
      </c>
      <c r="L440" s="7">
        <v>1.1422000000000001</v>
      </c>
      <c r="M440" s="8">
        <v>62.784599999999998</v>
      </c>
      <c r="N440" s="8">
        <v>31.3245</v>
      </c>
      <c r="O440" s="7">
        <v>31.4589</v>
      </c>
      <c r="P440" s="7">
        <v>2036.8389999999999</v>
      </c>
      <c r="Q440" s="7">
        <v>1911.9010000000001</v>
      </c>
      <c r="R440" s="7" t="str">
        <f t="shared" si="91"/>
        <v>Down</v>
      </c>
      <c r="S440" s="7" t="str">
        <f t="shared" si="92"/>
        <v>Hold</v>
      </c>
      <c r="T440" s="8">
        <f t="shared" si="93"/>
        <v>0.13817277701778372</v>
      </c>
      <c r="U440" s="18">
        <f t="shared" si="94"/>
        <v>3169657</v>
      </c>
      <c r="V440" s="7">
        <f t="shared" si="95"/>
        <v>5586.2002000000002</v>
      </c>
      <c r="W440" s="7">
        <f t="shared" si="96"/>
        <v>1809.4</v>
      </c>
      <c r="X440" s="7">
        <f t="shared" si="97"/>
        <v>2005.2</v>
      </c>
      <c r="Y440" s="7">
        <f t="shared" si="98"/>
        <v>312</v>
      </c>
      <c r="Z440" s="7">
        <f t="shared" si="99"/>
        <v>1146952</v>
      </c>
      <c r="AA440" s="7" t="str">
        <f t="shared" si="100"/>
        <v>12-Apr-2023</v>
      </c>
      <c r="AB440" s="7">
        <f t="shared" si="101"/>
        <v>2005.2</v>
      </c>
      <c r="AC440" s="7">
        <f t="shared" si="105"/>
        <v>1</v>
      </c>
      <c r="AD440" s="7">
        <f t="shared" si="102"/>
        <v>2023</v>
      </c>
      <c r="AE440" s="19">
        <f t="shared" si="103"/>
        <v>0.69</v>
      </c>
      <c r="BA440" s="10">
        <f t="shared" si="104"/>
        <v>26.997800000000002</v>
      </c>
    </row>
    <row r="441" spans="1:53" x14ac:dyDescent="0.3">
      <c r="A441" s="17">
        <v>45029</v>
      </c>
      <c r="B441" s="8">
        <v>2041.3</v>
      </c>
      <c r="C441" s="7">
        <v>2048.6001000000001</v>
      </c>
      <c r="D441" s="7">
        <v>2015.6</v>
      </c>
      <c r="E441" s="7">
        <v>2015.6</v>
      </c>
      <c r="F441" s="18">
        <v>1043</v>
      </c>
      <c r="G441" s="7">
        <v>2005.8714</v>
      </c>
      <c r="H441" s="7">
        <v>1938.26</v>
      </c>
      <c r="I441" s="7">
        <v>1879.2678000000001</v>
      </c>
      <c r="J441" s="8">
        <v>0.51870000000000005</v>
      </c>
      <c r="K441" s="7">
        <v>0.96419999999999995</v>
      </c>
      <c r="L441" s="7">
        <v>1.135</v>
      </c>
      <c r="M441" s="8">
        <v>56.432600000000001</v>
      </c>
      <c r="N441" s="8">
        <v>31.299199999999999</v>
      </c>
      <c r="O441" s="7">
        <v>31.4269</v>
      </c>
      <c r="P441" s="7">
        <v>2035.4838</v>
      </c>
      <c r="Q441" s="7">
        <v>1924.4262000000001</v>
      </c>
      <c r="R441" s="7" t="str">
        <f t="shared" si="91"/>
        <v>Down</v>
      </c>
      <c r="S441" s="7" t="str">
        <f t="shared" si="92"/>
        <v>Hold</v>
      </c>
      <c r="T441" s="8">
        <f t="shared" si="93"/>
        <v>0.13741273972602727</v>
      </c>
      <c r="U441" s="18">
        <f t="shared" si="94"/>
        <v>3169485</v>
      </c>
      <c r="V441" s="7">
        <f t="shared" si="95"/>
        <v>5586.2002000000002</v>
      </c>
      <c r="W441" s="7">
        <f t="shared" si="96"/>
        <v>1809.4</v>
      </c>
      <c r="X441" s="7">
        <f t="shared" si="97"/>
        <v>2015.6</v>
      </c>
      <c r="Y441" s="7">
        <f t="shared" si="98"/>
        <v>312</v>
      </c>
      <c r="Z441" s="7">
        <f t="shared" si="99"/>
        <v>1146952</v>
      </c>
      <c r="AA441" s="7" t="str">
        <f t="shared" si="100"/>
        <v>13-Apr-2023</v>
      </c>
      <c r="AB441" s="7">
        <f t="shared" si="101"/>
        <v>2015.6</v>
      </c>
      <c r="AC441" s="7">
        <f t="shared" si="105"/>
        <v>1</v>
      </c>
      <c r="AD441" s="7">
        <f t="shared" si="102"/>
        <v>2023</v>
      </c>
      <c r="AE441" s="19">
        <f t="shared" si="103"/>
        <v>0.52</v>
      </c>
      <c r="BA441" s="10">
        <f t="shared" si="104"/>
        <v>26.997800000000002</v>
      </c>
    </row>
    <row r="442" spans="1:53" x14ac:dyDescent="0.3">
      <c r="A442" s="17">
        <v>45030</v>
      </c>
      <c r="B442" s="8">
        <v>2002.2</v>
      </c>
      <c r="C442" s="7">
        <v>2047.8</v>
      </c>
      <c r="D442" s="7">
        <v>1995</v>
      </c>
      <c r="E442" s="7">
        <v>2041</v>
      </c>
      <c r="F442" s="18">
        <v>718</v>
      </c>
      <c r="G442" s="7">
        <v>2013.9286</v>
      </c>
      <c r="H442" s="7">
        <v>1945.2933</v>
      </c>
      <c r="I442" s="7">
        <v>1881.9232999999999</v>
      </c>
      <c r="J442" s="8">
        <v>1.2602</v>
      </c>
      <c r="K442" s="7">
        <v>1.0122</v>
      </c>
      <c r="L442" s="7">
        <v>1.1469</v>
      </c>
      <c r="M442" s="8">
        <v>61.240299999999998</v>
      </c>
      <c r="N442" s="8">
        <v>32.948900000000002</v>
      </c>
      <c r="O442" s="7">
        <v>31.731300000000001</v>
      </c>
      <c r="P442" s="7">
        <v>2038.0255</v>
      </c>
      <c r="Q442" s="7">
        <v>1934.9945</v>
      </c>
      <c r="R442" s="7" t="str">
        <f t="shared" si="91"/>
        <v>Up</v>
      </c>
      <c r="S442" s="7" t="str">
        <f t="shared" si="92"/>
        <v>Hold</v>
      </c>
      <c r="T442" s="8">
        <f t="shared" si="93"/>
        <v>0.13688971193415622</v>
      </c>
      <c r="U442" s="18">
        <f t="shared" si="94"/>
        <v>3168442</v>
      </c>
      <c r="V442" s="7">
        <f t="shared" si="95"/>
        <v>5586.2002000000002</v>
      </c>
      <c r="W442" s="7">
        <f t="shared" si="96"/>
        <v>1809.4</v>
      </c>
      <c r="X442" s="7">
        <f t="shared" si="97"/>
        <v>2041</v>
      </c>
      <c r="Y442" s="7">
        <f t="shared" si="98"/>
        <v>312</v>
      </c>
      <c r="Z442" s="7">
        <f t="shared" si="99"/>
        <v>1146952</v>
      </c>
      <c r="AA442" s="7" t="str">
        <f t="shared" si="100"/>
        <v>14-Apr-2023</v>
      </c>
      <c r="AB442" s="7">
        <f t="shared" si="101"/>
        <v>2041</v>
      </c>
      <c r="AC442" s="7">
        <f t="shared" si="105"/>
        <v>1</v>
      </c>
      <c r="AD442" s="7">
        <f t="shared" si="102"/>
        <v>2023</v>
      </c>
      <c r="AE442" s="19">
        <f t="shared" si="103"/>
        <v>1.26</v>
      </c>
      <c r="BA442" s="10">
        <f t="shared" si="104"/>
        <v>26.997800000000002</v>
      </c>
    </row>
    <row r="443" spans="1:53" x14ac:dyDescent="0.3">
      <c r="A443" s="17">
        <v>45033</v>
      </c>
      <c r="B443" s="8">
        <v>1994.2</v>
      </c>
      <c r="C443" s="7">
        <v>2007.6</v>
      </c>
      <c r="D443" s="7">
        <v>1983.2</v>
      </c>
      <c r="E443" s="7">
        <v>2002.7</v>
      </c>
      <c r="F443" s="18">
        <v>554</v>
      </c>
      <c r="G443" s="7">
        <v>2011.1570999999999</v>
      </c>
      <c r="H443" s="7">
        <v>1950.8067000000001</v>
      </c>
      <c r="I443" s="7">
        <v>1884.2233000000001</v>
      </c>
      <c r="J443" s="8">
        <v>-1.8765000000000001</v>
      </c>
      <c r="K443" s="7">
        <v>1.0898000000000001</v>
      </c>
      <c r="L443" s="7">
        <v>1.218</v>
      </c>
      <c r="M443" s="8">
        <v>60.197200000000002</v>
      </c>
      <c r="N443" s="8">
        <v>30.810600000000001</v>
      </c>
      <c r="O443" s="7">
        <v>31.5472</v>
      </c>
      <c r="P443" s="7">
        <v>2037.6120000000001</v>
      </c>
      <c r="Q443" s="7">
        <v>1941.078</v>
      </c>
      <c r="R443" s="7" t="str">
        <f t="shared" si="91"/>
        <v>Up</v>
      </c>
      <c r="S443" s="7" t="str">
        <f t="shared" si="92"/>
        <v>Hold</v>
      </c>
      <c r="T443" s="8">
        <f t="shared" si="93"/>
        <v>0.13534670329670315</v>
      </c>
      <c r="U443" s="18">
        <f t="shared" si="94"/>
        <v>3167724</v>
      </c>
      <c r="V443" s="7">
        <f t="shared" si="95"/>
        <v>5586.2002000000002</v>
      </c>
      <c r="W443" s="7">
        <f t="shared" si="96"/>
        <v>1809.4</v>
      </c>
      <c r="X443" s="7">
        <f t="shared" si="97"/>
        <v>2002.7</v>
      </c>
      <c r="Y443" s="7">
        <f t="shared" si="98"/>
        <v>311</v>
      </c>
      <c r="Z443" s="7">
        <f t="shared" si="99"/>
        <v>1146234</v>
      </c>
      <c r="AA443" s="7" t="str">
        <f t="shared" si="100"/>
        <v>17-Apr-2023</v>
      </c>
      <c r="AB443" s="7">
        <f t="shared" si="101"/>
        <v>2002.7</v>
      </c>
      <c r="AC443" s="7">
        <f t="shared" si="105"/>
        <v>1</v>
      </c>
      <c r="AD443" s="7">
        <f t="shared" si="102"/>
        <v>2023</v>
      </c>
      <c r="AE443" s="19">
        <f t="shared" si="103"/>
        <v>-1.88</v>
      </c>
      <c r="BA443" s="10">
        <f t="shared" si="104"/>
        <v>26.997800000000002</v>
      </c>
    </row>
    <row r="444" spans="1:53" x14ac:dyDescent="0.3">
      <c r="A444" s="17">
        <v>45034</v>
      </c>
      <c r="B444" s="8">
        <v>2007.4</v>
      </c>
      <c r="C444" s="7">
        <v>2007.4</v>
      </c>
      <c r="D444" s="7">
        <v>1996.9</v>
      </c>
      <c r="E444" s="7">
        <v>1996.9</v>
      </c>
      <c r="F444" s="18">
        <v>72</v>
      </c>
      <c r="G444" s="7">
        <v>2007.5427999999999</v>
      </c>
      <c r="H444" s="7">
        <v>1955.5933</v>
      </c>
      <c r="I444" s="7">
        <v>1886.76</v>
      </c>
      <c r="J444" s="8">
        <v>-0.28960000000000002</v>
      </c>
      <c r="K444" s="7">
        <v>1.0892999999999999</v>
      </c>
      <c r="L444" s="7">
        <v>1.2175</v>
      </c>
      <c r="M444" s="8">
        <v>55.732300000000002</v>
      </c>
      <c r="N444" s="8">
        <v>28.3216</v>
      </c>
      <c r="O444" s="7">
        <v>30.902100000000001</v>
      </c>
      <c r="P444" s="7">
        <v>2038.1559</v>
      </c>
      <c r="Q444" s="7">
        <v>1941.3941</v>
      </c>
      <c r="R444" s="7" t="str">
        <f t="shared" si="91"/>
        <v>Down</v>
      </c>
      <c r="S444" s="7" t="str">
        <f t="shared" si="92"/>
        <v>Hold</v>
      </c>
      <c r="T444" s="8">
        <f t="shared" si="93"/>
        <v>0.13811403026134786</v>
      </c>
      <c r="U444" s="18">
        <f t="shared" si="94"/>
        <v>3167170</v>
      </c>
      <c r="V444" s="7">
        <f t="shared" si="95"/>
        <v>5586.2002000000002</v>
      </c>
      <c r="W444" s="7">
        <f t="shared" si="96"/>
        <v>1809.4</v>
      </c>
      <c r="X444" s="7">
        <f t="shared" si="97"/>
        <v>1996.9</v>
      </c>
      <c r="Y444" s="7">
        <f t="shared" si="98"/>
        <v>310</v>
      </c>
      <c r="Z444" s="7">
        <f t="shared" si="99"/>
        <v>1145680</v>
      </c>
      <c r="AA444" s="7" t="str">
        <f t="shared" si="100"/>
        <v>18-Apr-2023</v>
      </c>
      <c r="AB444" s="7">
        <f t="shared" si="101"/>
        <v>1996.9</v>
      </c>
      <c r="AC444" s="7">
        <f t="shared" si="105"/>
        <v>1</v>
      </c>
      <c r="AD444" s="7">
        <f t="shared" si="102"/>
        <v>2023</v>
      </c>
      <c r="AE444" s="19">
        <f t="shared" si="103"/>
        <v>-0.28999999999999998</v>
      </c>
      <c r="BA444" s="10">
        <f t="shared" si="104"/>
        <v>26.997800000000002</v>
      </c>
    </row>
    <row r="445" spans="1:53" x14ac:dyDescent="0.3">
      <c r="A445" s="17">
        <v>45035</v>
      </c>
      <c r="B445" s="8">
        <v>1995.2</v>
      </c>
      <c r="C445" s="7">
        <v>2006.4</v>
      </c>
      <c r="D445" s="7">
        <v>1969.8</v>
      </c>
      <c r="E445" s="7">
        <v>2005.7</v>
      </c>
      <c r="F445" s="18">
        <v>61</v>
      </c>
      <c r="G445" s="7">
        <v>2008.3570999999999</v>
      </c>
      <c r="H445" s="7">
        <v>1961.0867000000001</v>
      </c>
      <c r="I445" s="7">
        <v>1889.3867</v>
      </c>
      <c r="J445" s="8">
        <v>0.44069999999999998</v>
      </c>
      <c r="K445" s="7">
        <v>1.0253000000000001</v>
      </c>
      <c r="L445" s="7">
        <v>1.2052</v>
      </c>
      <c r="M445" s="8">
        <v>59.158200000000001</v>
      </c>
      <c r="N445" s="8">
        <v>26.750699999999998</v>
      </c>
      <c r="O445" s="7">
        <v>30.0718</v>
      </c>
      <c r="P445" s="7">
        <v>2039.6366</v>
      </c>
      <c r="Q445" s="7">
        <v>1943.1034</v>
      </c>
      <c r="R445" s="7" t="str">
        <f t="shared" si="91"/>
        <v>Up</v>
      </c>
      <c r="S445" s="7" t="str">
        <f t="shared" si="92"/>
        <v>Hold</v>
      </c>
      <c r="T445" s="8">
        <f t="shared" si="93"/>
        <v>0.13870316804407701</v>
      </c>
      <c r="U445" s="18">
        <f t="shared" si="94"/>
        <v>3167098</v>
      </c>
      <c r="V445" s="7">
        <f t="shared" si="95"/>
        <v>5586.2002000000002</v>
      </c>
      <c r="W445" s="7">
        <f t="shared" si="96"/>
        <v>1809.4</v>
      </c>
      <c r="X445" s="7">
        <f t="shared" si="97"/>
        <v>2005.7</v>
      </c>
      <c r="Y445" s="7">
        <f t="shared" si="98"/>
        <v>310</v>
      </c>
      <c r="Z445" s="7">
        <f t="shared" si="99"/>
        <v>1145680</v>
      </c>
      <c r="AA445" s="7" t="str">
        <f t="shared" si="100"/>
        <v>19-Apr-2023</v>
      </c>
      <c r="AB445" s="7">
        <f t="shared" si="101"/>
        <v>2005.7</v>
      </c>
      <c r="AC445" s="7">
        <f t="shared" si="105"/>
        <v>1</v>
      </c>
      <c r="AD445" s="7">
        <f t="shared" si="102"/>
        <v>2023</v>
      </c>
      <c r="AE445" s="19">
        <f t="shared" si="103"/>
        <v>0.44</v>
      </c>
      <c r="BA445" s="10">
        <f t="shared" si="104"/>
        <v>26.997800000000002</v>
      </c>
    </row>
    <row r="446" spans="1:53" x14ac:dyDescent="0.3">
      <c r="A446" s="17">
        <v>45036</v>
      </c>
      <c r="B446" s="8">
        <v>2007.6</v>
      </c>
      <c r="C446" s="7">
        <v>2007.6</v>
      </c>
      <c r="D446" s="7">
        <v>1998</v>
      </c>
      <c r="E446" s="7">
        <v>1998</v>
      </c>
      <c r="F446" s="18">
        <v>164</v>
      </c>
      <c r="G446" s="7">
        <v>2009.3</v>
      </c>
      <c r="H446" s="7">
        <v>1967.3</v>
      </c>
      <c r="I446" s="7">
        <v>1891.7867000000001</v>
      </c>
      <c r="J446" s="8">
        <v>-0.38390000000000002</v>
      </c>
      <c r="K446" s="7">
        <v>1.0219</v>
      </c>
      <c r="L446" s="7">
        <v>1.1594</v>
      </c>
      <c r="M446" s="8">
        <v>57.174799999999998</v>
      </c>
      <c r="N446" s="8">
        <v>24.6008</v>
      </c>
      <c r="O446" s="7">
        <v>28.977599999999999</v>
      </c>
      <c r="P446" s="7">
        <v>2037.44</v>
      </c>
      <c r="Q446" s="7">
        <v>1950.42</v>
      </c>
      <c r="R446" s="7" t="str">
        <f t="shared" si="91"/>
        <v>Down</v>
      </c>
      <c r="S446" s="7" t="str">
        <f t="shared" si="92"/>
        <v>Hold</v>
      </c>
      <c r="T446" s="8">
        <f t="shared" si="93"/>
        <v>0.13828662068965505</v>
      </c>
      <c r="U446" s="18">
        <f t="shared" si="94"/>
        <v>3167037</v>
      </c>
      <c r="V446" s="7">
        <f t="shared" si="95"/>
        <v>5586.2002000000002</v>
      </c>
      <c r="W446" s="7">
        <f t="shared" si="96"/>
        <v>1809.4</v>
      </c>
      <c r="X446" s="7">
        <f t="shared" si="97"/>
        <v>1998</v>
      </c>
      <c r="Y446" s="7">
        <f t="shared" si="98"/>
        <v>309</v>
      </c>
      <c r="Z446" s="7">
        <f t="shared" si="99"/>
        <v>1145619</v>
      </c>
      <c r="AA446" s="7" t="str">
        <f t="shared" si="100"/>
        <v>20-Apr-2023</v>
      </c>
      <c r="AB446" s="7">
        <f t="shared" si="101"/>
        <v>1998</v>
      </c>
      <c r="AC446" s="7">
        <f t="shared" si="105"/>
        <v>1</v>
      </c>
      <c r="AD446" s="7">
        <f t="shared" si="102"/>
        <v>2023</v>
      </c>
      <c r="AE446" s="19">
        <f t="shared" si="103"/>
        <v>-0.38</v>
      </c>
      <c r="BA446" s="10">
        <f t="shared" si="104"/>
        <v>26.997800000000002</v>
      </c>
    </row>
    <row r="447" spans="1:53" x14ac:dyDescent="0.3">
      <c r="A447" s="17">
        <v>45037</v>
      </c>
      <c r="B447" s="8">
        <v>1979.5</v>
      </c>
      <c r="C447" s="7">
        <v>1996.2</v>
      </c>
      <c r="D447" s="7">
        <v>1974.1</v>
      </c>
      <c r="E447" s="7">
        <v>1996.2</v>
      </c>
      <c r="F447" s="18">
        <v>132</v>
      </c>
      <c r="G447" s="7">
        <v>2008.0143</v>
      </c>
      <c r="H447" s="7">
        <v>1973.2933</v>
      </c>
      <c r="I447" s="7">
        <v>1894.0233000000001</v>
      </c>
      <c r="J447" s="8">
        <v>-9.01E-2</v>
      </c>
      <c r="K447" s="7">
        <v>0.98209999999999997</v>
      </c>
      <c r="L447" s="7">
        <v>1.1618999999999999</v>
      </c>
      <c r="M447" s="8">
        <v>53.545900000000003</v>
      </c>
      <c r="N447" s="8">
        <v>22.492599999999999</v>
      </c>
      <c r="O447" s="7">
        <v>27.680599999999998</v>
      </c>
      <c r="P447" s="7">
        <v>2037.7049999999999</v>
      </c>
      <c r="Q447" s="7">
        <v>1950.7248999999999</v>
      </c>
      <c r="R447" s="7" t="str">
        <f t="shared" si="91"/>
        <v>Up</v>
      </c>
      <c r="S447" s="7" t="str">
        <f t="shared" si="92"/>
        <v>Hold</v>
      </c>
      <c r="T447" s="8">
        <f t="shared" si="93"/>
        <v>0.13900787292817665</v>
      </c>
      <c r="U447" s="18">
        <f t="shared" si="94"/>
        <v>3166873</v>
      </c>
      <c r="V447" s="7">
        <f t="shared" si="95"/>
        <v>5586.2002000000002</v>
      </c>
      <c r="W447" s="7">
        <f t="shared" si="96"/>
        <v>1809.4</v>
      </c>
      <c r="X447" s="7">
        <f t="shared" si="97"/>
        <v>1996.2</v>
      </c>
      <c r="Y447" s="7">
        <f t="shared" si="98"/>
        <v>309</v>
      </c>
      <c r="Z447" s="7">
        <f t="shared" si="99"/>
        <v>1145619</v>
      </c>
      <c r="AA447" s="7" t="str">
        <f t="shared" si="100"/>
        <v>21-Apr-2023</v>
      </c>
      <c r="AB447" s="7">
        <f t="shared" si="101"/>
        <v>1996.2</v>
      </c>
      <c r="AC447" s="7">
        <f t="shared" si="105"/>
        <v>1</v>
      </c>
      <c r="AD447" s="7">
        <f t="shared" si="102"/>
        <v>2023</v>
      </c>
      <c r="AE447" s="19">
        <f t="shared" si="103"/>
        <v>-0.09</v>
      </c>
      <c r="BA447" s="10">
        <f t="shared" si="104"/>
        <v>26.997800000000002</v>
      </c>
    </row>
    <row r="448" spans="1:53" x14ac:dyDescent="0.3">
      <c r="A448" s="17">
        <v>45040</v>
      </c>
      <c r="B448" s="8">
        <v>1989.1</v>
      </c>
      <c r="C448" s="7">
        <v>1989.8</v>
      </c>
      <c r="D448" s="7">
        <v>1977.4</v>
      </c>
      <c r="E448" s="7">
        <v>1981.3</v>
      </c>
      <c r="F448" s="18">
        <v>145</v>
      </c>
      <c r="G448" s="7">
        <v>2003.1143</v>
      </c>
      <c r="H448" s="7">
        <v>1977.5933</v>
      </c>
      <c r="I448" s="7">
        <v>1896.1789000000001</v>
      </c>
      <c r="J448" s="8">
        <v>-0.74639999999999995</v>
      </c>
      <c r="K448" s="7">
        <v>0.97419999999999995</v>
      </c>
      <c r="L448" s="7">
        <v>1.1342000000000001</v>
      </c>
      <c r="M448" s="8">
        <v>53.116199999999999</v>
      </c>
      <c r="N448" s="8">
        <v>19.395800000000001</v>
      </c>
      <c r="O448" s="7">
        <v>26.023599999999998</v>
      </c>
      <c r="P448" s="7">
        <v>2037.5588</v>
      </c>
      <c r="Q448" s="7">
        <v>1949.8312000000001</v>
      </c>
      <c r="R448" s="7" t="str">
        <f t="shared" si="91"/>
        <v>Down</v>
      </c>
      <c r="S448" s="7" t="str">
        <f t="shared" si="92"/>
        <v>Hold</v>
      </c>
      <c r="T448" s="8">
        <f t="shared" si="93"/>
        <v>0.13932475795297358</v>
      </c>
      <c r="U448" s="18">
        <f t="shared" si="94"/>
        <v>3166741</v>
      </c>
      <c r="V448" s="7">
        <f t="shared" si="95"/>
        <v>5586.2002000000002</v>
      </c>
      <c r="W448" s="7">
        <f t="shared" si="96"/>
        <v>1809.4</v>
      </c>
      <c r="X448" s="7">
        <f t="shared" si="97"/>
        <v>1981.3</v>
      </c>
      <c r="Y448" s="7">
        <f t="shared" si="98"/>
        <v>308</v>
      </c>
      <c r="Z448" s="7">
        <f t="shared" si="99"/>
        <v>1145487</v>
      </c>
      <c r="AA448" s="7" t="str">
        <f t="shared" si="100"/>
        <v>24-Apr-2023</v>
      </c>
      <c r="AB448" s="7">
        <f t="shared" si="101"/>
        <v>1981.3</v>
      </c>
      <c r="AC448" s="7">
        <f t="shared" si="105"/>
        <v>1</v>
      </c>
      <c r="AD448" s="7">
        <f t="shared" si="102"/>
        <v>2023</v>
      </c>
      <c r="AE448" s="19">
        <f t="shared" si="103"/>
        <v>-0.75</v>
      </c>
      <c r="BA448" s="10">
        <f t="shared" si="104"/>
        <v>26.997800000000002</v>
      </c>
    </row>
    <row r="449" spans="1:53" x14ac:dyDescent="0.3">
      <c r="A449" s="17">
        <v>45041</v>
      </c>
      <c r="B449" s="8">
        <v>1994</v>
      </c>
      <c r="C449" s="7">
        <v>1999.1</v>
      </c>
      <c r="D449" s="7">
        <v>1982.3</v>
      </c>
      <c r="E449" s="7">
        <v>1995.7</v>
      </c>
      <c r="F449" s="18">
        <v>306</v>
      </c>
      <c r="G449" s="7">
        <v>1996.6428000000001</v>
      </c>
      <c r="H449" s="7">
        <v>1981.09</v>
      </c>
      <c r="I449" s="7">
        <v>1898.5678</v>
      </c>
      <c r="J449" s="8">
        <v>0.7268</v>
      </c>
      <c r="K449" s="7">
        <v>0.85019999999999996</v>
      </c>
      <c r="L449" s="7">
        <v>1.0841000000000001</v>
      </c>
      <c r="M449" s="8">
        <v>52.646599999999999</v>
      </c>
      <c r="N449" s="8">
        <v>17.897300000000001</v>
      </c>
      <c r="O449" s="7">
        <v>24.398399999999999</v>
      </c>
      <c r="P449" s="7">
        <v>2035.9793</v>
      </c>
      <c r="Q449" s="7">
        <v>1955.2606000000001</v>
      </c>
      <c r="R449" s="7" t="str">
        <f t="shared" si="91"/>
        <v>Up</v>
      </c>
      <c r="S449" s="7" t="str">
        <f t="shared" si="92"/>
        <v>Hold</v>
      </c>
      <c r="T449" s="8">
        <f t="shared" si="93"/>
        <v>0.14055152354570624</v>
      </c>
      <c r="U449" s="18">
        <f t="shared" si="94"/>
        <v>3166596</v>
      </c>
      <c r="V449" s="7">
        <f t="shared" si="95"/>
        <v>5586.2002000000002</v>
      </c>
      <c r="W449" s="7">
        <f t="shared" si="96"/>
        <v>1809.4</v>
      </c>
      <c r="X449" s="7">
        <f t="shared" si="97"/>
        <v>1995.7</v>
      </c>
      <c r="Y449" s="7">
        <f t="shared" si="98"/>
        <v>308</v>
      </c>
      <c r="Z449" s="7">
        <f t="shared" si="99"/>
        <v>1145487</v>
      </c>
      <c r="AA449" s="7" t="str">
        <f t="shared" si="100"/>
        <v>25-Apr-2023</v>
      </c>
      <c r="AB449" s="7">
        <f t="shared" si="101"/>
        <v>1995.7</v>
      </c>
      <c r="AC449" s="7">
        <f t="shared" si="105"/>
        <v>1</v>
      </c>
      <c r="AD449" s="7">
        <f t="shared" si="102"/>
        <v>2023</v>
      </c>
      <c r="AE449" s="19">
        <f t="shared" si="103"/>
        <v>0.73</v>
      </c>
      <c r="BA449" s="10">
        <f t="shared" si="104"/>
        <v>26.997800000000002</v>
      </c>
    </row>
    <row r="450" spans="1:53" x14ac:dyDescent="0.3">
      <c r="A450" s="17">
        <v>45042</v>
      </c>
      <c r="B450" s="8">
        <v>1985.7</v>
      </c>
      <c r="C450" s="7">
        <v>1998.8</v>
      </c>
      <c r="D450" s="7">
        <v>1985.6</v>
      </c>
      <c r="E450" s="7">
        <v>1997.8</v>
      </c>
      <c r="F450" s="18">
        <v>615</v>
      </c>
      <c r="G450" s="7">
        <v>1995.9429</v>
      </c>
      <c r="H450" s="7">
        <v>1983.9432999999999</v>
      </c>
      <c r="I450" s="7">
        <v>1900.6456000000001</v>
      </c>
      <c r="J450" s="8">
        <v>0.1052</v>
      </c>
      <c r="K450" s="7">
        <v>0.50360000000000005</v>
      </c>
      <c r="L450" s="7">
        <v>1.0692999999999999</v>
      </c>
      <c r="M450" s="8">
        <v>43.029299999999999</v>
      </c>
      <c r="N450" s="8">
        <v>16.686800000000002</v>
      </c>
      <c r="O450" s="7">
        <v>22.856100000000001</v>
      </c>
      <c r="P450" s="7">
        <v>2035.7433000000001</v>
      </c>
      <c r="Q450" s="7">
        <v>1958.0367000000001</v>
      </c>
      <c r="R450" s="7" t="str">
        <f t="shared" si="91"/>
        <v>Up</v>
      </c>
      <c r="S450" s="7" t="str">
        <f t="shared" si="92"/>
        <v>Hold</v>
      </c>
      <c r="T450" s="8">
        <f t="shared" si="93"/>
        <v>0.13973841886269056</v>
      </c>
      <c r="U450" s="18">
        <f t="shared" si="94"/>
        <v>3166290</v>
      </c>
      <c r="V450" s="7">
        <f t="shared" si="95"/>
        <v>5586.2002000000002</v>
      </c>
      <c r="W450" s="7">
        <f t="shared" si="96"/>
        <v>1809.4</v>
      </c>
      <c r="X450" s="7">
        <f t="shared" si="97"/>
        <v>1997.8</v>
      </c>
      <c r="Y450" s="7">
        <f t="shared" si="98"/>
        <v>307</v>
      </c>
      <c r="Z450" s="7">
        <f t="shared" si="99"/>
        <v>1145181</v>
      </c>
      <c r="AA450" s="7" t="str">
        <f t="shared" si="100"/>
        <v>26-Apr-2023</v>
      </c>
      <c r="AB450" s="7">
        <f t="shared" si="101"/>
        <v>1997.8</v>
      </c>
      <c r="AC450" s="7">
        <f t="shared" si="105"/>
        <v>1</v>
      </c>
      <c r="AD450" s="7">
        <f t="shared" si="102"/>
        <v>2023</v>
      </c>
      <c r="AE450" s="19">
        <f t="shared" si="103"/>
        <v>0.11</v>
      </c>
      <c r="BA450" s="10">
        <f t="shared" si="104"/>
        <v>26.997800000000002</v>
      </c>
    </row>
    <row r="451" spans="1:53" x14ac:dyDescent="0.3">
      <c r="A451" s="17">
        <v>45043</v>
      </c>
      <c r="B451" s="8">
        <v>1989.9</v>
      </c>
      <c r="C451" s="7">
        <v>2002.3</v>
      </c>
      <c r="D451" s="7">
        <v>1979.9</v>
      </c>
      <c r="E451" s="7">
        <v>1990.6</v>
      </c>
      <c r="F451" s="18">
        <v>355</v>
      </c>
      <c r="G451" s="7">
        <v>1995.0427999999999</v>
      </c>
      <c r="H451" s="7">
        <v>1986.8333</v>
      </c>
      <c r="I451" s="7">
        <v>1902.7521999999999</v>
      </c>
      <c r="J451" s="8">
        <v>-0.3604</v>
      </c>
      <c r="K451" s="7">
        <v>0.51029999999999998</v>
      </c>
      <c r="L451" s="7">
        <v>1.0680000000000001</v>
      </c>
      <c r="M451" s="8">
        <v>41.29</v>
      </c>
      <c r="N451" s="8">
        <v>14.9739</v>
      </c>
      <c r="O451" s="7">
        <v>21.279599999999999</v>
      </c>
      <c r="P451" s="7">
        <v>2034.3366000000001</v>
      </c>
      <c r="Q451" s="7">
        <v>1961.8933999999999</v>
      </c>
      <c r="R451" s="7" t="str">
        <f t="shared" ref="R451:R514" si="106">IF(E451&gt;B451,"Up","Down")</f>
        <v>Up</v>
      </c>
      <c r="S451" s="7" t="str">
        <f t="shared" ref="S451:S514" si="107">IF(M451&gt;70,"Sell",IF(M451&lt;30,"Buy","Hold"))</f>
        <v>Hold</v>
      </c>
      <c r="T451" s="8">
        <f t="shared" ref="T451:T514" si="108">AVERAGE(J451:J1619)</f>
        <v>0.13978638888888875</v>
      </c>
      <c r="U451" s="18">
        <f t="shared" ref="U451:U514" si="109">SUM(F451:F1619)</f>
        <v>3165675</v>
      </c>
      <c r="V451" s="7">
        <f t="shared" ref="V451:V514" si="110">MAX(C451:C1619)</f>
        <v>5586.2002000000002</v>
      </c>
      <c r="W451" s="7">
        <f t="shared" ref="W451:W514" si="111">MIN(D451:D1619)</f>
        <v>1809.4</v>
      </c>
      <c r="X451" s="7">
        <f t="shared" ref="X451:X514" si="112">INDEX(E451:E1619,MATCH(A451,A451:A1619,0))</f>
        <v>1990.6</v>
      </c>
      <c r="Y451" s="7">
        <f t="shared" ref="Y451:Y514" si="113">COUNTIF(R451:R1619,"Up")</f>
        <v>306</v>
      </c>
      <c r="Z451" s="7">
        <f t="shared" ref="Z451:Z514" si="114">SUMIF(R451:R1619,"Up",F451:F1619)</f>
        <v>1144566</v>
      </c>
      <c r="AA451" s="7" t="str">
        <f t="shared" ref="AA451:AA514" si="115">TEXT(A451,"DD-MMM-YYYY")</f>
        <v>27-Apr-2023</v>
      </c>
      <c r="AB451" s="7">
        <f t="shared" ref="AB451:AB514" si="116">_xlfn.XLOOKUP(A451,A451:A1619,E451:E1619)</f>
        <v>1990.6</v>
      </c>
      <c r="AC451" s="7">
        <f t="shared" si="105"/>
        <v>1</v>
      </c>
      <c r="AD451" s="7">
        <f t="shared" ref="AD451:AD514" si="117">YEAR(A451)</f>
        <v>2023</v>
      </c>
      <c r="AE451" s="19">
        <f t="shared" ref="AE451:AE514" si="118">ROUND(J451,2)</f>
        <v>-0.36</v>
      </c>
      <c r="BA451" s="10">
        <f t="shared" ref="BA451:BA514" si="119">MODE(M451:M1619)</f>
        <v>26.997800000000002</v>
      </c>
    </row>
    <row r="452" spans="1:53" x14ac:dyDescent="0.3">
      <c r="A452" s="17">
        <v>45044</v>
      </c>
      <c r="B452" s="8">
        <v>1990.1</v>
      </c>
      <c r="C452" s="7">
        <v>1990.1</v>
      </c>
      <c r="D452" s="7">
        <v>1977.7</v>
      </c>
      <c r="E452" s="7">
        <v>1986.9</v>
      </c>
      <c r="F452" s="18">
        <v>152</v>
      </c>
      <c r="G452" s="7">
        <v>1992.3570999999999</v>
      </c>
      <c r="H452" s="7">
        <v>1989.4</v>
      </c>
      <c r="I452" s="7">
        <v>1905.0744</v>
      </c>
      <c r="J452" s="8">
        <v>-0.18590000000000001</v>
      </c>
      <c r="K452" s="7">
        <v>0.46400000000000002</v>
      </c>
      <c r="L452" s="7">
        <v>1.0692999999999999</v>
      </c>
      <c r="M452" s="8">
        <v>45.979100000000003</v>
      </c>
      <c r="N452" s="8">
        <v>13.1661</v>
      </c>
      <c r="O452" s="7">
        <v>19.6569</v>
      </c>
      <c r="P452" s="7">
        <v>2032.5618999999999</v>
      </c>
      <c r="Q452" s="7">
        <v>1965.7681</v>
      </c>
      <c r="R452" s="7" t="str">
        <f t="shared" si="106"/>
        <v>Down</v>
      </c>
      <c r="S452" s="7" t="str">
        <f t="shared" si="107"/>
        <v>Hold</v>
      </c>
      <c r="T452" s="8">
        <f t="shared" si="108"/>
        <v>0.1404820584144644</v>
      </c>
      <c r="U452" s="18">
        <f t="shared" si="109"/>
        <v>3165320</v>
      </c>
      <c r="V452" s="7">
        <f t="shared" si="110"/>
        <v>5586.2002000000002</v>
      </c>
      <c r="W452" s="7">
        <f t="shared" si="111"/>
        <v>1809.4</v>
      </c>
      <c r="X452" s="7">
        <f t="shared" si="112"/>
        <v>1986.9</v>
      </c>
      <c r="Y452" s="7">
        <f t="shared" si="113"/>
        <v>305</v>
      </c>
      <c r="Z452" s="7">
        <f t="shared" si="114"/>
        <v>1144211</v>
      </c>
      <c r="AA452" s="7" t="str">
        <f t="shared" si="115"/>
        <v>28-Apr-2023</v>
      </c>
      <c r="AB452" s="7">
        <f t="shared" si="116"/>
        <v>1986.9</v>
      </c>
      <c r="AC452" s="7">
        <f t="shared" si="105"/>
        <v>1</v>
      </c>
      <c r="AD452" s="7">
        <f t="shared" si="117"/>
        <v>2023</v>
      </c>
      <c r="AE452" s="19">
        <f t="shared" si="118"/>
        <v>-0.19</v>
      </c>
      <c r="BA452" s="10">
        <f t="shared" si="119"/>
        <v>26.997800000000002</v>
      </c>
    </row>
    <row r="453" spans="1:53" x14ac:dyDescent="0.3">
      <c r="A453" s="17">
        <v>45047</v>
      </c>
      <c r="B453" s="8">
        <v>1983.4</v>
      </c>
      <c r="C453" s="7">
        <v>2005</v>
      </c>
      <c r="D453" s="7">
        <v>1976.9</v>
      </c>
      <c r="E453" s="7">
        <v>1980.1</v>
      </c>
      <c r="F453" s="18">
        <v>210</v>
      </c>
      <c r="G453" s="7">
        <v>1989.8</v>
      </c>
      <c r="H453" s="7">
        <v>1990.5367000000001</v>
      </c>
      <c r="I453" s="7">
        <v>1907.1688999999999</v>
      </c>
      <c r="J453" s="8">
        <v>-0.3422</v>
      </c>
      <c r="K453" s="7">
        <v>0.46050000000000002</v>
      </c>
      <c r="L453" s="7">
        <v>1.0196000000000001</v>
      </c>
      <c r="M453" s="8">
        <v>46.492800000000003</v>
      </c>
      <c r="N453" s="8">
        <v>11.0572</v>
      </c>
      <c r="O453" s="7">
        <v>17.937000000000001</v>
      </c>
      <c r="P453" s="7">
        <v>2032.6411000000001</v>
      </c>
      <c r="Q453" s="7">
        <v>1965.5689</v>
      </c>
      <c r="R453" s="7" t="str">
        <f t="shared" si="106"/>
        <v>Down</v>
      </c>
      <c r="S453" s="7" t="str">
        <f t="shared" si="107"/>
        <v>Hold</v>
      </c>
      <c r="T453" s="8">
        <f t="shared" si="108"/>
        <v>0.14093662952646224</v>
      </c>
      <c r="U453" s="18">
        <f t="shared" si="109"/>
        <v>3165168</v>
      </c>
      <c r="V453" s="7">
        <f t="shared" si="110"/>
        <v>5586.2002000000002</v>
      </c>
      <c r="W453" s="7">
        <f t="shared" si="111"/>
        <v>1809.4</v>
      </c>
      <c r="X453" s="7">
        <f t="shared" si="112"/>
        <v>1980.1</v>
      </c>
      <c r="Y453" s="7">
        <f t="shared" si="113"/>
        <v>305</v>
      </c>
      <c r="Z453" s="7">
        <f t="shared" si="114"/>
        <v>1144211</v>
      </c>
      <c r="AA453" s="7" t="str">
        <f t="shared" si="115"/>
        <v>01-May-2023</v>
      </c>
      <c r="AB453" s="7">
        <f t="shared" si="116"/>
        <v>1980.1</v>
      </c>
      <c r="AC453" s="7">
        <f t="shared" ref="AC453:AC516" si="120">_xlfn.XMATCH(A453,A453:A1621)</f>
        <v>1</v>
      </c>
      <c r="AD453" s="7">
        <f t="shared" si="117"/>
        <v>2023</v>
      </c>
      <c r="AE453" s="19">
        <f t="shared" si="118"/>
        <v>-0.34</v>
      </c>
      <c r="BA453" s="10">
        <f t="shared" si="119"/>
        <v>26.997800000000002</v>
      </c>
    </row>
    <row r="454" spans="1:53" x14ac:dyDescent="0.3">
      <c r="A454" s="17">
        <v>45048</v>
      </c>
      <c r="B454" s="8">
        <v>2014.3</v>
      </c>
      <c r="C454" s="7">
        <v>2018</v>
      </c>
      <c r="D454" s="7">
        <v>1994.7</v>
      </c>
      <c r="E454" s="7">
        <v>1994.7</v>
      </c>
      <c r="F454" s="18">
        <v>1896</v>
      </c>
      <c r="G454" s="7">
        <v>1989.5857000000001</v>
      </c>
      <c r="H454" s="7">
        <v>1990.75</v>
      </c>
      <c r="I454" s="7">
        <v>1909.4821999999999</v>
      </c>
      <c r="J454" s="8">
        <v>0.73729999999999996</v>
      </c>
      <c r="K454" s="7">
        <v>0.56579999999999997</v>
      </c>
      <c r="L454" s="7">
        <v>0.94830000000000003</v>
      </c>
      <c r="M454" s="8">
        <v>46.757300000000001</v>
      </c>
      <c r="N454" s="8">
        <v>10.4436</v>
      </c>
      <c r="O454" s="7">
        <v>16.438300000000002</v>
      </c>
      <c r="P454" s="7">
        <v>2030.7488000000001</v>
      </c>
      <c r="Q454" s="7">
        <v>1970.1212</v>
      </c>
      <c r="R454" s="7" t="str">
        <f t="shared" si="106"/>
        <v>Down</v>
      </c>
      <c r="S454" s="7" t="str">
        <f t="shared" si="107"/>
        <v>Hold</v>
      </c>
      <c r="T454" s="8">
        <f t="shared" si="108"/>
        <v>0.1416104602510459</v>
      </c>
      <c r="U454" s="18">
        <f t="shared" si="109"/>
        <v>3164958</v>
      </c>
      <c r="V454" s="7">
        <f t="shared" si="110"/>
        <v>5586.2002000000002</v>
      </c>
      <c r="W454" s="7">
        <f t="shared" si="111"/>
        <v>1809.4</v>
      </c>
      <c r="X454" s="7">
        <f t="shared" si="112"/>
        <v>1994.7</v>
      </c>
      <c r="Y454" s="7">
        <f t="shared" si="113"/>
        <v>305</v>
      </c>
      <c r="Z454" s="7">
        <f t="shared" si="114"/>
        <v>1144211</v>
      </c>
      <c r="AA454" s="7" t="str">
        <f t="shared" si="115"/>
        <v>02-May-2023</v>
      </c>
      <c r="AB454" s="7">
        <f t="shared" si="116"/>
        <v>1994.7</v>
      </c>
      <c r="AC454" s="7">
        <f t="shared" si="120"/>
        <v>1</v>
      </c>
      <c r="AD454" s="7">
        <f t="shared" si="117"/>
        <v>2023</v>
      </c>
      <c r="AE454" s="19">
        <f t="shared" si="118"/>
        <v>0.74</v>
      </c>
      <c r="BA454" s="10">
        <f t="shared" si="119"/>
        <v>26.997800000000002</v>
      </c>
    </row>
    <row r="455" spans="1:53" x14ac:dyDescent="0.3">
      <c r="A455" s="17">
        <v>45049</v>
      </c>
      <c r="B455" s="8">
        <v>2028.6</v>
      </c>
      <c r="C455" s="7">
        <v>2035.1</v>
      </c>
      <c r="D455" s="7">
        <v>2015.2</v>
      </c>
      <c r="E455" s="7">
        <v>2017.1</v>
      </c>
      <c r="F455" s="18">
        <v>1349</v>
      </c>
      <c r="G455" s="7">
        <v>1994.7</v>
      </c>
      <c r="H455" s="7">
        <v>1992.1932999999999</v>
      </c>
      <c r="I455" s="7">
        <v>1911.7011</v>
      </c>
      <c r="J455" s="8">
        <v>1.123</v>
      </c>
      <c r="K455" s="7">
        <v>0.60009999999999997</v>
      </c>
      <c r="L455" s="7">
        <v>0.95840000000000003</v>
      </c>
      <c r="M455" s="8">
        <v>50.4313</v>
      </c>
      <c r="N455" s="8">
        <v>11.630699999999999</v>
      </c>
      <c r="O455" s="7">
        <v>15.476800000000001</v>
      </c>
      <c r="P455" s="7">
        <v>2032.2838999999999</v>
      </c>
      <c r="Q455" s="7">
        <v>1971.836</v>
      </c>
      <c r="R455" s="7" t="str">
        <f t="shared" si="106"/>
        <v>Down</v>
      </c>
      <c r="S455" s="7" t="str">
        <f t="shared" si="107"/>
        <v>Hold</v>
      </c>
      <c r="T455" s="8">
        <f t="shared" si="108"/>
        <v>0.14077849162011158</v>
      </c>
      <c r="U455" s="18">
        <f t="shared" si="109"/>
        <v>3163062</v>
      </c>
      <c r="V455" s="7">
        <f t="shared" si="110"/>
        <v>5586.2002000000002</v>
      </c>
      <c r="W455" s="7">
        <f t="shared" si="111"/>
        <v>1809.4</v>
      </c>
      <c r="X455" s="7">
        <f t="shared" si="112"/>
        <v>2017.1</v>
      </c>
      <c r="Y455" s="7">
        <f t="shared" si="113"/>
        <v>305</v>
      </c>
      <c r="Z455" s="7">
        <f t="shared" si="114"/>
        <v>1144211</v>
      </c>
      <c r="AA455" s="7" t="str">
        <f t="shared" si="115"/>
        <v>03-May-2023</v>
      </c>
      <c r="AB455" s="7">
        <f t="shared" si="116"/>
        <v>2017.1</v>
      </c>
      <c r="AC455" s="7">
        <f t="shared" si="120"/>
        <v>1</v>
      </c>
      <c r="AD455" s="7">
        <f t="shared" si="117"/>
        <v>2023</v>
      </c>
      <c r="AE455" s="19">
        <f t="shared" si="118"/>
        <v>1.1200000000000001</v>
      </c>
      <c r="BA455" s="10">
        <f t="shared" si="119"/>
        <v>26.997800000000002</v>
      </c>
    </row>
    <row r="456" spans="1:53" x14ac:dyDescent="0.3">
      <c r="A456" s="17">
        <v>45050</v>
      </c>
      <c r="B456" s="8">
        <v>2048</v>
      </c>
      <c r="C456" s="7">
        <v>2072</v>
      </c>
      <c r="D456" s="7">
        <v>2040</v>
      </c>
      <c r="E456" s="7">
        <v>2045</v>
      </c>
      <c r="F456" s="18">
        <v>930</v>
      </c>
      <c r="G456" s="7">
        <v>2001.7429</v>
      </c>
      <c r="H456" s="7">
        <v>1995.4666999999999</v>
      </c>
      <c r="I456" s="7">
        <v>1914.2221999999999</v>
      </c>
      <c r="J456" s="8">
        <v>1.3832</v>
      </c>
      <c r="K456" s="7">
        <v>0.72409999999999997</v>
      </c>
      <c r="L456" s="7">
        <v>0.94699999999999995</v>
      </c>
      <c r="M456" s="8">
        <v>51.133800000000001</v>
      </c>
      <c r="N456" s="8">
        <v>14.6539</v>
      </c>
      <c r="O456" s="7">
        <v>15.312200000000001</v>
      </c>
      <c r="P456" s="7">
        <v>2038.0129999999999</v>
      </c>
      <c r="Q456" s="7">
        <v>1968.3969999999999</v>
      </c>
      <c r="R456" s="7" t="str">
        <f t="shared" si="106"/>
        <v>Down</v>
      </c>
      <c r="S456" s="7" t="str">
        <f t="shared" si="107"/>
        <v>Hold</v>
      </c>
      <c r="T456" s="8">
        <f t="shared" si="108"/>
        <v>0.13940475524475507</v>
      </c>
      <c r="U456" s="18">
        <f t="shared" si="109"/>
        <v>3161713</v>
      </c>
      <c r="V456" s="7">
        <f t="shared" si="110"/>
        <v>5586.2002000000002</v>
      </c>
      <c r="W456" s="7">
        <f t="shared" si="111"/>
        <v>1809.4</v>
      </c>
      <c r="X456" s="7">
        <f t="shared" si="112"/>
        <v>2045</v>
      </c>
      <c r="Y456" s="7">
        <f t="shared" si="113"/>
        <v>305</v>
      </c>
      <c r="Z456" s="7">
        <f t="shared" si="114"/>
        <v>1144211</v>
      </c>
      <c r="AA456" s="7" t="str">
        <f t="shared" si="115"/>
        <v>04-May-2023</v>
      </c>
      <c r="AB456" s="7">
        <f t="shared" si="116"/>
        <v>2045</v>
      </c>
      <c r="AC456" s="7">
        <f t="shared" si="120"/>
        <v>1</v>
      </c>
      <c r="AD456" s="7">
        <f t="shared" si="117"/>
        <v>2023</v>
      </c>
      <c r="AE456" s="19">
        <f t="shared" si="118"/>
        <v>1.38</v>
      </c>
      <c r="BA456" s="10">
        <f t="shared" si="119"/>
        <v>26.997800000000002</v>
      </c>
    </row>
    <row r="457" spans="1:53" x14ac:dyDescent="0.3">
      <c r="A457" s="17">
        <v>45051</v>
      </c>
      <c r="B457" s="8">
        <v>2017.4</v>
      </c>
      <c r="C457" s="7">
        <v>2046.4</v>
      </c>
      <c r="D457" s="7">
        <v>2004.3</v>
      </c>
      <c r="E457" s="7">
        <v>2046.4</v>
      </c>
      <c r="F457" s="18">
        <v>59</v>
      </c>
      <c r="G457" s="7">
        <v>2008.6857</v>
      </c>
      <c r="H457" s="7">
        <v>1997.33</v>
      </c>
      <c r="I457" s="7">
        <v>1917.0233000000001</v>
      </c>
      <c r="J457" s="8">
        <v>6.8500000000000005E-2</v>
      </c>
      <c r="K457" s="7">
        <v>0.72629999999999995</v>
      </c>
      <c r="L457" s="7">
        <v>0.86199999999999999</v>
      </c>
      <c r="M457" s="8">
        <v>65.6631</v>
      </c>
      <c r="N457" s="8">
        <v>16.967199999999998</v>
      </c>
      <c r="O457" s="7">
        <v>15.6432</v>
      </c>
      <c r="P457" s="7">
        <v>2043.4313</v>
      </c>
      <c r="Q457" s="7">
        <v>1965.3986</v>
      </c>
      <c r="R457" s="7" t="str">
        <f t="shared" si="106"/>
        <v>Up</v>
      </c>
      <c r="S457" s="7" t="str">
        <f t="shared" si="107"/>
        <v>Hold</v>
      </c>
      <c r="T457" s="8">
        <f t="shared" si="108"/>
        <v>0.13766274509803905</v>
      </c>
      <c r="U457" s="18">
        <f t="shared" si="109"/>
        <v>3160783</v>
      </c>
      <c r="V457" s="7">
        <f t="shared" si="110"/>
        <v>5586.2002000000002</v>
      </c>
      <c r="W457" s="7">
        <f t="shared" si="111"/>
        <v>1809.4</v>
      </c>
      <c r="X457" s="7">
        <f t="shared" si="112"/>
        <v>2046.4</v>
      </c>
      <c r="Y457" s="7">
        <f t="shared" si="113"/>
        <v>305</v>
      </c>
      <c r="Z457" s="7">
        <f t="shared" si="114"/>
        <v>1144211</v>
      </c>
      <c r="AA457" s="7" t="str">
        <f t="shared" si="115"/>
        <v>05-May-2023</v>
      </c>
      <c r="AB457" s="7">
        <f t="shared" si="116"/>
        <v>2046.4</v>
      </c>
      <c r="AC457" s="7">
        <f t="shared" si="120"/>
        <v>1</v>
      </c>
      <c r="AD457" s="7">
        <f t="shared" si="117"/>
        <v>2023</v>
      </c>
      <c r="AE457" s="19">
        <f t="shared" si="118"/>
        <v>7.0000000000000007E-2</v>
      </c>
      <c r="BA457" s="10">
        <f t="shared" si="119"/>
        <v>26.997800000000002</v>
      </c>
    </row>
    <row r="458" spans="1:53" x14ac:dyDescent="0.3">
      <c r="A458" s="17">
        <v>45054</v>
      </c>
      <c r="B458" s="8">
        <v>2026.3</v>
      </c>
      <c r="C458" s="7">
        <v>2026.3</v>
      </c>
      <c r="D458" s="7">
        <v>2022.5</v>
      </c>
      <c r="E458" s="7">
        <v>2022.5</v>
      </c>
      <c r="F458" s="18">
        <v>3</v>
      </c>
      <c r="G458" s="7">
        <v>2013.2429</v>
      </c>
      <c r="H458" s="7">
        <v>1998.3567</v>
      </c>
      <c r="I458" s="7">
        <v>1919.4577999999999</v>
      </c>
      <c r="J458" s="8">
        <v>-1.1678999999999999</v>
      </c>
      <c r="K458" s="7">
        <v>0.90049999999999997</v>
      </c>
      <c r="L458" s="7">
        <v>0.89239999999999997</v>
      </c>
      <c r="M458" s="8">
        <v>58.1218</v>
      </c>
      <c r="N458" s="8">
        <v>16.6797</v>
      </c>
      <c r="O458" s="7">
        <v>15.8505</v>
      </c>
      <c r="P458" s="7">
        <v>2045.3106</v>
      </c>
      <c r="Q458" s="7">
        <v>1965.7693999999999</v>
      </c>
      <c r="R458" s="7" t="str">
        <f t="shared" si="106"/>
        <v>Down</v>
      </c>
      <c r="S458" s="7" t="str">
        <f t="shared" si="107"/>
        <v>Hold</v>
      </c>
      <c r="T458" s="8">
        <f t="shared" si="108"/>
        <v>0.13775974754558185</v>
      </c>
      <c r="U458" s="18">
        <f t="shared" si="109"/>
        <v>3160724</v>
      </c>
      <c r="V458" s="7">
        <f t="shared" si="110"/>
        <v>5586.2002000000002</v>
      </c>
      <c r="W458" s="7">
        <f t="shared" si="111"/>
        <v>1809.4</v>
      </c>
      <c r="X458" s="7">
        <f t="shared" si="112"/>
        <v>2022.5</v>
      </c>
      <c r="Y458" s="7">
        <f t="shared" si="113"/>
        <v>304</v>
      </c>
      <c r="Z458" s="7">
        <f t="shared" si="114"/>
        <v>1144152</v>
      </c>
      <c r="AA458" s="7" t="str">
        <f t="shared" si="115"/>
        <v>08-May-2023</v>
      </c>
      <c r="AB458" s="7">
        <f t="shared" si="116"/>
        <v>2022.5</v>
      </c>
      <c r="AC458" s="7">
        <f t="shared" si="120"/>
        <v>1</v>
      </c>
      <c r="AD458" s="7">
        <f t="shared" si="117"/>
        <v>2023</v>
      </c>
      <c r="AE458" s="19">
        <f t="shared" si="118"/>
        <v>-1.17</v>
      </c>
      <c r="BA458" s="10">
        <f t="shared" si="119"/>
        <v>26.997800000000002</v>
      </c>
    </row>
    <row r="459" spans="1:53" x14ac:dyDescent="0.3">
      <c r="A459" s="17">
        <v>45055</v>
      </c>
      <c r="B459" s="8">
        <v>2036.2</v>
      </c>
      <c r="C459" s="7">
        <v>2037.3</v>
      </c>
      <c r="D459" s="7">
        <v>2025.9</v>
      </c>
      <c r="E459" s="7">
        <v>2026.6</v>
      </c>
      <c r="F459" s="18">
        <v>241</v>
      </c>
      <c r="G459" s="7">
        <v>2018.9142999999999</v>
      </c>
      <c r="H459" s="7">
        <v>2000.67</v>
      </c>
      <c r="I459" s="7">
        <v>1921.94</v>
      </c>
      <c r="J459" s="8">
        <v>0.20269999999999999</v>
      </c>
      <c r="K459" s="7">
        <v>0.88229999999999997</v>
      </c>
      <c r="L459" s="7">
        <v>0.82620000000000005</v>
      </c>
      <c r="M459" s="8">
        <v>56.834499999999998</v>
      </c>
      <c r="N459" s="8">
        <v>16.5914</v>
      </c>
      <c r="O459" s="7">
        <v>15.998699999999999</v>
      </c>
      <c r="P459" s="7">
        <v>2047.5483999999999</v>
      </c>
      <c r="Q459" s="7">
        <v>1967.0515</v>
      </c>
      <c r="R459" s="7" t="str">
        <f t="shared" si="106"/>
        <v>Down</v>
      </c>
      <c r="S459" s="7" t="str">
        <f t="shared" si="107"/>
        <v>Hold</v>
      </c>
      <c r="T459" s="8">
        <f t="shared" si="108"/>
        <v>0.13959353932584254</v>
      </c>
      <c r="U459" s="18">
        <f t="shared" si="109"/>
        <v>3160721</v>
      </c>
      <c r="V459" s="7">
        <f t="shared" si="110"/>
        <v>5586.2002000000002</v>
      </c>
      <c r="W459" s="7">
        <f t="shared" si="111"/>
        <v>1809.4</v>
      </c>
      <c r="X459" s="7">
        <f t="shared" si="112"/>
        <v>2026.6</v>
      </c>
      <c r="Y459" s="7">
        <f t="shared" si="113"/>
        <v>304</v>
      </c>
      <c r="Z459" s="7">
        <f t="shared" si="114"/>
        <v>1144152</v>
      </c>
      <c r="AA459" s="7" t="str">
        <f t="shared" si="115"/>
        <v>09-May-2023</v>
      </c>
      <c r="AB459" s="7">
        <f t="shared" si="116"/>
        <v>2026.6</v>
      </c>
      <c r="AC459" s="7">
        <f t="shared" si="120"/>
        <v>1</v>
      </c>
      <c r="AD459" s="7">
        <f t="shared" si="117"/>
        <v>2023</v>
      </c>
      <c r="AE459" s="19">
        <f t="shared" si="118"/>
        <v>0.2</v>
      </c>
      <c r="BA459" s="10">
        <f t="shared" si="119"/>
        <v>26.997800000000002</v>
      </c>
    </row>
    <row r="460" spans="1:53" x14ac:dyDescent="0.3">
      <c r="A460" s="17">
        <v>45056</v>
      </c>
      <c r="B460" s="8">
        <v>2030.5</v>
      </c>
      <c r="C460" s="7">
        <v>2044.3</v>
      </c>
      <c r="D460" s="7">
        <v>2029.5</v>
      </c>
      <c r="E460" s="7">
        <v>2032.3</v>
      </c>
      <c r="F460" s="18">
        <v>248</v>
      </c>
      <c r="G460" s="7">
        <v>2026.3714</v>
      </c>
      <c r="H460" s="7">
        <v>2002.6667</v>
      </c>
      <c r="I460" s="7">
        <v>1924.4567</v>
      </c>
      <c r="J460" s="8">
        <v>0.28129999999999999</v>
      </c>
      <c r="K460" s="7">
        <v>0.8387</v>
      </c>
      <c r="L460" s="7">
        <v>0.8175</v>
      </c>
      <c r="M460" s="8">
        <v>61.365099999999998</v>
      </c>
      <c r="N460" s="8">
        <v>16.7879</v>
      </c>
      <c r="O460" s="7">
        <v>16.156500000000001</v>
      </c>
      <c r="P460" s="7">
        <v>2050.4025000000001</v>
      </c>
      <c r="Q460" s="7">
        <v>1966.9074000000001</v>
      </c>
      <c r="R460" s="7" t="str">
        <f t="shared" si="106"/>
        <v>Up</v>
      </c>
      <c r="S460" s="7" t="str">
        <f t="shared" si="107"/>
        <v>Hold</v>
      </c>
      <c r="T460" s="8">
        <f t="shared" si="108"/>
        <v>0.13950478199718691</v>
      </c>
      <c r="U460" s="18">
        <f t="shared" si="109"/>
        <v>3160480</v>
      </c>
      <c r="V460" s="7">
        <f t="shared" si="110"/>
        <v>5586.2002000000002</v>
      </c>
      <c r="W460" s="7">
        <f t="shared" si="111"/>
        <v>1809.4</v>
      </c>
      <c r="X460" s="7">
        <f t="shared" si="112"/>
        <v>2032.3</v>
      </c>
      <c r="Y460" s="7">
        <f t="shared" si="113"/>
        <v>304</v>
      </c>
      <c r="Z460" s="7">
        <f t="shared" si="114"/>
        <v>1144152</v>
      </c>
      <c r="AA460" s="7" t="str">
        <f t="shared" si="115"/>
        <v>10-May-2023</v>
      </c>
      <c r="AB460" s="7">
        <f t="shared" si="116"/>
        <v>2032.3</v>
      </c>
      <c r="AC460" s="7">
        <f t="shared" si="120"/>
        <v>1</v>
      </c>
      <c r="AD460" s="7">
        <f t="shared" si="117"/>
        <v>2023</v>
      </c>
      <c r="AE460" s="19">
        <f t="shared" si="118"/>
        <v>0.28000000000000003</v>
      </c>
      <c r="BA460" s="10">
        <f t="shared" si="119"/>
        <v>26.997800000000002</v>
      </c>
    </row>
    <row r="461" spans="1:53" x14ac:dyDescent="0.3">
      <c r="A461" s="17">
        <v>45057</v>
      </c>
      <c r="B461" s="8">
        <v>2014.7</v>
      </c>
      <c r="C461" s="7">
        <v>2038.3</v>
      </c>
      <c r="D461" s="7">
        <v>2014</v>
      </c>
      <c r="E461" s="7">
        <v>2034.1</v>
      </c>
      <c r="F461" s="18">
        <v>90</v>
      </c>
      <c r="G461" s="7">
        <v>2032</v>
      </c>
      <c r="H461" s="7">
        <v>2004.9332999999999</v>
      </c>
      <c r="I461" s="7">
        <v>1926.8688999999999</v>
      </c>
      <c r="J461" s="8">
        <v>8.8599999999999998E-2</v>
      </c>
      <c r="K461" s="7">
        <v>0.82779999999999998</v>
      </c>
      <c r="L461" s="7">
        <v>0.81359999999999999</v>
      </c>
      <c r="M461" s="8">
        <v>62.558</v>
      </c>
      <c r="N461" s="8">
        <v>16.894100000000002</v>
      </c>
      <c r="O461" s="7">
        <v>16.304099999999998</v>
      </c>
      <c r="P461" s="7">
        <v>2052.7703000000001</v>
      </c>
      <c r="Q461" s="7">
        <v>1966.3896999999999</v>
      </c>
      <c r="R461" s="7" t="str">
        <f t="shared" si="106"/>
        <v>Up</v>
      </c>
      <c r="S461" s="7" t="str">
        <f t="shared" si="107"/>
        <v>Hold</v>
      </c>
      <c r="T461" s="8">
        <f t="shared" si="108"/>
        <v>0.13930507042253504</v>
      </c>
      <c r="U461" s="18">
        <f t="shared" si="109"/>
        <v>3160232</v>
      </c>
      <c r="V461" s="7">
        <f t="shared" si="110"/>
        <v>5586.2002000000002</v>
      </c>
      <c r="W461" s="7">
        <f t="shared" si="111"/>
        <v>1809.4</v>
      </c>
      <c r="X461" s="7">
        <f t="shared" si="112"/>
        <v>2034.1</v>
      </c>
      <c r="Y461" s="7">
        <f t="shared" si="113"/>
        <v>303</v>
      </c>
      <c r="Z461" s="7">
        <f t="shared" si="114"/>
        <v>1143904</v>
      </c>
      <c r="AA461" s="7" t="str">
        <f t="shared" si="115"/>
        <v>11-May-2023</v>
      </c>
      <c r="AB461" s="7">
        <f t="shared" si="116"/>
        <v>2034.1</v>
      </c>
      <c r="AC461" s="7">
        <f t="shared" si="120"/>
        <v>1</v>
      </c>
      <c r="AD461" s="7">
        <f t="shared" si="117"/>
        <v>2023</v>
      </c>
      <c r="AE461" s="19">
        <f t="shared" si="118"/>
        <v>0.09</v>
      </c>
      <c r="BA461" s="10">
        <f t="shared" si="119"/>
        <v>26.997800000000002</v>
      </c>
    </row>
    <row r="462" spans="1:53" x14ac:dyDescent="0.3">
      <c r="A462" s="17">
        <v>45058</v>
      </c>
      <c r="B462" s="8">
        <v>2014.5</v>
      </c>
      <c r="C462" s="7">
        <v>2014.5</v>
      </c>
      <c r="D462" s="7">
        <v>2014.5</v>
      </c>
      <c r="E462" s="7">
        <v>2014.5</v>
      </c>
      <c r="F462" s="18">
        <v>115</v>
      </c>
      <c r="G462" s="7">
        <v>2031.6286</v>
      </c>
      <c r="H462" s="7">
        <v>2006.5533</v>
      </c>
      <c r="I462" s="7">
        <v>1928.85</v>
      </c>
      <c r="J462" s="8">
        <v>-0.96360000000000001</v>
      </c>
      <c r="K462" s="7">
        <v>0.85019999999999996</v>
      </c>
      <c r="L462" s="7">
        <v>0.83699999999999997</v>
      </c>
      <c r="M462" s="8">
        <v>60.668399999999998</v>
      </c>
      <c r="N462" s="8">
        <v>15.221299999999999</v>
      </c>
      <c r="O462" s="7">
        <v>16.087499999999999</v>
      </c>
      <c r="P462" s="7">
        <v>2048.9400999999998</v>
      </c>
      <c r="Q462" s="7">
        <v>1967.5699</v>
      </c>
      <c r="R462" s="7" t="str">
        <f t="shared" si="106"/>
        <v>Down</v>
      </c>
      <c r="S462" s="7" t="str">
        <f t="shared" si="107"/>
        <v>Hold</v>
      </c>
      <c r="T462" s="8">
        <f t="shared" si="108"/>
        <v>0.1393765867418898</v>
      </c>
      <c r="U462" s="18">
        <f t="shared" si="109"/>
        <v>3160142</v>
      </c>
      <c r="V462" s="7">
        <f t="shared" si="110"/>
        <v>5586.2002000000002</v>
      </c>
      <c r="W462" s="7">
        <f t="shared" si="111"/>
        <v>1809.4</v>
      </c>
      <c r="X462" s="7">
        <f t="shared" si="112"/>
        <v>2014.5</v>
      </c>
      <c r="Y462" s="7">
        <f t="shared" si="113"/>
        <v>302</v>
      </c>
      <c r="Z462" s="7">
        <f t="shared" si="114"/>
        <v>1143814</v>
      </c>
      <c r="AA462" s="7" t="str">
        <f t="shared" si="115"/>
        <v>12-May-2023</v>
      </c>
      <c r="AB462" s="7">
        <f t="shared" si="116"/>
        <v>2014.5</v>
      </c>
      <c r="AC462" s="7">
        <f t="shared" si="120"/>
        <v>1</v>
      </c>
      <c r="AD462" s="7">
        <f t="shared" si="117"/>
        <v>2023</v>
      </c>
      <c r="AE462" s="19">
        <f t="shared" si="118"/>
        <v>-0.96</v>
      </c>
      <c r="BA462" s="10">
        <f t="shared" si="119"/>
        <v>26.997800000000002</v>
      </c>
    </row>
    <row r="463" spans="1:53" x14ac:dyDescent="0.3">
      <c r="A463" s="17">
        <v>45061</v>
      </c>
      <c r="B463" s="8">
        <v>2018</v>
      </c>
      <c r="C463" s="7">
        <v>2018</v>
      </c>
      <c r="D463" s="7">
        <v>2013.8</v>
      </c>
      <c r="E463" s="7">
        <v>2013.8</v>
      </c>
      <c r="F463" s="18">
        <v>3</v>
      </c>
      <c r="G463" s="7">
        <v>2027.1713999999999</v>
      </c>
      <c r="H463" s="7">
        <v>2007.6367</v>
      </c>
      <c r="I463" s="7">
        <v>1930.7189000000001</v>
      </c>
      <c r="J463" s="8">
        <v>-3.4700000000000002E-2</v>
      </c>
      <c r="K463" s="7">
        <v>0.59079999999999999</v>
      </c>
      <c r="L463" s="7">
        <v>0.82679999999999998</v>
      </c>
      <c r="M463" s="8">
        <v>56.377800000000001</v>
      </c>
      <c r="N463" s="8">
        <v>13.6813</v>
      </c>
      <c r="O463" s="7">
        <v>15.606299999999999</v>
      </c>
      <c r="P463" s="7">
        <v>2049.4787999999999</v>
      </c>
      <c r="Q463" s="7">
        <v>1968.1412</v>
      </c>
      <c r="R463" s="7" t="str">
        <f t="shared" si="106"/>
        <v>Down</v>
      </c>
      <c r="S463" s="7" t="str">
        <f t="shared" si="107"/>
        <v>Hold</v>
      </c>
      <c r="T463" s="8">
        <f t="shared" si="108"/>
        <v>0.14093446327683598</v>
      </c>
      <c r="U463" s="18">
        <f t="shared" si="109"/>
        <v>3160027</v>
      </c>
      <c r="V463" s="7">
        <f t="shared" si="110"/>
        <v>5586.2002000000002</v>
      </c>
      <c r="W463" s="7">
        <f t="shared" si="111"/>
        <v>1809.4</v>
      </c>
      <c r="X463" s="7">
        <f t="shared" si="112"/>
        <v>2013.8</v>
      </c>
      <c r="Y463" s="7">
        <f t="shared" si="113"/>
        <v>302</v>
      </c>
      <c r="Z463" s="7">
        <f t="shared" si="114"/>
        <v>1143814</v>
      </c>
      <c r="AA463" s="7" t="str">
        <f t="shared" si="115"/>
        <v>15-May-2023</v>
      </c>
      <c r="AB463" s="7">
        <f t="shared" si="116"/>
        <v>2013.8</v>
      </c>
      <c r="AC463" s="7">
        <f t="shared" si="120"/>
        <v>1</v>
      </c>
      <c r="AD463" s="7">
        <f t="shared" si="117"/>
        <v>2023</v>
      </c>
      <c r="AE463" s="19">
        <f t="shared" si="118"/>
        <v>-0.03</v>
      </c>
      <c r="BA463" s="10">
        <f t="shared" si="119"/>
        <v>26.997800000000002</v>
      </c>
    </row>
    <row r="464" spans="1:53" x14ac:dyDescent="0.3">
      <c r="A464" s="17">
        <v>45062</v>
      </c>
      <c r="B464" s="8">
        <v>1988.4</v>
      </c>
      <c r="C464" s="7">
        <v>1988.4</v>
      </c>
      <c r="D464" s="7">
        <v>1988.4</v>
      </c>
      <c r="E464" s="7">
        <v>1988.4</v>
      </c>
      <c r="F464" s="18">
        <v>49</v>
      </c>
      <c r="G464" s="7">
        <v>2018.8857</v>
      </c>
      <c r="H464" s="7">
        <v>2008.3133</v>
      </c>
      <c r="I464" s="7">
        <v>1932.1989000000001</v>
      </c>
      <c r="J464" s="8">
        <v>-1.2613000000000001</v>
      </c>
      <c r="K464" s="7">
        <v>0.68899999999999995</v>
      </c>
      <c r="L464" s="7">
        <v>0.85150000000000003</v>
      </c>
      <c r="M464" s="8">
        <v>47.155000000000001</v>
      </c>
      <c r="N464" s="8">
        <v>10.2927</v>
      </c>
      <c r="O464" s="7">
        <v>14.5435</v>
      </c>
      <c r="P464" s="7">
        <v>2049.7496000000001</v>
      </c>
      <c r="Q464" s="7">
        <v>1967.0204000000001</v>
      </c>
      <c r="R464" s="7" t="str">
        <f t="shared" si="106"/>
        <v>Down</v>
      </c>
      <c r="S464" s="7" t="str">
        <f t="shared" si="107"/>
        <v>Hold</v>
      </c>
      <c r="T464" s="8">
        <f t="shared" si="108"/>
        <v>0.14118288543140015</v>
      </c>
      <c r="U464" s="18">
        <f t="shared" si="109"/>
        <v>3160024</v>
      </c>
      <c r="V464" s="7">
        <f t="shared" si="110"/>
        <v>5586.2002000000002</v>
      </c>
      <c r="W464" s="7">
        <f t="shared" si="111"/>
        <v>1809.4</v>
      </c>
      <c r="X464" s="7">
        <f t="shared" si="112"/>
        <v>1988.4</v>
      </c>
      <c r="Y464" s="7">
        <f t="shared" si="113"/>
        <v>302</v>
      </c>
      <c r="Z464" s="7">
        <f t="shared" si="114"/>
        <v>1143814</v>
      </c>
      <c r="AA464" s="7" t="str">
        <f t="shared" si="115"/>
        <v>16-May-2023</v>
      </c>
      <c r="AB464" s="7">
        <f t="shared" si="116"/>
        <v>1988.4</v>
      </c>
      <c r="AC464" s="7">
        <f t="shared" si="120"/>
        <v>1</v>
      </c>
      <c r="AD464" s="7">
        <f t="shared" si="117"/>
        <v>2023</v>
      </c>
      <c r="AE464" s="19">
        <f t="shared" si="118"/>
        <v>-1.26</v>
      </c>
      <c r="BA464" s="10">
        <f t="shared" si="119"/>
        <v>26.997800000000002</v>
      </c>
    </row>
    <row r="465" spans="1:53" x14ac:dyDescent="0.3">
      <c r="A465" s="17">
        <v>45063</v>
      </c>
      <c r="B465" s="8">
        <v>1980.7</v>
      </c>
      <c r="C465" s="7">
        <v>1983.6</v>
      </c>
      <c r="D465" s="7">
        <v>1980.7</v>
      </c>
      <c r="E465" s="7">
        <v>1983.6</v>
      </c>
      <c r="F465" s="18">
        <v>13</v>
      </c>
      <c r="G465" s="7">
        <v>2013.3286000000001</v>
      </c>
      <c r="H465" s="7">
        <v>2008.28</v>
      </c>
      <c r="I465" s="7">
        <v>1933.8122000000001</v>
      </c>
      <c r="J465" s="8">
        <v>-0.2414</v>
      </c>
      <c r="K465" s="7">
        <v>0.60219999999999996</v>
      </c>
      <c r="L465" s="7">
        <v>0.83919999999999995</v>
      </c>
      <c r="M465" s="8">
        <v>47.850099999999998</v>
      </c>
      <c r="N465" s="8">
        <v>7.1375999999999999</v>
      </c>
      <c r="O465" s="7">
        <v>13.0624</v>
      </c>
      <c r="P465" s="7">
        <v>2050.1017000000002</v>
      </c>
      <c r="Q465" s="7">
        <v>1964.4583</v>
      </c>
      <c r="R465" s="7" t="str">
        <f t="shared" si="106"/>
        <v>Up</v>
      </c>
      <c r="S465" s="7" t="str">
        <f t="shared" si="107"/>
        <v>Hold</v>
      </c>
      <c r="T465" s="8">
        <f t="shared" si="108"/>
        <v>0.14316940509914997</v>
      </c>
      <c r="U465" s="18">
        <f t="shared" si="109"/>
        <v>3159975</v>
      </c>
      <c r="V465" s="7">
        <f t="shared" si="110"/>
        <v>5586.2002000000002</v>
      </c>
      <c r="W465" s="7">
        <f t="shared" si="111"/>
        <v>1809.4</v>
      </c>
      <c r="X465" s="7">
        <f t="shared" si="112"/>
        <v>1983.6</v>
      </c>
      <c r="Y465" s="7">
        <f t="shared" si="113"/>
        <v>302</v>
      </c>
      <c r="Z465" s="7">
        <f t="shared" si="114"/>
        <v>1143814</v>
      </c>
      <c r="AA465" s="7" t="str">
        <f t="shared" si="115"/>
        <v>17-May-2023</v>
      </c>
      <c r="AB465" s="7">
        <f t="shared" si="116"/>
        <v>1983.6</v>
      </c>
      <c r="AC465" s="7">
        <f t="shared" si="120"/>
        <v>1</v>
      </c>
      <c r="AD465" s="7">
        <f t="shared" si="117"/>
        <v>2023</v>
      </c>
      <c r="AE465" s="19">
        <f t="shared" si="118"/>
        <v>-0.24</v>
      </c>
      <c r="BA465" s="10">
        <f t="shared" si="119"/>
        <v>26.997800000000002</v>
      </c>
    </row>
    <row r="466" spans="1:53" x14ac:dyDescent="0.3">
      <c r="A466" s="17">
        <v>45064</v>
      </c>
      <c r="B466" s="8">
        <v>1956.5</v>
      </c>
      <c r="C466" s="7">
        <v>1956.8</v>
      </c>
      <c r="D466" s="7">
        <v>1956.5</v>
      </c>
      <c r="E466" s="7">
        <v>1956.5</v>
      </c>
      <c r="F466" s="18">
        <v>23</v>
      </c>
      <c r="G466" s="7">
        <v>2003.3143</v>
      </c>
      <c r="H466" s="7">
        <v>2006.0933</v>
      </c>
      <c r="I466" s="7">
        <v>1934.8067000000001</v>
      </c>
      <c r="J466" s="8">
        <v>-1.3662000000000001</v>
      </c>
      <c r="K466" s="7">
        <v>0.68130000000000002</v>
      </c>
      <c r="L466" s="7">
        <v>0.79610000000000003</v>
      </c>
      <c r="M466" s="8">
        <v>41.8367</v>
      </c>
      <c r="N466" s="8">
        <v>2.4224999999999999</v>
      </c>
      <c r="O466" s="7">
        <v>10.9344</v>
      </c>
      <c r="P466" s="7">
        <v>2053.5817000000002</v>
      </c>
      <c r="Q466" s="7">
        <v>1956.8282999999999</v>
      </c>
      <c r="R466" s="7" t="str">
        <f t="shared" si="106"/>
        <v>Down</v>
      </c>
      <c r="S466" s="7" t="str">
        <f t="shared" si="107"/>
        <v>Hold</v>
      </c>
      <c r="T466" s="8">
        <f t="shared" si="108"/>
        <v>0.14371489361702111</v>
      </c>
      <c r="U466" s="18">
        <f t="shared" si="109"/>
        <v>3159962</v>
      </c>
      <c r="V466" s="7">
        <f t="shared" si="110"/>
        <v>5586.2002000000002</v>
      </c>
      <c r="W466" s="7">
        <f t="shared" si="111"/>
        <v>1809.4</v>
      </c>
      <c r="X466" s="7">
        <f t="shared" si="112"/>
        <v>1956.5</v>
      </c>
      <c r="Y466" s="7">
        <f t="shared" si="113"/>
        <v>301</v>
      </c>
      <c r="Z466" s="7">
        <f t="shared" si="114"/>
        <v>1143801</v>
      </c>
      <c r="AA466" s="7" t="str">
        <f t="shared" si="115"/>
        <v>18-May-2023</v>
      </c>
      <c r="AB466" s="7">
        <f t="shared" si="116"/>
        <v>1956.5</v>
      </c>
      <c r="AC466" s="7">
        <f t="shared" si="120"/>
        <v>1</v>
      </c>
      <c r="AD466" s="7">
        <f t="shared" si="117"/>
        <v>2023</v>
      </c>
      <c r="AE466" s="19">
        <f t="shared" si="118"/>
        <v>-1.37</v>
      </c>
      <c r="BA466" s="10">
        <f t="shared" si="119"/>
        <v>26.997800000000002</v>
      </c>
    </row>
    <row r="467" spans="1:53" x14ac:dyDescent="0.3">
      <c r="A467" s="17">
        <v>45065</v>
      </c>
      <c r="B467" s="8">
        <v>1978.7</v>
      </c>
      <c r="C467" s="7">
        <v>1978.7</v>
      </c>
      <c r="D467" s="7">
        <v>1960</v>
      </c>
      <c r="E467" s="7">
        <v>1960</v>
      </c>
      <c r="F467" s="18">
        <v>106</v>
      </c>
      <c r="G467" s="7">
        <v>1992.9857</v>
      </c>
      <c r="H467" s="7">
        <v>2004.02</v>
      </c>
      <c r="I467" s="7">
        <v>1935.72</v>
      </c>
      <c r="J467" s="8">
        <v>0.1789</v>
      </c>
      <c r="K467" s="7">
        <v>0.66259999999999997</v>
      </c>
      <c r="L467" s="7">
        <v>0.79749999999999999</v>
      </c>
      <c r="M467" s="8">
        <v>44.505200000000002</v>
      </c>
      <c r="N467" s="8">
        <v>-1.0201</v>
      </c>
      <c r="O467" s="7">
        <v>8.5434999999999999</v>
      </c>
      <c r="P467" s="7">
        <v>2055.7366000000002</v>
      </c>
      <c r="Q467" s="7">
        <v>1951.0534</v>
      </c>
      <c r="R467" s="7" t="str">
        <f t="shared" si="106"/>
        <v>Down</v>
      </c>
      <c r="S467" s="7" t="str">
        <f t="shared" si="107"/>
        <v>Hold</v>
      </c>
      <c r="T467" s="8">
        <f t="shared" si="108"/>
        <v>0.14585965909090895</v>
      </c>
      <c r="U467" s="18">
        <f t="shared" si="109"/>
        <v>3159939</v>
      </c>
      <c r="V467" s="7">
        <f t="shared" si="110"/>
        <v>5586.2002000000002</v>
      </c>
      <c r="W467" s="7">
        <f t="shared" si="111"/>
        <v>1809.4</v>
      </c>
      <c r="X467" s="7">
        <f t="shared" si="112"/>
        <v>1960</v>
      </c>
      <c r="Y467" s="7">
        <f t="shared" si="113"/>
        <v>301</v>
      </c>
      <c r="Z467" s="7">
        <f t="shared" si="114"/>
        <v>1143801</v>
      </c>
      <c r="AA467" s="7" t="str">
        <f t="shared" si="115"/>
        <v>19-May-2023</v>
      </c>
      <c r="AB467" s="7">
        <f t="shared" si="116"/>
        <v>1960</v>
      </c>
      <c r="AC467" s="7">
        <f t="shared" si="120"/>
        <v>1</v>
      </c>
      <c r="AD467" s="7">
        <f t="shared" si="117"/>
        <v>2023</v>
      </c>
      <c r="AE467" s="19">
        <f t="shared" si="118"/>
        <v>0.18</v>
      </c>
      <c r="BA467" s="10">
        <f t="shared" si="119"/>
        <v>26.997800000000002</v>
      </c>
    </row>
    <row r="468" spans="1:53" x14ac:dyDescent="0.3">
      <c r="A468" s="17">
        <v>45068</v>
      </c>
      <c r="B468" s="8">
        <v>1974.8</v>
      </c>
      <c r="C468" s="7">
        <v>1980.5</v>
      </c>
      <c r="D468" s="7">
        <v>1974.8</v>
      </c>
      <c r="E468" s="7">
        <v>1980.5</v>
      </c>
      <c r="F468" s="18">
        <v>8</v>
      </c>
      <c r="G468" s="7">
        <v>1985.3286000000001</v>
      </c>
      <c r="H468" s="7">
        <v>2003.37</v>
      </c>
      <c r="I468" s="7">
        <v>1936.9132999999999</v>
      </c>
      <c r="J468" s="8">
        <v>1.0459000000000001</v>
      </c>
      <c r="K468" s="7">
        <v>0.87309999999999999</v>
      </c>
      <c r="L468" s="7">
        <v>0.80120000000000002</v>
      </c>
      <c r="M468" s="8">
        <v>46.239400000000003</v>
      </c>
      <c r="N468" s="8">
        <v>-2.0703999999999998</v>
      </c>
      <c r="O468" s="7">
        <v>6.4207000000000001</v>
      </c>
      <c r="P468" s="7">
        <v>2055.7689</v>
      </c>
      <c r="Q468" s="7">
        <v>1950.9411</v>
      </c>
      <c r="R468" s="7" t="str">
        <f t="shared" si="106"/>
        <v>Up</v>
      </c>
      <c r="S468" s="7" t="str">
        <f t="shared" si="107"/>
        <v>Hold</v>
      </c>
      <c r="T468" s="8">
        <f t="shared" si="108"/>
        <v>0.14581266002844936</v>
      </c>
      <c r="U468" s="18">
        <f t="shared" si="109"/>
        <v>3159833</v>
      </c>
      <c r="V468" s="7">
        <f t="shared" si="110"/>
        <v>5586.2002000000002</v>
      </c>
      <c r="W468" s="7">
        <f t="shared" si="111"/>
        <v>1809.4</v>
      </c>
      <c r="X468" s="7">
        <f t="shared" si="112"/>
        <v>1980.5</v>
      </c>
      <c r="Y468" s="7">
        <f t="shared" si="113"/>
        <v>301</v>
      </c>
      <c r="Z468" s="7">
        <f t="shared" si="114"/>
        <v>1143801</v>
      </c>
      <c r="AA468" s="7" t="str">
        <f t="shared" si="115"/>
        <v>22-May-2023</v>
      </c>
      <c r="AB468" s="7">
        <f t="shared" si="116"/>
        <v>1980.5</v>
      </c>
      <c r="AC468" s="7">
        <f t="shared" si="120"/>
        <v>1</v>
      </c>
      <c r="AD468" s="7">
        <f t="shared" si="117"/>
        <v>2023</v>
      </c>
      <c r="AE468" s="19">
        <f t="shared" si="118"/>
        <v>1.05</v>
      </c>
      <c r="BA468" s="10">
        <f t="shared" si="119"/>
        <v>26.997800000000002</v>
      </c>
    </row>
    <row r="469" spans="1:53" x14ac:dyDescent="0.3">
      <c r="A469" s="17">
        <v>45069</v>
      </c>
      <c r="B469" s="8">
        <v>1972.4</v>
      </c>
      <c r="C469" s="7">
        <v>1972.4</v>
      </c>
      <c r="D469" s="7">
        <v>1972.4</v>
      </c>
      <c r="E469" s="7">
        <v>1972.4</v>
      </c>
      <c r="F469" s="18">
        <v>1</v>
      </c>
      <c r="G469" s="7">
        <v>1979.3143</v>
      </c>
      <c r="H469" s="7">
        <v>2002.7366999999999</v>
      </c>
      <c r="I469" s="7">
        <v>1937.9711</v>
      </c>
      <c r="J469" s="8">
        <v>-0.40899999999999997</v>
      </c>
      <c r="K469" s="7">
        <v>0.83540000000000003</v>
      </c>
      <c r="L469" s="7">
        <v>0.80079999999999996</v>
      </c>
      <c r="M469" s="8">
        <v>37.192</v>
      </c>
      <c r="N469" s="8">
        <v>-3.5156999999999998</v>
      </c>
      <c r="O469" s="7">
        <v>4.4333999999999998</v>
      </c>
      <c r="P469" s="7">
        <v>2056.3276999999998</v>
      </c>
      <c r="Q469" s="7">
        <v>1948.0523000000001</v>
      </c>
      <c r="R469" s="7" t="str">
        <f t="shared" si="106"/>
        <v>Down</v>
      </c>
      <c r="S469" s="7" t="str">
        <f t="shared" si="107"/>
        <v>Hold</v>
      </c>
      <c r="T469" s="8">
        <f t="shared" si="108"/>
        <v>0.14453048433048421</v>
      </c>
      <c r="U469" s="18">
        <f t="shared" si="109"/>
        <v>3159825</v>
      </c>
      <c r="V469" s="7">
        <f t="shared" si="110"/>
        <v>5586.2002000000002</v>
      </c>
      <c r="W469" s="7">
        <f t="shared" si="111"/>
        <v>1809.4</v>
      </c>
      <c r="X469" s="7">
        <f t="shared" si="112"/>
        <v>1972.4</v>
      </c>
      <c r="Y469" s="7">
        <f t="shared" si="113"/>
        <v>300</v>
      </c>
      <c r="Z469" s="7">
        <f t="shared" si="114"/>
        <v>1143793</v>
      </c>
      <c r="AA469" s="7" t="str">
        <f t="shared" si="115"/>
        <v>23-May-2023</v>
      </c>
      <c r="AB469" s="7">
        <f t="shared" si="116"/>
        <v>1972.4</v>
      </c>
      <c r="AC469" s="7">
        <f t="shared" si="120"/>
        <v>1</v>
      </c>
      <c r="AD469" s="7">
        <f t="shared" si="117"/>
        <v>2023</v>
      </c>
      <c r="AE469" s="19">
        <f t="shared" si="118"/>
        <v>-0.41</v>
      </c>
      <c r="BA469" s="10">
        <f t="shared" si="119"/>
        <v>26.997800000000002</v>
      </c>
    </row>
    <row r="470" spans="1:53" x14ac:dyDescent="0.3">
      <c r="A470" s="17">
        <v>45070</v>
      </c>
      <c r="B470" s="8">
        <v>1962.8</v>
      </c>
      <c r="C470" s="7">
        <v>1975.4</v>
      </c>
      <c r="D470" s="7">
        <v>1962.8</v>
      </c>
      <c r="E470" s="7">
        <v>1975.4</v>
      </c>
      <c r="F470" s="18">
        <v>189</v>
      </c>
      <c r="G470" s="7">
        <v>1973.8286000000001</v>
      </c>
      <c r="H470" s="7">
        <v>2001.7433000000001</v>
      </c>
      <c r="I470" s="7">
        <v>1938.82</v>
      </c>
      <c r="J470" s="8">
        <v>0.15210000000000001</v>
      </c>
      <c r="K470" s="7">
        <v>0.84809999999999997</v>
      </c>
      <c r="L470" s="7">
        <v>0.79</v>
      </c>
      <c r="M470" s="8">
        <v>26.738</v>
      </c>
      <c r="N470" s="8">
        <v>-4.3688000000000002</v>
      </c>
      <c r="O470" s="7">
        <v>2.673</v>
      </c>
      <c r="P470" s="7">
        <v>2056.5014999999999</v>
      </c>
      <c r="Q470" s="7">
        <v>1945.6385</v>
      </c>
      <c r="R470" s="7" t="str">
        <f t="shared" si="106"/>
        <v>Up</v>
      </c>
      <c r="S470" s="7" t="str">
        <f t="shared" si="107"/>
        <v>Buy</v>
      </c>
      <c r="T470" s="8">
        <f t="shared" si="108"/>
        <v>0.14532011412268173</v>
      </c>
      <c r="U470" s="18">
        <f t="shared" si="109"/>
        <v>3159824</v>
      </c>
      <c r="V470" s="7">
        <f t="shared" si="110"/>
        <v>5586.2002000000002</v>
      </c>
      <c r="W470" s="7">
        <f t="shared" si="111"/>
        <v>1809.4</v>
      </c>
      <c r="X470" s="7">
        <f t="shared" si="112"/>
        <v>1975.4</v>
      </c>
      <c r="Y470" s="7">
        <f t="shared" si="113"/>
        <v>300</v>
      </c>
      <c r="Z470" s="7">
        <f t="shared" si="114"/>
        <v>1143793</v>
      </c>
      <c r="AA470" s="7" t="str">
        <f t="shared" si="115"/>
        <v>24-May-2023</v>
      </c>
      <c r="AB470" s="7">
        <f t="shared" si="116"/>
        <v>1975.4</v>
      </c>
      <c r="AC470" s="7">
        <f t="shared" si="120"/>
        <v>1</v>
      </c>
      <c r="AD470" s="7">
        <f t="shared" si="117"/>
        <v>2023</v>
      </c>
      <c r="AE470" s="19">
        <f t="shared" si="118"/>
        <v>0.15</v>
      </c>
      <c r="BA470" s="10">
        <f t="shared" si="119"/>
        <v>26.997800000000002</v>
      </c>
    </row>
    <row r="471" spans="1:53" x14ac:dyDescent="0.3">
      <c r="A471" s="17">
        <v>45071</v>
      </c>
      <c r="B471" s="8">
        <v>1943.1</v>
      </c>
      <c r="C471" s="7">
        <v>1943.1</v>
      </c>
      <c r="D471" s="7">
        <v>1943.1</v>
      </c>
      <c r="E471" s="7">
        <v>1943.1</v>
      </c>
      <c r="F471" s="18">
        <v>1</v>
      </c>
      <c r="G471" s="7">
        <v>1967.3570999999999</v>
      </c>
      <c r="H471" s="7">
        <v>1999.3267000000001</v>
      </c>
      <c r="I471" s="7">
        <v>1939.0755999999999</v>
      </c>
      <c r="J471" s="8">
        <v>-1.6351</v>
      </c>
      <c r="K471" s="7">
        <v>0.92879999999999996</v>
      </c>
      <c r="L471" s="7">
        <v>0.83350000000000002</v>
      </c>
      <c r="M471" s="8">
        <v>21.385000000000002</v>
      </c>
      <c r="N471" s="8">
        <v>-7.5640000000000001</v>
      </c>
      <c r="O471" s="7">
        <v>0.62560000000000004</v>
      </c>
      <c r="P471" s="7">
        <v>2059.7957000000001</v>
      </c>
      <c r="Q471" s="7">
        <v>1937.5943</v>
      </c>
      <c r="R471" s="7" t="str">
        <f t="shared" si="106"/>
        <v>Down</v>
      </c>
      <c r="S471" s="7" t="str">
        <f t="shared" si="107"/>
        <v>Buy</v>
      </c>
      <c r="T471" s="8">
        <f t="shared" si="108"/>
        <v>0.1453104285714284</v>
      </c>
      <c r="U471" s="18">
        <f t="shared" si="109"/>
        <v>3159635</v>
      </c>
      <c r="V471" s="7">
        <f t="shared" si="110"/>
        <v>5586.2002000000002</v>
      </c>
      <c r="W471" s="7">
        <f t="shared" si="111"/>
        <v>1809.4</v>
      </c>
      <c r="X471" s="7">
        <f t="shared" si="112"/>
        <v>1943.1</v>
      </c>
      <c r="Y471" s="7">
        <f t="shared" si="113"/>
        <v>299</v>
      </c>
      <c r="Z471" s="7">
        <f t="shared" si="114"/>
        <v>1143604</v>
      </c>
      <c r="AA471" s="7" t="str">
        <f t="shared" si="115"/>
        <v>25-May-2023</v>
      </c>
      <c r="AB471" s="7">
        <f t="shared" si="116"/>
        <v>1943.1</v>
      </c>
      <c r="AC471" s="7">
        <f t="shared" si="120"/>
        <v>1</v>
      </c>
      <c r="AD471" s="7">
        <f t="shared" si="117"/>
        <v>2023</v>
      </c>
      <c r="AE471" s="19">
        <f t="shared" si="118"/>
        <v>-1.64</v>
      </c>
      <c r="BA471" s="10">
        <f t="shared" si="119"/>
        <v>26.997800000000002</v>
      </c>
    </row>
    <row r="472" spans="1:53" x14ac:dyDescent="0.3">
      <c r="A472" s="17">
        <v>45072</v>
      </c>
      <c r="B472" s="8">
        <v>1944.1</v>
      </c>
      <c r="C472" s="7">
        <v>1948.4</v>
      </c>
      <c r="D472" s="7">
        <v>1944.1</v>
      </c>
      <c r="E472" s="7">
        <v>1948.2</v>
      </c>
      <c r="F472" s="18">
        <v>166036</v>
      </c>
      <c r="G472" s="7">
        <v>1962.3</v>
      </c>
      <c r="H472" s="7">
        <v>1996.2333000000001</v>
      </c>
      <c r="I472" s="7">
        <v>1939.4878000000001</v>
      </c>
      <c r="J472" s="8">
        <v>0.26250000000000001</v>
      </c>
      <c r="K472" s="7">
        <v>0.95550000000000002</v>
      </c>
      <c r="L472" s="7">
        <v>0.79569999999999996</v>
      </c>
      <c r="M472" s="8">
        <v>27.025300000000001</v>
      </c>
      <c r="N472" s="8">
        <v>-9.5742999999999991</v>
      </c>
      <c r="O472" s="7">
        <v>-1.4144000000000001</v>
      </c>
      <c r="P472" s="7">
        <v>2061.7602999999999</v>
      </c>
      <c r="Q472" s="7">
        <v>1931.7597000000001</v>
      </c>
      <c r="R472" s="7" t="str">
        <f t="shared" si="106"/>
        <v>Up</v>
      </c>
      <c r="S472" s="7" t="str">
        <f t="shared" si="107"/>
        <v>Buy</v>
      </c>
      <c r="T472" s="8">
        <f t="shared" si="108"/>
        <v>0.14785751072961359</v>
      </c>
      <c r="U472" s="18">
        <f t="shared" si="109"/>
        <v>3159634</v>
      </c>
      <c r="V472" s="7">
        <f t="shared" si="110"/>
        <v>5586.2002000000002</v>
      </c>
      <c r="W472" s="7">
        <f t="shared" si="111"/>
        <v>1809.4</v>
      </c>
      <c r="X472" s="7">
        <f t="shared" si="112"/>
        <v>1948.2</v>
      </c>
      <c r="Y472" s="7">
        <f t="shared" si="113"/>
        <v>299</v>
      </c>
      <c r="Z472" s="7">
        <f t="shared" si="114"/>
        <v>1143604</v>
      </c>
      <c r="AA472" s="7" t="str">
        <f t="shared" si="115"/>
        <v>26-May-2023</v>
      </c>
      <c r="AB472" s="7">
        <f t="shared" si="116"/>
        <v>1948.2</v>
      </c>
      <c r="AC472" s="7">
        <f t="shared" si="120"/>
        <v>1</v>
      </c>
      <c r="AD472" s="7">
        <f t="shared" si="117"/>
        <v>2023</v>
      </c>
      <c r="AE472" s="19">
        <f t="shared" si="118"/>
        <v>0.26</v>
      </c>
      <c r="BA472" s="10">
        <f t="shared" si="119"/>
        <v>26.997800000000002</v>
      </c>
    </row>
    <row r="473" spans="1:53" x14ac:dyDescent="0.3">
      <c r="A473" s="17">
        <v>45076</v>
      </c>
      <c r="B473" s="8">
        <v>1958</v>
      </c>
      <c r="C473" s="7">
        <v>1962.6</v>
      </c>
      <c r="D473" s="7">
        <v>1931</v>
      </c>
      <c r="E473" s="7">
        <v>1942.7</v>
      </c>
      <c r="F473" s="18">
        <v>37838</v>
      </c>
      <c r="G473" s="7">
        <v>1960.3286000000001</v>
      </c>
      <c r="H473" s="7">
        <v>1994.2333000000001</v>
      </c>
      <c r="I473" s="7">
        <v>1939.7166999999999</v>
      </c>
      <c r="J473" s="8">
        <v>-0.2823</v>
      </c>
      <c r="K473" s="7">
        <v>0.82369999999999999</v>
      </c>
      <c r="L473" s="7">
        <v>0.7268</v>
      </c>
      <c r="M473" s="8">
        <v>24.279599999999999</v>
      </c>
      <c r="N473" s="8">
        <v>-11.478999999999999</v>
      </c>
      <c r="O473" s="7">
        <v>-3.4272999999999998</v>
      </c>
      <c r="P473" s="7">
        <v>2063.9344999999998</v>
      </c>
      <c r="Q473" s="7">
        <v>1925.8454999999999</v>
      </c>
      <c r="R473" s="7" t="str">
        <f t="shared" si="106"/>
        <v>Down</v>
      </c>
      <c r="S473" s="7" t="str">
        <f t="shared" si="107"/>
        <v>Buy</v>
      </c>
      <c r="T473" s="8">
        <f t="shared" si="108"/>
        <v>0.14769326647564457</v>
      </c>
      <c r="U473" s="18">
        <f t="shared" si="109"/>
        <v>2993598</v>
      </c>
      <c r="V473" s="7">
        <f t="shared" si="110"/>
        <v>5586.2002000000002</v>
      </c>
      <c r="W473" s="7">
        <f t="shared" si="111"/>
        <v>1809.4</v>
      </c>
      <c r="X473" s="7">
        <f t="shared" si="112"/>
        <v>1942.7</v>
      </c>
      <c r="Y473" s="7">
        <f t="shared" si="113"/>
        <v>298</v>
      </c>
      <c r="Z473" s="7">
        <f t="shared" si="114"/>
        <v>977568</v>
      </c>
      <c r="AA473" s="7" t="str">
        <f t="shared" si="115"/>
        <v>30-May-2023</v>
      </c>
      <c r="AB473" s="7">
        <f t="shared" si="116"/>
        <v>1942.7</v>
      </c>
      <c r="AC473" s="7">
        <f t="shared" si="120"/>
        <v>1</v>
      </c>
      <c r="AD473" s="7">
        <f t="shared" si="117"/>
        <v>2023</v>
      </c>
      <c r="AE473" s="19">
        <f t="shared" si="118"/>
        <v>-0.28000000000000003</v>
      </c>
      <c r="BA473" s="10">
        <f t="shared" si="119"/>
        <v>26.997800000000002</v>
      </c>
    </row>
    <row r="474" spans="1:53" x14ac:dyDescent="0.3">
      <c r="A474" s="17">
        <v>45077</v>
      </c>
      <c r="B474" s="8">
        <v>1963.9</v>
      </c>
      <c r="C474" s="7">
        <v>1973</v>
      </c>
      <c r="D474" s="7">
        <v>1953</v>
      </c>
      <c r="E474" s="7">
        <v>1958.2</v>
      </c>
      <c r="F474" s="18">
        <v>5959</v>
      </c>
      <c r="G474" s="7">
        <v>1960.0714</v>
      </c>
      <c r="H474" s="7">
        <v>1992.9432999999999</v>
      </c>
      <c r="I474" s="7">
        <v>1940.1178</v>
      </c>
      <c r="J474" s="8">
        <v>0.79790000000000005</v>
      </c>
      <c r="K474" s="7">
        <v>0.88900000000000001</v>
      </c>
      <c r="L474" s="7">
        <v>0.74380000000000002</v>
      </c>
      <c r="M474" s="8">
        <v>28.571400000000001</v>
      </c>
      <c r="N474" s="8">
        <v>-11.603999999999999</v>
      </c>
      <c r="O474" s="7">
        <v>-5.0625999999999998</v>
      </c>
      <c r="P474" s="7">
        <v>2064.0333999999998</v>
      </c>
      <c r="Q474" s="7">
        <v>1922.0966000000001</v>
      </c>
      <c r="R474" s="7" t="str">
        <f t="shared" si="106"/>
        <v>Down</v>
      </c>
      <c r="S474" s="7" t="str">
        <f t="shared" si="107"/>
        <v>Buy</v>
      </c>
      <c r="T474" s="8">
        <f t="shared" si="108"/>
        <v>0.1483101865136297</v>
      </c>
      <c r="U474" s="18">
        <f t="shared" si="109"/>
        <v>2955760</v>
      </c>
      <c r="V474" s="7">
        <f t="shared" si="110"/>
        <v>5586.2002000000002</v>
      </c>
      <c r="W474" s="7">
        <f t="shared" si="111"/>
        <v>1809.4</v>
      </c>
      <c r="X474" s="7">
        <f t="shared" si="112"/>
        <v>1958.2</v>
      </c>
      <c r="Y474" s="7">
        <f t="shared" si="113"/>
        <v>298</v>
      </c>
      <c r="Z474" s="7">
        <f t="shared" si="114"/>
        <v>977568</v>
      </c>
      <c r="AA474" s="7" t="str">
        <f t="shared" si="115"/>
        <v>31-May-2023</v>
      </c>
      <c r="AB474" s="7">
        <f t="shared" si="116"/>
        <v>1958.2</v>
      </c>
      <c r="AC474" s="7">
        <f t="shared" si="120"/>
        <v>1</v>
      </c>
      <c r="AD474" s="7">
        <f t="shared" si="117"/>
        <v>2023</v>
      </c>
      <c r="AE474" s="19">
        <f t="shared" si="118"/>
        <v>0.8</v>
      </c>
      <c r="BA474" s="10">
        <f t="shared" si="119"/>
        <v>26.997800000000002</v>
      </c>
    </row>
    <row r="475" spans="1:53" x14ac:dyDescent="0.3">
      <c r="A475" s="17">
        <v>45078</v>
      </c>
      <c r="B475" s="8">
        <v>1978</v>
      </c>
      <c r="C475" s="7">
        <v>1983</v>
      </c>
      <c r="D475" s="7">
        <v>1954.3</v>
      </c>
      <c r="E475" s="7">
        <v>1963.2</v>
      </c>
      <c r="F475" s="18">
        <v>750</v>
      </c>
      <c r="G475" s="7">
        <v>1957.6</v>
      </c>
      <c r="H475" s="7">
        <v>1991.5266999999999</v>
      </c>
      <c r="I475" s="7">
        <v>1940.5255999999999</v>
      </c>
      <c r="J475" s="8">
        <v>0.25530000000000003</v>
      </c>
      <c r="K475" s="7">
        <v>0.77559999999999996</v>
      </c>
      <c r="L475" s="7">
        <v>0.74029999999999996</v>
      </c>
      <c r="M475" s="8">
        <v>29.869399999999999</v>
      </c>
      <c r="N475" s="8">
        <v>-11.1708</v>
      </c>
      <c r="O475" s="7">
        <v>-6.2843</v>
      </c>
      <c r="P475" s="7">
        <v>2061.5886</v>
      </c>
      <c r="Q475" s="7">
        <v>1919.1514</v>
      </c>
      <c r="R475" s="7" t="str">
        <f t="shared" si="106"/>
        <v>Down</v>
      </c>
      <c r="S475" s="7" t="str">
        <f t="shared" si="107"/>
        <v>Buy</v>
      </c>
      <c r="T475" s="8">
        <f t="shared" si="108"/>
        <v>0.14737686781609183</v>
      </c>
      <c r="U475" s="18">
        <f t="shared" si="109"/>
        <v>2949801</v>
      </c>
      <c r="V475" s="7">
        <f t="shared" si="110"/>
        <v>5586.2002000000002</v>
      </c>
      <c r="W475" s="7">
        <f t="shared" si="111"/>
        <v>1809.4</v>
      </c>
      <c r="X475" s="7">
        <f t="shared" si="112"/>
        <v>1963.2</v>
      </c>
      <c r="Y475" s="7">
        <f t="shared" si="113"/>
        <v>298</v>
      </c>
      <c r="Z475" s="7">
        <f t="shared" si="114"/>
        <v>977568</v>
      </c>
      <c r="AA475" s="7" t="str">
        <f t="shared" si="115"/>
        <v>01-Jun-2023</v>
      </c>
      <c r="AB475" s="7">
        <f t="shared" si="116"/>
        <v>1963.2</v>
      </c>
      <c r="AC475" s="7">
        <f t="shared" si="120"/>
        <v>1</v>
      </c>
      <c r="AD475" s="7">
        <f t="shared" si="117"/>
        <v>2023</v>
      </c>
      <c r="AE475" s="19">
        <f t="shared" si="118"/>
        <v>0.26</v>
      </c>
      <c r="BA475" s="10">
        <f t="shared" si="119"/>
        <v>26.997800000000002</v>
      </c>
    </row>
    <row r="476" spans="1:53" x14ac:dyDescent="0.3">
      <c r="A476" s="17">
        <v>45079</v>
      </c>
      <c r="B476" s="8">
        <v>1952.4</v>
      </c>
      <c r="C476" s="7">
        <v>1982.5</v>
      </c>
      <c r="D476" s="7">
        <v>1947.4</v>
      </c>
      <c r="E476" s="7">
        <v>1977.1</v>
      </c>
      <c r="F476" s="18">
        <v>356</v>
      </c>
      <c r="G476" s="7">
        <v>1958.2714000000001</v>
      </c>
      <c r="H476" s="7">
        <v>1990.83</v>
      </c>
      <c r="I476" s="7">
        <v>1941.0289</v>
      </c>
      <c r="J476" s="8">
        <v>0.70799999999999996</v>
      </c>
      <c r="K476" s="7">
        <v>0.82050000000000001</v>
      </c>
      <c r="L476" s="7">
        <v>0.751</v>
      </c>
      <c r="M476" s="8">
        <v>39.025799999999997</v>
      </c>
      <c r="N476" s="8">
        <v>-9.5952999999999999</v>
      </c>
      <c r="O476" s="7">
        <v>-6.9465000000000003</v>
      </c>
      <c r="P476" s="7">
        <v>2053.5506999999998</v>
      </c>
      <c r="Q476" s="7">
        <v>1920.3993</v>
      </c>
      <c r="R476" s="7" t="str">
        <f t="shared" si="106"/>
        <v>Up</v>
      </c>
      <c r="S476" s="7" t="str">
        <f t="shared" si="107"/>
        <v>Hold</v>
      </c>
      <c r="T476" s="8">
        <f t="shared" si="108"/>
        <v>0.14722158273381278</v>
      </c>
      <c r="U476" s="18">
        <f t="shared" si="109"/>
        <v>2949051</v>
      </c>
      <c r="V476" s="7">
        <f t="shared" si="110"/>
        <v>5586.2002000000002</v>
      </c>
      <c r="W476" s="7">
        <f t="shared" si="111"/>
        <v>1809.4</v>
      </c>
      <c r="X476" s="7">
        <f t="shared" si="112"/>
        <v>1977.1</v>
      </c>
      <c r="Y476" s="7">
        <f t="shared" si="113"/>
        <v>298</v>
      </c>
      <c r="Z476" s="7">
        <f t="shared" si="114"/>
        <v>977568</v>
      </c>
      <c r="AA476" s="7" t="str">
        <f t="shared" si="115"/>
        <v>02-Jun-2023</v>
      </c>
      <c r="AB476" s="7">
        <f t="shared" si="116"/>
        <v>1977.1</v>
      </c>
      <c r="AC476" s="7">
        <f t="shared" si="120"/>
        <v>1</v>
      </c>
      <c r="AD476" s="7">
        <f t="shared" si="117"/>
        <v>2023</v>
      </c>
      <c r="AE476" s="19">
        <f t="shared" si="118"/>
        <v>0.71</v>
      </c>
      <c r="BA476" s="10">
        <f t="shared" si="119"/>
        <v>26.997800000000002</v>
      </c>
    </row>
    <row r="477" spans="1:53" x14ac:dyDescent="0.3">
      <c r="A477" s="17">
        <v>45082</v>
      </c>
      <c r="B477" s="8">
        <v>1958</v>
      </c>
      <c r="C477" s="7">
        <v>1961.9</v>
      </c>
      <c r="D477" s="7">
        <v>1937.8</v>
      </c>
      <c r="E477" s="7">
        <v>1947.5</v>
      </c>
      <c r="F477" s="18">
        <v>713</v>
      </c>
      <c r="G477" s="7">
        <v>1954.2856999999999</v>
      </c>
      <c r="H477" s="7">
        <v>1989.2067</v>
      </c>
      <c r="I477" s="7">
        <v>1941.0989</v>
      </c>
      <c r="J477" s="8">
        <v>-1.4971000000000001</v>
      </c>
      <c r="K477" s="7">
        <v>0.99919999999999998</v>
      </c>
      <c r="L477" s="7">
        <v>0.79730000000000001</v>
      </c>
      <c r="M477" s="8">
        <v>33.366799999999998</v>
      </c>
      <c r="N477" s="8">
        <v>-10.6128</v>
      </c>
      <c r="O477" s="7">
        <v>-7.6797000000000004</v>
      </c>
      <c r="P477" s="7">
        <v>2044.5917999999999</v>
      </c>
      <c r="Q477" s="7">
        <v>1919.4682</v>
      </c>
      <c r="R477" s="7" t="str">
        <f t="shared" si="106"/>
        <v>Down</v>
      </c>
      <c r="S477" s="7" t="str">
        <f t="shared" si="107"/>
        <v>Hold</v>
      </c>
      <c r="T477" s="8">
        <f t="shared" si="108"/>
        <v>0.14641354466858775</v>
      </c>
      <c r="U477" s="18">
        <f t="shared" si="109"/>
        <v>2948695</v>
      </c>
      <c r="V477" s="7">
        <f t="shared" si="110"/>
        <v>5586.2002000000002</v>
      </c>
      <c r="W477" s="7">
        <f t="shared" si="111"/>
        <v>1809.4</v>
      </c>
      <c r="X477" s="7">
        <f t="shared" si="112"/>
        <v>1947.5</v>
      </c>
      <c r="Y477" s="7">
        <f t="shared" si="113"/>
        <v>297</v>
      </c>
      <c r="Z477" s="7">
        <f t="shared" si="114"/>
        <v>977212</v>
      </c>
      <c r="AA477" s="7" t="str">
        <f t="shared" si="115"/>
        <v>05-Jun-2023</v>
      </c>
      <c r="AB477" s="7">
        <f t="shared" si="116"/>
        <v>1947.5</v>
      </c>
      <c r="AC477" s="7">
        <f t="shared" si="120"/>
        <v>1</v>
      </c>
      <c r="AD477" s="7">
        <f t="shared" si="117"/>
        <v>2023</v>
      </c>
      <c r="AE477" s="19">
        <f t="shared" si="118"/>
        <v>-1.5</v>
      </c>
      <c r="BA477" s="10">
        <f t="shared" si="119"/>
        <v>26.997800000000002</v>
      </c>
    </row>
    <row r="478" spans="1:53" x14ac:dyDescent="0.3">
      <c r="A478" s="17">
        <v>45083</v>
      </c>
      <c r="B478" s="8">
        <v>1965.5</v>
      </c>
      <c r="C478" s="7">
        <v>1965.5</v>
      </c>
      <c r="D478" s="7">
        <v>1958.8</v>
      </c>
      <c r="E478" s="7">
        <v>1960.8</v>
      </c>
      <c r="F478" s="18">
        <v>164</v>
      </c>
      <c r="G478" s="7">
        <v>1956.8143</v>
      </c>
      <c r="H478" s="7">
        <v>1988.5233000000001</v>
      </c>
      <c r="I478" s="7">
        <v>1941.3678</v>
      </c>
      <c r="J478" s="8">
        <v>0.68289999999999995</v>
      </c>
      <c r="K478" s="7">
        <v>0.81</v>
      </c>
      <c r="L478" s="7">
        <v>0.79869999999999997</v>
      </c>
      <c r="M478" s="8">
        <v>42.6282</v>
      </c>
      <c r="N478" s="8">
        <v>-10.2281</v>
      </c>
      <c r="O478" s="7">
        <v>-8.1893999999999991</v>
      </c>
      <c r="P478" s="7">
        <v>2039.1446000000001</v>
      </c>
      <c r="Q478" s="7">
        <v>1918.7454</v>
      </c>
      <c r="R478" s="7" t="str">
        <f t="shared" si="106"/>
        <v>Down</v>
      </c>
      <c r="S478" s="7" t="str">
        <f t="shared" si="107"/>
        <v>Hold</v>
      </c>
      <c r="T478" s="8">
        <f t="shared" si="108"/>
        <v>0.14878513708513696</v>
      </c>
      <c r="U478" s="18">
        <f t="shared" si="109"/>
        <v>2947982</v>
      </c>
      <c r="V478" s="7">
        <f t="shared" si="110"/>
        <v>5586.2002000000002</v>
      </c>
      <c r="W478" s="7">
        <f t="shared" si="111"/>
        <v>1809.4</v>
      </c>
      <c r="X478" s="7">
        <f t="shared" si="112"/>
        <v>1960.8</v>
      </c>
      <c r="Y478" s="7">
        <f t="shared" si="113"/>
        <v>297</v>
      </c>
      <c r="Z478" s="7">
        <f t="shared" si="114"/>
        <v>977212</v>
      </c>
      <c r="AA478" s="7" t="str">
        <f t="shared" si="115"/>
        <v>06-Jun-2023</v>
      </c>
      <c r="AB478" s="7">
        <f t="shared" si="116"/>
        <v>1960.8</v>
      </c>
      <c r="AC478" s="7">
        <f t="shared" si="120"/>
        <v>1</v>
      </c>
      <c r="AD478" s="7">
        <f t="shared" si="117"/>
        <v>2023</v>
      </c>
      <c r="AE478" s="19">
        <f t="shared" si="118"/>
        <v>0.68</v>
      </c>
      <c r="BA478" s="10">
        <f t="shared" si="119"/>
        <v>26.997800000000002</v>
      </c>
    </row>
    <row r="479" spans="1:53" x14ac:dyDescent="0.3">
      <c r="A479" s="17">
        <v>45084</v>
      </c>
      <c r="B479" s="8">
        <v>1942.7</v>
      </c>
      <c r="C479" s="7">
        <v>1968.4</v>
      </c>
      <c r="D479" s="7">
        <v>1940.7</v>
      </c>
      <c r="E479" s="7">
        <v>1959</v>
      </c>
      <c r="F479" s="18">
        <v>139</v>
      </c>
      <c r="G479" s="7">
        <v>1958.3570999999999</v>
      </c>
      <c r="H479" s="7">
        <v>1987.3</v>
      </c>
      <c r="I479" s="7">
        <v>1941.7056</v>
      </c>
      <c r="J479" s="8">
        <v>-9.1800000000000007E-2</v>
      </c>
      <c r="K479" s="7">
        <v>0.81159999999999999</v>
      </c>
      <c r="L479" s="7">
        <v>0.78580000000000005</v>
      </c>
      <c r="M479" s="8">
        <v>43.322499999999998</v>
      </c>
      <c r="N479" s="8">
        <v>-9.9536999999999995</v>
      </c>
      <c r="O479" s="7">
        <v>-8.5422999999999991</v>
      </c>
      <c r="P479" s="7">
        <v>2031.9701</v>
      </c>
      <c r="Q479" s="7">
        <v>1919.1599000000001</v>
      </c>
      <c r="R479" s="7" t="str">
        <f t="shared" si="106"/>
        <v>Up</v>
      </c>
      <c r="S479" s="7" t="str">
        <f t="shared" si="107"/>
        <v>Hold</v>
      </c>
      <c r="T479" s="8">
        <f t="shared" si="108"/>
        <v>0.14801329479768771</v>
      </c>
      <c r="U479" s="18">
        <f t="shared" si="109"/>
        <v>2947818</v>
      </c>
      <c r="V479" s="7">
        <f t="shared" si="110"/>
        <v>5586.2002000000002</v>
      </c>
      <c r="W479" s="7">
        <f t="shared" si="111"/>
        <v>1809.4</v>
      </c>
      <c r="X479" s="7">
        <f t="shared" si="112"/>
        <v>1959</v>
      </c>
      <c r="Y479" s="7">
        <f t="shared" si="113"/>
        <v>297</v>
      </c>
      <c r="Z479" s="7">
        <f t="shared" si="114"/>
        <v>977212</v>
      </c>
      <c r="AA479" s="7" t="str">
        <f t="shared" si="115"/>
        <v>07-Jun-2023</v>
      </c>
      <c r="AB479" s="7">
        <f t="shared" si="116"/>
        <v>1959</v>
      </c>
      <c r="AC479" s="7">
        <f t="shared" si="120"/>
        <v>1</v>
      </c>
      <c r="AD479" s="7">
        <f t="shared" si="117"/>
        <v>2023</v>
      </c>
      <c r="AE479" s="19">
        <f t="shared" si="118"/>
        <v>-0.09</v>
      </c>
      <c r="BA479" s="10">
        <f t="shared" si="119"/>
        <v>26.997800000000002</v>
      </c>
    </row>
    <row r="480" spans="1:53" x14ac:dyDescent="0.3">
      <c r="A480" s="17">
        <v>45085</v>
      </c>
      <c r="B480" s="8">
        <v>1963.6</v>
      </c>
      <c r="C480" s="7">
        <v>1969</v>
      </c>
      <c r="D480" s="7">
        <v>1943.1</v>
      </c>
      <c r="E480" s="7">
        <v>1943.2</v>
      </c>
      <c r="F480" s="18">
        <v>433</v>
      </c>
      <c r="G480" s="7">
        <v>1958.4286</v>
      </c>
      <c r="H480" s="7">
        <v>1985.48</v>
      </c>
      <c r="I480" s="7">
        <v>1941.8711000000001</v>
      </c>
      <c r="J480" s="8">
        <v>-0.80649999999999999</v>
      </c>
      <c r="K480" s="7">
        <v>0.87270000000000003</v>
      </c>
      <c r="L480" s="7">
        <v>0.79679999999999995</v>
      </c>
      <c r="M480" s="8">
        <v>46.153799999999997</v>
      </c>
      <c r="N480" s="8">
        <v>-10.8857</v>
      </c>
      <c r="O480" s="7">
        <v>-9.0109999999999992</v>
      </c>
      <c r="P480" s="7">
        <v>2022.4991</v>
      </c>
      <c r="Q480" s="7">
        <v>1919.7209</v>
      </c>
      <c r="R480" s="7" t="str">
        <f t="shared" si="106"/>
        <v>Down</v>
      </c>
      <c r="S480" s="7" t="str">
        <f t="shared" si="107"/>
        <v>Hold</v>
      </c>
      <c r="T480" s="8">
        <f t="shared" si="108"/>
        <v>0.14836034732272052</v>
      </c>
      <c r="U480" s="18">
        <f t="shared" si="109"/>
        <v>2947679</v>
      </c>
      <c r="V480" s="7">
        <f t="shared" si="110"/>
        <v>5586.2002000000002</v>
      </c>
      <c r="W480" s="7">
        <f t="shared" si="111"/>
        <v>1809.4</v>
      </c>
      <c r="X480" s="7">
        <f t="shared" si="112"/>
        <v>1943.2</v>
      </c>
      <c r="Y480" s="7">
        <f t="shared" si="113"/>
        <v>296</v>
      </c>
      <c r="Z480" s="7">
        <f t="shared" si="114"/>
        <v>977073</v>
      </c>
      <c r="AA480" s="7" t="str">
        <f t="shared" si="115"/>
        <v>08-Jun-2023</v>
      </c>
      <c r="AB480" s="7">
        <f t="shared" si="116"/>
        <v>1943.2</v>
      </c>
      <c r="AC480" s="7">
        <f t="shared" si="120"/>
        <v>1</v>
      </c>
      <c r="AD480" s="7">
        <f t="shared" si="117"/>
        <v>2023</v>
      </c>
      <c r="AE480" s="19">
        <f t="shared" si="118"/>
        <v>-0.81</v>
      </c>
      <c r="BA480" s="10">
        <f t="shared" si="119"/>
        <v>26.997800000000002</v>
      </c>
    </row>
    <row r="481" spans="1:53" x14ac:dyDescent="0.3">
      <c r="A481" s="17">
        <v>45086</v>
      </c>
      <c r="B481" s="8">
        <v>1962.2</v>
      </c>
      <c r="C481" s="7">
        <v>1969.8</v>
      </c>
      <c r="D481" s="7">
        <v>1960.3</v>
      </c>
      <c r="E481" s="7">
        <v>1965.1</v>
      </c>
      <c r="F481" s="18">
        <v>49</v>
      </c>
      <c r="G481" s="7">
        <v>1959.4142999999999</v>
      </c>
      <c r="H481" s="7">
        <v>1984.63</v>
      </c>
      <c r="I481" s="7">
        <v>1942.3389</v>
      </c>
      <c r="J481" s="8">
        <v>1.127</v>
      </c>
      <c r="K481" s="7">
        <v>0.9294</v>
      </c>
      <c r="L481" s="7">
        <v>0.82509999999999994</v>
      </c>
      <c r="M481" s="8">
        <v>51.332999999999998</v>
      </c>
      <c r="N481" s="8">
        <v>-9.7447999999999997</v>
      </c>
      <c r="O481" s="7">
        <v>-9.1577000000000002</v>
      </c>
      <c r="P481" s="7">
        <v>2009.6482000000001</v>
      </c>
      <c r="Q481" s="7">
        <v>1925.6718000000001</v>
      </c>
      <c r="R481" s="7" t="str">
        <f t="shared" si="106"/>
        <v>Up</v>
      </c>
      <c r="S481" s="7" t="str">
        <f t="shared" si="107"/>
        <v>Hold</v>
      </c>
      <c r="T481" s="8">
        <f t="shared" si="108"/>
        <v>0.14974420289855059</v>
      </c>
      <c r="U481" s="18">
        <f t="shared" si="109"/>
        <v>2947246</v>
      </c>
      <c r="V481" s="7">
        <f t="shared" si="110"/>
        <v>5586.2002000000002</v>
      </c>
      <c r="W481" s="7">
        <f t="shared" si="111"/>
        <v>1809.4</v>
      </c>
      <c r="X481" s="7">
        <f t="shared" si="112"/>
        <v>1965.1</v>
      </c>
      <c r="Y481" s="7">
        <f t="shared" si="113"/>
        <v>296</v>
      </c>
      <c r="Z481" s="7">
        <f t="shared" si="114"/>
        <v>977073</v>
      </c>
      <c r="AA481" s="7" t="str">
        <f t="shared" si="115"/>
        <v>09-Jun-2023</v>
      </c>
      <c r="AB481" s="7">
        <f t="shared" si="116"/>
        <v>1965.1</v>
      </c>
      <c r="AC481" s="7">
        <f t="shared" si="120"/>
        <v>1</v>
      </c>
      <c r="AD481" s="7">
        <f t="shared" si="117"/>
        <v>2023</v>
      </c>
      <c r="AE481" s="19">
        <f t="shared" si="118"/>
        <v>1.1299999999999999</v>
      </c>
      <c r="BA481" s="10">
        <f t="shared" si="119"/>
        <v>26.997800000000002</v>
      </c>
    </row>
    <row r="482" spans="1:53" x14ac:dyDescent="0.3">
      <c r="A482" s="17">
        <v>45089</v>
      </c>
      <c r="B482" s="8">
        <v>1955.3</v>
      </c>
      <c r="C482" s="7">
        <v>1963.5</v>
      </c>
      <c r="D482" s="7">
        <v>1951.4</v>
      </c>
      <c r="E482" s="7">
        <v>1959.7</v>
      </c>
      <c r="F482" s="18">
        <v>212</v>
      </c>
      <c r="G482" s="7">
        <v>1958.9142999999999</v>
      </c>
      <c r="H482" s="7">
        <v>1983.7233000000001</v>
      </c>
      <c r="I482" s="7">
        <v>1942.7</v>
      </c>
      <c r="J482" s="8">
        <v>-0.27479999999999999</v>
      </c>
      <c r="K482" s="7">
        <v>0.93189999999999995</v>
      </c>
      <c r="L482" s="7">
        <v>0.82579999999999998</v>
      </c>
      <c r="M482" s="8">
        <v>44.0976</v>
      </c>
      <c r="N482" s="8">
        <v>-9.1707000000000001</v>
      </c>
      <c r="O482" s="7">
        <v>-9.1602999999999994</v>
      </c>
      <c r="P482" s="7">
        <v>2000.7367999999999</v>
      </c>
      <c r="Q482" s="7">
        <v>1929.1031</v>
      </c>
      <c r="R482" s="7" t="str">
        <f t="shared" si="106"/>
        <v>Up</v>
      </c>
      <c r="S482" s="7" t="str">
        <f t="shared" si="107"/>
        <v>Hold</v>
      </c>
      <c r="T482" s="8">
        <f t="shared" si="108"/>
        <v>0.14832583454281548</v>
      </c>
      <c r="U482" s="18">
        <f t="shared" si="109"/>
        <v>2947197</v>
      </c>
      <c r="V482" s="7">
        <f t="shared" si="110"/>
        <v>5586.2002000000002</v>
      </c>
      <c r="W482" s="7">
        <f t="shared" si="111"/>
        <v>1809.4</v>
      </c>
      <c r="X482" s="7">
        <f t="shared" si="112"/>
        <v>1959.7</v>
      </c>
      <c r="Y482" s="7">
        <f t="shared" si="113"/>
        <v>295</v>
      </c>
      <c r="Z482" s="7">
        <f t="shared" si="114"/>
        <v>977024</v>
      </c>
      <c r="AA482" s="7" t="str">
        <f t="shared" si="115"/>
        <v>12-Jun-2023</v>
      </c>
      <c r="AB482" s="7">
        <f t="shared" si="116"/>
        <v>1959.7</v>
      </c>
      <c r="AC482" s="7">
        <f t="shared" si="120"/>
        <v>1</v>
      </c>
      <c r="AD482" s="7">
        <f t="shared" si="117"/>
        <v>2023</v>
      </c>
      <c r="AE482" s="19">
        <f t="shared" si="118"/>
        <v>-0.27</v>
      </c>
      <c r="BA482" s="10">
        <f t="shared" si="119"/>
        <v>26.997800000000002</v>
      </c>
    </row>
    <row r="483" spans="1:53" x14ac:dyDescent="0.3">
      <c r="A483" s="17">
        <v>45090</v>
      </c>
      <c r="B483" s="8">
        <v>1944.6</v>
      </c>
      <c r="C483" s="7">
        <v>1967.5</v>
      </c>
      <c r="D483" s="7">
        <v>1940.3</v>
      </c>
      <c r="E483" s="7">
        <v>1960.6</v>
      </c>
      <c r="F483" s="18">
        <v>343</v>
      </c>
      <c r="G483" s="7">
        <v>1956.5571</v>
      </c>
      <c r="H483" s="7">
        <v>1983.0733</v>
      </c>
      <c r="I483" s="7">
        <v>1942.7922000000001</v>
      </c>
      <c r="J483" s="8">
        <v>4.5900000000000003E-2</v>
      </c>
      <c r="K483" s="7">
        <v>0.87749999999999995</v>
      </c>
      <c r="L483" s="7">
        <v>0.82399999999999995</v>
      </c>
      <c r="M483" s="8">
        <v>46.508899999999997</v>
      </c>
      <c r="N483" s="8">
        <v>-8.5446000000000009</v>
      </c>
      <c r="O483" s="7">
        <v>-9.0372000000000003</v>
      </c>
      <c r="P483" s="7">
        <v>1989.7186999999999</v>
      </c>
      <c r="Q483" s="7">
        <v>1934.8013000000001</v>
      </c>
      <c r="R483" s="7" t="str">
        <f t="shared" si="106"/>
        <v>Up</v>
      </c>
      <c r="S483" s="7" t="str">
        <f t="shared" si="107"/>
        <v>Hold</v>
      </c>
      <c r="T483" s="8">
        <f t="shared" si="108"/>
        <v>0.14894084302325566</v>
      </c>
      <c r="U483" s="18">
        <f t="shared" si="109"/>
        <v>2946985</v>
      </c>
      <c r="V483" s="7">
        <f t="shared" si="110"/>
        <v>5586.2002000000002</v>
      </c>
      <c r="W483" s="7">
        <f t="shared" si="111"/>
        <v>1809.4</v>
      </c>
      <c r="X483" s="7">
        <f t="shared" si="112"/>
        <v>1960.6</v>
      </c>
      <c r="Y483" s="7">
        <f t="shared" si="113"/>
        <v>294</v>
      </c>
      <c r="Z483" s="7">
        <f t="shared" si="114"/>
        <v>976812</v>
      </c>
      <c r="AA483" s="7" t="str">
        <f t="shared" si="115"/>
        <v>13-Jun-2023</v>
      </c>
      <c r="AB483" s="7">
        <f t="shared" si="116"/>
        <v>1960.6</v>
      </c>
      <c r="AC483" s="7">
        <f t="shared" si="120"/>
        <v>1</v>
      </c>
      <c r="AD483" s="7">
        <f t="shared" si="117"/>
        <v>2023</v>
      </c>
      <c r="AE483" s="19">
        <f t="shared" si="118"/>
        <v>0.05</v>
      </c>
      <c r="BA483" s="10">
        <f t="shared" si="119"/>
        <v>26.997800000000002</v>
      </c>
    </row>
    <row r="484" spans="1:53" x14ac:dyDescent="0.3">
      <c r="A484" s="17">
        <v>45091</v>
      </c>
      <c r="B484" s="8">
        <v>1955.3</v>
      </c>
      <c r="C484" s="7">
        <v>1958.2</v>
      </c>
      <c r="D484" s="7">
        <v>1940.3</v>
      </c>
      <c r="E484" s="7">
        <v>1946.2</v>
      </c>
      <c r="F484" s="18">
        <v>202</v>
      </c>
      <c r="G484" s="7">
        <v>1956.3714</v>
      </c>
      <c r="H484" s="7">
        <v>1981.4567</v>
      </c>
      <c r="I484" s="7">
        <v>1943.1677999999999</v>
      </c>
      <c r="J484" s="8">
        <v>-0.73450000000000004</v>
      </c>
      <c r="K484" s="7">
        <v>0.70850000000000002</v>
      </c>
      <c r="L484" s="7">
        <v>0.8206</v>
      </c>
      <c r="M484" s="8">
        <v>41.9069</v>
      </c>
      <c r="N484" s="8">
        <v>-9.1053999999999995</v>
      </c>
      <c r="O484" s="7">
        <v>-9.0508000000000006</v>
      </c>
      <c r="P484" s="7">
        <v>1985.5603000000001</v>
      </c>
      <c r="Q484" s="7">
        <v>1934.7397000000001</v>
      </c>
      <c r="R484" s="7" t="str">
        <f t="shared" si="106"/>
        <v>Down</v>
      </c>
      <c r="S484" s="7" t="str">
        <f t="shared" si="107"/>
        <v>Hold</v>
      </c>
      <c r="T484" s="8">
        <f t="shared" si="108"/>
        <v>0.14909082969432297</v>
      </c>
      <c r="U484" s="18">
        <f t="shared" si="109"/>
        <v>2946642</v>
      </c>
      <c r="V484" s="7">
        <f t="shared" si="110"/>
        <v>5586.2002000000002</v>
      </c>
      <c r="W484" s="7">
        <f t="shared" si="111"/>
        <v>1809.4</v>
      </c>
      <c r="X484" s="7">
        <f t="shared" si="112"/>
        <v>1946.2</v>
      </c>
      <c r="Y484" s="7">
        <f t="shared" si="113"/>
        <v>293</v>
      </c>
      <c r="Z484" s="7">
        <f t="shared" si="114"/>
        <v>976469</v>
      </c>
      <c r="AA484" s="7" t="str">
        <f t="shared" si="115"/>
        <v>14-Jun-2023</v>
      </c>
      <c r="AB484" s="7">
        <f t="shared" si="116"/>
        <v>1946.2</v>
      </c>
      <c r="AC484" s="7">
        <f t="shared" si="120"/>
        <v>1</v>
      </c>
      <c r="AD484" s="7">
        <f t="shared" si="117"/>
        <v>2023</v>
      </c>
      <c r="AE484" s="19">
        <f t="shared" si="118"/>
        <v>-0.73</v>
      </c>
      <c r="BA484" s="10">
        <f t="shared" si="119"/>
        <v>26.997800000000002</v>
      </c>
    </row>
    <row r="485" spans="1:53" x14ac:dyDescent="0.3">
      <c r="A485" s="17">
        <v>45092</v>
      </c>
      <c r="B485" s="8">
        <v>1957.8</v>
      </c>
      <c r="C485" s="7">
        <v>1958.8</v>
      </c>
      <c r="D485" s="7">
        <v>1926</v>
      </c>
      <c r="E485" s="7">
        <v>1941.7</v>
      </c>
      <c r="F485" s="18">
        <v>329</v>
      </c>
      <c r="G485" s="7">
        <v>1953.6428000000001</v>
      </c>
      <c r="H485" s="7">
        <v>1978.9432999999999</v>
      </c>
      <c r="I485" s="7">
        <v>1944.0133000000001</v>
      </c>
      <c r="J485" s="8">
        <v>-0.23119999999999999</v>
      </c>
      <c r="K485" s="7">
        <v>0.6411</v>
      </c>
      <c r="L485" s="7">
        <v>0.78879999999999995</v>
      </c>
      <c r="M485" s="8">
        <v>49.5413</v>
      </c>
      <c r="N485" s="8">
        <v>-9.8000000000000007</v>
      </c>
      <c r="O485" s="7">
        <v>-9.2006999999999994</v>
      </c>
      <c r="P485" s="7">
        <v>1982.2023999999999</v>
      </c>
      <c r="Q485" s="7">
        <v>1933.9076</v>
      </c>
      <c r="R485" s="7" t="str">
        <f t="shared" si="106"/>
        <v>Down</v>
      </c>
      <c r="S485" s="7" t="str">
        <f t="shared" si="107"/>
        <v>Hold</v>
      </c>
      <c r="T485" s="8">
        <f t="shared" si="108"/>
        <v>0.1503788629737608</v>
      </c>
      <c r="U485" s="18">
        <f t="shared" si="109"/>
        <v>2946440</v>
      </c>
      <c r="V485" s="7">
        <f t="shared" si="110"/>
        <v>5586.2002000000002</v>
      </c>
      <c r="W485" s="7">
        <f t="shared" si="111"/>
        <v>1809.4</v>
      </c>
      <c r="X485" s="7">
        <f t="shared" si="112"/>
        <v>1941.7</v>
      </c>
      <c r="Y485" s="7">
        <f t="shared" si="113"/>
        <v>293</v>
      </c>
      <c r="Z485" s="7">
        <f t="shared" si="114"/>
        <v>976469</v>
      </c>
      <c r="AA485" s="7" t="str">
        <f t="shared" si="115"/>
        <v>15-Jun-2023</v>
      </c>
      <c r="AB485" s="7">
        <f t="shared" si="116"/>
        <v>1941.7</v>
      </c>
      <c r="AC485" s="7">
        <f t="shared" si="120"/>
        <v>1</v>
      </c>
      <c r="AD485" s="7">
        <f t="shared" si="117"/>
        <v>2023</v>
      </c>
      <c r="AE485" s="19">
        <f t="shared" si="118"/>
        <v>-0.23</v>
      </c>
      <c r="BA485" s="10">
        <f t="shared" si="119"/>
        <v>26.997800000000002</v>
      </c>
    </row>
    <row r="486" spans="1:53" x14ac:dyDescent="0.3">
      <c r="A486" s="17">
        <v>45093</v>
      </c>
      <c r="B486" s="8">
        <v>1958.4</v>
      </c>
      <c r="C486" s="7">
        <v>1962.9</v>
      </c>
      <c r="D486" s="7">
        <v>1953.5</v>
      </c>
      <c r="E486" s="7">
        <v>1961.4</v>
      </c>
      <c r="F486" s="18">
        <v>119</v>
      </c>
      <c r="G486" s="7">
        <v>1953.9857</v>
      </c>
      <c r="H486" s="7">
        <v>1976.1567</v>
      </c>
      <c r="I486" s="7">
        <v>1945.0289</v>
      </c>
      <c r="J486" s="8">
        <v>1.0145999999999999</v>
      </c>
      <c r="K486" s="7">
        <v>0.77649999999999997</v>
      </c>
      <c r="L486" s="7">
        <v>0.7671</v>
      </c>
      <c r="M486" s="8">
        <v>53.947400000000002</v>
      </c>
      <c r="N486" s="8">
        <v>-8.6609999999999996</v>
      </c>
      <c r="O486" s="7">
        <v>-9.0927000000000007</v>
      </c>
      <c r="P486" s="7">
        <v>1982.4803999999999</v>
      </c>
      <c r="Q486" s="7">
        <v>1934.1196</v>
      </c>
      <c r="R486" s="7" t="str">
        <f t="shared" si="106"/>
        <v>Up</v>
      </c>
      <c r="S486" s="7" t="str">
        <f t="shared" si="107"/>
        <v>Hold</v>
      </c>
      <c r="T486" s="8">
        <f t="shared" si="108"/>
        <v>0.150935912408759</v>
      </c>
      <c r="U486" s="18">
        <f t="shared" si="109"/>
        <v>2946111</v>
      </c>
      <c r="V486" s="7">
        <f t="shared" si="110"/>
        <v>5586.2002000000002</v>
      </c>
      <c r="W486" s="7">
        <f t="shared" si="111"/>
        <v>1809.4</v>
      </c>
      <c r="X486" s="7">
        <f t="shared" si="112"/>
        <v>1961.4</v>
      </c>
      <c r="Y486" s="7">
        <f t="shared" si="113"/>
        <v>293</v>
      </c>
      <c r="Z486" s="7">
        <f t="shared" si="114"/>
        <v>976469</v>
      </c>
      <c r="AA486" s="7" t="str">
        <f t="shared" si="115"/>
        <v>16-Jun-2023</v>
      </c>
      <c r="AB486" s="7">
        <f t="shared" si="116"/>
        <v>1961.4</v>
      </c>
      <c r="AC486" s="7">
        <f t="shared" si="120"/>
        <v>1</v>
      </c>
      <c r="AD486" s="7">
        <f t="shared" si="117"/>
        <v>2023</v>
      </c>
      <c r="AE486" s="19">
        <f t="shared" si="118"/>
        <v>1.01</v>
      </c>
      <c r="BA486" s="10">
        <f t="shared" si="119"/>
        <v>26.997800000000002</v>
      </c>
    </row>
    <row r="487" spans="1:53" x14ac:dyDescent="0.3">
      <c r="A487" s="17">
        <v>45097</v>
      </c>
      <c r="B487" s="8">
        <v>1935.5</v>
      </c>
      <c r="C487" s="7">
        <v>1958.6</v>
      </c>
      <c r="D487" s="7">
        <v>1931.3</v>
      </c>
      <c r="E487" s="7">
        <v>1958.6</v>
      </c>
      <c r="F487" s="18">
        <v>193</v>
      </c>
      <c r="G487" s="7">
        <v>1956.1857</v>
      </c>
      <c r="H487" s="7">
        <v>1973.23</v>
      </c>
      <c r="I487" s="7">
        <v>1945.99</v>
      </c>
      <c r="J487" s="8">
        <v>-0.14280000000000001</v>
      </c>
      <c r="K487" s="7">
        <v>0.69499999999999995</v>
      </c>
      <c r="L487" s="7">
        <v>0.7661</v>
      </c>
      <c r="M487" s="8">
        <v>54.832799999999999</v>
      </c>
      <c r="N487" s="8">
        <v>-7.8933</v>
      </c>
      <c r="O487" s="7">
        <v>-8.8528000000000002</v>
      </c>
      <c r="P487" s="7">
        <v>1982.3978</v>
      </c>
      <c r="Q487" s="7">
        <v>1934.0622000000001</v>
      </c>
      <c r="R487" s="7" t="str">
        <f t="shared" si="106"/>
        <v>Up</v>
      </c>
      <c r="S487" s="7" t="str">
        <f t="shared" si="107"/>
        <v>Hold</v>
      </c>
      <c r="T487" s="8">
        <f t="shared" si="108"/>
        <v>0.14967324561403494</v>
      </c>
      <c r="U487" s="18">
        <f t="shared" si="109"/>
        <v>2945992</v>
      </c>
      <c r="V487" s="7">
        <f t="shared" si="110"/>
        <v>5586.2002000000002</v>
      </c>
      <c r="W487" s="7">
        <f t="shared" si="111"/>
        <v>1809.4</v>
      </c>
      <c r="X487" s="7">
        <f t="shared" si="112"/>
        <v>1958.6</v>
      </c>
      <c r="Y487" s="7">
        <f t="shared" si="113"/>
        <v>292</v>
      </c>
      <c r="Z487" s="7">
        <f t="shared" si="114"/>
        <v>976350</v>
      </c>
      <c r="AA487" s="7" t="str">
        <f t="shared" si="115"/>
        <v>20-Jun-2023</v>
      </c>
      <c r="AB487" s="7">
        <f t="shared" si="116"/>
        <v>1958.6</v>
      </c>
      <c r="AC487" s="7">
        <f t="shared" si="120"/>
        <v>1</v>
      </c>
      <c r="AD487" s="7">
        <f t="shared" si="117"/>
        <v>2023</v>
      </c>
      <c r="AE487" s="19">
        <f t="shared" si="118"/>
        <v>-0.14000000000000001</v>
      </c>
      <c r="BA487" s="10">
        <f t="shared" si="119"/>
        <v>26.997800000000002</v>
      </c>
    </row>
    <row r="488" spans="1:53" x14ac:dyDescent="0.3">
      <c r="A488" s="17">
        <v>45098</v>
      </c>
      <c r="B488" s="8">
        <v>1933.3</v>
      </c>
      <c r="C488" s="7">
        <v>1936.8</v>
      </c>
      <c r="D488" s="7">
        <v>1920</v>
      </c>
      <c r="E488" s="7">
        <v>1935.6</v>
      </c>
      <c r="F488" s="18">
        <v>557</v>
      </c>
      <c r="G488" s="7">
        <v>1951.9713999999999</v>
      </c>
      <c r="H488" s="7">
        <v>1970.3333</v>
      </c>
      <c r="I488" s="7">
        <v>1946.66</v>
      </c>
      <c r="J488" s="8">
        <v>-1.1742999999999999</v>
      </c>
      <c r="K488" s="7">
        <v>0.68059999999999998</v>
      </c>
      <c r="L488" s="7">
        <v>0.76639999999999997</v>
      </c>
      <c r="M488" s="8">
        <v>43.430300000000003</v>
      </c>
      <c r="N488" s="8">
        <v>-9.0366</v>
      </c>
      <c r="O488" s="7">
        <v>-8.8895999999999997</v>
      </c>
      <c r="P488" s="7">
        <v>1979.7813000000001</v>
      </c>
      <c r="Q488" s="7">
        <v>1932.1886999999999</v>
      </c>
      <c r="R488" s="7" t="str">
        <f t="shared" si="106"/>
        <v>Up</v>
      </c>
      <c r="S488" s="7" t="str">
        <f t="shared" si="107"/>
        <v>Hold</v>
      </c>
      <c r="T488" s="8">
        <f t="shared" si="108"/>
        <v>0.1501014641288432</v>
      </c>
      <c r="U488" s="18">
        <f t="shared" si="109"/>
        <v>2945799</v>
      </c>
      <c r="V488" s="7">
        <f t="shared" si="110"/>
        <v>5586.2002000000002</v>
      </c>
      <c r="W488" s="7">
        <f t="shared" si="111"/>
        <v>1809.4</v>
      </c>
      <c r="X488" s="7">
        <f t="shared" si="112"/>
        <v>1935.6</v>
      </c>
      <c r="Y488" s="7">
        <f t="shared" si="113"/>
        <v>291</v>
      </c>
      <c r="Z488" s="7">
        <f t="shared" si="114"/>
        <v>976157</v>
      </c>
      <c r="AA488" s="7" t="str">
        <f t="shared" si="115"/>
        <v>21-Jun-2023</v>
      </c>
      <c r="AB488" s="7">
        <f t="shared" si="116"/>
        <v>1935.6</v>
      </c>
      <c r="AC488" s="7">
        <f t="shared" si="120"/>
        <v>1</v>
      </c>
      <c r="AD488" s="7">
        <f t="shared" si="117"/>
        <v>2023</v>
      </c>
      <c r="AE488" s="19">
        <f t="shared" si="118"/>
        <v>-1.17</v>
      </c>
      <c r="BA488" s="10">
        <f t="shared" si="119"/>
        <v>26.997800000000002</v>
      </c>
    </row>
    <row r="489" spans="1:53" x14ac:dyDescent="0.3">
      <c r="A489" s="17">
        <v>45099</v>
      </c>
      <c r="B489" s="8">
        <v>1912.7</v>
      </c>
      <c r="C489" s="7">
        <v>1921</v>
      </c>
      <c r="D489" s="7">
        <v>1912.1</v>
      </c>
      <c r="E489" s="7">
        <v>1920</v>
      </c>
      <c r="F489" s="18">
        <v>237</v>
      </c>
      <c r="G489" s="7">
        <v>1946.3</v>
      </c>
      <c r="H489" s="7">
        <v>1966.78</v>
      </c>
      <c r="I489" s="7">
        <v>1947.3089</v>
      </c>
      <c r="J489" s="8">
        <v>-0.80600000000000005</v>
      </c>
      <c r="K489" s="7">
        <v>0.71709999999999996</v>
      </c>
      <c r="L489" s="7">
        <v>0.77280000000000004</v>
      </c>
      <c r="M489" s="8">
        <v>38.170900000000003</v>
      </c>
      <c r="N489" s="8">
        <v>-11.0738</v>
      </c>
      <c r="O489" s="7">
        <v>-9.3263999999999996</v>
      </c>
      <c r="P489" s="7">
        <v>1980.8103000000001</v>
      </c>
      <c r="Q489" s="7">
        <v>1925.9195999999999</v>
      </c>
      <c r="R489" s="7" t="str">
        <f t="shared" si="106"/>
        <v>Up</v>
      </c>
      <c r="S489" s="7" t="str">
        <f t="shared" si="107"/>
        <v>Hold</v>
      </c>
      <c r="T489" s="8">
        <f t="shared" si="108"/>
        <v>0.15204340175953068</v>
      </c>
      <c r="U489" s="18">
        <f t="shared" si="109"/>
        <v>2945242</v>
      </c>
      <c r="V489" s="7">
        <f t="shared" si="110"/>
        <v>5586.2002000000002</v>
      </c>
      <c r="W489" s="7">
        <f t="shared" si="111"/>
        <v>1809.4</v>
      </c>
      <c r="X489" s="7">
        <f t="shared" si="112"/>
        <v>1920</v>
      </c>
      <c r="Y489" s="7">
        <f t="shared" si="113"/>
        <v>290</v>
      </c>
      <c r="Z489" s="7">
        <f t="shared" si="114"/>
        <v>975600</v>
      </c>
      <c r="AA489" s="7" t="str">
        <f t="shared" si="115"/>
        <v>22-Jun-2023</v>
      </c>
      <c r="AB489" s="7">
        <f t="shared" si="116"/>
        <v>1920</v>
      </c>
      <c r="AC489" s="7">
        <f t="shared" si="120"/>
        <v>1</v>
      </c>
      <c r="AD489" s="7">
        <f t="shared" si="117"/>
        <v>2023</v>
      </c>
      <c r="AE489" s="19">
        <f t="shared" si="118"/>
        <v>-0.81</v>
      </c>
      <c r="BA489" s="10">
        <f t="shared" si="119"/>
        <v>26.997800000000002</v>
      </c>
    </row>
    <row r="490" spans="1:53" x14ac:dyDescent="0.3">
      <c r="A490" s="17">
        <v>45100</v>
      </c>
      <c r="B490" s="8">
        <v>1919.1</v>
      </c>
      <c r="C490" s="7">
        <v>1932.5</v>
      </c>
      <c r="D490" s="7">
        <v>1918.7</v>
      </c>
      <c r="E490" s="7">
        <v>1918.7</v>
      </c>
      <c r="F490" s="18">
        <v>105</v>
      </c>
      <c r="G490" s="7">
        <v>1940.3143</v>
      </c>
      <c r="H490" s="7">
        <v>1962.9933000000001</v>
      </c>
      <c r="I490" s="7">
        <v>1947.9721999999999</v>
      </c>
      <c r="J490" s="8">
        <v>-6.7699999999999996E-2</v>
      </c>
      <c r="K490" s="7">
        <v>0.70950000000000002</v>
      </c>
      <c r="L490" s="7">
        <v>0.76829999999999998</v>
      </c>
      <c r="M490" s="8">
        <v>32.823599999999999</v>
      </c>
      <c r="N490" s="8">
        <v>-12.647399999999999</v>
      </c>
      <c r="O490" s="7">
        <v>-9.9906000000000006</v>
      </c>
      <c r="P490" s="7">
        <v>1980.0286000000001</v>
      </c>
      <c r="Q490" s="7">
        <v>1921.0313000000001</v>
      </c>
      <c r="R490" s="7" t="str">
        <f t="shared" si="106"/>
        <v>Down</v>
      </c>
      <c r="S490" s="7" t="str">
        <f t="shared" si="107"/>
        <v>Hold</v>
      </c>
      <c r="T490" s="8">
        <f t="shared" si="108"/>
        <v>0.15345022026431707</v>
      </c>
      <c r="U490" s="18">
        <f t="shared" si="109"/>
        <v>2945005</v>
      </c>
      <c r="V490" s="7">
        <f t="shared" si="110"/>
        <v>5586.2002000000002</v>
      </c>
      <c r="W490" s="7">
        <f t="shared" si="111"/>
        <v>1809.4</v>
      </c>
      <c r="X490" s="7">
        <f t="shared" si="112"/>
        <v>1918.7</v>
      </c>
      <c r="Y490" s="7">
        <f t="shared" si="113"/>
        <v>289</v>
      </c>
      <c r="Z490" s="7">
        <f t="shared" si="114"/>
        <v>975363</v>
      </c>
      <c r="AA490" s="7" t="str">
        <f t="shared" si="115"/>
        <v>23-Jun-2023</v>
      </c>
      <c r="AB490" s="7">
        <f t="shared" si="116"/>
        <v>1918.7</v>
      </c>
      <c r="AC490" s="7">
        <f t="shared" si="120"/>
        <v>1</v>
      </c>
      <c r="AD490" s="7">
        <f t="shared" si="117"/>
        <v>2023</v>
      </c>
      <c r="AE490" s="19">
        <f t="shared" si="118"/>
        <v>-7.0000000000000007E-2</v>
      </c>
      <c r="BA490" s="10">
        <f t="shared" si="119"/>
        <v>26.997800000000002</v>
      </c>
    </row>
    <row r="491" spans="1:53" x14ac:dyDescent="0.3">
      <c r="A491" s="17">
        <v>45103</v>
      </c>
      <c r="B491" s="8">
        <v>1923.7</v>
      </c>
      <c r="C491" s="7">
        <v>1928.5</v>
      </c>
      <c r="D491" s="7">
        <v>1922.5</v>
      </c>
      <c r="E491" s="7">
        <v>1922.9</v>
      </c>
      <c r="F491" s="18">
        <v>71</v>
      </c>
      <c r="G491" s="7">
        <v>1936.9857</v>
      </c>
      <c r="H491" s="7">
        <v>1959.2867000000001</v>
      </c>
      <c r="I491" s="7">
        <v>1948.7366999999999</v>
      </c>
      <c r="J491" s="8">
        <v>0.21890000000000001</v>
      </c>
      <c r="K491" s="7">
        <v>0.70499999999999996</v>
      </c>
      <c r="L491" s="7">
        <v>0.77029999999999998</v>
      </c>
      <c r="M491" s="8">
        <v>41.4938</v>
      </c>
      <c r="N491" s="8">
        <v>-13.4011</v>
      </c>
      <c r="O491" s="7">
        <v>-10.672700000000001</v>
      </c>
      <c r="P491" s="7">
        <v>1981.3786</v>
      </c>
      <c r="Q491" s="7">
        <v>1917.6614</v>
      </c>
      <c r="R491" s="7" t="str">
        <f t="shared" si="106"/>
        <v>Down</v>
      </c>
      <c r="S491" s="7" t="str">
        <f t="shared" si="107"/>
        <v>Hold</v>
      </c>
      <c r="T491" s="8">
        <f t="shared" si="108"/>
        <v>0.15377544117647049</v>
      </c>
      <c r="U491" s="18">
        <f t="shared" si="109"/>
        <v>2944900</v>
      </c>
      <c r="V491" s="7">
        <f t="shared" si="110"/>
        <v>5586.2002000000002</v>
      </c>
      <c r="W491" s="7">
        <f t="shared" si="111"/>
        <v>1809.4</v>
      </c>
      <c r="X491" s="7">
        <f t="shared" si="112"/>
        <v>1922.9</v>
      </c>
      <c r="Y491" s="7">
        <f t="shared" si="113"/>
        <v>289</v>
      </c>
      <c r="Z491" s="7">
        <f t="shared" si="114"/>
        <v>975363</v>
      </c>
      <c r="AA491" s="7" t="str">
        <f t="shared" si="115"/>
        <v>26-Jun-2023</v>
      </c>
      <c r="AB491" s="7">
        <f t="shared" si="116"/>
        <v>1922.9</v>
      </c>
      <c r="AC491" s="7">
        <f t="shared" si="120"/>
        <v>1</v>
      </c>
      <c r="AD491" s="7">
        <f t="shared" si="117"/>
        <v>2023</v>
      </c>
      <c r="AE491" s="19">
        <f t="shared" si="118"/>
        <v>0.22</v>
      </c>
      <c r="BA491" s="10">
        <f t="shared" si="119"/>
        <v>26.997800000000002</v>
      </c>
    </row>
    <row r="492" spans="1:53" x14ac:dyDescent="0.3">
      <c r="A492" s="17">
        <v>45104</v>
      </c>
      <c r="B492" s="8">
        <v>1914</v>
      </c>
      <c r="C492" s="7">
        <v>1929.4</v>
      </c>
      <c r="D492" s="7">
        <v>1914</v>
      </c>
      <c r="E492" s="7">
        <v>1927</v>
      </c>
      <c r="F492" s="18">
        <v>49</v>
      </c>
      <c r="G492" s="7">
        <v>1934.8857</v>
      </c>
      <c r="H492" s="7">
        <v>1956.37</v>
      </c>
      <c r="I492" s="7">
        <v>1949.6811</v>
      </c>
      <c r="J492" s="8">
        <v>0.2132</v>
      </c>
      <c r="K492" s="7">
        <v>0.71850000000000003</v>
      </c>
      <c r="L492" s="7">
        <v>0.7591</v>
      </c>
      <c r="M492" s="8">
        <v>37.518500000000003</v>
      </c>
      <c r="N492" s="8">
        <v>-13.511900000000001</v>
      </c>
      <c r="O492" s="7">
        <v>-11.240600000000001</v>
      </c>
      <c r="P492" s="7">
        <v>1981.8761999999999</v>
      </c>
      <c r="Q492" s="7">
        <v>1915.0437999999999</v>
      </c>
      <c r="R492" s="7" t="str">
        <f t="shared" si="106"/>
        <v>Up</v>
      </c>
      <c r="S492" s="7" t="str">
        <f t="shared" si="107"/>
        <v>Hold</v>
      </c>
      <c r="T492" s="8">
        <f t="shared" si="108"/>
        <v>0.15367952871870386</v>
      </c>
      <c r="U492" s="18">
        <f t="shared" si="109"/>
        <v>2944829</v>
      </c>
      <c r="V492" s="7">
        <f t="shared" si="110"/>
        <v>5586.2002000000002</v>
      </c>
      <c r="W492" s="7">
        <f t="shared" si="111"/>
        <v>1809.4</v>
      </c>
      <c r="X492" s="7">
        <f t="shared" si="112"/>
        <v>1927</v>
      </c>
      <c r="Y492" s="7">
        <f t="shared" si="113"/>
        <v>289</v>
      </c>
      <c r="Z492" s="7">
        <f t="shared" si="114"/>
        <v>975363</v>
      </c>
      <c r="AA492" s="7" t="str">
        <f t="shared" si="115"/>
        <v>27-Jun-2023</v>
      </c>
      <c r="AB492" s="7">
        <f t="shared" si="116"/>
        <v>1927</v>
      </c>
      <c r="AC492" s="7">
        <f t="shared" si="120"/>
        <v>1</v>
      </c>
      <c r="AD492" s="7">
        <f t="shared" si="117"/>
        <v>2023</v>
      </c>
      <c r="AE492" s="19">
        <f t="shared" si="118"/>
        <v>0.21</v>
      </c>
      <c r="BA492" s="10">
        <f t="shared" si="119"/>
        <v>26.997800000000002</v>
      </c>
    </row>
    <row r="493" spans="1:53" x14ac:dyDescent="0.3">
      <c r="A493" s="17">
        <v>45105</v>
      </c>
      <c r="B493" s="8">
        <v>1912.3</v>
      </c>
      <c r="C493" s="7">
        <v>1912.3</v>
      </c>
      <c r="D493" s="7">
        <v>1912.3</v>
      </c>
      <c r="E493" s="7">
        <v>1912.3</v>
      </c>
      <c r="F493" s="18">
        <v>628</v>
      </c>
      <c r="G493" s="7">
        <v>1927.8714</v>
      </c>
      <c r="H493" s="7">
        <v>1952.9866999999999</v>
      </c>
      <c r="I493" s="7">
        <v>1950.5</v>
      </c>
      <c r="J493" s="8">
        <v>-0.76280000000000003</v>
      </c>
      <c r="K493" s="7">
        <v>0.55079999999999996</v>
      </c>
      <c r="L493" s="7">
        <v>0.76700000000000002</v>
      </c>
      <c r="M493" s="8">
        <v>34.254899999999999</v>
      </c>
      <c r="N493" s="8">
        <v>-14.6173</v>
      </c>
      <c r="O493" s="7">
        <v>-11.915900000000001</v>
      </c>
      <c r="P493" s="7">
        <v>1984.0237</v>
      </c>
      <c r="Q493" s="7">
        <v>1909.8562999999999</v>
      </c>
      <c r="R493" s="7" t="str">
        <f t="shared" si="106"/>
        <v>Down</v>
      </c>
      <c r="S493" s="7" t="str">
        <f t="shared" si="107"/>
        <v>Hold</v>
      </c>
      <c r="T493" s="8">
        <f t="shared" si="108"/>
        <v>0.15359174041297921</v>
      </c>
      <c r="U493" s="18">
        <f t="shared" si="109"/>
        <v>2944780</v>
      </c>
      <c r="V493" s="7">
        <f t="shared" si="110"/>
        <v>5586.2002000000002</v>
      </c>
      <c r="W493" s="7">
        <f t="shared" si="111"/>
        <v>1809.4</v>
      </c>
      <c r="X493" s="7">
        <f t="shared" si="112"/>
        <v>1912.3</v>
      </c>
      <c r="Y493" s="7">
        <f t="shared" si="113"/>
        <v>288</v>
      </c>
      <c r="Z493" s="7">
        <f t="shared" si="114"/>
        <v>975314</v>
      </c>
      <c r="AA493" s="7" t="str">
        <f t="shared" si="115"/>
        <v>28-Jun-2023</v>
      </c>
      <c r="AB493" s="7">
        <f t="shared" si="116"/>
        <v>1912.3</v>
      </c>
      <c r="AC493" s="7">
        <f t="shared" si="120"/>
        <v>1</v>
      </c>
      <c r="AD493" s="7">
        <f t="shared" si="117"/>
        <v>2023</v>
      </c>
      <c r="AE493" s="19">
        <f t="shared" si="118"/>
        <v>-0.76</v>
      </c>
      <c r="BA493" s="10">
        <f t="shared" si="119"/>
        <v>26.997800000000002</v>
      </c>
    </row>
    <row r="494" spans="1:53" x14ac:dyDescent="0.3">
      <c r="A494" s="17">
        <v>45106</v>
      </c>
      <c r="B494" s="8">
        <v>1909.2</v>
      </c>
      <c r="C494" s="7">
        <v>1909.9</v>
      </c>
      <c r="D494" s="7">
        <v>1892.5</v>
      </c>
      <c r="E494" s="7">
        <v>1909.9</v>
      </c>
      <c r="F494" s="18">
        <v>289</v>
      </c>
      <c r="G494" s="7">
        <v>1920.9142999999999</v>
      </c>
      <c r="H494" s="7">
        <v>1950.37</v>
      </c>
      <c r="I494" s="7">
        <v>1951.4167</v>
      </c>
      <c r="J494" s="8">
        <v>-0.1255</v>
      </c>
      <c r="K494" s="7">
        <v>0.55200000000000005</v>
      </c>
      <c r="L494" s="7">
        <v>0.73880000000000001</v>
      </c>
      <c r="M494" s="8">
        <v>37.657600000000002</v>
      </c>
      <c r="N494" s="8">
        <v>-15.5082</v>
      </c>
      <c r="O494" s="7">
        <v>-12.634399999999999</v>
      </c>
      <c r="P494" s="7">
        <v>1984.6845000000001</v>
      </c>
      <c r="Q494" s="7">
        <v>1904.3655000000001</v>
      </c>
      <c r="R494" s="7" t="str">
        <f t="shared" si="106"/>
        <v>Up</v>
      </c>
      <c r="S494" s="7" t="str">
        <f t="shared" si="107"/>
        <v>Hold</v>
      </c>
      <c r="T494" s="8">
        <f t="shared" si="108"/>
        <v>0.15494534711964536</v>
      </c>
      <c r="U494" s="18">
        <f t="shared" si="109"/>
        <v>2944152</v>
      </c>
      <c r="V494" s="7">
        <f t="shared" si="110"/>
        <v>5586.2002000000002</v>
      </c>
      <c r="W494" s="7">
        <f t="shared" si="111"/>
        <v>1809.4</v>
      </c>
      <c r="X494" s="7">
        <f t="shared" si="112"/>
        <v>1909.9</v>
      </c>
      <c r="Y494" s="7">
        <f t="shared" si="113"/>
        <v>288</v>
      </c>
      <c r="Z494" s="7">
        <f t="shared" si="114"/>
        <v>975314</v>
      </c>
      <c r="AA494" s="7" t="str">
        <f t="shared" si="115"/>
        <v>29-Jun-2023</v>
      </c>
      <c r="AB494" s="7">
        <f t="shared" si="116"/>
        <v>1909.9</v>
      </c>
      <c r="AC494" s="7">
        <f t="shared" si="120"/>
        <v>1</v>
      </c>
      <c r="AD494" s="7">
        <f t="shared" si="117"/>
        <v>2023</v>
      </c>
      <c r="AE494" s="19">
        <f t="shared" si="118"/>
        <v>-0.13</v>
      </c>
      <c r="BA494" s="10">
        <f t="shared" si="119"/>
        <v>26.997800000000002</v>
      </c>
    </row>
    <row r="495" spans="1:53" x14ac:dyDescent="0.3">
      <c r="A495" s="17">
        <v>45107</v>
      </c>
      <c r="B495" s="8">
        <v>1921.1</v>
      </c>
      <c r="C495" s="7">
        <v>1921.1</v>
      </c>
      <c r="D495" s="7">
        <v>1900.6</v>
      </c>
      <c r="E495" s="7">
        <v>1908.6</v>
      </c>
      <c r="F495" s="18">
        <v>445</v>
      </c>
      <c r="G495" s="7">
        <v>1917.0571</v>
      </c>
      <c r="H495" s="7">
        <v>1947.87</v>
      </c>
      <c r="I495" s="7">
        <v>1952.15</v>
      </c>
      <c r="J495" s="8">
        <v>-6.8099999999999994E-2</v>
      </c>
      <c r="K495" s="7">
        <v>0.4224</v>
      </c>
      <c r="L495" s="7">
        <v>0.73860000000000003</v>
      </c>
      <c r="M495" s="8">
        <v>25.284400000000002</v>
      </c>
      <c r="N495" s="8">
        <v>-16.133299999999998</v>
      </c>
      <c r="O495" s="7">
        <v>-13.334099999999999</v>
      </c>
      <c r="P495" s="7">
        <v>1983.9813999999999</v>
      </c>
      <c r="Q495" s="7">
        <v>1899.6086</v>
      </c>
      <c r="R495" s="7" t="str">
        <f t="shared" si="106"/>
        <v>Down</v>
      </c>
      <c r="S495" s="7" t="str">
        <f t="shared" si="107"/>
        <v>Buy</v>
      </c>
      <c r="T495" s="8">
        <f t="shared" si="108"/>
        <v>0.15536020710059162</v>
      </c>
      <c r="U495" s="18">
        <f t="shared" si="109"/>
        <v>2943863</v>
      </c>
      <c r="V495" s="7">
        <f t="shared" si="110"/>
        <v>5586.2002000000002</v>
      </c>
      <c r="W495" s="7">
        <f t="shared" si="111"/>
        <v>1809.4</v>
      </c>
      <c r="X495" s="7">
        <f t="shared" si="112"/>
        <v>1908.6</v>
      </c>
      <c r="Y495" s="7">
        <f t="shared" si="113"/>
        <v>287</v>
      </c>
      <c r="Z495" s="7">
        <f t="shared" si="114"/>
        <v>975025</v>
      </c>
      <c r="AA495" s="7" t="str">
        <f t="shared" si="115"/>
        <v>30-Jun-2023</v>
      </c>
      <c r="AB495" s="7">
        <f t="shared" si="116"/>
        <v>1908.6</v>
      </c>
      <c r="AC495" s="7">
        <f t="shared" si="120"/>
        <v>1</v>
      </c>
      <c r="AD495" s="7">
        <f t="shared" si="117"/>
        <v>2023</v>
      </c>
      <c r="AE495" s="19">
        <f t="shared" si="118"/>
        <v>-7.0000000000000007E-2</v>
      </c>
      <c r="BA495" s="10">
        <f t="shared" si="119"/>
        <v>26.997800000000002</v>
      </c>
    </row>
    <row r="496" spans="1:53" x14ac:dyDescent="0.3">
      <c r="A496" s="17">
        <v>45110</v>
      </c>
      <c r="B496" s="8">
        <v>1921.7</v>
      </c>
      <c r="C496" s="7">
        <v>1929.5</v>
      </c>
      <c r="D496" s="7">
        <v>1917.9</v>
      </c>
      <c r="E496" s="7">
        <v>1917.9</v>
      </c>
      <c r="F496" s="18">
        <v>41</v>
      </c>
      <c r="G496" s="7">
        <v>1916.7571</v>
      </c>
      <c r="H496" s="7">
        <v>1946.5833</v>
      </c>
      <c r="I496" s="7">
        <v>1953.0633</v>
      </c>
      <c r="J496" s="8">
        <v>0.48730000000000001</v>
      </c>
      <c r="K496" s="7">
        <v>0.39500000000000002</v>
      </c>
      <c r="L496" s="7">
        <v>0.70809999999999995</v>
      </c>
      <c r="M496" s="8">
        <v>32.318199999999997</v>
      </c>
      <c r="N496" s="8">
        <v>-15.6972</v>
      </c>
      <c r="O496" s="7">
        <v>-13.806800000000001</v>
      </c>
      <c r="P496" s="7">
        <v>1978.8424</v>
      </c>
      <c r="Q496" s="7">
        <v>1898.8276000000001</v>
      </c>
      <c r="R496" s="7" t="str">
        <f t="shared" si="106"/>
        <v>Down</v>
      </c>
      <c r="S496" s="7" t="str">
        <f t="shared" si="107"/>
        <v>Hold</v>
      </c>
      <c r="T496" s="8">
        <f t="shared" si="108"/>
        <v>0.15569125925925917</v>
      </c>
      <c r="U496" s="18">
        <f t="shared" si="109"/>
        <v>2943418</v>
      </c>
      <c r="V496" s="7">
        <f t="shared" si="110"/>
        <v>5586.2002000000002</v>
      </c>
      <c r="W496" s="7">
        <f t="shared" si="111"/>
        <v>1809.4</v>
      </c>
      <c r="X496" s="7">
        <f t="shared" si="112"/>
        <v>1917.9</v>
      </c>
      <c r="Y496" s="7">
        <f t="shared" si="113"/>
        <v>287</v>
      </c>
      <c r="Z496" s="7">
        <f t="shared" si="114"/>
        <v>975025</v>
      </c>
      <c r="AA496" s="7" t="str">
        <f t="shared" si="115"/>
        <v>03-Jul-2023</v>
      </c>
      <c r="AB496" s="7">
        <f t="shared" si="116"/>
        <v>1917.9</v>
      </c>
      <c r="AC496" s="7">
        <f t="shared" si="120"/>
        <v>1</v>
      </c>
      <c r="AD496" s="7">
        <f t="shared" si="117"/>
        <v>2023</v>
      </c>
      <c r="AE496" s="19">
        <f t="shared" si="118"/>
        <v>0.49</v>
      </c>
      <c r="BA496" s="10">
        <f t="shared" si="119"/>
        <v>26.997800000000002</v>
      </c>
    </row>
    <row r="497" spans="1:53" x14ac:dyDescent="0.3">
      <c r="A497" s="17">
        <v>45112</v>
      </c>
      <c r="B497" s="8">
        <v>1919.6</v>
      </c>
      <c r="C497" s="7">
        <v>1933.9</v>
      </c>
      <c r="D497" s="7">
        <v>1914.7</v>
      </c>
      <c r="E497" s="7">
        <v>1923.5</v>
      </c>
      <c r="F497" s="18">
        <v>193</v>
      </c>
      <c r="G497" s="7">
        <v>1917.4429</v>
      </c>
      <c r="H497" s="7">
        <v>1945.3667</v>
      </c>
      <c r="I497" s="7">
        <v>1954.1422</v>
      </c>
      <c r="J497" s="8">
        <v>0.29199999999999998</v>
      </c>
      <c r="K497" s="7">
        <v>0.41010000000000002</v>
      </c>
      <c r="L497" s="7">
        <v>0.70979999999999999</v>
      </c>
      <c r="M497" s="8">
        <v>34.906500000000001</v>
      </c>
      <c r="N497" s="8">
        <v>-14.73</v>
      </c>
      <c r="O497" s="7">
        <v>-13.991400000000001</v>
      </c>
      <c r="P497" s="7">
        <v>1977.9863</v>
      </c>
      <c r="Q497" s="7">
        <v>1897.2836</v>
      </c>
      <c r="R497" s="7" t="str">
        <f t="shared" si="106"/>
        <v>Up</v>
      </c>
      <c r="S497" s="7" t="str">
        <f t="shared" si="107"/>
        <v>Hold</v>
      </c>
      <c r="T497" s="8">
        <f t="shared" si="108"/>
        <v>0.1551992581602373</v>
      </c>
      <c r="U497" s="18">
        <f t="shared" si="109"/>
        <v>2943377</v>
      </c>
      <c r="V497" s="7">
        <f t="shared" si="110"/>
        <v>5586.2002000000002</v>
      </c>
      <c r="W497" s="7">
        <f t="shared" si="111"/>
        <v>1809.4</v>
      </c>
      <c r="X497" s="7">
        <f t="shared" si="112"/>
        <v>1923.5</v>
      </c>
      <c r="Y497" s="7">
        <f t="shared" si="113"/>
        <v>287</v>
      </c>
      <c r="Z497" s="7">
        <f t="shared" si="114"/>
        <v>975025</v>
      </c>
      <c r="AA497" s="7" t="str">
        <f t="shared" si="115"/>
        <v>05-Jul-2023</v>
      </c>
      <c r="AB497" s="7">
        <f t="shared" si="116"/>
        <v>1923.5</v>
      </c>
      <c r="AC497" s="7">
        <f t="shared" si="120"/>
        <v>1</v>
      </c>
      <c r="AD497" s="7">
        <f t="shared" si="117"/>
        <v>2023</v>
      </c>
      <c r="AE497" s="19">
        <f t="shared" si="118"/>
        <v>0.28999999999999998</v>
      </c>
      <c r="BA497" s="10">
        <f t="shared" si="119"/>
        <v>26.997800000000002</v>
      </c>
    </row>
    <row r="498" spans="1:53" x14ac:dyDescent="0.3">
      <c r="A498" s="17">
        <v>45113</v>
      </c>
      <c r="B498" s="8">
        <v>1908.7</v>
      </c>
      <c r="C498" s="7">
        <v>1910.2</v>
      </c>
      <c r="D498" s="7">
        <v>1903.2</v>
      </c>
      <c r="E498" s="7">
        <v>1909.3</v>
      </c>
      <c r="F498" s="18">
        <v>81</v>
      </c>
      <c r="G498" s="7">
        <v>1915.5</v>
      </c>
      <c r="H498" s="7">
        <v>1942.9933000000001</v>
      </c>
      <c r="I498" s="7">
        <v>1955.2589</v>
      </c>
      <c r="J498" s="8">
        <v>-0.73819999999999997</v>
      </c>
      <c r="K498" s="7">
        <v>0.49080000000000001</v>
      </c>
      <c r="L498" s="7">
        <v>0.68830000000000002</v>
      </c>
      <c r="M498" s="8">
        <v>34.9634</v>
      </c>
      <c r="N498" s="8">
        <v>-14.936999999999999</v>
      </c>
      <c r="O498" s="7">
        <v>-14.1805</v>
      </c>
      <c r="P498" s="7">
        <v>1975.7584999999999</v>
      </c>
      <c r="Q498" s="7">
        <v>1894.3615</v>
      </c>
      <c r="R498" s="7" t="str">
        <f t="shared" si="106"/>
        <v>Up</v>
      </c>
      <c r="S498" s="7" t="str">
        <f t="shared" si="107"/>
        <v>Hold</v>
      </c>
      <c r="T498" s="8">
        <f t="shared" si="108"/>
        <v>0.15499598811292706</v>
      </c>
      <c r="U498" s="18">
        <f t="shared" si="109"/>
        <v>2943184</v>
      </c>
      <c r="V498" s="7">
        <f t="shared" si="110"/>
        <v>5586.2002000000002</v>
      </c>
      <c r="W498" s="7">
        <f t="shared" si="111"/>
        <v>1809.4</v>
      </c>
      <c r="X498" s="7">
        <f t="shared" si="112"/>
        <v>1909.3</v>
      </c>
      <c r="Y498" s="7">
        <f t="shared" si="113"/>
        <v>286</v>
      </c>
      <c r="Z498" s="7">
        <f t="shared" si="114"/>
        <v>974832</v>
      </c>
      <c r="AA498" s="7" t="str">
        <f t="shared" si="115"/>
        <v>06-Jul-2023</v>
      </c>
      <c r="AB498" s="7">
        <f t="shared" si="116"/>
        <v>1909.3</v>
      </c>
      <c r="AC498" s="7">
        <f t="shared" si="120"/>
        <v>1</v>
      </c>
      <c r="AD498" s="7">
        <f t="shared" si="117"/>
        <v>2023</v>
      </c>
      <c r="AE498" s="19">
        <f t="shared" si="118"/>
        <v>-0.74</v>
      </c>
      <c r="BA498" s="10">
        <f t="shared" si="119"/>
        <v>26.997800000000002</v>
      </c>
    </row>
    <row r="499" spans="1:53" x14ac:dyDescent="0.3">
      <c r="A499" s="17">
        <v>45114</v>
      </c>
      <c r="B499" s="8">
        <v>1926.2</v>
      </c>
      <c r="C499" s="7">
        <v>1934.1</v>
      </c>
      <c r="D499" s="7">
        <v>1913.4</v>
      </c>
      <c r="E499" s="7">
        <v>1913.4</v>
      </c>
      <c r="F499" s="18">
        <v>61</v>
      </c>
      <c r="G499" s="7">
        <v>1913.5572</v>
      </c>
      <c r="H499" s="7">
        <v>1941.0266999999999</v>
      </c>
      <c r="I499" s="7">
        <v>1956.39</v>
      </c>
      <c r="J499" s="8">
        <v>0.2147</v>
      </c>
      <c r="K499" s="7">
        <v>0.4909</v>
      </c>
      <c r="L499" s="7">
        <v>0.68869999999999998</v>
      </c>
      <c r="M499" s="8">
        <v>38.430100000000003</v>
      </c>
      <c r="N499" s="8">
        <v>-14.602</v>
      </c>
      <c r="O499" s="7">
        <v>-14.264799999999999</v>
      </c>
      <c r="P499" s="7">
        <v>1972.9369999999999</v>
      </c>
      <c r="Q499" s="7">
        <v>1892.6229000000001</v>
      </c>
      <c r="R499" s="7" t="str">
        <f t="shared" si="106"/>
        <v>Down</v>
      </c>
      <c r="S499" s="7" t="str">
        <f t="shared" si="107"/>
        <v>Hold</v>
      </c>
      <c r="T499" s="8">
        <f t="shared" si="108"/>
        <v>0.15632514880952372</v>
      </c>
      <c r="U499" s="18">
        <f t="shared" si="109"/>
        <v>2943103</v>
      </c>
      <c r="V499" s="7">
        <f t="shared" si="110"/>
        <v>5586.2002000000002</v>
      </c>
      <c r="W499" s="7">
        <f t="shared" si="111"/>
        <v>1809.4</v>
      </c>
      <c r="X499" s="7">
        <f t="shared" si="112"/>
        <v>1913.4</v>
      </c>
      <c r="Y499" s="7">
        <f t="shared" si="113"/>
        <v>285</v>
      </c>
      <c r="Z499" s="7">
        <f t="shared" si="114"/>
        <v>974751</v>
      </c>
      <c r="AA499" s="7" t="str">
        <f t="shared" si="115"/>
        <v>07-Jul-2023</v>
      </c>
      <c r="AB499" s="7">
        <f t="shared" si="116"/>
        <v>1913.4</v>
      </c>
      <c r="AC499" s="7">
        <f t="shared" si="120"/>
        <v>1</v>
      </c>
      <c r="AD499" s="7">
        <f t="shared" si="117"/>
        <v>2023</v>
      </c>
      <c r="AE499" s="19">
        <f t="shared" si="118"/>
        <v>0.21</v>
      </c>
      <c r="BA499" s="10">
        <f t="shared" si="119"/>
        <v>26.997800000000002</v>
      </c>
    </row>
    <row r="500" spans="1:53" x14ac:dyDescent="0.3">
      <c r="A500" s="17">
        <v>45117</v>
      </c>
      <c r="B500" s="8">
        <v>1925</v>
      </c>
      <c r="C500" s="7">
        <v>1926.1</v>
      </c>
      <c r="D500" s="7">
        <v>1912.3</v>
      </c>
      <c r="E500" s="7">
        <v>1923.6</v>
      </c>
      <c r="F500" s="18">
        <v>269</v>
      </c>
      <c r="G500" s="7">
        <v>1915.1713999999999</v>
      </c>
      <c r="H500" s="7">
        <v>1939.3</v>
      </c>
      <c r="I500" s="7">
        <v>1957.6732999999999</v>
      </c>
      <c r="J500" s="8">
        <v>0.53310000000000002</v>
      </c>
      <c r="K500" s="7">
        <v>0.44119999999999998</v>
      </c>
      <c r="L500" s="7">
        <v>0.69689999999999996</v>
      </c>
      <c r="M500" s="8">
        <v>33.244700000000002</v>
      </c>
      <c r="N500" s="8">
        <v>-13.359400000000001</v>
      </c>
      <c r="O500" s="7">
        <v>-14.0837</v>
      </c>
      <c r="P500" s="7">
        <v>1971.8427999999999</v>
      </c>
      <c r="Q500" s="7">
        <v>1891.7572</v>
      </c>
      <c r="R500" s="7" t="str">
        <f t="shared" si="106"/>
        <v>Down</v>
      </c>
      <c r="S500" s="7" t="str">
        <f t="shared" si="107"/>
        <v>Hold</v>
      </c>
      <c r="T500" s="8">
        <f t="shared" si="108"/>
        <v>0.1562381520119224</v>
      </c>
      <c r="U500" s="18">
        <f t="shared" si="109"/>
        <v>2943042</v>
      </c>
      <c r="V500" s="7">
        <f t="shared" si="110"/>
        <v>5586.2002000000002</v>
      </c>
      <c r="W500" s="7">
        <f t="shared" si="111"/>
        <v>1809.4</v>
      </c>
      <c r="X500" s="7">
        <f t="shared" si="112"/>
        <v>1923.6</v>
      </c>
      <c r="Y500" s="7">
        <f t="shared" si="113"/>
        <v>285</v>
      </c>
      <c r="Z500" s="7">
        <f t="shared" si="114"/>
        <v>974751</v>
      </c>
      <c r="AA500" s="7" t="str">
        <f t="shared" si="115"/>
        <v>10-Jul-2023</v>
      </c>
      <c r="AB500" s="7">
        <f t="shared" si="116"/>
        <v>1923.6</v>
      </c>
      <c r="AC500" s="7">
        <f t="shared" si="120"/>
        <v>1</v>
      </c>
      <c r="AD500" s="7">
        <f t="shared" si="117"/>
        <v>2023</v>
      </c>
      <c r="AE500" s="19">
        <f t="shared" si="118"/>
        <v>0.53</v>
      </c>
      <c r="BA500" s="10">
        <f t="shared" si="119"/>
        <v>26.997800000000002</v>
      </c>
    </row>
    <row r="501" spans="1:53" x14ac:dyDescent="0.3">
      <c r="A501" s="17">
        <v>45118</v>
      </c>
      <c r="B501" s="8">
        <v>1931.3</v>
      </c>
      <c r="C501" s="7">
        <v>1937</v>
      </c>
      <c r="D501" s="7">
        <v>1924.2</v>
      </c>
      <c r="E501" s="7">
        <v>1925</v>
      </c>
      <c r="F501" s="18">
        <v>142</v>
      </c>
      <c r="G501" s="7">
        <v>1917.3286000000001</v>
      </c>
      <c r="H501" s="7">
        <v>1938.6967</v>
      </c>
      <c r="I501" s="7">
        <v>1958.7610999999999</v>
      </c>
      <c r="J501" s="8">
        <v>7.2800000000000004E-2</v>
      </c>
      <c r="K501" s="7">
        <v>0.43169999999999997</v>
      </c>
      <c r="L501" s="7">
        <v>0.63290000000000002</v>
      </c>
      <c r="M501" s="8">
        <v>34.919199999999996</v>
      </c>
      <c r="N501" s="8">
        <v>-12.122</v>
      </c>
      <c r="O501" s="7">
        <v>-13.6914</v>
      </c>
      <c r="P501" s="7">
        <v>1966.7109</v>
      </c>
      <c r="Q501" s="7">
        <v>1892.8791000000001</v>
      </c>
      <c r="R501" s="7" t="str">
        <f t="shared" si="106"/>
        <v>Down</v>
      </c>
      <c r="S501" s="7" t="str">
        <f t="shared" si="107"/>
        <v>Hold</v>
      </c>
      <c r="T501" s="8">
        <f t="shared" si="108"/>
        <v>0.15567567164179094</v>
      </c>
      <c r="U501" s="18">
        <f t="shared" si="109"/>
        <v>2942773</v>
      </c>
      <c r="V501" s="7">
        <f t="shared" si="110"/>
        <v>5586.2002000000002</v>
      </c>
      <c r="W501" s="7">
        <f t="shared" si="111"/>
        <v>1809.4</v>
      </c>
      <c r="X501" s="7">
        <f t="shared" si="112"/>
        <v>1925</v>
      </c>
      <c r="Y501" s="7">
        <f t="shared" si="113"/>
        <v>285</v>
      </c>
      <c r="Z501" s="7">
        <f t="shared" si="114"/>
        <v>974751</v>
      </c>
      <c r="AA501" s="7" t="str">
        <f t="shared" si="115"/>
        <v>11-Jul-2023</v>
      </c>
      <c r="AB501" s="7">
        <f t="shared" si="116"/>
        <v>1925</v>
      </c>
      <c r="AC501" s="7">
        <f t="shared" si="120"/>
        <v>1</v>
      </c>
      <c r="AD501" s="7">
        <f t="shared" si="117"/>
        <v>2023</v>
      </c>
      <c r="AE501" s="19">
        <f t="shared" si="118"/>
        <v>7.0000000000000007E-2</v>
      </c>
      <c r="BA501" s="10">
        <f t="shared" si="119"/>
        <v>26.997800000000002</v>
      </c>
    </row>
    <row r="502" spans="1:53" x14ac:dyDescent="0.3">
      <c r="A502" s="17">
        <v>45119</v>
      </c>
      <c r="B502" s="8">
        <v>1956.2</v>
      </c>
      <c r="C502" s="7">
        <v>1958</v>
      </c>
      <c r="D502" s="7">
        <v>1932.2</v>
      </c>
      <c r="E502" s="7">
        <v>1932.3</v>
      </c>
      <c r="F502" s="18">
        <v>132</v>
      </c>
      <c r="G502" s="7">
        <v>1920.7143000000001</v>
      </c>
      <c r="H502" s="7">
        <v>1938.1667</v>
      </c>
      <c r="I502" s="7">
        <v>1959.8978</v>
      </c>
      <c r="J502" s="8">
        <v>0.37919999999999998</v>
      </c>
      <c r="K502" s="7">
        <v>0.43340000000000001</v>
      </c>
      <c r="L502" s="7">
        <v>0.6351</v>
      </c>
      <c r="M502" s="8">
        <v>48.2759</v>
      </c>
      <c r="N502" s="8">
        <v>-10.432</v>
      </c>
      <c r="O502" s="7">
        <v>-13.0395</v>
      </c>
      <c r="P502" s="7">
        <v>1962.6</v>
      </c>
      <c r="Q502" s="7">
        <v>1894.25</v>
      </c>
      <c r="R502" s="7" t="str">
        <f t="shared" si="106"/>
        <v>Down</v>
      </c>
      <c r="S502" s="7" t="str">
        <f t="shared" si="107"/>
        <v>Hold</v>
      </c>
      <c r="T502" s="8">
        <f t="shared" si="108"/>
        <v>0.15579955156950662</v>
      </c>
      <c r="U502" s="18">
        <f t="shared" si="109"/>
        <v>2942631</v>
      </c>
      <c r="V502" s="7">
        <f t="shared" si="110"/>
        <v>5586.2002000000002</v>
      </c>
      <c r="W502" s="7">
        <f t="shared" si="111"/>
        <v>1809.4</v>
      </c>
      <c r="X502" s="7">
        <f t="shared" si="112"/>
        <v>1932.3</v>
      </c>
      <c r="Y502" s="7">
        <f t="shared" si="113"/>
        <v>285</v>
      </c>
      <c r="Z502" s="7">
        <f t="shared" si="114"/>
        <v>974751</v>
      </c>
      <c r="AA502" s="7" t="str">
        <f t="shared" si="115"/>
        <v>12-Jul-2023</v>
      </c>
      <c r="AB502" s="7">
        <f t="shared" si="116"/>
        <v>1932.3</v>
      </c>
      <c r="AC502" s="7">
        <f t="shared" si="120"/>
        <v>1</v>
      </c>
      <c r="AD502" s="7">
        <f t="shared" si="117"/>
        <v>2023</v>
      </c>
      <c r="AE502" s="19">
        <f t="shared" si="118"/>
        <v>0.38</v>
      </c>
      <c r="BA502" s="10">
        <f t="shared" si="119"/>
        <v>26.997800000000002</v>
      </c>
    </row>
    <row r="503" spans="1:53" x14ac:dyDescent="0.3">
      <c r="A503" s="17">
        <v>45120</v>
      </c>
      <c r="B503" s="8">
        <v>1959.2</v>
      </c>
      <c r="C503" s="7">
        <v>1961.1</v>
      </c>
      <c r="D503" s="7">
        <v>1953</v>
      </c>
      <c r="E503" s="7">
        <v>1961.1</v>
      </c>
      <c r="F503" s="18">
        <v>121</v>
      </c>
      <c r="G503" s="7">
        <v>1926.8857</v>
      </c>
      <c r="H503" s="7">
        <v>1938.78</v>
      </c>
      <c r="I503" s="7">
        <v>1961.2733000000001</v>
      </c>
      <c r="J503" s="8">
        <v>1.4903999999999999</v>
      </c>
      <c r="K503" s="7">
        <v>0.65980000000000005</v>
      </c>
      <c r="L503" s="7">
        <v>0.69040000000000001</v>
      </c>
      <c r="M503" s="8">
        <v>68.870500000000007</v>
      </c>
      <c r="N503" s="8">
        <v>-6.6916000000000002</v>
      </c>
      <c r="O503" s="7">
        <v>-11.7699</v>
      </c>
      <c r="P503" s="7">
        <v>1962.7247</v>
      </c>
      <c r="Q503" s="7">
        <v>1894.1753000000001</v>
      </c>
      <c r="R503" s="7" t="str">
        <f t="shared" si="106"/>
        <v>Up</v>
      </c>
      <c r="S503" s="7" t="str">
        <f t="shared" si="107"/>
        <v>Hold</v>
      </c>
      <c r="T503" s="8">
        <f t="shared" si="108"/>
        <v>0.15546511976047889</v>
      </c>
      <c r="U503" s="18">
        <f t="shared" si="109"/>
        <v>2942499</v>
      </c>
      <c r="V503" s="7">
        <f t="shared" si="110"/>
        <v>5586.2002000000002</v>
      </c>
      <c r="W503" s="7">
        <f t="shared" si="111"/>
        <v>1809.4</v>
      </c>
      <c r="X503" s="7">
        <f t="shared" si="112"/>
        <v>1961.1</v>
      </c>
      <c r="Y503" s="7">
        <f t="shared" si="113"/>
        <v>285</v>
      </c>
      <c r="Z503" s="7">
        <f t="shared" si="114"/>
        <v>974751</v>
      </c>
      <c r="AA503" s="7" t="str">
        <f t="shared" si="115"/>
        <v>13-Jul-2023</v>
      </c>
      <c r="AB503" s="7">
        <f t="shared" si="116"/>
        <v>1961.1</v>
      </c>
      <c r="AC503" s="7">
        <f t="shared" si="120"/>
        <v>1</v>
      </c>
      <c r="AD503" s="7">
        <f t="shared" si="117"/>
        <v>2023</v>
      </c>
      <c r="AE503" s="19">
        <f t="shared" si="118"/>
        <v>1.49</v>
      </c>
      <c r="BA503" s="10">
        <f t="shared" si="119"/>
        <v>26.997800000000002</v>
      </c>
    </row>
    <row r="504" spans="1:53" x14ac:dyDescent="0.3">
      <c r="A504" s="17">
        <v>45121</v>
      </c>
      <c r="B504" s="8">
        <v>1960.1</v>
      </c>
      <c r="C504" s="7">
        <v>1960.6</v>
      </c>
      <c r="D504" s="7">
        <v>1952.7</v>
      </c>
      <c r="E504" s="7">
        <v>1958.4</v>
      </c>
      <c r="F504" s="18">
        <v>94</v>
      </c>
      <c r="G504" s="7">
        <v>1931.8714</v>
      </c>
      <c r="H504" s="7">
        <v>1938.7867000000001</v>
      </c>
      <c r="I504" s="7">
        <v>1962.4411</v>
      </c>
      <c r="J504" s="8">
        <v>-0.13769999999999999</v>
      </c>
      <c r="K504" s="7">
        <v>0.6825</v>
      </c>
      <c r="L504" s="7">
        <v>0.67569999999999997</v>
      </c>
      <c r="M504" s="8">
        <v>67.996399999999994</v>
      </c>
      <c r="N504" s="8">
        <v>-3.9001999999999999</v>
      </c>
      <c r="O504" s="7">
        <v>-10.196</v>
      </c>
      <c r="P504" s="7">
        <v>1965.0559000000001</v>
      </c>
      <c r="Q504" s="7">
        <v>1893.0641000000001</v>
      </c>
      <c r="R504" s="7" t="str">
        <f t="shared" si="106"/>
        <v>Down</v>
      </c>
      <c r="S504" s="7" t="str">
        <f t="shared" si="107"/>
        <v>Hold</v>
      </c>
      <c r="T504" s="8">
        <f t="shared" si="108"/>
        <v>0.15346371814092935</v>
      </c>
      <c r="U504" s="18">
        <f t="shared" si="109"/>
        <v>2942378</v>
      </c>
      <c r="V504" s="7">
        <f t="shared" si="110"/>
        <v>5586.2002000000002</v>
      </c>
      <c r="W504" s="7">
        <f t="shared" si="111"/>
        <v>1809.4</v>
      </c>
      <c r="X504" s="7">
        <f t="shared" si="112"/>
        <v>1958.4</v>
      </c>
      <c r="Y504" s="7">
        <f t="shared" si="113"/>
        <v>284</v>
      </c>
      <c r="Z504" s="7">
        <f t="shared" si="114"/>
        <v>974630</v>
      </c>
      <c r="AA504" s="7" t="str">
        <f t="shared" si="115"/>
        <v>14-Jul-2023</v>
      </c>
      <c r="AB504" s="7">
        <f t="shared" si="116"/>
        <v>1958.4</v>
      </c>
      <c r="AC504" s="7">
        <f t="shared" si="120"/>
        <v>1</v>
      </c>
      <c r="AD504" s="7">
        <f t="shared" si="117"/>
        <v>2023</v>
      </c>
      <c r="AE504" s="19">
        <f t="shared" si="118"/>
        <v>-0.14000000000000001</v>
      </c>
      <c r="BA504" s="10">
        <f t="shared" si="119"/>
        <v>26.997800000000002</v>
      </c>
    </row>
    <row r="505" spans="1:53" x14ac:dyDescent="0.3">
      <c r="A505" s="17">
        <v>45124</v>
      </c>
      <c r="B505" s="8">
        <v>1952.4</v>
      </c>
      <c r="C505" s="7">
        <v>1956.5</v>
      </c>
      <c r="D505" s="7">
        <v>1946.6</v>
      </c>
      <c r="E505" s="7">
        <v>1954</v>
      </c>
      <c r="F505" s="18">
        <v>29</v>
      </c>
      <c r="G505" s="7">
        <v>1938.2571</v>
      </c>
      <c r="H505" s="7">
        <v>1938.48</v>
      </c>
      <c r="I505" s="7">
        <v>1963.6977999999999</v>
      </c>
      <c r="J505" s="8">
        <v>-0.22470000000000001</v>
      </c>
      <c r="K505" s="7">
        <v>0.57679999999999998</v>
      </c>
      <c r="L505" s="7">
        <v>0.67520000000000002</v>
      </c>
      <c r="M505" s="8">
        <v>64.072400000000002</v>
      </c>
      <c r="N505" s="8">
        <v>-2.0198</v>
      </c>
      <c r="O505" s="7">
        <v>-8.5607000000000006</v>
      </c>
      <c r="P505" s="7">
        <v>1966.9767999999999</v>
      </c>
      <c r="Q505" s="7">
        <v>1892.3732</v>
      </c>
      <c r="R505" s="7" t="str">
        <f t="shared" si="106"/>
        <v>Up</v>
      </c>
      <c r="S505" s="7" t="str">
        <f t="shared" si="107"/>
        <v>Hold</v>
      </c>
      <c r="T505" s="8">
        <f t="shared" si="108"/>
        <v>0.15390090090090075</v>
      </c>
      <c r="U505" s="18">
        <f t="shared" si="109"/>
        <v>2942284</v>
      </c>
      <c r="V505" s="7">
        <f t="shared" si="110"/>
        <v>5586.2002000000002</v>
      </c>
      <c r="W505" s="7">
        <f t="shared" si="111"/>
        <v>1809.4</v>
      </c>
      <c r="X505" s="7">
        <f t="shared" si="112"/>
        <v>1954</v>
      </c>
      <c r="Y505" s="7">
        <f t="shared" si="113"/>
        <v>284</v>
      </c>
      <c r="Z505" s="7">
        <f t="shared" si="114"/>
        <v>974630</v>
      </c>
      <c r="AA505" s="7" t="str">
        <f t="shared" si="115"/>
        <v>17-Jul-2023</v>
      </c>
      <c r="AB505" s="7">
        <f t="shared" si="116"/>
        <v>1954</v>
      </c>
      <c r="AC505" s="7">
        <f t="shared" si="120"/>
        <v>1</v>
      </c>
      <c r="AD505" s="7">
        <f t="shared" si="117"/>
        <v>2023</v>
      </c>
      <c r="AE505" s="19">
        <f t="shared" si="118"/>
        <v>-0.22</v>
      </c>
      <c r="BA505" s="10">
        <f t="shared" si="119"/>
        <v>26.997800000000002</v>
      </c>
    </row>
    <row r="506" spans="1:53" x14ac:dyDescent="0.3">
      <c r="A506" s="17">
        <v>45125</v>
      </c>
      <c r="B506" s="8">
        <v>1977.2</v>
      </c>
      <c r="C506" s="7">
        <v>1978.4</v>
      </c>
      <c r="D506" s="7">
        <v>1963.4</v>
      </c>
      <c r="E506" s="7">
        <v>1968.8</v>
      </c>
      <c r="F506" s="18">
        <v>83</v>
      </c>
      <c r="G506" s="7">
        <v>1946.1713999999999</v>
      </c>
      <c r="H506" s="7">
        <v>1938.2032999999999</v>
      </c>
      <c r="I506" s="7">
        <v>1965.4444000000001</v>
      </c>
      <c r="J506" s="8">
        <v>0.75739999999999996</v>
      </c>
      <c r="K506" s="7">
        <v>0.59450000000000003</v>
      </c>
      <c r="L506" s="7">
        <v>0.67700000000000005</v>
      </c>
      <c r="M506" s="8">
        <v>67.244299999999996</v>
      </c>
      <c r="N506" s="8">
        <v>0.65710000000000002</v>
      </c>
      <c r="O506" s="7">
        <v>-6.7172000000000001</v>
      </c>
      <c r="P506" s="7">
        <v>1968.7906</v>
      </c>
      <c r="Q506" s="7">
        <v>1891.2994000000001</v>
      </c>
      <c r="R506" s="7" t="str">
        <f t="shared" si="106"/>
        <v>Down</v>
      </c>
      <c r="S506" s="7" t="str">
        <f t="shared" si="107"/>
        <v>Hold</v>
      </c>
      <c r="T506" s="8">
        <f t="shared" si="108"/>
        <v>0.1544702255639096</v>
      </c>
      <c r="U506" s="18">
        <f t="shared" si="109"/>
        <v>2942255</v>
      </c>
      <c r="V506" s="7">
        <f t="shared" si="110"/>
        <v>5586.2002000000002</v>
      </c>
      <c r="W506" s="7">
        <f t="shared" si="111"/>
        <v>1809.4</v>
      </c>
      <c r="X506" s="7">
        <f t="shared" si="112"/>
        <v>1968.8</v>
      </c>
      <c r="Y506" s="7">
        <f t="shared" si="113"/>
        <v>283</v>
      </c>
      <c r="Z506" s="7">
        <f t="shared" si="114"/>
        <v>974601</v>
      </c>
      <c r="AA506" s="7" t="str">
        <f t="shared" si="115"/>
        <v>18-Jul-2023</v>
      </c>
      <c r="AB506" s="7">
        <f t="shared" si="116"/>
        <v>1968.8</v>
      </c>
      <c r="AC506" s="7">
        <f t="shared" si="120"/>
        <v>1</v>
      </c>
      <c r="AD506" s="7">
        <f t="shared" si="117"/>
        <v>2023</v>
      </c>
      <c r="AE506" s="19">
        <f t="shared" si="118"/>
        <v>0.76</v>
      </c>
      <c r="BA506" s="10">
        <f t="shared" si="119"/>
        <v>26.997800000000002</v>
      </c>
    </row>
    <row r="507" spans="1:53" x14ac:dyDescent="0.3">
      <c r="A507" s="17">
        <v>45126</v>
      </c>
      <c r="B507" s="8">
        <v>1977.5</v>
      </c>
      <c r="C507" s="7">
        <v>1977.5</v>
      </c>
      <c r="D507" s="7">
        <v>1973</v>
      </c>
      <c r="E507" s="7">
        <v>1977</v>
      </c>
      <c r="F507" s="18">
        <v>35</v>
      </c>
      <c r="G507" s="7">
        <v>1953.8</v>
      </c>
      <c r="H507" s="7">
        <v>1939.1867</v>
      </c>
      <c r="I507" s="7">
        <v>1967.2289000000001</v>
      </c>
      <c r="J507" s="8">
        <v>0.41649999999999998</v>
      </c>
      <c r="K507" s="7">
        <v>0.59209999999999996</v>
      </c>
      <c r="L507" s="7">
        <v>0.62</v>
      </c>
      <c r="M507" s="8">
        <v>78.203999999999994</v>
      </c>
      <c r="N507" s="8">
        <v>3.4011</v>
      </c>
      <c r="O507" s="7">
        <v>-4.6935000000000002</v>
      </c>
      <c r="P507" s="7">
        <v>1973.2753</v>
      </c>
      <c r="Q507" s="7">
        <v>1888.6547</v>
      </c>
      <c r="R507" s="7" t="str">
        <f t="shared" si="106"/>
        <v>Down</v>
      </c>
      <c r="S507" s="7" t="str">
        <f t="shared" si="107"/>
        <v>Sell</v>
      </c>
      <c r="T507" s="8">
        <f t="shared" si="108"/>
        <v>0.15356219879518052</v>
      </c>
      <c r="U507" s="18">
        <f t="shared" si="109"/>
        <v>2942172</v>
      </c>
      <c r="V507" s="7">
        <f t="shared" si="110"/>
        <v>5586.2002000000002</v>
      </c>
      <c r="W507" s="7">
        <f t="shared" si="111"/>
        <v>1809.4</v>
      </c>
      <c r="X507" s="7">
        <f t="shared" si="112"/>
        <v>1977</v>
      </c>
      <c r="Y507" s="7">
        <f t="shared" si="113"/>
        <v>283</v>
      </c>
      <c r="Z507" s="7">
        <f t="shared" si="114"/>
        <v>974601</v>
      </c>
      <c r="AA507" s="7" t="str">
        <f t="shared" si="115"/>
        <v>19-Jul-2023</v>
      </c>
      <c r="AB507" s="7">
        <f t="shared" si="116"/>
        <v>1977</v>
      </c>
      <c r="AC507" s="7">
        <f t="shared" si="120"/>
        <v>1</v>
      </c>
      <c r="AD507" s="7">
        <f t="shared" si="117"/>
        <v>2023</v>
      </c>
      <c r="AE507" s="19">
        <f t="shared" si="118"/>
        <v>0.42</v>
      </c>
      <c r="BA507" s="10">
        <f t="shared" si="119"/>
        <v>26.997800000000002</v>
      </c>
    </row>
    <row r="508" spans="1:53" x14ac:dyDescent="0.3">
      <c r="A508" s="17">
        <v>45127</v>
      </c>
      <c r="B508" s="8">
        <v>1968.3</v>
      </c>
      <c r="C508" s="7">
        <v>1973.7</v>
      </c>
      <c r="D508" s="7">
        <v>1965.6</v>
      </c>
      <c r="E508" s="7">
        <v>1973.7</v>
      </c>
      <c r="F508" s="18">
        <v>638</v>
      </c>
      <c r="G508" s="7">
        <v>1960.7571</v>
      </c>
      <c r="H508" s="7">
        <v>1939.6167</v>
      </c>
      <c r="I508" s="7">
        <v>1968.5778</v>
      </c>
      <c r="J508" s="8">
        <v>-0.16689999999999999</v>
      </c>
      <c r="K508" s="7">
        <v>0.62</v>
      </c>
      <c r="L508" s="7">
        <v>0.60950000000000004</v>
      </c>
      <c r="M508" s="8">
        <v>77.595100000000002</v>
      </c>
      <c r="N508" s="8">
        <v>5.2488999999999999</v>
      </c>
      <c r="O508" s="7">
        <v>-2.7050000000000001</v>
      </c>
      <c r="P508" s="7">
        <v>1979.2901999999999</v>
      </c>
      <c r="Q508" s="7">
        <v>1886.4498000000001</v>
      </c>
      <c r="R508" s="7" t="str">
        <f t="shared" si="106"/>
        <v>Up</v>
      </c>
      <c r="S508" s="7" t="str">
        <f t="shared" si="107"/>
        <v>Sell</v>
      </c>
      <c r="T508" s="8">
        <f t="shared" si="108"/>
        <v>0.15316561085972832</v>
      </c>
      <c r="U508" s="18">
        <f t="shared" si="109"/>
        <v>2942137</v>
      </c>
      <c r="V508" s="7">
        <f t="shared" si="110"/>
        <v>5586.2002000000002</v>
      </c>
      <c r="W508" s="7">
        <f t="shared" si="111"/>
        <v>1809.4</v>
      </c>
      <c r="X508" s="7">
        <f t="shared" si="112"/>
        <v>1973.7</v>
      </c>
      <c r="Y508" s="7">
        <f t="shared" si="113"/>
        <v>283</v>
      </c>
      <c r="Z508" s="7">
        <f t="shared" si="114"/>
        <v>974601</v>
      </c>
      <c r="AA508" s="7" t="str">
        <f t="shared" si="115"/>
        <v>20-Jul-2023</v>
      </c>
      <c r="AB508" s="7">
        <f t="shared" si="116"/>
        <v>1973.7</v>
      </c>
      <c r="AC508" s="7">
        <f t="shared" si="120"/>
        <v>1</v>
      </c>
      <c r="AD508" s="7">
        <f t="shared" si="117"/>
        <v>2023</v>
      </c>
      <c r="AE508" s="19">
        <f t="shared" si="118"/>
        <v>-0.17</v>
      </c>
      <c r="BA508" s="10">
        <f t="shared" si="119"/>
        <v>26.997800000000002</v>
      </c>
    </row>
    <row r="509" spans="1:53" x14ac:dyDescent="0.3">
      <c r="A509" s="17">
        <v>45128</v>
      </c>
      <c r="B509" s="8">
        <v>1964.3</v>
      </c>
      <c r="C509" s="7">
        <v>1964.3</v>
      </c>
      <c r="D509" s="7">
        <v>1961.8</v>
      </c>
      <c r="E509" s="7">
        <v>1961.8</v>
      </c>
      <c r="F509" s="18">
        <v>50</v>
      </c>
      <c r="G509" s="7">
        <v>1964.9713999999999</v>
      </c>
      <c r="H509" s="7">
        <v>1939.71</v>
      </c>
      <c r="I509" s="7">
        <v>1969.3667</v>
      </c>
      <c r="J509" s="8">
        <v>-0.60289999999999999</v>
      </c>
      <c r="K509" s="7">
        <v>0.71809999999999996</v>
      </c>
      <c r="L509" s="7">
        <v>0.61990000000000001</v>
      </c>
      <c r="M509" s="8">
        <v>71.077699999999993</v>
      </c>
      <c r="N509" s="8">
        <v>5.6875</v>
      </c>
      <c r="O509" s="7">
        <v>-1.0265</v>
      </c>
      <c r="P509" s="7">
        <v>1982.6859999999999</v>
      </c>
      <c r="Q509" s="7">
        <v>1887.2339999999999</v>
      </c>
      <c r="R509" s="7" t="str">
        <f t="shared" si="106"/>
        <v>Down</v>
      </c>
      <c r="S509" s="7" t="str">
        <f t="shared" si="107"/>
        <v>Sell</v>
      </c>
      <c r="T509" s="8">
        <f t="shared" si="108"/>
        <v>0.15364909365558896</v>
      </c>
      <c r="U509" s="18">
        <f t="shared" si="109"/>
        <v>2941499</v>
      </c>
      <c r="V509" s="7">
        <f t="shared" si="110"/>
        <v>5586.2002000000002</v>
      </c>
      <c r="W509" s="7">
        <f t="shared" si="111"/>
        <v>1809.4</v>
      </c>
      <c r="X509" s="7">
        <f t="shared" si="112"/>
        <v>1961.8</v>
      </c>
      <c r="Y509" s="7">
        <f t="shared" si="113"/>
        <v>282</v>
      </c>
      <c r="Z509" s="7">
        <f t="shared" si="114"/>
        <v>973963</v>
      </c>
      <c r="AA509" s="7" t="str">
        <f t="shared" si="115"/>
        <v>21-Jul-2023</v>
      </c>
      <c r="AB509" s="7">
        <f t="shared" si="116"/>
        <v>1961.8</v>
      </c>
      <c r="AC509" s="7">
        <f t="shared" si="120"/>
        <v>1</v>
      </c>
      <c r="AD509" s="7">
        <f t="shared" si="117"/>
        <v>2023</v>
      </c>
      <c r="AE509" s="19">
        <f t="shared" si="118"/>
        <v>-0.6</v>
      </c>
      <c r="BA509" s="10">
        <f t="shared" si="119"/>
        <v>26.997800000000002</v>
      </c>
    </row>
    <row r="510" spans="1:53" x14ac:dyDescent="0.3">
      <c r="A510" s="17">
        <v>45131</v>
      </c>
      <c r="B510" s="8">
        <v>1960.3</v>
      </c>
      <c r="C510" s="7">
        <v>1965.5</v>
      </c>
      <c r="D510" s="7">
        <v>1960.3</v>
      </c>
      <c r="E510" s="7">
        <v>1965.3</v>
      </c>
      <c r="F510" s="18">
        <v>2</v>
      </c>
      <c r="G510" s="7">
        <v>1965.5714</v>
      </c>
      <c r="H510" s="7">
        <v>1940.4467</v>
      </c>
      <c r="I510" s="7">
        <v>1969.9567</v>
      </c>
      <c r="J510" s="8">
        <v>0.1784</v>
      </c>
      <c r="K510" s="7">
        <v>0.45329999999999998</v>
      </c>
      <c r="L510" s="7">
        <v>0.60119999999999996</v>
      </c>
      <c r="M510" s="8">
        <v>69.684399999999997</v>
      </c>
      <c r="N510" s="8">
        <v>6.2454999999999998</v>
      </c>
      <c r="O510" s="7">
        <v>0.4279</v>
      </c>
      <c r="P510" s="7">
        <v>1986.2088000000001</v>
      </c>
      <c r="Q510" s="7">
        <v>1888.3712</v>
      </c>
      <c r="R510" s="7" t="str">
        <f t="shared" si="106"/>
        <v>Up</v>
      </c>
      <c r="S510" s="7" t="str">
        <f t="shared" si="107"/>
        <v>Hold</v>
      </c>
      <c r="T510" s="8">
        <f t="shared" si="108"/>
        <v>0.15479364599092268</v>
      </c>
      <c r="U510" s="18">
        <f t="shared" si="109"/>
        <v>2941449</v>
      </c>
      <c r="V510" s="7">
        <f t="shared" si="110"/>
        <v>5586.2002000000002</v>
      </c>
      <c r="W510" s="7">
        <f t="shared" si="111"/>
        <v>1809.4</v>
      </c>
      <c r="X510" s="7">
        <f t="shared" si="112"/>
        <v>1965.3</v>
      </c>
      <c r="Y510" s="7">
        <f t="shared" si="113"/>
        <v>282</v>
      </c>
      <c r="Z510" s="7">
        <f t="shared" si="114"/>
        <v>973963</v>
      </c>
      <c r="AA510" s="7" t="str">
        <f t="shared" si="115"/>
        <v>24-Jul-2023</v>
      </c>
      <c r="AB510" s="7">
        <f t="shared" si="116"/>
        <v>1965.3</v>
      </c>
      <c r="AC510" s="7">
        <f t="shared" si="120"/>
        <v>1</v>
      </c>
      <c r="AD510" s="7">
        <f t="shared" si="117"/>
        <v>2023</v>
      </c>
      <c r="AE510" s="19">
        <f t="shared" si="118"/>
        <v>0.18</v>
      </c>
      <c r="BA510" s="10">
        <f t="shared" si="119"/>
        <v>26.997800000000002</v>
      </c>
    </row>
    <row r="511" spans="1:53" x14ac:dyDescent="0.3">
      <c r="A511" s="17">
        <v>45132</v>
      </c>
      <c r="B511" s="8">
        <v>1962.1</v>
      </c>
      <c r="C511" s="7">
        <v>1962.5</v>
      </c>
      <c r="D511" s="7">
        <v>1953</v>
      </c>
      <c r="E511" s="7">
        <v>1953</v>
      </c>
      <c r="F511" s="18">
        <v>19</v>
      </c>
      <c r="G511" s="7">
        <v>1964.8</v>
      </c>
      <c r="H511" s="7">
        <v>1940.0433</v>
      </c>
      <c r="I511" s="7">
        <v>1970.5021999999999</v>
      </c>
      <c r="J511" s="8">
        <v>-0.62590000000000001</v>
      </c>
      <c r="K511" s="7">
        <v>0.51680000000000004</v>
      </c>
      <c r="L511" s="7">
        <v>0.57650000000000001</v>
      </c>
      <c r="M511" s="8">
        <v>61.604999999999997</v>
      </c>
      <c r="N511" s="8">
        <v>5.6303000000000001</v>
      </c>
      <c r="O511" s="7">
        <v>1.4683999999999999</v>
      </c>
      <c r="P511" s="7">
        <v>1987.7018</v>
      </c>
      <c r="Q511" s="7">
        <v>1889.8882000000001</v>
      </c>
      <c r="R511" s="7" t="str">
        <f t="shared" si="106"/>
        <v>Down</v>
      </c>
      <c r="S511" s="7" t="str">
        <f t="shared" si="107"/>
        <v>Hold</v>
      </c>
      <c r="T511" s="8">
        <f t="shared" si="108"/>
        <v>0.15475787878787861</v>
      </c>
      <c r="U511" s="18">
        <f t="shared" si="109"/>
        <v>2941447</v>
      </c>
      <c r="V511" s="7">
        <f t="shared" si="110"/>
        <v>5586.2002000000002</v>
      </c>
      <c r="W511" s="7">
        <f t="shared" si="111"/>
        <v>1809.4</v>
      </c>
      <c r="X511" s="7">
        <f t="shared" si="112"/>
        <v>1953</v>
      </c>
      <c r="Y511" s="7">
        <f t="shared" si="113"/>
        <v>281</v>
      </c>
      <c r="Z511" s="7">
        <f t="shared" si="114"/>
        <v>973961</v>
      </c>
      <c r="AA511" s="7" t="str">
        <f t="shared" si="115"/>
        <v>25-Jul-2023</v>
      </c>
      <c r="AB511" s="7">
        <f t="shared" si="116"/>
        <v>1953</v>
      </c>
      <c r="AC511" s="7">
        <f t="shared" si="120"/>
        <v>1</v>
      </c>
      <c r="AD511" s="7">
        <f t="shared" si="117"/>
        <v>2023</v>
      </c>
      <c r="AE511" s="19">
        <f t="shared" si="118"/>
        <v>-0.63</v>
      </c>
      <c r="BA511" s="10">
        <f t="shared" si="119"/>
        <v>26.997800000000002</v>
      </c>
    </row>
    <row r="512" spans="1:53" x14ac:dyDescent="0.3">
      <c r="A512" s="17">
        <v>45133</v>
      </c>
      <c r="B512" s="8">
        <v>1968.9</v>
      </c>
      <c r="C512" s="7">
        <v>1972</v>
      </c>
      <c r="D512" s="7">
        <v>1966.2</v>
      </c>
      <c r="E512" s="7">
        <v>1966.2</v>
      </c>
      <c r="F512" s="18">
        <v>51</v>
      </c>
      <c r="G512" s="7">
        <v>1966.5428999999999</v>
      </c>
      <c r="H512" s="7">
        <v>1940.26</v>
      </c>
      <c r="I512" s="7">
        <v>1971.1278</v>
      </c>
      <c r="J512" s="8">
        <v>0.67589999999999995</v>
      </c>
      <c r="K512" s="7">
        <v>0.57179999999999997</v>
      </c>
      <c r="L512" s="7">
        <v>0.58799999999999997</v>
      </c>
      <c r="M512" s="8">
        <v>72.561400000000006</v>
      </c>
      <c r="N512" s="8">
        <v>6.1372</v>
      </c>
      <c r="O512" s="7">
        <v>2.4020999999999999</v>
      </c>
      <c r="P512" s="7">
        <v>1990.8001999999999</v>
      </c>
      <c r="Q512" s="7">
        <v>1890.7098000000001</v>
      </c>
      <c r="R512" s="7" t="str">
        <f t="shared" si="106"/>
        <v>Down</v>
      </c>
      <c r="S512" s="7" t="str">
        <f t="shared" si="107"/>
        <v>Sell</v>
      </c>
      <c r="T512" s="8">
        <f t="shared" si="108"/>
        <v>0.15594248861911975</v>
      </c>
      <c r="U512" s="18">
        <f t="shared" si="109"/>
        <v>2941428</v>
      </c>
      <c r="V512" s="7">
        <f t="shared" si="110"/>
        <v>5586.2002000000002</v>
      </c>
      <c r="W512" s="7">
        <f t="shared" si="111"/>
        <v>1809.4</v>
      </c>
      <c r="X512" s="7">
        <f t="shared" si="112"/>
        <v>1966.2</v>
      </c>
      <c r="Y512" s="7">
        <f t="shared" si="113"/>
        <v>281</v>
      </c>
      <c r="Z512" s="7">
        <f t="shared" si="114"/>
        <v>973961</v>
      </c>
      <c r="AA512" s="7" t="str">
        <f t="shared" si="115"/>
        <v>26-Jul-2023</v>
      </c>
      <c r="AB512" s="7">
        <f t="shared" si="116"/>
        <v>1966.2</v>
      </c>
      <c r="AC512" s="7">
        <f t="shared" si="120"/>
        <v>1</v>
      </c>
      <c r="AD512" s="7">
        <f t="shared" si="117"/>
        <v>2023</v>
      </c>
      <c r="AE512" s="19">
        <f t="shared" si="118"/>
        <v>0.68</v>
      </c>
      <c r="BA512" s="10">
        <f t="shared" si="119"/>
        <v>26.997800000000002</v>
      </c>
    </row>
    <row r="513" spans="1:53" x14ac:dyDescent="0.3">
      <c r="A513" s="17">
        <v>45134</v>
      </c>
      <c r="B513" s="8">
        <v>1945.4</v>
      </c>
      <c r="C513" s="7">
        <v>1945.4</v>
      </c>
      <c r="D513" s="7">
        <v>1945.4</v>
      </c>
      <c r="E513" s="7">
        <v>1945.4</v>
      </c>
      <c r="F513" s="18">
        <v>194253</v>
      </c>
      <c r="G513" s="7">
        <v>1963.2</v>
      </c>
      <c r="H513" s="7">
        <v>1939.7533000000001</v>
      </c>
      <c r="I513" s="7">
        <v>1971.1211000000001</v>
      </c>
      <c r="J513" s="8">
        <v>-1.0579000000000001</v>
      </c>
      <c r="K513" s="7">
        <v>0.62780000000000002</v>
      </c>
      <c r="L513" s="7">
        <v>0.61950000000000005</v>
      </c>
      <c r="M513" s="8">
        <v>61.204500000000003</v>
      </c>
      <c r="N513" s="8">
        <v>4.8051000000000004</v>
      </c>
      <c r="O513" s="7">
        <v>2.8826999999999998</v>
      </c>
      <c r="P513" s="7">
        <v>1990.6496999999999</v>
      </c>
      <c r="Q513" s="7">
        <v>1894.1703</v>
      </c>
      <c r="R513" s="7" t="str">
        <f t="shared" si="106"/>
        <v>Down</v>
      </c>
      <c r="S513" s="7" t="str">
        <f t="shared" si="107"/>
        <v>Hold</v>
      </c>
      <c r="T513" s="8">
        <f t="shared" si="108"/>
        <v>0.15515227963525816</v>
      </c>
      <c r="U513" s="18">
        <f t="shared" si="109"/>
        <v>2941377</v>
      </c>
      <c r="V513" s="7">
        <f t="shared" si="110"/>
        <v>5586.2002000000002</v>
      </c>
      <c r="W513" s="7">
        <f t="shared" si="111"/>
        <v>1809.4</v>
      </c>
      <c r="X513" s="7">
        <f t="shared" si="112"/>
        <v>1945.4</v>
      </c>
      <c r="Y513" s="7">
        <f t="shared" si="113"/>
        <v>281</v>
      </c>
      <c r="Z513" s="7">
        <f t="shared" si="114"/>
        <v>973961</v>
      </c>
      <c r="AA513" s="7" t="str">
        <f t="shared" si="115"/>
        <v>27-Jul-2023</v>
      </c>
      <c r="AB513" s="7">
        <f t="shared" si="116"/>
        <v>1945.4</v>
      </c>
      <c r="AC513" s="7">
        <f t="shared" si="120"/>
        <v>1</v>
      </c>
      <c r="AD513" s="7">
        <f t="shared" si="117"/>
        <v>2023</v>
      </c>
      <c r="AE513" s="19">
        <f t="shared" si="118"/>
        <v>-1.06</v>
      </c>
      <c r="BA513" s="10">
        <f t="shared" si="119"/>
        <v>26.997800000000002</v>
      </c>
    </row>
    <row r="514" spans="1:53" x14ac:dyDescent="0.3">
      <c r="A514" s="17">
        <v>45135</v>
      </c>
      <c r="B514" s="8">
        <v>1960.4</v>
      </c>
      <c r="C514" s="7">
        <v>1962.2</v>
      </c>
      <c r="D514" s="7">
        <v>1944.2</v>
      </c>
      <c r="E514" s="7">
        <v>1945.5</v>
      </c>
      <c r="F514" s="18">
        <v>23155</v>
      </c>
      <c r="G514" s="7">
        <v>1958.7</v>
      </c>
      <c r="H514" s="7">
        <v>1939.73</v>
      </c>
      <c r="I514" s="7">
        <v>1970.6456000000001</v>
      </c>
      <c r="J514" s="8">
        <v>5.1000000000000004E-3</v>
      </c>
      <c r="K514" s="7">
        <v>0.58130000000000004</v>
      </c>
      <c r="L514" s="7">
        <v>0.6048</v>
      </c>
      <c r="M514" s="8">
        <v>58.2517</v>
      </c>
      <c r="N514" s="8">
        <v>3.7145999999999999</v>
      </c>
      <c r="O514" s="7">
        <v>3.0491000000000001</v>
      </c>
      <c r="P514" s="7">
        <v>1989.9419</v>
      </c>
      <c r="Q514" s="7">
        <v>1898.4381000000001</v>
      </c>
      <c r="R514" s="7" t="str">
        <f t="shared" si="106"/>
        <v>Down</v>
      </c>
      <c r="S514" s="7" t="str">
        <f t="shared" si="107"/>
        <v>Hold</v>
      </c>
      <c r="T514" s="8">
        <f t="shared" si="108"/>
        <v>0.15699863013698617</v>
      </c>
      <c r="U514" s="18">
        <f t="shared" si="109"/>
        <v>2747124</v>
      </c>
      <c r="V514" s="7">
        <f t="shared" si="110"/>
        <v>5586.2002000000002</v>
      </c>
      <c r="W514" s="7">
        <f t="shared" si="111"/>
        <v>1809.4</v>
      </c>
      <c r="X514" s="7">
        <f t="shared" si="112"/>
        <v>1945.5</v>
      </c>
      <c r="Y514" s="7">
        <f t="shared" si="113"/>
        <v>281</v>
      </c>
      <c r="Z514" s="7">
        <f t="shared" si="114"/>
        <v>973961</v>
      </c>
      <c r="AA514" s="7" t="str">
        <f t="shared" si="115"/>
        <v>28-Jul-2023</v>
      </c>
      <c r="AB514" s="7">
        <f t="shared" si="116"/>
        <v>1945.5</v>
      </c>
      <c r="AC514" s="7">
        <f t="shared" si="120"/>
        <v>1</v>
      </c>
      <c r="AD514" s="7">
        <f t="shared" si="117"/>
        <v>2023</v>
      </c>
      <c r="AE514" s="19">
        <f t="shared" si="118"/>
        <v>0.01</v>
      </c>
      <c r="BA514" s="10">
        <f t="shared" si="119"/>
        <v>26.997800000000002</v>
      </c>
    </row>
    <row r="515" spans="1:53" x14ac:dyDescent="0.3">
      <c r="A515" s="17">
        <v>45138</v>
      </c>
      <c r="B515" s="8">
        <v>1970.5</v>
      </c>
      <c r="C515" s="7">
        <v>1971.6</v>
      </c>
      <c r="D515" s="7">
        <v>1950</v>
      </c>
      <c r="E515" s="7">
        <v>1959.2</v>
      </c>
      <c r="F515" s="18">
        <v>1025</v>
      </c>
      <c r="G515" s="7">
        <v>1956.6286</v>
      </c>
      <c r="H515" s="7">
        <v>1940.3133</v>
      </c>
      <c r="I515" s="7">
        <v>1970.4833000000001</v>
      </c>
      <c r="J515" s="8">
        <v>0.70420000000000005</v>
      </c>
      <c r="K515" s="7">
        <v>0.68120000000000003</v>
      </c>
      <c r="L515" s="7">
        <v>0.61639999999999995</v>
      </c>
      <c r="M515" s="8">
        <v>61.793100000000003</v>
      </c>
      <c r="N515" s="8">
        <v>3.9108999999999998</v>
      </c>
      <c r="O515" s="7">
        <v>3.2214999999999998</v>
      </c>
      <c r="P515" s="7">
        <v>1989.6974</v>
      </c>
      <c r="Q515" s="7">
        <v>1903.7426</v>
      </c>
      <c r="R515" s="7" t="str">
        <f t="shared" ref="R515:R578" si="121">IF(E515&gt;B515,"Up","Down")</f>
        <v>Down</v>
      </c>
      <c r="S515" s="7" t="str">
        <f t="shared" ref="S515:S578" si="122">IF(M515&gt;70,"Sell",IF(M515&lt;30,"Buy","Hold"))</f>
        <v>Hold</v>
      </c>
      <c r="T515" s="8">
        <f t="shared" ref="T515:T578" si="123">AVERAGE(J515:J1683)</f>
        <v>0.15723018292682914</v>
      </c>
      <c r="U515" s="18">
        <f t="shared" ref="U515:U578" si="124">SUM(F515:F1683)</f>
        <v>2723969</v>
      </c>
      <c r="V515" s="7">
        <f t="shared" ref="V515:V578" si="125">MAX(C515:C1683)</f>
        <v>5586.2002000000002</v>
      </c>
      <c r="W515" s="7">
        <f t="shared" ref="W515:W578" si="126">MIN(D515:D1683)</f>
        <v>1809.4</v>
      </c>
      <c r="X515" s="7">
        <f t="shared" ref="X515:X578" si="127">INDEX(E515:E1683,MATCH(A515,A515:A1683,0))</f>
        <v>1959.2</v>
      </c>
      <c r="Y515" s="7">
        <f t="shared" ref="Y515:Y578" si="128">COUNTIF(R515:R1683,"Up")</f>
        <v>281</v>
      </c>
      <c r="Z515" s="7">
        <f t="shared" ref="Z515:Z578" si="129">SUMIF(R515:R1683,"Up",F515:F1683)</f>
        <v>973961</v>
      </c>
      <c r="AA515" s="7" t="str">
        <f t="shared" ref="AA515:AA578" si="130">TEXT(A515,"DD-MMM-YYYY")</f>
        <v>31-Jul-2023</v>
      </c>
      <c r="AB515" s="7">
        <f t="shared" ref="AB515:AB578" si="131">_xlfn.XLOOKUP(A515,A515:A1683,E515:E1683)</f>
        <v>1959.2</v>
      </c>
      <c r="AC515" s="7">
        <f t="shared" si="120"/>
        <v>1</v>
      </c>
      <c r="AD515" s="7">
        <f t="shared" ref="AD515:AD578" si="132">YEAR(A515)</f>
        <v>2023</v>
      </c>
      <c r="AE515" s="19">
        <f t="shared" ref="AE515:AE578" si="133">ROUND(J515,2)</f>
        <v>0.7</v>
      </c>
      <c r="BA515" s="10">
        <f t="shared" ref="BA515:BA578" si="134">MODE(M515:M1683)</f>
        <v>26.997800000000002</v>
      </c>
    </row>
    <row r="516" spans="1:53" x14ac:dyDescent="0.3">
      <c r="A516" s="17">
        <v>45139</v>
      </c>
      <c r="B516" s="8">
        <v>1940.7</v>
      </c>
      <c r="C516" s="7">
        <v>1965.4</v>
      </c>
      <c r="D516" s="7">
        <v>1940.7</v>
      </c>
      <c r="E516" s="7">
        <v>1964.9</v>
      </c>
      <c r="F516" s="18">
        <v>688</v>
      </c>
      <c r="G516" s="7">
        <v>1957.0714</v>
      </c>
      <c r="H516" s="7">
        <v>1940.43</v>
      </c>
      <c r="I516" s="7">
        <v>1970.6844000000001</v>
      </c>
      <c r="J516" s="8">
        <v>0.29089999999999999</v>
      </c>
      <c r="K516" s="7">
        <v>0.6552</v>
      </c>
      <c r="L516" s="7">
        <v>0.59030000000000005</v>
      </c>
      <c r="M516" s="8">
        <v>61.366799999999998</v>
      </c>
      <c r="N516" s="8">
        <v>4.4747000000000003</v>
      </c>
      <c r="O516" s="7">
        <v>3.4721000000000002</v>
      </c>
      <c r="P516" s="7">
        <v>1990.5251000000001</v>
      </c>
      <c r="Q516" s="7">
        <v>1907.615</v>
      </c>
      <c r="R516" s="7" t="str">
        <f t="shared" si="121"/>
        <v>Up</v>
      </c>
      <c r="S516" s="7" t="str">
        <f t="shared" si="122"/>
        <v>Hold</v>
      </c>
      <c r="T516" s="8">
        <f t="shared" si="123"/>
        <v>0.15639511450381663</v>
      </c>
      <c r="U516" s="18">
        <f t="shared" si="124"/>
        <v>2722944</v>
      </c>
      <c r="V516" s="7">
        <f t="shared" si="125"/>
        <v>5586.2002000000002</v>
      </c>
      <c r="W516" s="7">
        <f t="shared" si="126"/>
        <v>1809.4</v>
      </c>
      <c r="X516" s="7">
        <f t="shared" si="127"/>
        <v>1964.9</v>
      </c>
      <c r="Y516" s="7">
        <f t="shared" si="128"/>
        <v>281</v>
      </c>
      <c r="Z516" s="7">
        <f t="shared" si="129"/>
        <v>973961</v>
      </c>
      <c r="AA516" s="7" t="str">
        <f t="shared" si="130"/>
        <v>01-Aug-2023</v>
      </c>
      <c r="AB516" s="7">
        <f t="shared" si="131"/>
        <v>1964.9</v>
      </c>
      <c r="AC516" s="7">
        <f t="shared" si="120"/>
        <v>1</v>
      </c>
      <c r="AD516" s="7">
        <f t="shared" si="132"/>
        <v>2023</v>
      </c>
      <c r="AE516" s="19">
        <f t="shared" si="133"/>
        <v>0.28999999999999998</v>
      </c>
      <c r="BA516" s="10">
        <f t="shared" si="134"/>
        <v>26.997800000000002</v>
      </c>
    </row>
    <row r="517" spans="1:53" x14ac:dyDescent="0.3">
      <c r="A517" s="17">
        <v>45140</v>
      </c>
      <c r="B517" s="8">
        <v>1937.4</v>
      </c>
      <c r="C517" s="7">
        <v>1953.6</v>
      </c>
      <c r="D517" s="7">
        <v>1933.2</v>
      </c>
      <c r="E517" s="7">
        <v>1948.4</v>
      </c>
      <c r="F517" s="18">
        <v>652</v>
      </c>
      <c r="G517" s="7">
        <v>1954.6570999999999</v>
      </c>
      <c r="H517" s="7">
        <v>1940.09</v>
      </c>
      <c r="I517" s="7">
        <v>1970.2166999999999</v>
      </c>
      <c r="J517" s="8">
        <v>-0.8397</v>
      </c>
      <c r="K517" s="7">
        <v>0.72470000000000001</v>
      </c>
      <c r="L517" s="7">
        <v>0.60980000000000001</v>
      </c>
      <c r="M517" s="8">
        <v>45.156399999999998</v>
      </c>
      <c r="N517" s="8">
        <v>3.5493000000000001</v>
      </c>
      <c r="O517" s="7">
        <v>3.4874999999999998</v>
      </c>
      <c r="P517" s="7">
        <v>1989.9942000000001</v>
      </c>
      <c r="Q517" s="7">
        <v>1910.6358</v>
      </c>
      <c r="R517" s="7" t="str">
        <f t="shared" si="121"/>
        <v>Up</v>
      </c>
      <c r="S517" s="7" t="str">
        <f t="shared" si="122"/>
        <v>Hold</v>
      </c>
      <c r="T517" s="8">
        <f t="shared" si="123"/>
        <v>0.15618944954128422</v>
      </c>
      <c r="U517" s="18">
        <f t="shared" si="124"/>
        <v>2722256</v>
      </c>
      <c r="V517" s="7">
        <f t="shared" si="125"/>
        <v>5586.2002000000002</v>
      </c>
      <c r="W517" s="7">
        <f t="shared" si="126"/>
        <v>1809.4</v>
      </c>
      <c r="X517" s="7">
        <f t="shared" si="127"/>
        <v>1948.4</v>
      </c>
      <c r="Y517" s="7">
        <f t="shared" si="128"/>
        <v>280</v>
      </c>
      <c r="Z517" s="7">
        <f t="shared" si="129"/>
        <v>973273</v>
      </c>
      <c r="AA517" s="7" t="str">
        <f t="shared" si="130"/>
        <v>02-Aug-2023</v>
      </c>
      <c r="AB517" s="7">
        <f t="shared" si="131"/>
        <v>1948.4</v>
      </c>
      <c r="AC517" s="7">
        <f t="shared" ref="AC517:AC580" si="135">_xlfn.XMATCH(A517,A517:A1685)</f>
        <v>1</v>
      </c>
      <c r="AD517" s="7">
        <f t="shared" si="132"/>
        <v>2023</v>
      </c>
      <c r="AE517" s="19">
        <f t="shared" si="133"/>
        <v>-0.84</v>
      </c>
      <c r="BA517" s="10">
        <f t="shared" si="134"/>
        <v>26.997800000000002</v>
      </c>
    </row>
    <row r="518" spans="1:53" x14ac:dyDescent="0.3">
      <c r="A518" s="17">
        <v>45141</v>
      </c>
      <c r="B518" s="8">
        <v>1932</v>
      </c>
      <c r="C518" s="7">
        <v>1936.5</v>
      </c>
      <c r="D518" s="7">
        <v>1928</v>
      </c>
      <c r="E518" s="7">
        <v>1934.2</v>
      </c>
      <c r="F518" s="18">
        <v>773</v>
      </c>
      <c r="G518" s="7">
        <v>1951.9713999999999</v>
      </c>
      <c r="H518" s="7">
        <v>1940.0433</v>
      </c>
      <c r="I518" s="7">
        <v>1969.5778</v>
      </c>
      <c r="J518" s="8">
        <v>-0.7288</v>
      </c>
      <c r="K518" s="7">
        <v>0.73750000000000004</v>
      </c>
      <c r="L518" s="7">
        <v>0.58550000000000002</v>
      </c>
      <c r="M518" s="8">
        <v>41.514699999999998</v>
      </c>
      <c r="N518" s="8">
        <v>1.651</v>
      </c>
      <c r="O518" s="7">
        <v>3.1202000000000001</v>
      </c>
      <c r="P518" s="7">
        <v>1987.1750999999999</v>
      </c>
      <c r="Q518" s="7">
        <v>1915.9449</v>
      </c>
      <c r="R518" s="7" t="str">
        <f t="shared" si="121"/>
        <v>Up</v>
      </c>
      <c r="S518" s="7" t="str">
        <f t="shared" si="122"/>
        <v>Hold</v>
      </c>
      <c r="T518" s="8">
        <f t="shared" si="123"/>
        <v>0.15771454823889725</v>
      </c>
      <c r="U518" s="18">
        <f t="shared" si="124"/>
        <v>2721604</v>
      </c>
      <c r="V518" s="7">
        <f t="shared" si="125"/>
        <v>5586.2002000000002</v>
      </c>
      <c r="W518" s="7">
        <f t="shared" si="126"/>
        <v>1809.4</v>
      </c>
      <c r="X518" s="7">
        <f t="shared" si="127"/>
        <v>1934.2</v>
      </c>
      <c r="Y518" s="7">
        <f t="shared" si="128"/>
        <v>279</v>
      </c>
      <c r="Z518" s="7">
        <f t="shared" si="129"/>
        <v>972621</v>
      </c>
      <c r="AA518" s="7" t="str">
        <f t="shared" si="130"/>
        <v>03-Aug-2023</v>
      </c>
      <c r="AB518" s="7">
        <f t="shared" si="131"/>
        <v>1934.2</v>
      </c>
      <c r="AC518" s="7">
        <f t="shared" si="135"/>
        <v>1</v>
      </c>
      <c r="AD518" s="7">
        <f t="shared" si="132"/>
        <v>2023</v>
      </c>
      <c r="AE518" s="19">
        <f t="shared" si="133"/>
        <v>-0.73</v>
      </c>
      <c r="BA518" s="10">
        <f t="shared" si="134"/>
        <v>26.997800000000002</v>
      </c>
    </row>
    <row r="519" spans="1:53" x14ac:dyDescent="0.3">
      <c r="A519" s="17">
        <v>45142</v>
      </c>
      <c r="B519" s="8">
        <v>1939.6</v>
      </c>
      <c r="C519" s="7">
        <v>1945</v>
      </c>
      <c r="D519" s="7">
        <v>1920</v>
      </c>
      <c r="E519" s="7">
        <v>1934.9</v>
      </c>
      <c r="F519" s="18">
        <v>290</v>
      </c>
      <c r="G519" s="7">
        <v>1947.5</v>
      </c>
      <c r="H519" s="7">
        <v>1940.54</v>
      </c>
      <c r="I519" s="7">
        <v>1969.33</v>
      </c>
      <c r="J519" s="8">
        <v>3.6200000000000003E-2</v>
      </c>
      <c r="K519" s="7">
        <v>0.65529999999999999</v>
      </c>
      <c r="L519" s="7">
        <v>0.56540000000000001</v>
      </c>
      <c r="M519" s="8">
        <v>43.124600000000001</v>
      </c>
      <c r="N519" s="8">
        <v>0.20069999999999999</v>
      </c>
      <c r="O519" s="7">
        <v>2.5363000000000002</v>
      </c>
      <c r="P519" s="7">
        <v>1984.5009</v>
      </c>
      <c r="Q519" s="7">
        <v>1920.7691</v>
      </c>
      <c r="R519" s="7" t="str">
        <f t="shared" si="121"/>
        <v>Down</v>
      </c>
      <c r="S519" s="7" t="str">
        <f t="shared" si="122"/>
        <v>Hold</v>
      </c>
      <c r="T519" s="8">
        <f t="shared" si="123"/>
        <v>0.1590742331288342</v>
      </c>
      <c r="U519" s="18">
        <f t="shared" si="124"/>
        <v>2720831</v>
      </c>
      <c r="V519" s="7">
        <f t="shared" si="125"/>
        <v>5586.2002000000002</v>
      </c>
      <c r="W519" s="7">
        <f t="shared" si="126"/>
        <v>1809.4</v>
      </c>
      <c r="X519" s="7">
        <f t="shared" si="127"/>
        <v>1934.9</v>
      </c>
      <c r="Y519" s="7">
        <f t="shared" si="128"/>
        <v>278</v>
      </c>
      <c r="Z519" s="7">
        <f t="shared" si="129"/>
        <v>971848</v>
      </c>
      <c r="AA519" s="7" t="str">
        <f t="shared" si="130"/>
        <v>04-Aug-2023</v>
      </c>
      <c r="AB519" s="7">
        <f t="shared" si="131"/>
        <v>1934.9</v>
      </c>
      <c r="AC519" s="7">
        <f t="shared" si="135"/>
        <v>1</v>
      </c>
      <c r="AD519" s="7">
        <f t="shared" si="132"/>
        <v>2023</v>
      </c>
      <c r="AE519" s="19">
        <f t="shared" si="133"/>
        <v>0.04</v>
      </c>
      <c r="BA519" s="10">
        <f t="shared" si="134"/>
        <v>26.997800000000002</v>
      </c>
    </row>
    <row r="520" spans="1:53" x14ac:dyDescent="0.3">
      <c r="A520" s="17">
        <v>45145</v>
      </c>
      <c r="B520" s="8">
        <v>1933.5</v>
      </c>
      <c r="C520" s="7">
        <v>1941</v>
      </c>
      <c r="D520" s="7">
        <v>1929.8</v>
      </c>
      <c r="E520" s="7">
        <v>1941</v>
      </c>
      <c r="F520" s="18">
        <v>376</v>
      </c>
      <c r="G520" s="7">
        <v>1946.8714</v>
      </c>
      <c r="H520" s="7">
        <v>1941.2833000000001</v>
      </c>
      <c r="I520" s="7">
        <v>1968.9811</v>
      </c>
      <c r="J520" s="8">
        <v>0.31530000000000002</v>
      </c>
      <c r="K520" s="7">
        <v>0.56430000000000002</v>
      </c>
      <c r="L520" s="7">
        <v>0.5675</v>
      </c>
      <c r="M520" s="8">
        <v>39.324100000000001</v>
      </c>
      <c r="N520" s="8">
        <v>-0.45119999999999999</v>
      </c>
      <c r="O520" s="7">
        <v>1.9388000000000001</v>
      </c>
      <c r="P520" s="7">
        <v>1982.8864000000001</v>
      </c>
      <c r="Q520" s="7">
        <v>1924.1235999999999</v>
      </c>
      <c r="R520" s="7" t="str">
        <f t="shared" si="121"/>
        <v>Up</v>
      </c>
      <c r="S520" s="7" t="str">
        <f t="shared" si="122"/>
        <v>Hold</v>
      </c>
      <c r="T520" s="8">
        <f t="shared" si="123"/>
        <v>0.15926298003072181</v>
      </c>
      <c r="U520" s="18">
        <f t="shared" si="124"/>
        <v>2720541</v>
      </c>
      <c r="V520" s="7">
        <f t="shared" si="125"/>
        <v>5586.2002000000002</v>
      </c>
      <c r="W520" s="7">
        <f t="shared" si="126"/>
        <v>1809.4</v>
      </c>
      <c r="X520" s="7">
        <f t="shared" si="127"/>
        <v>1941</v>
      </c>
      <c r="Y520" s="7">
        <f t="shared" si="128"/>
        <v>278</v>
      </c>
      <c r="Z520" s="7">
        <f t="shared" si="129"/>
        <v>971848</v>
      </c>
      <c r="AA520" s="7" t="str">
        <f t="shared" si="130"/>
        <v>07-Aug-2023</v>
      </c>
      <c r="AB520" s="7">
        <f t="shared" si="131"/>
        <v>1941</v>
      </c>
      <c r="AC520" s="7">
        <f t="shared" si="135"/>
        <v>1</v>
      </c>
      <c r="AD520" s="7">
        <f t="shared" si="132"/>
        <v>2023</v>
      </c>
      <c r="AE520" s="19">
        <f t="shared" si="133"/>
        <v>0.32</v>
      </c>
      <c r="BA520" s="10">
        <f t="shared" si="134"/>
        <v>26.997800000000002</v>
      </c>
    </row>
    <row r="521" spans="1:53" x14ac:dyDescent="0.3">
      <c r="A521" s="17">
        <v>45146</v>
      </c>
      <c r="B521" s="8">
        <v>1924.1</v>
      </c>
      <c r="C521" s="7">
        <v>1933.2</v>
      </c>
      <c r="D521" s="7">
        <v>1923</v>
      </c>
      <c r="E521" s="7">
        <v>1931.7</v>
      </c>
      <c r="F521" s="18">
        <v>555</v>
      </c>
      <c r="G521" s="7">
        <v>1944.9</v>
      </c>
      <c r="H521" s="7">
        <v>1941.5767000000001</v>
      </c>
      <c r="I521" s="7">
        <v>1968.5989</v>
      </c>
      <c r="J521" s="8">
        <v>-0.47910000000000003</v>
      </c>
      <c r="K521" s="7">
        <v>0.58830000000000005</v>
      </c>
      <c r="L521" s="7">
        <v>0.57420000000000004</v>
      </c>
      <c r="M521" s="8">
        <v>32.749400000000001</v>
      </c>
      <c r="N521" s="8">
        <v>-1.6987000000000001</v>
      </c>
      <c r="O521" s="7">
        <v>1.2113</v>
      </c>
      <c r="P521" s="7">
        <v>1981.9794999999999</v>
      </c>
      <c r="Q521" s="7">
        <v>1925.7004999999999</v>
      </c>
      <c r="R521" s="7" t="str">
        <f t="shared" si="121"/>
        <v>Up</v>
      </c>
      <c r="S521" s="7" t="str">
        <f t="shared" si="122"/>
        <v>Hold</v>
      </c>
      <c r="T521" s="8">
        <f t="shared" si="123"/>
        <v>0.15902292307692292</v>
      </c>
      <c r="U521" s="18">
        <f t="shared" si="124"/>
        <v>2720165</v>
      </c>
      <c r="V521" s="7">
        <f t="shared" si="125"/>
        <v>5586.2002000000002</v>
      </c>
      <c r="W521" s="7">
        <f t="shared" si="126"/>
        <v>1809.4</v>
      </c>
      <c r="X521" s="7">
        <f t="shared" si="127"/>
        <v>1931.7</v>
      </c>
      <c r="Y521" s="7">
        <f t="shared" si="128"/>
        <v>277</v>
      </c>
      <c r="Z521" s="7">
        <f t="shared" si="129"/>
        <v>971472</v>
      </c>
      <c r="AA521" s="7" t="str">
        <f t="shared" si="130"/>
        <v>08-Aug-2023</v>
      </c>
      <c r="AB521" s="7">
        <f t="shared" si="131"/>
        <v>1931.7</v>
      </c>
      <c r="AC521" s="7">
        <f t="shared" si="135"/>
        <v>1</v>
      </c>
      <c r="AD521" s="7">
        <f t="shared" si="132"/>
        <v>2023</v>
      </c>
      <c r="AE521" s="19">
        <f t="shared" si="133"/>
        <v>-0.48</v>
      </c>
      <c r="BA521" s="10">
        <f t="shared" si="134"/>
        <v>26.997800000000002</v>
      </c>
    </row>
    <row r="522" spans="1:53" x14ac:dyDescent="0.3">
      <c r="A522" s="17">
        <v>45147</v>
      </c>
      <c r="B522" s="8">
        <v>1915.4</v>
      </c>
      <c r="C522" s="7">
        <v>1928.8</v>
      </c>
      <c r="D522" s="7">
        <v>1913.7</v>
      </c>
      <c r="E522" s="7">
        <v>1925.4</v>
      </c>
      <c r="F522" s="18">
        <v>451</v>
      </c>
      <c r="G522" s="7">
        <v>1940.0714</v>
      </c>
      <c r="H522" s="7">
        <v>1941.5233000000001</v>
      </c>
      <c r="I522" s="7">
        <v>1968.1488999999999</v>
      </c>
      <c r="J522" s="8">
        <v>-0.3261</v>
      </c>
      <c r="K522" s="7">
        <v>0.47070000000000001</v>
      </c>
      <c r="L522" s="7">
        <v>0.57630000000000003</v>
      </c>
      <c r="M522" s="8">
        <v>32.017899999999997</v>
      </c>
      <c r="N522" s="8">
        <v>-3.1593</v>
      </c>
      <c r="O522" s="7">
        <v>0.3372</v>
      </c>
      <c r="P522" s="7">
        <v>1982.8878</v>
      </c>
      <c r="Q522" s="7">
        <v>1924.1022</v>
      </c>
      <c r="R522" s="7" t="str">
        <f t="shared" si="121"/>
        <v>Up</v>
      </c>
      <c r="S522" s="7" t="str">
        <f t="shared" si="122"/>
        <v>Hold</v>
      </c>
      <c r="T522" s="8">
        <f t="shared" si="123"/>
        <v>0.16000616332819709</v>
      </c>
      <c r="U522" s="18">
        <f t="shared" si="124"/>
        <v>2719610</v>
      </c>
      <c r="V522" s="7">
        <f t="shared" si="125"/>
        <v>5586.2002000000002</v>
      </c>
      <c r="W522" s="7">
        <f t="shared" si="126"/>
        <v>1809.4</v>
      </c>
      <c r="X522" s="7">
        <f t="shared" si="127"/>
        <v>1925.4</v>
      </c>
      <c r="Y522" s="7">
        <f t="shared" si="128"/>
        <v>276</v>
      </c>
      <c r="Z522" s="7">
        <f t="shared" si="129"/>
        <v>970917</v>
      </c>
      <c r="AA522" s="7" t="str">
        <f t="shared" si="130"/>
        <v>09-Aug-2023</v>
      </c>
      <c r="AB522" s="7">
        <f t="shared" si="131"/>
        <v>1925.4</v>
      </c>
      <c r="AC522" s="7">
        <f t="shared" si="135"/>
        <v>1</v>
      </c>
      <c r="AD522" s="7">
        <f t="shared" si="132"/>
        <v>2023</v>
      </c>
      <c r="AE522" s="19">
        <f t="shared" si="133"/>
        <v>-0.33</v>
      </c>
      <c r="BA522" s="10">
        <f t="shared" si="134"/>
        <v>26.997800000000002</v>
      </c>
    </row>
    <row r="523" spans="1:53" x14ac:dyDescent="0.3">
      <c r="A523" s="17">
        <v>45148</v>
      </c>
      <c r="B523" s="8">
        <v>1914.4</v>
      </c>
      <c r="C523" s="7">
        <v>1927.8</v>
      </c>
      <c r="D523" s="7">
        <v>1911.4</v>
      </c>
      <c r="E523" s="7">
        <v>1921.1</v>
      </c>
      <c r="F523" s="18">
        <v>178</v>
      </c>
      <c r="G523" s="7">
        <v>1933.8143</v>
      </c>
      <c r="H523" s="7">
        <v>1941.8167000000001</v>
      </c>
      <c r="I523" s="7">
        <v>1967.48</v>
      </c>
      <c r="J523" s="8">
        <v>-0.2233</v>
      </c>
      <c r="K523" s="7">
        <v>0.40870000000000001</v>
      </c>
      <c r="L523" s="7">
        <v>0.55989999999999995</v>
      </c>
      <c r="M523" s="8">
        <v>33.938400000000001</v>
      </c>
      <c r="N523" s="8">
        <v>-4.6105999999999998</v>
      </c>
      <c r="O523" s="7">
        <v>-0.65239999999999998</v>
      </c>
      <c r="P523" s="7">
        <v>1983.9889000000001</v>
      </c>
      <c r="Q523" s="7">
        <v>1919.0011</v>
      </c>
      <c r="R523" s="7" t="str">
        <f t="shared" si="121"/>
        <v>Up</v>
      </c>
      <c r="S523" s="7" t="str">
        <f t="shared" si="122"/>
        <v>Hold</v>
      </c>
      <c r="T523" s="8">
        <f t="shared" si="123"/>
        <v>0.16075632716049368</v>
      </c>
      <c r="U523" s="18">
        <f t="shared" si="124"/>
        <v>2719159</v>
      </c>
      <c r="V523" s="7">
        <f t="shared" si="125"/>
        <v>5586.2002000000002</v>
      </c>
      <c r="W523" s="7">
        <f t="shared" si="126"/>
        <v>1809.4</v>
      </c>
      <c r="X523" s="7">
        <f t="shared" si="127"/>
        <v>1921.1</v>
      </c>
      <c r="Y523" s="7">
        <f t="shared" si="128"/>
        <v>275</v>
      </c>
      <c r="Z523" s="7">
        <f t="shared" si="129"/>
        <v>970466</v>
      </c>
      <c r="AA523" s="7" t="str">
        <f t="shared" si="130"/>
        <v>10-Aug-2023</v>
      </c>
      <c r="AB523" s="7">
        <f t="shared" si="131"/>
        <v>1921.1</v>
      </c>
      <c r="AC523" s="7">
        <f t="shared" si="135"/>
        <v>1</v>
      </c>
      <c r="AD523" s="7">
        <f t="shared" si="132"/>
        <v>2023</v>
      </c>
      <c r="AE523" s="19">
        <f t="shared" si="133"/>
        <v>-0.22</v>
      </c>
      <c r="BA523" s="10">
        <f t="shared" si="134"/>
        <v>26.997800000000002</v>
      </c>
    </row>
    <row r="524" spans="1:53" x14ac:dyDescent="0.3">
      <c r="A524" s="17">
        <v>45149</v>
      </c>
      <c r="B524" s="8">
        <v>1912.9</v>
      </c>
      <c r="C524" s="7">
        <v>1916.6</v>
      </c>
      <c r="D524" s="7">
        <v>1911.8</v>
      </c>
      <c r="E524" s="7">
        <v>1913</v>
      </c>
      <c r="F524" s="18">
        <v>57</v>
      </c>
      <c r="G524" s="7">
        <v>1928.7571</v>
      </c>
      <c r="H524" s="7">
        <v>1941.92</v>
      </c>
      <c r="I524" s="7">
        <v>1966.8678</v>
      </c>
      <c r="J524" s="8">
        <v>-0.42159999999999997</v>
      </c>
      <c r="K524" s="7">
        <v>0.34599999999999997</v>
      </c>
      <c r="L524" s="7">
        <v>0.56510000000000005</v>
      </c>
      <c r="M524" s="8">
        <v>30.0838</v>
      </c>
      <c r="N524" s="8">
        <v>-6.3413000000000004</v>
      </c>
      <c r="O524" s="7">
        <v>-1.7901</v>
      </c>
      <c r="P524" s="7">
        <v>1985.7774999999999</v>
      </c>
      <c r="Q524" s="7">
        <v>1912.6724999999999</v>
      </c>
      <c r="R524" s="7" t="str">
        <f t="shared" si="121"/>
        <v>Up</v>
      </c>
      <c r="S524" s="7" t="str">
        <f t="shared" si="122"/>
        <v>Hold</v>
      </c>
      <c r="T524" s="8">
        <f t="shared" si="123"/>
        <v>0.16134992272024717</v>
      </c>
      <c r="U524" s="18">
        <f t="shared" si="124"/>
        <v>2718981</v>
      </c>
      <c r="V524" s="7">
        <f t="shared" si="125"/>
        <v>5586.2002000000002</v>
      </c>
      <c r="W524" s="7">
        <f t="shared" si="126"/>
        <v>1809.4</v>
      </c>
      <c r="X524" s="7">
        <f t="shared" si="127"/>
        <v>1913</v>
      </c>
      <c r="Y524" s="7">
        <f t="shared" si="128"/>
        <v>274</v>
      </c>
      <c r="Z524" s="7">
        <f t="shared" si="129"/>
        <v>970288</v>
      </c>
      <c r="AA524" s="7" t="str">
        <f t="shared" si="130"/>
        <v>11-Aug-2023</v>
      </c>
      <c r="AB524" s="7">
        <f t="shared" si="131"/>
        <v>1913</v>
      </c>
      <c r="AC524" s="7">
        <f t="shared" si="135"/>
        <v>1</v>
      </c>
      <c r="AD524" s="7">
        <f t="shared" si="132"/>
        <v>2023</v>
      </c>
      <c r="AE524" s="19">
        <f t="shared" si="133"/>
        <v>-0.42</v>
      </c>
      <c r="BA524" s="10">
        <f t="shared" si="134"/>
        <v>26.997800000000002</v>
      </c>
    </row>
    <row r="525" spans="1:53" x14ac:dyDescent="0.3">
      <c r="A525" s="17">
        <v>45152</v>
      </c>
      <c r="B525" s="8">
        <v>1910.6</v>
      </c>
      <c r="C525" s="7">
        <v>1912.6</v>
      </c>
      <c r="D525" s="7">
        <v>1903.3</v>
      </c>
      <c r="E525" s="7">
        <v>1909.3</v>
      </c>
      <c r="F525" s="18">
        <v>46</v>
      </c>
      <c r="G525" s="7">
        <v>1925.2</v>
      </c>
      <c r="H525" s="7">
        <v>1941.9432999999999</v>
      </c>
      <c r="I525" s="7">
        <v>1966.0310999999999</v>
      </c>
      <c r="J525" s="8">
        <v>-0.19339999999999999</v>
      </c>
      <c r="K525" s="7">
        <v>0.27779999999999999</v>
      </c>
      <c r="L525" s="7">
        <v>0.56610000000000005</v>
      </c>
      <c r="M525" s="8">
        <v>32.192399999999999</v>
      </c>
      <c r="N525" s="8">
        <v>-7.9202000000000004</v>
      </c>
      <c r="O525" s="7">
        <v>-3.0160999999999998</v>
      </c>
      <c r="P525" s="7">
        <v>1987.5589</v>
      </c>
      <c r="Q525" s="7">
        <v>1906.4211</v>
      </c>
      <c r="R525" s="7" t="str">
        <f t="shared" si="121"/>
        <v>Down</v>
      </c>
      <c r="S525" s="7" t="str">
        <f t="shared" si="122"/>
        <v>Hold</v>
      </c>
      <c r="T525" s="8">
        <f t="shared" si="123"/>
        <v>0.162252321981424</v>
      </c>
      <c r="U525" s="18">
        <f t="shared" si="124"/>
        <v>2718924</v>
      </c>
      <c r="V525" s="7">
        <f t="shared" si="125"/>
        <v>5586.2002000000002</v>
      </c>
      <c r="W525" s="7">
        <f t="shared" si="126"/>
        <v>1809.4</v>
      </c>
      <c r="X525" s="7">
        <f t="shared" si="127"/>
        <v>1909.3</v>
      </c>
      <c r="Y525" s="7">
        <f t="shared" si="128"/>
        <v>273</v>
      </c>
      <c r="Z525" s="7">
        <f t="shared" si="129"/>
        <v>970231</v>
      </c>
      <c r="AA525" s="7" t="str">
        <f t="shared" si="130"/>
        <v>14-Aug-2023</v>
      </c>
      <c r="AB525" s="7">
        <f t="shared" si="131"/>
        <v>1909.3</v>
      </c>
      <c r="AC525" s="7">
        <f t="shared" si="135"/>
        <v>1</v>
      </c>
      <c r="AD525" s="7">
        <f t="shared" si="132"/>
        <v>2023</v>
      </c>
      <c r="AE525" s="19">
        <f t="shared" si="133"/>
        <v>-0.19</v>
      </c>
      <c r="BA525" s="10">
        <f t="shared" si="134"/>
        <v>26.997800000000002</v>
      </c>
    </row>
    <row r="526" spans="1:53" x14ac:dyDescent="0.3">
      <c r="A526" s="17">
        <v>45153</v>
      </c>
      <c r="B526" s="8">
        <v>1902.5</v>
      </c>
      <c r="C526" s="7">
        <v>1907.7</v>
      </c>
      <c r="D526" s="7">
        <v>1895</v>
      </c>
      <c r="E526" s="7">
        <v>1906</v>
      </c>
      <c r="F526" s="18">
        <v>73</v>
      </c>
      <c r="G526" s="7">
        <v>1921.0714</v>
      </c>
      <c r="H526" s="7">
        <v>1941.5467000000001</v>
      </c>
      <c r="I526" s="7">
        <v>1964.7411</v>
      </c>
      <c r="J526" s="8">
        <v>-0.17280000000000001</v>
      </c>
      <c r="K526" s="7">
        <v>0.26090000000000002</v>
      </c>
      <c r="L526" s="7">
        <v>0.55940000000000001</v>
      </c>
      <c r="M526" s="8">
        <v>23.3156</v>
      </c>
      <c r="N526" s="8">
        <v>-9.3301999999999996</v>
      </c>
      <c r="O526" s="7">
        <v>-4.2789000000000001</v>
      </c>
      <c r="P526" s="7">
        <v>1986.9534000000001</v>
      </c>
      <c r="Q526" s="7">
        <v>1900.7465999999999</v>
      </c>
      <c r="R526" s="7" t="str">
        <f t="shared" si="121"/>
        <v>Up</v>
      </c>
      <c r="S526" s="7" t="str">
        <f t="shared" si="122"/>
        <v>Buy</v>
      </c>
      <c r="T526" s="8">
        <f t="shared" si="123"/>
        <v>0.16280372093023246</v>
      </c>
      <c r="U526" s="18">
        <f t="shared" si="124"/>
        <v>2718878</v>
      </c>
      <c r="V526" s="7">
        <f t="shared" si="125"/>
        <v>5586.2002000000002</v>
      </c>
      <c r="W526" s="7">
        <f t="shared" si="126"/>
        <v>1809.4</v>
      </c>
      <c r="X526" s="7">
        <f t="shared" si="127"/>
        <v>1906</v>
      </c>
      <c r="Y526" s="7">
        <f t="shared" si="128"/>
        <v>273</v>
      </c>
      <c r="Z526" s="7">
        <f t="shared" si="129"/>
        <v>970231</v>
      </c>
      <c r="AA526" s="7" t="str">
        <f t="shared" si="130"/>
        <v>15-Aug-2023</v>
      </c>
      <c r="AB526" s="7">
        <f t="shared" si="131"/>
        <v>1906</v>
      </c>
      <c r="AC526" s="7">
        <f t="shared" si="135"/>
        <v>1</v>
      </c>
      <c r="AD526" s="7">
        <f t="shared" si="132"/>
        <v>2023</v>
      </c>
      <c r="AE526" s="19">
        <f t="shared" si="133"/>
        <v>-0.17</v>
      </c>
      <c r="BA526" s="10">
        <f t="shared" si="134"/>
        <v>26.997800000000002</v>
      </c>
    </row>
    <row r="527" spans="1:53" x14ac:dyDescent="0.3">
      <c r="A527" s="17">
        <v>45154</v>
      </c>
      <c r="B527" s="8">
        <v>1896.1</v>
      </c>
      <c r="C527" s="7">
        <v>1904.5</v>
      </c>
      <c r="D527" s="7">
        <v>1890.3</v>
      </c>
      <c r="E527" s="7">
        <v>1904.5</v>
      </c>
      <c r="F527" s="18">
        <v>22</v>
      </c>
      <c r="G527" s="7">
        <v>1915.8570999999999</v>
      </c>
      <c r="H527" s="7">
        <v>1940.9132999999999</v>
      </c>
      <c r="I527" s="7">
        <v>1963.4332999999999</v>
      </c>
      <c r="J527" s="8">
        <v>-7.8700000000000006E-2</v>
      </c>
      <c r="K527" s="7">
        <v>0.14369999999999999</v>
      </c>
      <c r="L527" s="7">
        <v>0.55640000000000001</v>
      </c>
      <c r="M527" s="8">
        <v>28.128399999999999</v>
      </c>
      <c r="N527" s="8">
        <v>-10.4482</v>
      </c>
      <c r="O527" s="7">
        <v>-5.5128000000000004</v>
      </c>
      <c r="P527" s="7">
        <v>1983.7819</v>
      </c>
      <c r="Q527" s="7">
        <v>1896.6681000000001</v>
      </c>
      <c r="R527" s="7" t="str">
        <f t="shared" si="121"/>
        <v>Up</v>
      </c>
      <c r="S527" s="7" t="str">
        <f t="shared" si="122"/>
        <v>Buy</v>
      </c>
      <c r="T527" s="8">
        <f t="shared" si="123"/>
        <v>0.1633248447204968</v>
      </c>
      <c r="U527" s="18">
        <f t="shared" si="124"/>
        <v>2718805</v>
      </c>
      <c r="V527" s="7">
        <f t="shared" si="125"/>
        <v>5586.2002000000002</v>
      </c>
      <c r="W527" s="7">
        <f t="shared" si="126"/>
        <v>1809.4</v>
      </c>
      <c r="X527" s="7">
        <f t="shared" si="127"/>
        <v>1904.5</v>
      </c>
      <c r="Y527" s="7">
        <f t="shared" si="128"/>
        <v>272</v>
      </c>
      <c r="Z527" s="7">
        <f t="shared" si="129"/>
        <v>970158</v>
      </c>
      <c r="AA527" s="7" t="str">
        <f t="shared" si="130"/>
        <v>16-Aug-2023</v>
      </c>
      <c r="AB527" s="7">
        <f t="shared" si="131"/>
        <v>1904.5</v>
      </c>
      <c r="AC527" s="7">
        <f t="shared" si="135"/>
        <v>1</v>
      </c>
      <c r="AD527" s="7">
        <f t="shared" si="132"/>
        <v>2023</v>
      </c>
      <c r="AE527" s="19">
        <f t="shared" si="133"/>
        <v>-0.08</v>
      </c>
      <c r="BA527" s="10">
        <f t="shared" si="134"/>
        <v>26.997800000000002</v>
      </c>
    </row>
    <row r="528" spans="1:53" x14ac:dyDescent="0.3">
      <c r="A528" s="17">
        <v>45155</v>
      </c>
      <c r="B528" s="8">
        <v>1884.1</v>
      </c>
      <c r="C528" s="7">
        <v>1902.4</v>
      </c>
      <c r="D528" s="7">
        <v>1884</v>
      </c>
      <c r="E528" s="7">
        <v>1893.7</v>
      </c>
      <c r="F528" s="18">
        <v>245</v>
      </c>
      <c r="G528" s="7">
        <v>1910.4286</v>
      </c>
      <c r="H528" s="7">
        <v>1940.3933</v>
      </c>
      <c r="I528" s="7">
        <v>1962.2521999999999</v>
      </c>
      <c r="J528" s="8">
        <v>-0.56710000000000005</v>
      </c>
      <c r="K528" s="7">
        <v>0.16700000000000001</v>
      </c>
      <c r="L528" s="7">
        <v>0.54969999999999997</v>
      </c>
      <c r="M528" s="8">
        <v>25.143999999999998</v>
      </c>
      <c r="N528" s="8">
        <v>-12.066599999999999</v>
      </c>
      <c r="O528" s="7">
        <v>-6.8235999999999999</v>
      </c>
      <c r="P528" s="7">
        <v>1981.4978000000001</v>
      </c>
      <c r="Q528" s="7">
        <v>1890.9521999999999</v>
      </c>
      <c r="R528" s="7" t="str">
        <f t="shared" si="121"/>
        <v>Up</v>
      </c>
      <c r="S528" s="7" t="str">
        <f t="shared" si="122"/>
        <v>Buy</v>
      </c>
      <c r="T528" s="8">
        <f t="shared" si="123"/>
        <v>0.16370124416796256</v>
      </c>
      <c r="U528" s="18">
        <f t="shared" si="124"/>
        <v>2718783</v>
      </c>
      <c r="V528" s="7">
        <f t="shared" si="125"/>
        <v>5586.2002000000002</v>
      </c>
      <c r="W528" s="7">
        <f t="shared" si="126"/>
        <v>1809.4</v>
      </c>
      <c r="X528" s="7">
        <f t="shared" si="127"/>
        <v>1893.7</v>
      </c>
      <c r="Y528" s="7">
        <f t="shared" si="128"/>
        <v>271</v>
      </c>
      <c r="Z528" s="7">
        <f t="shared" si="129"/>
        <v>970136</v>
      </c>
      <c r="AA528" s="7" t="str">
        <f t="shared" si="130"/>
        <v>17-Aug-2023</v>
      </c>
      <c r="AB528" s="7">
        <f t="shared" si="131"/>
        <v>1893.7</v>
      </c>
      <c r="AC528" s="7">
        <f t="shared" si="135"/>
        <v>1</v>
      </c>
      <c r="AD528" s="7">
        <f t="shared" si="132"/>
        <v>2023</v>
      </c>
      <c r="AE528" s="19">
        <f t="shared" si="133"/>
        <v>-0.56999999999999995</v>
      </c>
      <c r="BA528" s="10">
        <f t="shared" si="134"/>
        <v>26.997800000000002</v>
      </c>
    </row>
    <row r="529" spans="1:53" x14ac:dyDescent="0.3">
      <c r="A529" s="17">
        <v>45156</v>
      </c>
      <c r="B529" s="8">
        <v>1886.1</v>
      </c>
      <c r="C529" s="7">
        <v>1891.8</v>
      </c>
      <c r="D529" s="7">
        <v>1886.1</v>
      </c>
      <c r="E529" s="7">
        <v>1891.8</v>
      </c>
      <c r="F529" s="18">
        <v>19</v>
      </c>
      <c r="G529" s="7">
        <v>1905.6286</v>
      </c>
      <c r="H529" s="7">
        <v>1939.6732999999999</v>
      </c>
      <c r="I529" s="7">
        <v>1961.1456000000001</v>
      </c>
      <c r="J529" s="8">
        <v>-0.1003</v>
      </c>
      <c r="K529" s="7">
        <v>0.1787</v>
      </c>
      <c r="L529" s="7">
        <v>0.54800000000000004</v>
      </c>
      <c r="M529" s="8">
        <v>13.5282</v>
      </c>
      <c r="N529" s="8">
        <v>-13.348599999999999</v>
      </c>
      <c r="O529" s="7">
        <v>-8.1286000000000005</v>
      </c>
      <c r="P529" s="7">
        <v>1980.4306999999999</v>
      </c>
      <c r="Q529" s="7">
        <v>1885.0192999999999</v>
      </c>
      <c r="R529" s="7" t="str">
        <f t="shared" si="121"/>
        <v>Up</v>
      </c>
      <c r="S529" s="7" t="str">
        <f t="shared" si="122"/>
        <v>Buy</v>
      </c>
      <c r="T529" s="8">
        <f t="shared" si="123"/>
        <v>0.16483956386292822</v>
      </c>
      <c r="U529" s="18">
        <f t="shared" si="124"/>
        <v>2718538</v>
      </c>
      <c r="V529" s="7">
        <f t="shared" si="125"/>
        <v>5586.2002000000002</v>
      </c>
      <c r="W529" s="7">
        <f t="shared" si="126"/>
        <v>1809.4</v>
      </c>
      <c r="X529" s="7">
        <f t="shared" si="127"/>
        <v>1891.8</v>
      </c>
      <c r="Y529" s="7">
        <f t="shared" si="128"/>
        <v>270</v>
      </c>
      <c r="Z529" s="7">
        <f t="shared" si="129"/>
        <v>969891</v>
      </c>
      <c r="AA529" s="7" t="str">
        <f t="shared" si="130"/>
        <v>18-Aug-2023</v>
      </c>
      <c r="AB529" s="7">
        <f t="shared" si="131"/>
        <v>1891.8</v>
      </c>
      <c r="AC529" s="7">
        <f t="shared" si="135"/>
        <v>1</v>
      </c>
      <c r="AD529" s="7">
        <f t="shared" si="132"/>
        <v>2023</v>
      </c>
      <c r="AE529" s="19">
        <f t="shared" si="133"/>
        <v>-0.1</v>
      </c>
      <c r="BA529" s="10">
        <f t="shared" si="134"/>
        <v>26.997800000000002</v>
      </c>
    </row>
    <row r="530" spans="1:53" x14ac:dyDescent="0.3">
      <c r="A530" s="17">
        <v>45159</v>
      </c>
      <c r="B530" s="8">
        <v>1893.3</v>
      </c>
      <c r="C530" s="7">
        <v>1893.6</v>
      </c>
      <c r="D530" s="7">
        <v>1893.3</v>
      </c>
      <c r="E530" s="7">
        <v>1893.6</v>
      </c>
      <c r="F530" s="18">
        <v>876</v>
      </c>
      <c r="G530" s="7">
        <v>1901.7</v>
      </c>
      <c r="H530" s="7">
        <v>1938.6732999999999</v>
      </c>
      <c r="I530" s="7">
        <v>1959.9056</v>
      </c>
      <c r="J530" s="8">
        <v>9.5100000000000004E-2</v>
      </c>
      <c r="K530" s="7">
        <v>0.22220000000000001</v>
      </c>
      <c r="L530" s="7">
        <v>0.53800000000000003</v>
      </c>
      <c r="M530" s="8">
        <v>9.7174999999999994</v>
      </c>
      <c r="N530" s="8">
        <v>-14.057399999999999</v>
      </c>
      <c r="O530" s="7">
        <v>-9.3142999999999994</v>
      </c>
      <c r="P530" s="7">
        <v>1977.3125</v>
      </c>
      <c r="Q530" s="7">
        <v>1880.9675</v>
      </c>
      <c r="R530" s="7" t="str">
        <f t="shared" si="121"/>
        <v>Up</v>
      </c>
      <c r="S530" s="7" t="str">
        <f t="shared" si="122"/>
        <v>Buy</v>
      </c>
      <c r="T530" s="8">
        <f t="shared" si="123"/>
        <v>0.16525319812792499</v>
      </c>
      <c r="U530" s="18">
        <f t="shared" si="124"/>
        <v>2718519</v>
      </c>
      <c r="V530" s="7">
        <f t="shared" si="125"/>
        <v>5586.2002000000002</v>
      </c>
      <c r="W530" s="7">
        <f t="shared" si="126"/>
        <v>1809.4</v>
      </c>
      <c r="X530" s="7">
        <f t="shared" si="127"/>
        <v>1893.6</v>
      </c>
      <c r="Y530" s="7">
        <f t="shared" si="128"/>
        <v>269</v>
      </c>
      <c r="Z530" s="7">
        <f t="shared" si="129"/>
        <v>969872</v>
      </c>
      <c r="AA530" s="7" t="str">
        <f t="shared" si="130"/>
        <v>21-Aug-2023</v>
      </c>
      <c r="AB530" s="7">
        <f t="shared" si="131"/>
        <v>1893.6</v>
      </c>
      <c r="AC530" s="7">
        <f t="shared" si="135"/>
        <v>1</v>
      </c>
      <c r="AD530" s="7">
        <f t="shared" si="132"/>
        <v>2023</v>
      </c>
      <c r="AE530" s="19">
        <f t="shared" si="133"/>
        <v>0.1</v>
      </c>
      <c r="BA530" s="10">
        <f t="shared" si="134"/>
        <v>26.997800000000002</v>
      </c>
    </row>
    <row r="531" spans="1:53" x14ac:dyDescent="0.3">
      <c r="A531" s="17">
        <v>45160</v>
      </c>
      <c r="B531" s="8">
        <v>1896.4</v>
      </c>
      <c r="C531" s="7">
        <v>1896.8</v>
      </c>
      <c r="D531" s="7">
        <v>1892.8</v>
      </c>
      <c r="E531" s="7">
        <v>1894.6</v>
      </c>
      <c r="F531" s="18">
        <v>46</v>
      </c>
      <c r="G531" s="7">
        <v>1899.0714</v>
      </c>
      <c r="H531" s="7">
        <v>1937.66</v>
      </c>
      <c r="I531" s="7">
        <v>1958.5610999999999</v>
      </c>
      <c r="J531" s="8">
        <v>5.28E-2</v>
      </c>
      <c r="K531" s="7">
        <v>0.21759999999999999</v>
      </c>
      <c r="L531" s="7">
        <v>0.53790000000000004</v>
      </c>
      <c r="M531" s="8">
        <v>13.150700000000001</v>
      </c>
      <c r="N531" s="8">
        <v>-14.3727</v>
      </c>
      <c r="O531" s="7">
        <v>-10.326000000000001</v>
      </c>
      <c r="P531" s="7">
        <v>1975.3728000000001</v>
      </c>
      <c r="Q531" s="7">
        <v>1877.0672</v>
      </c>
      <c r="R531" s="7" t="str">
        <f t="shared" si="121"/>
        <v>Down</v>
      </c>
      <c r="S531" s="7" t="str">
        <f t="shared" si="122"/>
        <v>Buy</v>
      </c>
      <c r="T531" s="8">
        <f t="shared" si="123"/>
        <v>0.16536281249999987</v>
      </c>
      <c r="U531" s="18">
        <f t="shared" si="124"/>
        <v>2717643</v>
      </c>
      <c r="V531" s="7">
        <f t="shared" si="125"/>
        <v>5586.2002000000002</v>
      </c>
      <c r="W531" s="7">
        <f t="shared" si="126"/>
        <v>1809.4</v>
      </c>
      <c r="X531" s="7">
        <f t="shared" si="127"/>
        <v>1894.6</v>
      </c>
      <c r="Y531" s="7">
        <f t="shared" si="128"/>
        <v>268</v>
      </c>
      <c r="Z531" s="7">
        <f t="shared" si="129"/>
        <v>968996</v>
      </c>
      <c r="AA531" s="7" t="str">
        <f t="shared" si="130"/>
        <v>22-Aug-2023</v>
      </c>
      <c r="AB531" s="7">
        <f t="shared" si="131"/>
        <v>1894.6</v>
      </c>
      <c r="AC531" s="7">
        <f t="shared" si="135"/>
        <v>1</v>
      </c>
      <c r="AD531" s="7">
        <f t="shared" si="132"/>
        <v>2023</v>
      </c>
      <c r="AE531" s="19">
        <f t="shared" si="133"/>
        <v>0.05</v>
      </c>
      <c r="BA531" s="10">
        <f t="shared" si="134"/>
        <v>26.997800000000002</v>
      </c>
    </row>
    <row r="532" spans="1:53" x14ac:dyDescent="0.3">
      <c r="A532" s="17">
        <v>45161</v>
      </c>
      <c r="B532" s="8">
        <v>1918.5</v>
      </c>
      <c r="C532" s="7">
        <v>1918.5</v>
      </c>
      <c r="D532" s="7">
        <v>1909.6</v>
      </c>
      <c r="E532" s="7">
        <v>1909.6</v>
      </c>
      <c r="F532" s="18">
        <v>547</v>
      </c>
      <c r="G532" s="7">
        <v>1899.1143</v>
      </c>
      <c r="H532" s="7">
        <v>1936.9032999999999</v>
      </c>
      <c r="I532" s="7">
        <v>1957.1011000000001</v>
      </c>
      <c r="J532" s="8">
        <v>0.79169999999999996</v>
      </c>
      <c r="K532" s="7">
        <v>0.40949999999999998</v>
      </c>
      <c r="L532" s="7">
        <v>0.55430000000000001</v>
      </c>
      <c r="M532" s="8">
        <v>33.333300000000001</v>
      </c>
      <c r="N532" s="8">
        <v>-13.259399999999999</v>
      </c>
      <c r="O532" s="7">
        <v>-10.912699999999999</v>
      </c>
      <c r="P532" s="7">
        <v>1969.2584999999999</v>
      </c>
      <c r="Q532" s="7">
        <v>1877.5214000000001</v>
      </c>
      <c r="R532" s="7" t="str">
        <f t="shared" si="121"/>
        <v>Down</v>
      </c>
      <c r="S532" s="7" t="str">
        <f t="shared" si="122"/>
        <v>Hold</v>
      </c>
      <c r="T532" s="8">
        <f t="shared" si="123"/>
        <v>0.16553896713615013</v>
      </c>
      <c r="U532" s="18">
        <f t="shared" si="124"/>
        <v>2717597</v>
      </c>
      <c r="V532" s="7">
        <f t="shared" si="125"/>
        <v>5586.2002000000002</v>
      </c>
      <c r="W532" s="7">
        <f t="shared" si="126"/>
        <v>1809.4</v>
      </c>
      <c r="X532" s="7">
        <f t="shared" si="127"/>
        <v>1909.6</v>
      </c>
      <c r="Y532" s="7">
        <f t="shared" si="128"/>
        <v>268</v>
      </c>
      <c r="Z532" s="7">
        <f t="shared" si="129"/>
        <v>968996</v>
      </c>
      <c r="AA532" s="7" t="str">
        <f t="shared" si="130"/>
        <v>23-Aug-2023</v>
      </c>
      <c r="AB532" s="7">
        <f t="shared" si="131"/>
        <v>1909.6</v>
      </c>
      <c r="AC532" s="7">
        <f t="shared" si="135"/>
        <v>1</v>
      </c>
      <c r="AD532" s="7">
        <f t="shared" si="132"/>
        <v>2023</v>
      </c>
      <c r="AE532" s="19">
        <f t="shared" si="133"/>
        <v>0.79</v>
      </c>
      <c r="BA532" s="10">
        <f t="shared" si="134"/>
        <v>26.997800000000002</v>
      </c>
    </row>
    <row r="533" spans="1:53" x14ac:dyDescent="0.3">
      <c r="A533" s="17">
        <v>45162</v>
      </c>
      <c r="B533" s="8">
        <v>1918.2</v>
      </c>
      <c r="C533" s="7">
        <v>1920.8</v>
      </c>
      <c r="D533" s="7">
        <v>1918.2</v>
      </c>
      <c r="E533" s="7">
        <v>1920</v>
      </c>
      <c r="F533" s="18">
        <v>337</v>
      </c>
      <c r="G533" s="7">
        <v>1901.1143</v>
      </c>
      <c r="H533" s="7">
        <v>1935.5333000000001</v>
      </c>
      <c r="I533" s="7">
        <v>1956.1822</v>
      </c>
      <c r="J533" s="8">
        <v>0.54459999999999997</v>
      </c>
      <c r="K533" s="7">
        <v>0.44629999999999997</v>
      </c>
      <c r="L533" s="7">
        <v>0.48720000000000002</v>
      </c>
      <c r="M533" s="8">
        <v>41.077800000000003</v>
      </c>
      <c r="N533" s="8">
        <v>-11.4064</v>
      </c>
      <c r="O533" s="7">
        <v>-11.0114</v>
      </c>
      <c r="P533" s="7">
        <v>1966.8141000000001</v>
      </c>
      <c r="Q533" s="7">
        <v>1877.4259</v>
      </c>
      <c r="R533" s="7" t="str">
        <f t="shared" si="121"/>
        <v>Up</v>
      </c>
      <c r="S533" s="7" t="str">
        <f t="shared" si="122"/>
        <v>Hold</v>
      </c>
      <c r="T533" s="8">
        <f t="shared" si="123"/>
        <v>0.16455752351097169</v>
      </c>
      <c r="U533" s="18">
        <f t="shared" si="124"/>
        <v>2717050</v>
      </c>
      <c r="V533" s="7">
        <f t="shared" si="125"/>
        <v>5586.2002000000002</v>
      </c>
      <c r="W533" s="7">
        <f t="shared" si="126"/>
        <v>1809.4</v>
      </c>
      <c r="X533" s="7">
        <f t="shared" si="127"/>
        <v>1920</v>
      </c>
      <c r="Y533" s="7">
        <f t="shared" si="128"/>
        <v>268</v>
      </c>
      <c r="Z533" s="7">
        <f t="shared" si="129"/>
        <v>968996</v>
      </c>
      <c r="AA533" s="7" t="str">
        <f t="shared" si="130"/>
        <v>24-Aug-2023</v>
      </c>
      <c r="AB533" s="7">
        <f t="shared" si="131"/>
        <v>1920</v>
      </c>
      <c r="AC533" s="7">
        <f t="shared" si="135"/>
        <v>1</v>
      </c>
      <c r="AD533" s="7">
        <f t="shared" si="132"/>
        <v>2023</v>
      </c>
      <c r="AE533" s="19">
        <f t="shared" si="133"/>
        <v>0.54</v>
      </c>
      <c r="BA533" s="10">
        <f t="shared" si="134"/>
        <v>26.997800000000002</v>
      </c>
    </row>
    <row r="534" spans="1:53" x14ac:dyDescent="0.3">
      <c r="A534" s="17">
        <v>45163</v>
      </c>
      <c r="B534" s="8">
        <v>1911.1</v>
      </c>
      <c r="C534" s="7">
        <v>1919.8</v>
      </c>
      <c r="D534" s="7">
        <v>1911.1</v>
      </c>
      <c r="E534" s="7">
        <v>1919.8</v>
      </c>
      <c r="F534" s="18">
        <v>195</v>
      </c>
      <c r="G534" s="7">
        <v>1903.3</v>
      </c>
      <c r="H534" s="7">
        <v>1934.2466999999999</v>
      </c>
      <c r="I534" s="7">
        <v>1955.3255999999999</v>
      </c>
      <c r="J534" s="8">
        <v>-1.04E-2</v>
      </c>
      <c r="K534" s="7">
        <v>0.44240000000000002</v>
      </c>
      <c r="L534" s="7">
        <v>0.48720000000000002</v>
      </c>
      <c r="M534" s="8">
        <v>36.340200000000003</v>
      </c>
      <c r="N534" s="8">
        <v>-9.8405000000000005</v>
      </c>
      <c r="O534" s="7">
        <v>-10.777200000000001</v>
      </c>
      <c r="P534" s="7">
        <v>1964.1555000000001</v>
      </c>
      <c r="Q534" s="7">
        <v>1877.5145</v>
      </c>
      <c r="R534" s="7" t="str">
        <f t="shared" si="121"/>
        <v>Up</v>
      </c>
      <c r="S534" s="7" t="str">
        <f t="shared" si="122"/>
        <v>Hold</v>
      </c>
      <c r="T534" s="8">
        <f t="shared" si="123"/>
        <v>0.16396091051805325</v>
      </c>
      <c r="U534" s="18">
        <f t="shared" si="124"/>
        <v>2716713</v>
      </c>
      <c r="V534" s="7">
        <f t="shared" si="125"/>
        <v>5586.2002000000002</v>
      </c>
      <c r="W534" s="7">
        <f t="shared" si="126"/>
        <v>1809.4</v>
      </c>
      <c r="X534" s="7">
        <f t="shared" si="127"/>
        <v>1919.8</v>
      </c>
      <c r="Y534" s="7">
        <f t="shared" si="128"/>
        <v>267</v>
      </c>
      <c r="Z534" s="7">
        <f t="shared" si="129"/>
        <v>968659</v>
      </c>
      <c r="AA534" s="7" t="str">
        <f t="shared" si="130"/>
        <v>25-Aug-2023</v>
      </c>
      <c r="AB534" s="7">
        <f t="shared" si="131"/>
        <v>1919.8</v>
      </c>
      <c r="AC534" s="7">
        <f t="shared" si="135"/>
        <v>1</v>
      </c>
      <c r="AD534" s="7">
        <f t="shared" si="132"/>
        <v>2023</v>
      </c>
      <c r="AE534" s="19">
        <f t="shared" si="133"/>
        <v>-0.01</v>
      </c>
      <c r="BA534" s="10">
        <f t="shared" si="134"/>
        <v>26.997800000000002</v>
      </c>
    </row>
    <row r="535" spans="1:53" x14ac:dyDescent="0.3">
      <c r="A535" s="17">
        <v>45166</v>
      </c>
      <c r="B535" s="8">
        <v>1917.9</v>
      </c>
      <c r="C535" s="7">
        <v>1921.5</v>
      </c>
      <c r="D535" s="7">
        <v>1915.5</v>
      </c>
      <c r="E535" s="7">
        <v>1915.5</v>
      </c>
      <c r="F535" s="18">
        <v>99</v>
      </c>
      <c r="G535" s="7">
        <v>1906.4142999999999</v>
      </c>
      <c r="H535" s="7">
        <v>1932.9632999999999</v>
      </c>
      <c r="I535" s="7">
        <v>1954.3233</v>
      </c>
      <c r="J535" s="8">
        <v>-0.224</v>
      </c>
      <c r="K535" s="7">
        <v>0.36670000000000003</v>
      </c>
      <c r="L535" s="7">
        <v>0.48720000000000002</v>
      </c>
      <c r="M535" s="8">
        <v>38.843000000000004</v>
      </c>
      <c r="N535" s="8">
        <v>-8.8445999999999998</v>
      </c>
      <c r="O535" s="7">
        <v>-10.390700000000001</v>
      </c>
      <c r="P535" s="7">
        <v>1958.0542</v>
      </c>
      <c r="Q535" s="7">
        <v>1879.2457999999999</v>
      </c>
      <c r="R535" s="7" t="str">
        <f t="shared" si="121"/>
        <v>Down</v>
      </c>
      <c r="S535" s="7" t="str">
        <f t="shared" si="122"/>
        <v>Hold</v>
      </c>
      <c r="T535" s="8">
        <f t="shared" si="123"/>
        <v>0.16423506289308162</v>
      </c>
      <c r="U535" s="18">
        <f t="shared" si="124"/>
        <v>2716518</v>
      </c>
      <c r="V535" s="7">
        <f t="shared" si="125"/>
        <v>5586.2002000000002</v>
      </c>
      <c r="W535" s="7">
        <f t="shared" si="126"/>
        <v>1809.4</v>
      </c>
      <c r="X535" s="7">
        <f t="shared" si="127"/>
        <v>1915.5</v>
      </c>
      <c r="Y535" s="7">
        <f t="shared" si="128"/>
        <v>266</v>
      </c>
      <c r="Z535" s="7">
        <f t="shared" si="129"/>
        <v>968464</v>
      </c>
      <c r="AA535" s="7" t="str">
        <f t="shared" si="130"/>
        <v>28-Aug-2023</v>
      </c>
      <c r="AB535" s="7">
        <f t="shared" si="131"/>
        <v>1915.5</v>
      </c>
      <c r="AC535" s="7">
        <f t="shared" si="135"/>
        <v>1</v>
      </c>
      <c r="AD535" s="7">
        <f t="shared" si="132"/>
        <v>2023</v>
      </c>
      <c r="AE535" s="19">
        <f t="shared" si="133"/>
        <v>-0.22</v>
      </c>
      <c r="BA535" s="10">
        <f t="shared" si="134"/>
        <v>26.997800000000002</v>
      </c>
    </row>
    <row r="536" spans="1:53" x14ac:dyDescent="0.3">
      <c r="A536" s="17">
        <v>45167</v>
      </c>
      <c r="B536" s="8">
        <v>1936.5</v>
      </c>
      <c r="C536" s="7">
        <v>1936.5</v>
      </c>
      <c r="D536" s="7">
        <v>1916.9</v>
      </c>
      <c r="E536" s="7">
        <v>1917.9</v>
      </c>
      <c r="F536" s="18">
        <v>1674</v>
      </c>
      <c r="G536" s="7">
        <v>1910.1429000000001</v>
      </c>
      <c r="H536" s="7">
        <v>1931.2666999999999</v>
      </c>
      <c r="I536" s="7">
        <v>1953.4332999999999</v>
      </c>
      <c r="J536" s="8">
        <v>0.12529999999999999</v>
      </c>
      <c r="K536" s="7">
        <v>0.34910000000000002</v>
      </c>
      <c r="L536" s="7">
        <v>0.46339999999999998</v>
      </c>
      <c r="M536" s="8">
        <v>44.541499999999999</v>
      </c>
      <c r="N536" s="8">
        <v>-7.7721</v>
      </c>
      <c r="O536" s="7">
        <v>-9.8670000000000009</v>
      </c>
      <c r="P536" s="7">
        <v>1949.1515999999999</v>
      </c>
      <c r="Q536" s="7">
        <v>1883.4484</v>
      </c>
      <c r="R536" s="7" t="str">
        <f t="shared" si="121"/>
        <v>Down</v>
      </c>
      <c r="S536" s="7" t="str">
        <f t="shared" si="122"/>
        <v>Hold</v>
      </c>
      <c r="T536" s="8">
        <f t="shared" si="123"/>
        <v>0.16484645669291326</v>
      </c>
      <c r="U536" s="18">
        <f t="shared" si="124"/>
        <v>2716419</v>
      </c>
      <c r="V536" s="7">
        <f t="shared" si="125"/>
        <v>5586.2002000000002</v>
      </c>
      <c r="W536" s="7">
        <f t="shared" si="126"/>
        <v>1809.4</v>
      </c>
      <c r="X536" s="7">
        <f t="shared" si="127"/>
        <v>1917.9</v>
      </c>
      <c r="Y536" s="7">
        <f t="shared" si="128"/>
        <v>266</v>
      </c>
      <c r="Z536" s="7">
        <f t="shared" si="129"/>
        <v>968464</v>
      </c>
      <c r="AA536" s="7" t="str">
        <f t="shared" si="130"/>
        <v>29-Aug-2023</v>
      </c>
      <c r="AB536" s="7">
        <f t="shared" si="131"/>
        <v>1917.9</v>
      </c>
      <c r="AC536" s="7">
        <f t="shared" si="135"/>
        <v>1</v>
      </c>
      <c r="AD536" s="7">
        <f t="shared" si="132"/>
        <v>2023</v>
      </c>
      <c r="AE536" s="19">
        <f t="shared" si="133"/>
        <v>0.13</v>
      </c>
      <c r="BA536" s="10">
        <f t="shared" si="134"/>
        <v>26.997800000000002</v>
      </c>
    </row>
    <row r="537" spans="1:53" x14ac:dyDescent="0.3">
      <c r="A537" s="17">
        <v>45168</v>
      </c>
      <c r="B537" s="8">
        <v>1944.3</v>
      </c>
      <c r="C537" s="7">
        <v>1946.4</v>
      </c>
      <c r="D537" s="7">
        <v>1934.6</v>
      </c>
      <c r="E537" s="7">
        <v>1936</v>
      </c>
      <c r="F537" s="18">
        <v>396</v>
      </c>
      <c r="G537" s="7">
        <v>1916.2</v>
      </c>
      <c r="H537" s="7">
        <v>1929.9</v>
      </c>
      <c r="I537" s="7">
        <v>1952.7644</v>
      </c>
      <c r="J537" s="8">
        <v>0.94369999999999998</v>
      </c>
      <c r="K537" s="7">
        <v>0.44280000000000003</v>
      </c>
      <c r="L537" s="7">
        <v>0.49230000000000002</v>
      </c>
      <c r="M537" s="8">
        <v>59.030299999999997</v>
      </c>
      <c r="N537" s="8">
        <v>-5.3994</v>
      </c>
      <c r="O537" s="7">
        <v>-8.9734999999999996</v>
      </c>
      <c r="P537" s="7">
        <v>1946.3782000000001</v>
      </c>
      <c r="Q537" s="7">
        <v>1884.9818</v>
      </c>
      <c r="R537" s="7" t="str">
        <f t="shared" si="121"/>
        <v>Down</v>
      </c>
      <c r="S537" s="7" t="str">
        <f t="shared" si="122"/>
        <v>Hold</v>
      </c>
      <c r="T537" s="8">
        <f t="shared" si="123"/>
        <v>0.16490883280757085</v>
      </c>
      <c r="U537" s="18">
        <f t="shared" si="124"/>
        <v>2714745</v>
      </c>
      <c r="V537" s="7">
        <f t="shared" si="125"/>
        <v>5586.2002000000002</v>
      </c>
      <c r="W537" s="7">
        <f t="shared" si="126"/>
        <v>1809.4</v>
      </c>
      <c r="X537" s="7">
        <f t="shared" si="127"/>
        <v>1936</v>
      </c>
      <c r="Y537" s="7">
        <f t="shared" si="128"/>
        <v>266</v>
      </c>
      <c r="Z537" s="7">
        <f t="shared" si="129"/>
        <v>968464</v>
      </c>
      <c r="AA537" s="7" t="str">
        <f t="shared" si="130"/>
        <v>30-Aug-2023</v>
      </c>
      <c r="AB537" s="7">
        <f t="shared" si="131"/>
        <v>1936</v>
      </c>
      <c r="AC537" s="7">
        <f t="shared" si="135"/>
        <v>1</v>
      </c>
      <c r="AD537" s="7">
        <f t="shared" si="132"/>
        <v>2023</v>
      </c>
      <c r="AE537" s="19">
        <f t="shared" si="133"/>
        <v>0.94</v>
      </c>
      <c r="BA537" s="10">
        <f t="shared" si="134"/>
        <v>26.997800000000002</v>
      </c>
    </row>
    <row r="538" spans="1:53" x14ac:dyDescent="0.3">
      <c r="A538" s="17">
        <v>45169</v>
      </c>
      <c r="B538" s="8">
        <v>1938.2</v>
      </c>
      <c r="C538" s="7">
        <v>1944.4</v>
      </c>
      <c r="D538" s="7">
        <v>1938.2</v>
      </c>
      <c r="E538" s="7">
        <v>1944.4</v>
      </c>
      <c r="F538" s="18">
        <v>491</v>
      </c>
      <c r="G538" s="7">
        <v>1923.3143</v>
      </c>
      <c r="H538" s="7">
        <v>1928.9232999999999</v>
      </c>
      <c r="I538" s="7">
        <v>1952.3543999999999</v>
      </c>
      <c r="J538" s="8">
        <v>0.43390000000000001</v>
      </c>
      <c r="K538" s="7">
        <v>0.42799999999999999</v>
      </c>
      <c r="L538" s="7">
        <v>0.50029999999999997</v>
      </c>
      <c r="M538" s="8">
        <v>68.961399999999998</v>
      </c>
      <c r="N538" s="8">
        <v>-2.8088000000000002</v>
      </c>
      <c r="O538" s="7">
        <v>-7.7404999999999999</v>
      </c>
      <c r="P538" s="7">
        <v>1948.4812999999999</v>
      </c>
      <c r="Q538" s="7">
        <v>1883.8987</v>
      </c>
      <c r="R538" s="7" t="str">
        <f t="shared" si="121"/>
        <v>Up</v>
      </c>
      <c r="S538" s="7" t="str">
        <f t="shared" si="122"/>
        <v>Hold</v>
      </c>
      <c r="T538" s="8">
        <f t="shared" si="123"/>
        <v>0.16367851500789873</v>
      </c>
      <c r="U538" s="18">
        <f t="shared" si="124"/>
        <v>2714349</v>
      </c>
      <c r="V538" s="7">
        <f t="shared" si="125"/>
        <v>5586.2002000000002</v>
      </c>
      <c r="W538" s="7">
        <f t="shared" si="126"/>
        <v>1809.4</v>
      </c>
      <c r="X538" s="7">
        <f t="shared" si="127"/>
        <v>1944.4</v>
      </c>
      <c r="Y538" s="7">
        <f t="shared" si="128"/>
        <v>266</v>
      </c>
      <c r="Z538" s="7">
        <f t="shared" si="129"/>
        <v>968464</v>
      </c>
      <c r="AA538" s="7" t="str">
        <f t="shared" si="130"/>
        <v>31-Aug-2023</v>
      </c>
      <c r="AB538" s="7">
        <f t="shared" si="131"/>
        <v>1944.4</v>
      </c>
      <c r="AC538" s="7">
        <f t="shared" si="135"/>
        <v>1</v>
      </c>
      <c r="AD538" s="7">
        <f t="shared" si="132"/>
        <v>2023</v>
      </c>
      <c r="AE538" s="19">
        <f t="shared" si="133"/>
        <v>0.43</v>
      </c>
      <c r="BA538" s="10">
        <f t="shared" si="134"/>
        <v>26.997800000000002</v>
      </c>
    </row>
    <row r="539" spans="1:53" x14ac:dyDescent="0.3">
      <c r="A539" s="17">
        <v>45170</v>
      </c>
      <c r="B539" s="8">
        <v>1939.8</v>
      </c>
      <c r="C539" s="7">
        <v>1950</v>
      </c>
      <c r="D539" s="7">
        <v>1936.6</v>
      </c>
      <c r="E539" s="7">
        <v>1950</v>
      </c>
      <c r="F539" s="18">
        <v>167</v>
      </c>
      <c r="G539" s="7">
        <v>1929.0857000000001</v>
      </c>
      <c r="H539" s="7">
        <v>1928.53</v>
      </c>
      <c r="I539" s="7">
        <v>1951.8467000000001</v>
      </c>
      <c r="J539" s="8">
        <v>0.28799999999999998</v>
      </c>
      <c r="K539" s="7">
        <v>0.38600000000000001</v>
      </c>
      <c r="L539" s="7">
        <v>0.49259999999999998</v>
      </c>
      <c r="M539" s="8">
        <v>74.025999999999996</v>
      </c>
      <c r="N539" s="8">
        <v>-0.3004</v>
      </c>
      <c r="O539" s="7">
        <v>-6.2525000000000004</v>
      </c>
      <c r="P539" s="7">
        <v>1951.691</v>
      </c>
      <c r="Q539" s="7">
        <v>1882.1990000000001</v>
      </c>
      <c r="R539" s="7" t="str">
        <f t="shared" si="121"/>
        <v>Up</v>
      </c>
      <c r="S539" s="7" t="str">
        <f t="shared" si="122"/>
        <v>Sell</v>
      </c>
      <c r="T539" s="8">
        <f t="shared" si="123"/>
        <v>0.16325094936708848</v>
      </c>
      <c r="U539" s="18">
        <f t="shared" si="124"/>
        <v>2713858</v>
      </c>
      <c r="V539" s="7">
        <f t="shared" si="125"/>
        <v>5586.2002000000002</v>
      </c>
      <c r="W539" s="7">
        <f t="shared" si="126"/>
        <v>1809.4</v>
      </c>
      <c r="X539" s="7">
        <f t="shared" si="127"/>
        <v>1950</v>
      </c>
      <c r="Y539" s="7">
        <f t="shared" si="128"/>
        <v>265</v>
      </c>
      <c r="Z539" s="7">
        <f t="shared" si="129"/>
        <v>967973</v>
      </c>
      <c r="AA539" s="7" t="str">
        <f t="shared" si="130"/>
        <v>01-Sep-2023</v>
      </c>
      <c r="AB539" s="7">
        <f t="shared" si="131"/>
        <v>1950</v>
      </c>
      <c r="AC539" s="7">
        <f t="shared" si="135"/>
        <v>1</v>
      </c>
      <c r="AD539" s="7">
        <f t="shared" si="132"/>
        <v>2023</v>
      </c>
      <c r="AE539" s="19">
        <f t="shared" si="133"/>
        <v>0.28999999999999998</v>
      </c>
      <c r="BA539" s="10">
        <f t="shared" si="134"/>
        <v>26.997800000000002</v>
      </c>
    </row>
    <row r="540" spans="1:53" x14ac:dyDescent="0.3">
      <c r="A540" s="17">
        <v>45174</v>
      </c>
      <c r="B540" s="8">
        <v>1926.2</v>
      </c>
      <c r="C540" s="7">
        <v>1934.4</v>
      </c>
      <c r="D540" s="7">
        <v>1924.7</v>
      </c>
      <c r="E540" s="7">
        <v>1934.4</v>
      </c>
      <c r="F540" s="18">
        <v>113</v>
      </c>
      <c r="G540" s="7">
        <v>1931.1429000000001</v>
      </c>
      <c r="H540" s="7">
        <v>1927.5</v>
      </c>
      <c r="I540" s="7">
        <v>1951.1422</v>
      </c>
      <c r="J540" s="8">
        <v>-0.8</v>
      </c>
      <c r="K540" s="7">
        <v>0.54559999999999997</v>
      </c>
      <c r="L540" s="7">
        <v>0.51119999999999999</v>
      </c>
      <c r="M540" s="8">
        <v>64.639200000000002</v>
      </c>
      <c r="N540" s="8">
        <v>0.4239</v>
      </c>
      <c r="O540" s="7">
        <v>-4.9172000000000002</v>
      </c>
      <c r="P540" s="7">
        <v>1950.5141000000001</v>
      </c>
      <c r="Q540" s="7">
        <v>1882.7158999999999</v>
      </c>
      <c r="R540" s="7" t="str">
        <f t="shared" si="121"/>
        <v>Up</v>
      </c>
      <c r="S540" s="7" t="str">
        <f t="shared" si="122"/>
        <v>Hold</v>
      </c>
      <c r="T540" s="8">
        <f t="shared" si="123"/>
        <v>0.16305324881141031</v>
      </c>
      <c r="U540" s="18">
        <f t="shared" si="124"/>
        <v>2713691</v>
      </c>
      <c r="V540" s="7">
        <f t="shared" si="125"/>
        <v>5586.2002000000002</v>
      </c>
      <c r="W540" s="7">
        <f t="shared" si="126"/>
        <v>1809.4</v>
      </c>
      <c r="X540" s="7">
        <f t="shared" si="127"/>
        <v>1934.4</v>
      </c>
      <c r="Y540" s="7">
        <f t="shared" si="128"/>
        <v>264</v>
      </c>
      <c r="Z540" s="7">
        <f t="shared" si="129"/>
        <v>967806</v>
      </c>
      <c r="AA540" s="7" t="str">
        <f t="shared" si="130"/>
        <v>05-Sep-2023</v>
      </c>
      <c r="AB540" s="7">
        <f t="shared" si="131"/>
        <v>1934.4</v>
      </c>
      <c r="AC540" s="7">
        <f t="shared" si="135"/>
        <v>1</v>
      </c>
      <c r="AD540" s="7">
        <f t="shared" si="132"/>
        <v>2023</v>
      </c>
      <c r="AE540" s="19">
        <f t="shared" si="133"/>
        <v>-0.8</v>
      </c>
      <c r="BA540" s="10">
        <f t="shared" si="134"/>
        <v>26.997800000000002</v>
      </c>
    </row>
    <row r="541" spans="1:53" x14ac:dyDescent="0.3">
      <c r="A541" s="17">
        <v>45175</v>
      </c>
      <c r="B541" s="8">
        <v>1918.1</v>
      </c>
      <c r="C541" s="7">
        <v>1925.3</v>
      </c>
      <c r="D541" s="7">
        <v>1916.3</v>
      </c>
      <c r="E541" s="7">
        <v>1924.1</v>
      </c>
      <c r="F541" s="18">
        <v>24</v>
      </c>
      <c r="G541" s="7">
        <v>1931.7571</v>
      </c>
      <c r="H541" s="7">
        <v>1926.5367000000001</v>
      </c>
      <c r="I541" s="7">
        <v>1950.4032999999999</v>
      </c>
      <c r="J541" s="8">
        <v>-0.53249999999999997</v>
      </c>
      <c r="K541" s="7">
        <v>0.59770000000000001</v>
      </c>
      <c r="L541" s="7">
        <v>0.50780000000000003</v>
      </c>
      <c r="M541" s="8">
        <v>59.262799999999999</v>
      </c>
      <c r="N541" s="8">
        <v>0.1648</v>
      </c>
      <c r="O541" s="7">
        <v>-3.9007999999999998</v>
      </c>
      <c r="P541" s="7">
        <v>1949.5880999999999</v>
      </c>
      <c r="Q541" s="7">
        <v>1882.8819000000001</v>
      </c>
      <c r="R541" s="7" t="str">
        <f t="shared" si="121"/>
        <v>Up</v>
      </c>
      <c r="S541" s="7" t="str">
        <f t="shared" si="122"/>
        <v>Hold</v>
      </c>
      <c r="T541" s="8">
        <f t="shared" si="123"/>
        <v>0.16458190476190462</v>
      </c>
      <c r="U541" s="18">
        <f t="shared" si="124"/>
        <v>2713578</v>
      </c>
      <c r="V541" s="7">
        <f t="shared" si="125"/>
        <v>5586.2002000000002</v>
      </c>
      <c r="W541" s="7">
        <f t="shared" si="126"/>
        <v>1809.4</v>
      </c>
      <c r="X541" s="7">
        <f t="shared" si="127"/>
        <v>1924.1</v>
      </c>
      <c r="Y541" s="7">
        <f t="shared" si="128"/>
        <v>263</v>
      </c>
      <c r="Z541" s="7">
        <f t="shared" si="129"/>
        <v>967693</v>
      </c>
      <c r="AA541" s="7" t="str">
        <f t="shared" si="130"/>
        <v>06-Sep-2023</v>
      </c>
      <c r="AB541" s="7">
        <f t="shared" si="131"/>
        <v>1924.1</v>
      </c>
      <c r="AC541" s="7">
        <f t="shared" si="135"/>
        <v>1</v>
      </c>
      <c r="AD541" s="7">
        <f t="shared" si="132"/>
        <v>2023</v>
      </c>
      <c r="AE541" s="19">
        <f t="shared" si="133"/>
        <v>-0.53</v>
      </c>
      <c r="BA541" s="10">
        <f t="shared" si="134"/>
        <v>26.997800000000002</v>
      </c>
    </row>
    <row r="542" spans="1:53" x14ac:dyDescent="0.3">
      <c r="A542" s="17">
        <v>45176</v>
      </c>
      <c r="B542" s="8">
        <v>1917.5</v>
      </c>
      <c r="C542" s="7">
        <v>1921.5</v>
      </c>
      <c r="D542" s="7">
        <v>1917.5</v>
      </c>
      <c r="E542" s="7">
        <v>1917.6</v>
      </c>
      <c r="F542" s="18">
        <v>41</v>
      </c>
      <c r="G542" s="7">
        <v>1932.0571</v>
      </c>
      <c r="H542" s="7">
        <v>1924.9167</v>
      </c>
      <c r="I542" s="7">
        <v>1949.6333</v>
      </c>
      <c r="J542" s="8">
        <v>-0.33779999999999999</v>
      </c>
      <c r="K542" s="7">
        <v>0.60729999999999995</v>
      </c>
      <c r="L542" s="7">
        <v>0.4914</v>
      </c>
      <c r="M542" s="8">
        <v>61.773400000000002</v>
      </c>
      <c r="N542" s="8">
        <v>-0.5585</v>
      </c>
      <c r="O542" s="7">
        <v>-3.2324000000000002</v>
      </c>
      <c r="P542" s="7">
        <v>1948.9282000000001</v>
      </c>
      <c r="Q542" s="7">
        <v>1882.7618</v>
      </c>
      <c r="R542" s="7" t="str">
        <f t="shared" si="121"/>
        <v>Up</v>
      </c>
      <c r="S542" s="7" t="str">
        <f t="shared" si="122"/>
        <v>Hold</v>
      </c>
      <c r="T542" s="8">
        <f t="shared" si="123"/>
        <v>0.16569014308426058</v>
      </c>
      <c r="U542" s="18">
        <f t="shared" si="124"/>
        <v>2713554</v>
      </c>
      <c r="V542" s="7">
        <f t="shared" si="125"/>
        <v>5586.2002000000002</v>
      </c>
      <c r="W542" s="7">
        <f t="shared" si="126"/>
        <v>1809.4</v>
      </c>
      <c r="X542" s="7">
        <f t="shared" si="127"/>
        <v>1917.6</v>
      </c>
      <c r="Y542" s="7">
        <f t="shared" si="128"/>
        <v>262</v>
      </c>
      <c r="Z542" s="7">
        <f t="shared" si="129"/>
        <v>967669</v>
      </c>
      <c r="AA542" s="7" t="str">
        <f t="shared" si="130"/>
        <v>07-Sep-2023</v>
      </c>
      <c r="AB542" s="7">
        <f t="shared" si="131"/>
        <v>1917.6</v>
      </c>
      <c r="AC542" s="7">
        <f t="shared" si="135"/>
        <v>1</v>
      </c>
      <c r="AD542" s="7">
        <f t="shared" si="132"/>
        <v>2023</v>
      </c>
      <c r="AE542" s="19">
        <f t="shared" si="133"/>
        <v>-0.34</v>
      </c>
      <c r="BA542" s="10">
        <f t="shared" si="134"/>
        <v>26.997800000000002</v>
      </c>
    </row>
    <row r="543" spans="1:53" x14ac:dyDescent="0.3">
      <c r="A543" s="17">
        <v>45177</v>
      </c>
      <c r="B543" s="8">
        <v>1918.4</v>
      </c>
      <c r="C543" s="7">
        <v>1924.7</v>
      </c>
      <c r="D543" s="7">
        <v>1918.4</v>
      </c>
      <c r="E543" s="7">
        <v>1924</v>
      </c>
      <c r="F543" s="18">
        <v>105</v>
      </c>
      <c r="G543" s="7">
        <v>1932.9286</v>
      </c>
      <c r="H543" s="7">
        <v>1924.2032999999999</v>
      </c>
      <c r="I543" s="7">
        <v>1949.01</v>
      </c>
      <c r="J543" s="8">
        <v>0.33379999999999999</v>
      </c>
      <c r="K543" s="7">
        <v>0.61850000000000005</v>
      </c>
      <c r="L543" s="7">
        <v>0.46089999999999998</v>
      </c>
      <c r="M543" s="8">
        <v>65.188699999999997</v>
      </c>
      <c r="N543" s="8">
        <v>-0.60840000000000005</v>
      </c>
      <c r="O543" s="7">
        <v>-2.7075999999999998</v>
      </c>
      <c r="P543" s="7">
        <v>1949.1954000000001</v>
      </c>
      <c r="Q543" s="7">
        <v>1882.7846</v>
      </c>
      <c r="R543" s="7" t="str">
        <f t="shared" si="121"/>
        <v>Up</v>
      </c>
      <c r="S543" s="7" t="str">
        <f t="shared" si="122"/>
        <v>Hold</v>
      </c>
      <c r="T543" s="8">
        <f t="shared" si="123"/>
        <v>0.1664918789808916</v>
      </c>
      <c r="U543" s="18">
        <f t="shared" si="124"/>
        <v>2713513</v>
      </c>
      <c r="V543" s="7">
        <f t="shared" si="125"/>
        <v>5586.2002000000002</v>
      </c>
      <c r="W543" s="7">
        <f t="shared" si="126"/>
        <v>1809.4</v>
      </c>
      <c r="X543" s="7">
        <f t="shared" si="127"/>
        <v>1924</v>
      </c>
      <c r="Y543" s="7">
        <f t="shared" si="128"/>
        <v>261</v>
      </c>
      <c r="Z543" s="7">
        <f t="shared" si="129"/>
        <v>967628</v>
      </c>
      <c r="AA543" s="7" t="str">
        <f t="shared" si="130"/>
        <v>08-Sep-2023</v>
      </c>
      <c r="AB543" s="7">
        <f t="shared" si="131"/>
        <v>1924</v>
      </c>
      <c r="AC543" s="7">
        <f t="shared" si="135"/>
        <v>1</v>
      </c>
      <c r="AD543" s="7">
        <f t="shared" si="132"/>
        <v>2023</v>
      </c>
      <c r="AE543" s="19">
        <f t="shared" si="133"/>
        <v>0.33</v>
      </c>
      <c r="BA543" s="10">
        <f t="shared" si="134"/>
        <v>26.997800000000002</v>
      </c>
    </row>
    <row r="544" spans="1:53" x14ac:dyDescent="0.3">
      <c r="A544" s="17">
        <v>45180</v>
      </c>
      <c r="B544" s="8">
        <v>1923.3</v>
      </c>
      <c r="C544" s="7">
        <v>1928.3</v>
      </c>
      <c r="D544" s="7">
        <v>1921.8</v>
      </c>
      <c r="E544" s="7">
        <v>1923</v>
      </c>
      <c r="F544" s="18">
        <v>50</v>
      </c>
      <c r="G544" s="7">
        <v>1931.0714</v>
      </c>
      <c r="H544" s="7">
        <v>1923.4532999999999</v>
      </c>
      <c r="I544" s="7">
        <v>1948.2132999999999</v>
      </c>
      <c r="J544" s="8">
        <v>-5.1999999999999998E-2</v>
      </c>
      <c r="K544" s="7">
        <v>0.47599999999999998</v>
      </c>
      <c r="L544" s="7">
        <v>0.46079999999999999</v>
      </c>
      <c r="M544" s="8">
        <v>63.973399999999998</v>
      </c>
      <c r="N544" s="8">
        <v>-0.72019999999999995</v>
      </c>
      <c r="O544" s="7">
        <v>-2.3100999999999998</v>
      </c>
      <c r="P544" s="7">
        <v>1949.8068000000001</v>
      </c>
      <c r="Q544" s="7">
        <v>1883.1732</v>
      </c>
      <c r="R544" s="7" t="str">
        <f t="shared" si="121"/>
        <v>Down</v>
      </c>
      <c r="S544" s="7" t="str">
        <f t="shared" si="122"/>
        <v>Hold</v>
      </c>
      <c r="T544" s="8">
        <f t="shared" si="123"/>
        <v>0.16622503987240819</v>
      </c>
      <c r="U544" s="18">
        <f t="shared" si="124"/>
        <v>2713408</v>
      </c>
      <c r="V544" s="7">
        <f t="shared" si="125"/>
        <v>5586.2002000000002</v>
      </c>
      <c r="W544" s="7">
        <f t="shared" si="126"/>
        <v>1809.4</v>
      </c>
      <c r="X544" s="7">
        <f t="shared" si="127"/>
        <v>1923</v>
      </c>
      <c r="Y544" s="7">
        <f t="shared" si="128"/>
        <v>260</v>
      </c>
      <c r="Z544" s="7">
        <f t="shared" si="129"/>
        <v>967523</v>
      </c>
      <c r="AA544" s="7" t="str">
        <f t="shared" si="130"/>
        <v>11-Sep-2023</v>
      </c>
      <c r="AB544" s="7">
        <f t="shared" si="131"/>
        <v>1923</v>
      </c>
      <c r="AC544" s="7">
        <f t="shared" si="135"/>
        <v>1</v>
      </c>
      <c r="AD544" s="7">
        <f t="shared" si="132"/>
        <v>2023</v>
      </c>
      <c r="AE544" s="19">
        <f t="shared" si="133"/>
        <v>-0.05</v>
      </c>
      <c r="BA544" s="10">
        <f t="shared" si="134"/>
        <v>26.997800000000002</v>
      </c>
    </row>
    <row r="545" spans="1:53" x14ac:dyDescent="0.3">
      <c r="A545" s="17">
        <v>45181</v>
      </c>
      <c r="B545" s="8">
        <v>1911.3</v>
      </c>
      <c r="C545" s="7">
        <v>1920.8</v>
      </c>
      <c r="D545" s="7">
        <v>1911.3</v>
      </c>
      <c r="E545" s="7">
        <v>1920.8</v>
      </c>
      <c r="F545" s="18">
        <v>365</v>
      </c>
      <c r="G545" s="7">
        <v>1927.7</v>
      </c>
      <c r="H545" s="7">
        <v>1922.1732999999999</v>
      </c>
      <c r="I545" s="7">
        <v>1947.1433</v>
      </c>
      <c r="J545" s="8">
        <v>-0.1144</v>
      </c>
      <c r="K545" s="7">
        <v>0.41570000000000001</v>
      </c>
      <c r="L545" s="7">
        <v>0.43909999999999999</v>
      </c>
      <c r="M545" s="8">
        <v>62.312100000000001</v>
      </c>
      <c r="N545" s="8">
        <v>-0.97519999999999996</v>
      </c>
      <c r="O545" s="7">
        <v>-2.0430999999999999</v>
      </c>
      <c r="P545" s="7">
        <v>1950.2560000000001</v>
      </c>
      <c r="Q545" s="7">
        <v>1883.874</v>
      </c>
      <c r="R545" s="7" t="str">
        <f t="shared" si="121"/>
        <v>Up</v>
      </c>
      <c r="S545" s="7" t="str">
        <f t="shared" si="122"/>
        <v>Hold</v>
      </c>
      <c r="T545" s="8">
        <f t="shared" si="123"/>
        <v>0.16657364217252385</v>
      </c>
      <c r="U545" s="18">
        <f t="shared" si="124"/>
        <v>2713358</v>
      </c>
      <c r="V545" s="7">
        <f t="shared" si="125"/>
        <v>5586.2002000000002</v>
      </c>
      <c r="W545" s="7">
        <f t="shared" si="126"/>
        <v>1809.4</v>
      </c>
      <c r="X545" s="7">
        <f t="shared" si="127"/>
        <v>1920.8</v>
      </c>
      <c r="Y545" s="7">
        <f t="shared" si="128"/>
        <v>260</v>
      </c>
      <c r="Z545" s="7">
        <f t="shared" si="129"/>
        <v>967523</v>
      </c>
      <c r="AA545" s="7" t="str">
        <f t="shared" si="130"/>
        <v>12-Sep-2023</v>
      </c>
      <c r="AB545" s="7">
        <f t="shared" si="131"/>
        <v>1920.8</v>
      </c>
      <c r="AC545" s="7">
        <f t="shared" si="135"/>
        <v>1</v>
      </c>
      <c r="AD545" s="7">
        <f t="shared" si="132"/>
        <v>2023</v>
      </c>
      <c r="AE545" s="19">
        <f t="shared" si="133"/>
        <v>-0.11</v>
      </c>
      <c r="BA545" s="10">
        <f t="shared" si="134"/>
        <v>26.997800000000002</v>
      </c>
    </row>
    <row r="546" spans="1:53" x14ac:dyDescent="0.3">
      <c r="A546" s="17">
        <v>45182</v>
      </c>
      <c r="B546" s="8">
        <v>1909.1</v>
      </c>
      <c r="C546" s="7">
        <v>1914.6</v>
      </c>
      <c r="D546" s="7">
        <v>1908.9</v>
      </c>
      <c r="E546" s="7">
        <v>1910.3</v>
      </c>
      <c r="F546" s="18">
        <v>15</v>
      </c>
      <c r="G546" s="7">
        <v>1922.0286000000001</v>
      </c>
      <c r="H546" s="7">
        <v>1920.3533</v>
      </c>
      <c r="I546" s="7">
        <v>1945.6467</v>
      </c>
      <c r="J546" s="8">
        <v>-0.54659999999999997</v>
      </c>
      <c r="K546" s="7">
        <v>0.37940000000000002</v>
      </c>
      <c r="L546" s="7">
        <v>0.44230000000000003</v>
      </c>
      <c r="M546" s="8">
        <v>50.343499999999999</v>
      </c>
      <c r="N546" s="8">
        <v>-2.0013999999999998</v>
      </c>
      <c r="O546" s="7">
        <v>-2.0348000000000002</v>
      </c>
      <c r="P546" s="7">
        <v>1950.2239999999999</v>
      </c>
      <c r="Q546" s="7">
        <v>1884.336</v>
      </c>
      <c r="R546" s="7" t="str">
        <f t="shared" si="121"/>
        <v>Up</v>
      </c>
      <c r="S546" s="7" t="str">
        <f t="shared" si="122"/>
        <v>Hold</v>
      </c>
      <c r="T546" s="8">
        <f t="shared" si="123"/>
        <v>0.16702319999999987</v>
      </c>
      <c r="U546" s="18">
        <f t="shared" si="124"/>
        <v>2712993</v>
      </c>
      <c r="V546" s="7">
        <f t="shared" si="125"/>
        <v>5586.2002000000002</v>
      </c>
      <c r="W546" s="7">
        <f t="shared" si="126"/>
        <v>1809.4</v>
      </c>
      <c r="X546" s="7">
        <f t="shared" si="127"/>
        <v>1910.3</v>
      </c>
      <c r="Y546" s="7">
        <f t="shared" si="128"/>
        <v>259</v>
      </c>
      <c r="Z546" s="7">
        <f t="shared" si="129"/>
        <v>967158</v>
      </c>
      <c r="AA546" s="7" t="str">
        <f t="shared" si="130"/>
        <v>13-Sep-2023</v>
      </c>
      <c r="AB546" s="7">
        <f t="shared" si="131"/>
        <v>1910.3</v>
      </c>
      <c r="AC546" s="7">
        <f t="shared" si="135"/>
        <v>1</v>
      </c>
      <c r="AD546" s="7">
        <f t="shared" si="132"/>
        <v>2023</v>
      </c>
      <c r="AE546" s="19">
        <f t="shared" si="133"/>
        <v>-0.55000000000000004</v>
      </c>
      <c r="BA546" s="10">
        <f t="shared" si="134"/>
        <v>26.997800000000002</v>
      </c>
    </row>
    <row r="547" spans="1:53" x14ac:dyDescent="0.3">
      <c r="A547" s="17">
        <v>45183</v>
      </c>
      <c r="B547" s="8">
        <v>1910</v>
      </c>
      <c r="C547" s="7">
        <v>1910</v>
      </c>
      <c r="D547" s="7">
        <v>1903</v>
      </c>
      <c r="E547" s="7">
        <v>1903</v>
      </c>
      <c r="F547" s="18">
        <v>169</v>
      </c>
      <c r="G547" s="7">
        <v>1917.5428999999999</v>
      </c>
      <c r="H547" s="7">
        <v>1918.84</v>
      </c>
      <c r="I547" s="7">
        <v>1944.0533</v>
      </c>
      <c r="J547" s="8">
        <v>-0.3821</v>
      </c>
      <c r="K547" s="7">
        <v>0.31340000000000001</v>
      </c>
      <c r="L547" s="7">
        <v>0.42309999999999998</v>
      </c>
      <c r="M547" s="8">
        <v>41.396799999999999</v>
      </c>
      <c r="N547" s="8">
        <v>-3.3650000000000002</v>
      </c>
      <c r="O547" s="7">
        <v>-2.3008000000000002</v>
      </c>
      <c r="P547" s="7">
        <v>1950.2781</v>
      </c>
      <c r="Q547" s="7">
        <v>1884.1319000000001</v>
      </c>
      <c r="R547" s="7" t="str">
        <f t="shared" si="121"/>
        <v>Down</v>
      </c>
      <c r="S547" s="7" t="str">
        <f t="shared" si="122"/>
        <v>Hold</v>
      </c>
      <c r="T547" s="8">
        <f t="shared" si="123"/>
        <v>0.1681668269230768</v>
      </c>
      <c r="U547" s="18">
        <f t="shared" si="124"/>
        <v>2712978</v>
      </c>
      <c r="V547" s="7">
        <f t="shared" si="125"/>
        <v>5586.2002000000002</v>
      </c>
      <c r="W547" s="7">
        <f t="shared" si="126"/>
        <v>1809.4</v>
      </c>
      <c r="X547" s="7">
        <f t="shared" si="127"/>
        <v>1903</v>
      </c>
      <c r="Y547" s="7">
        <f t="shared" si="128"/>
        <v>258</v>
      </c>
      <c r="Z547" s="7">
        <f t="shared" si="129"/>
        <v>967143</v>
      </c>
      <c r="AA547" s="7" t="str">
        <f t="shared" si="130"/>
        <v>14-Sep-2023</v>
      </c>
      <c r="AB547" s="7">
        <f t="shared" si="131"/>
        <v>1903</v>
      </c>
      <c r="AC547" s="7">
        <f t="shared" si="135"/>
        <v>1</v>
      </c>
      <c r="AD547" s="7">
        <f t="shared" si="132"/>
        <v>2023</v>
      </c>
      <c r="AE547" s="19">
        <f t="shared" si="133"/>
        <v>-0.38</v>
      </c>
      <c r="BA547" s="10">
        <f t="shared" si="134"/>
        <v>26.997800000000002</v>
      </c>
    </row>
    <row r="548" spans="1:53" x14ac:dyDescent="0.3">
      <c r="A548" s="17">
        <v>45184</v>
      </c>
      <c r="B548" s="8">
        <v>1923.7</v>
      </c>
      <c r="C548" s="7">
        <v>1927.3</v>
      </c>
      <c r="D548" s="7">
        <v>1923.5</v>
      </c>
      <c r="E548" s="7">
        <v>1923.5</v>
      </c>
      <c r="F548" s="18">
        <v>8</v>
      </c>
      <c r="G548" s="7">
        <v>1917.4572000000001</v>
      </c>
      <c r="H548" s="7">
        <v>1918.4833000000001</v>
      </c>
      <c r="I548" s="7">
        <v>1942.9532999999999</v>
      </c>
      <c r="J548" s="8">
        <v>1.0771999999999999</v>
      </c>
      <c r="K548" s="7">
        <v>0.55479999999999996</v>
      </c>
      <c r="L548" s="7">
        <v>0.4546</v>
      </c>
      <c r="M548" s="8">
        <v>51.5533</v>
      </c>
      <c r="N548" s="8">
        <v>-2.7595999999999998</v>
      </c>
      <c r="O548" s="7">
        <v>-2.3925999999999998</v>
      </c>
      <c r="P548" s="7">
        <v>1949.9441999999999</v>
      </c>
      <c r="Q548" s="7">
        <v>1887.4458</v>
      </c>
      <c r="R548" s="7" t="str">
        <f t="shared" si="121"/>
        <v>Down</v>
      </c>
      <c r="S548" s="7" t="str">
        <f t="shared" si="122"/>
        <v>Hold</v>
      </c>
      <c r="T548" s="8">
        <f t="shared" si="123"/>
        <v>0.16905008025682172</v>
      </c>
      <c r="U548" s="18">
        <f t="shared" si="124"/>
        <v>2712809</v>
      </c>
      <c r="V548" s="7">
        <f t="shared" si="125"/>
        <v>5586.2002000000002</v>
      </c>
      <c r="W548" s="7">
        <f t="shared" si="126"/>
        <v>1809.4</v>
      </c>
      <c r="X548" s="7">
        <f t="shared" si="127"/>
        <v>1923.5</v>
      </c>
      <c r="Y548" s="7">
        <f t="shared" si="128"/>
        <v>258</v>
      </c>
      <c r="Z548" s="7">
        <f t="shared" si="129"/>
        <v>967143</v>
      </c>
      <c r="AA548" s="7" t="str">
        <f t="shared" si="130"/>
        <v>15-Sep-2023</v>
      </c>
      <c r="AB548" s="7">
        <f t="shared" si="131"/>
        <v>1923.5</v>
      </c>
      <c r="AC548" s="7">
        <f t="shared" si="135"/>
        <v>1</v>
      </c>
      <c r="AD548" s="7">
        <f t="shared" si="132"/>
        <v>2023</v>
      </c>
      <c r="AE548" s="19">
        <f t="shared" si="133"/>
        <v>1.08</v>
      </c>
      <c r="BA548" s="10">
        <f t="shared" si="134"/>
        <v>26.997800000000002</v>
      </c>
    </row>
    <row r="549" spans="1:53" x14ac:dyDescent="0.3">
      <c r="A549" s="17">
        <v>45187</v>
      </c>
      <c r="B549" s="8">
        <v>1931.5</v>
      </c>
      <c r="C549" s="7">
        <v>1931.5</v>
      </c>
      <c r="D549" s="7">
        <v>1926.4</v>
      </c>
      <c r="E549" s="7">
        <v>1928.2</v>
      </c>
      <c r="F549" s="18">
        <v>19</v>
      </c>
      <c r="G549" s="7">
        <v>1918.9713999999999</v>
      </c>
      <c r="H549" s="7">
        <v>1918.26</v>
      </c>
      <c r="I549" s="7">
        <v>1941.86</v>
      </c>
      <c r="J549" s="8">
        <v>0.24429999999999999</v>
      </c>
      <c r="K549" s="7">
        <v>0.53969999999999996</v>
      </c>
      <c r="L549" s="7">
        <v>0.45700000000000002</v>
      </c>
      <c r="M549" s="8">
        <v>55.313800000000001</v>
      </c>
      <c r="N549" s="8">
        <v>-1.879</v>
      </c>
      <c r="O549" s="7">
        <v>-2.2898999999999998</v>
      </c>
      <c r="P549" s="7">
        <v>1949.3126</v>
      </c>
      <c r="Q549" s="7">
        <v>1891.7174</v>
      </c>
      <c r="R549" s="7" t="str">
        <f t="shared" si="121"/>
        <v>Down</v>
      </c>
      <c r="S549" s="7" t="str">
        <f t="shared" si="122"/>
        <v>Hold</v>
      </c>
      <c r="T549" s="8">
        <f t="shared" si="123"/>
        <v>0.16759003215434073</v>
      </c>
      <c r="U549" s="18">
        <f t="shared" si="124"/>
        <v>2712801</v>
      </c>
      <c r="V549" s="7">
        <f t="shared" si="125"/>
        <v>5586.2002000000002</v>
      </c>
      <c r="W549" s="7">
        <f t="shared" si="126"/>
        <v>1809.4</v>
      </c>
      <c r="X549" s="7">
        <f t="shared" si="127"/>
        <v>1928.2</v>
      </c>
      <c r="Y549" s="7">
        <f t="shared" si="128"/>
        <v>258</v>
      </c>
      <c r="Z549" s="7">
        <f t="shared" si="129"/>
        <v>967143</v>
      </c>
      <c r="AA549" s="7" t="str">
        <f t="shared" si="130"/>
        <v>18-Sep-2023</v>
      </c>
      <c r="AB549" s="7">
        <f t="shared" si="131"/>
        <v>1928.2</v>
      </c>
      <c r="AC549" s="7">
        <f t="shared" si="135"/>
        <v>1</v>
      </c>
      <c r="AD549" s="7">
        <f t="shared" si="132"/>
        <v>2023</v>
      </c>
      <c r="AE549" s="19">
        <f t="shared" si="133"/>
        <v>0.24</v>
      </c>
      <c r="BA549" s="10">
        <f t="shared" si="134"/>
        <v>26.997800000000002</v>
      </c>
    </row>
    <row r="550" spans="1:53" x14ac:dyDescent="0.3">
      <c r="A550" s="17">
        <v>45188</v>
      </c>
      <c r="B550" s="8">
        <v>1932</v>
      </c>
      <c r="C550" s="7">
        <v>1934</v>
      </c>
      <c r="D550" s="7">
        <v>1932</v>
      </c>
      <c r="E550" s="7">
        <v>1934</v>
      </c>
      <c r="F550" s="18">
        <v>6</v>
      </c>
      <c r="G550" s="7">
        <v>1920.4</v>
      </c>
      <c r="H550" s="7">
        <v>1918.0266999999999</v>
      </c>
      <c r="I550" s="7">
        <v>1940.7678000000001</v>
      </c>
      <c r="J550" s="8">
        <v>0.30080000000000001</v>
      </c>
      <c r="K550" s="7">
        <v>0.53720000000000001</v>
      </c>
      <c r="L550" s="7">
        <v>0.45669999999999999</v>
      </c>
      <c r="M550" s="8">
        <v>56.55</v>
      </c>
      <c r="N550" s="8">
        <v>-0.70489999999999997</v>
      </c>
      <c r="O550" s="7">
        <v>-1.9729000000000001</v>
      </c>
      <c r="P550" s="7">
        <v>1948.9527</v>
      </c>
      <c r="Q550" s="7">
        <v>1896.1172999999999</v>
      </c>
      <c r="R550" s="7" t="str">
        <f t="shared" si="121"/>
        <v>Up</v>
      </c>
      <c r="S550" s="7" t="str">
        <f t="shared" si="122"/>
        <v>Hold</v>
      </c>
      <c r="T550" s="8">
        <f t="shared" si="123"/>
        <v>0.16746650563607071</v>
      </c>
      <c r="U550" s="18">
        <f t="shared" si="124"/>
        <v>2712782</v>
      </c>
      <c r="V550" s="7">
        <f t="shared" si="125"/>
        <v>5586.2002000000002</v>
      </c>
      <c r="W550" s="7">
        <f t="shared" si="126"/>
        <v>1809.4</v>
      </c>
      <c r="X550" s="7">
        <f t="shared" si="127"/>
        <v>1934</v>
      </c>
      <c r="Y550" s="7">
        <f t="shared" si="128"/>
        <v>258</v>
      </c>
      <c r="Z550" s="7">
        <f t="shared" si="129"/>
        <v>967143</v>
      </c>
      <c r="AA550" s="7" t="str">
        <f t="shared" si="130"/>
        <v>19-Sep-2023</v>
      </c>
      <c r="AB550" s="7">
        <f t="shared" si="131"/>
        <v>1934</v>
      </c>
      <c r="AC550" s="7">
        <f t="shared" si="135"/>
        <v>1</v>
      </c>
      <c r="AD550" s="7">
        <f t="shared" si="132"/>
        <v>2023</v>
      </c>
      <c r="AE550" s="19">
        <f t="shared" si="133"/>
        <v>0.3</v>
      </c>
      <c r="BA550" s="10">
        <f t="shared" si="134"/>
        <v>26.997800000000002</v>
      </c>
    </row>
    <row r="551" spans="1:53" x14ac:dyDescent="0.3">
      <c r="A551" s="17">
        <v>45189</v>
      </c>
      <c r="B551" s="8">
        <v>1945.6</v>
      </c>
      <c r="C551" s="7">
        <v>1945.6</v>
      </c>
      <c r="D551" s="7">
        <v>1929.2</v>
      </c>
      <c r="E551" s="7">
        <v>1945.6</v>
      </c>
      <c r="F551" s="18">
        <v>119</v>
      </c>
      <c r="G551" s="7">
        <v>1923.6286</v>
      </c>
      <c r="H551" s="7">
        <v>1918.49</v>
      </c>
      <c r="I551" s="7">
        <v>1939.7844</v>
      </c>
      <c r="J551" s="8">
        <v>0.5998</v>
      </c>
      <c r="K551" s="7">
        <v>0.56710000000000005</v>
      </c>
      <c r="L551" s="7">
        <v>0.46100000000000002</v>
      </c>
      <c r="M551" s="8">
        <v>54.123699999999999</v>
      </c>
      <c r="N551" s="8">
        <v>1.1483000000000001</v>
      </c>
      <c r="O551" s="7">
        <v>-1.3486</v>
      </c>
      <c r="P551" s="7">
        <v>1949.9492</v>
      </c>
      <c r="Q551" s="7">
        <v>1900.2208000000001</v>
      </c>
      <c r="R551" s="7" t="str">
        <f t="shared" si="121"/>
        <v>Down</v>
      </c>
      <c r="S551" s="7" t="str">
        <f t="shared" si="122"/>
        <v>Hold</v>
      </c>
      <c r="T551" s="8">
        <f t="shared" si="123"/>
        <v>0.16725145161290308</v>
      </c>
      <c r="U551" s="18">
        <f t="shared" si="124"/>
        <v>2712776</v>
      </c>
      <c r="V551" s="7">
        <f t="shared" si="125"/>
        <v>5586.2002000000002</v>
      </c>
      <c r="W551" s="7">
        <f t="shared" si="126"/>
        <v>1809.4</v>
      </c>
      <c r="X551" s="7">
        <f t="shared" si="127"/>
        <v>1945.6</v>
      </c>
      <c r="Y551" s="7">
        <f t="shared" si="128"/>
        <v>257</v>
      </c>
      <c r="Z551" s="7">
        <f t="shared" si="129"/>
        <v>967137</v>
      </c>
      <c r="AA551" s="7" t="str">
        <f t="shared" si="130"/>
        <v>20-Sep-2023</v>
      </c>
      <c r="AB551" s="7">
        <f t="shared" si="131"/>
        <v>1945.6</v>
      </c>
      <c r="AC551" s="7">
        <f t="shared" si="135"/>
        <v>1</v>
      </c>
      <c r="AD551" s="7">
        <f t="shared" si="132"/>
        <v>2023</v>
      </c>
      <c r="AE551" s="19">
        <f t="shared" si="133"/>
        <v>0.6</v>
      </c>
      <c r="BA551" s="10">
        <f t="shared" si="134"/>
        <v>26.997800000000002</v>
      </c>
    </row>
    <row r="552" spans="1:53" x14ac:dyDescent="0.3">
      <c r="A552" s="17">
        <v>45190</v>
      </c>
      <c r="B552" s="8">
        <v>1919.2</v>
      </c>
      <c r="C552" s="7">
        <v>1924</v>
      </c>
      <c r="D552" s="7">
        <v>1919.2</v>
      </c>
      <c r="E552" s="7">
        <v>1924</v>
      </c>
      <c r="F552" s="18">
        <v>9</v>
      </c>
      <c r="G552" s="7">
        <v>1924.0857000000001</v>
      </c>
      <c r="H552" s="7">
        <v>1918.4432999999999</v>
      </c>
      <c r="I552" s="7">
        <v>1938.7789</v>
      </c>
      <c r="J552" s="8">
        <v>-1.1102000000000001</v>
      </c>
      <c r="K552" s="7">
        <v>0.74639999999999995</v>
      </c>
      <c r="L552" s="7">
        <v>0.502</v>
      </c>
      <c r="M552" s="8">
        <v>42.129600000000003</v>
      </c>
      <c r="N552" s="8">
        <v>0.86419999999999997</v>
      </c>
      <c r="O552" s="7">
        <v>-0.90610000000000002</v>
      </c>
      <c r="P552" s="7">
        <v>1949.5917999999999</v>
      </c>
      <c r="Q552" s="7">
        <v>1902.0182</v>
      </c>
      <c r="R552" s="7" t="str">
        <f t="shared" si="121"/>
        <v>Up</v>
      </c>
      <c r="S552" s="7" t="str">
        <f t="shared" si="122"/>
        <v>Hold</v>
      </c>
      <c r="T552" s="8">
        <f t="shared" si="123"/>
        <v>0.16655266558966061</v>
      </c>
      <c r="U552" s="18">
        <f t="shared" si="124"/>
        <v>2712657</v>
      </c>
      <c r="V552" s="7">
        <f t="shared" si="125"/>
        <v>5586.2002000000002</v>
      </c>
      <c r="W552" s="7">
        <f t="shared" si="126"/>
        <v>1809.4</v>
      </c>
      <c r="X552" s="7">
        <f t="shared" si="127"/>
        <v>1924</v>
      </c>
      <c r="Y552" s="7">
        <f t="shared" si="128"/>
        <v>257</v>
      </c>
      <c r="Z552" s="7">
        <f t="shared" si="129"/>
        <v>967137</v>
      </c>
      <c r="AA552" s="7" t="str">
        <f t="shared" si="130"/>
        <v>21-Sep-2023</v>
      </c>
      <c r="AB552" s="7">
        <f t="shared" si="131"/>
        <v>1924</v>
      </c>
      <c r="AC552" s="7">
        <f t="shared" si="135"/>
        <v>1</v>
      </c>
      <c r="AD552" s="7">
        <f t="shared" si="132"/>
        <v>2023</v>
      </c>
      <c r="AE552" s="19">
        <f t="shared" si="133"/>
        <v>-1.1100000000000001</v>
      </c>
      <c r="BA552" s="10">
        <f t="shared" si="134"/>
        <v>26.997800000000002</v>
      </c>
    </row>
    <row r="553" spans="1:53" x14ac:dyDescent="0.3">
      <c r="A553" s="17">
        <v>45191</v>
      </c>
      <c r="B553" s="8">
        <v>1925.4</v>
      </c>
      <c r="C553" s="7">
        <v>1925.4</v>
      </c>
      <c r="D553" s="7">
        <v>1925.4</v>
      </c>
      <c r="E553" s="7">
        <v>1925.4</v>
      </c>
      <c r="F553" s="18">
        <v>1</v>
      </c>
      <c r="G553" s="7">
        <v>1926.2429</v>
      </c>
      <c r="H553" s="7">
        <v>1918.5867000000001</v>
      </c>
      <c r="I553" s="7">
        <v>1937.7967000000001</v>
      </c>
      <c r="J553" s="8">
        <v>7.2800000000000004E-2</v>
      </c>
      <c r="K553" s="7">
        <v>0.7026</v>
      </c>
      <c r="L553" s="7">
        <v>0.50039999999999996</v>
      </c>
      <c r="M553" s="8">
        <v>40.191400000000002</v>
      </c>
      <c r="N553" s="8">
        <v>0.74329999999999996</v>
      </c>
      <c r="O553" s="7">
        <v>-0.57620000000000005</v>
      </c>
      <c r="P553" s="7">
        <v>1949.7065</v>
      </c>
      <c r="Q553" s="7">
        <v>1902.4436000000001</v>
      </c>
      <c r="R553" s="7" t="str">
        <f t="shared" si="121"/>
        <v>Down</v>
      </c>
      <c r="S553" s="7" t="str">
        <f t="shared" si="122"/>
        <v>Hold</v>
      </c>
      <c r="T553" s="8">
        <f t="shared" si="123"/>
        <v>0.16861860841423934</v>
      </c>
      <c r="U553" s="18">
        <f t="shared" si="124"/>
        <v>2712648</v>
      </c>
      <c r="V553" s="7">
        <f t="shared" si="125"/>
        <v>5586.2002000000002</v>
      </c>
      <c r="W553" s="7">
        <f t="shared" si="126"/>
        <v>1809.4</v>
      </c>
      <c r="X553" s="7">
        <f t="shared" si="127"/>
        <v>1925.4</v>
      </c>
      <c r="Y553" s="7">
        <f t="shared" si="128"/>
        <v>256</v>
      </c>
      <c r="Z553" s="7">
        <f t="shared" si="129"/>
        <v>967128</v>
      </c>
      <c r="AA553" s="7" t="str">
        <f t="shared" si="130"/>
        <v>22-Sep-2023</v>
      </c>
      <c r="AB553" s="7">
        <f t="shared" si="131"/>
        <v>1925.4</v>
      </c>
      <c r="AC553" s="7">
        <f t="shared" si="135"/>
        <v>1</v>
      </c>
      <c r="AD553" s="7">
        <f t="shared" si="132"/>
        <v>2023</v>
      </c>
      <c r="AE553" s="19">
        <f t="shared" si="133"/>
        <v>7.0000000000000007E-2</v>
      </c>
      <c r="BA553" s="10">
        <f t="shared" si="134"/>
        <v>26.997800000000002</v>
      </c>
    </row>
    <row r="554" spans="1:53" x14ac:dyDescent="0.3">
      <c r="A554" s="17">
        <v>45194</v>
      </c>
      <c r="B554" s="8">
        <v>1916.6</v>
      </c>
      <c r="C554" s="7">
        <v>1916.6</v>
      </c>
      <c r="D554" s="7">
        <v>1916.6</v>
      </c>
      <c r="E554" s="7">
        <v>1916.6</v>
      </c>
      <c r="F554" s="18">
        <v>114</v>
      </c>
      <c r="G554" s="7">
        <v>1928.1857</v>
      </c>
      <c r="H554" s="7">
        <v>1918.7067</v>
      </c>
      <c r="I554" s="7">
        <v>1936.9989</v>
      </c>
      <c r="J554" s="8">
        <v>-0.45710000000000001</v>
      </c>
      <c r="K554" s="7">
        <v>0.71199999999999997</v>
      </c>
      <c r="L554" s="7">
        <v>0.50149999999999995</v>
      </c>
      <c r="M554" s="8">
        <v>42.495800000000003</v>
      </c>
      <c r="N554" s="8">
        <v>-6.1800000000000001E-2</v>
      </c>
      <c r="O554" s="7">
        <v>-0.4733</v>
      </c>
      <c r="P554" s="7">
        <v>1949.7675999999999</v>
      </c>
      <c r="Q554" s="7">
        <v>1902.0624</v>
      </c>
      <c r="R554" s="7" t="str">
        <f t="shared" si="121"/>
        <v>Down</v>
      </c>
      <c r="S554" s="7" t="str">
        <f t="shared" si="122"/>
        <v>Hold</v>
      </c>
      <c r="T554" s="8">
        <f t="shared" si="123"/>
        <v>0.16877390599675837</v>
      </c>
      <c r="U554" s="18">
        <f t="shared" si="124"/>
        <v>2712647</v>
      </c>
      <c r="V554" s="7">
        <f t="shared" si="125"/>
        <v>5586.2002000000002</v>
      </c>
      <c r="W554" s="7">
        <f t="shared" si="126"/>
        <v>1809.4</v>
      </c>
      <c r="X554" s="7">
        <f t="shared" si="127"/>
        <v>1916.6</v>
      </c>
      <c r="Y554" s="7">
        <f t="shared" si="128"/>
        <v>256</v>
      </c>
      <c r="Z554" s="7">
        <f t="shared" si="129"/>
        <v>967128</v>
      </c>
      <c r="AA554" s="7" t="str">
        <f t="shared" si="130"/>
        <v>25-Sep-2023</v>
      </c>
      <c r="AB554" s="7">
        <f t="shared" si="131"/>
        <v>1916.6</v>
      </c>
      <c r="AC554" s="7">
        <f t="shared" si="135"/>
        <v>1</v>
      </c>
      <c r="AD554" s="7">
        <f t="shared" si="132"/>
        <v>2023</v>
      </c>
      <c r="AE554" s="19">
        <f t="shared" si="133"/>
        <v>-0.46</v>
      </c>
      <c r="BA554" s="10">
        <f t="shared" si="134"/>
        <v>26.997800000000002</v>
      </c>
    </row>
    <row r="555" spans="1:53" x14ac:dyDescent="0.3">
      <c r="A555" s="17">
        <v>45195</v>
      </c>
      <c r="B555" s="8">
        <v>1900.4</v>
      </c>
      <c r="C555" s="7">
        <v>1905.1</v>
      </c>
      <c r="D555" s="7">
        <v>1900.4</v>
      </c>
      <c r="E555" s="7">
        <v>1905</v>
      </c>
      <c r="F555" s="18">
        <v>161</v>
      </c>
      <c r="G555" s="7">
        <v>1925.5427999999999</v>
      </c>
      <c r="H555" s="7">
        <v>1918.5633</v>
      </c>
      <c r="I555" s="7">
        <v>1936.1256000000001</v>
      </c>
      <c r="J555" s="8">
        <v>-0.60519999999999996</v>
      </c>
      <c r="K555" s="7">
        <v>0.60450000000000004</v>
      </c>
      <c r="L555" s="7">
        <v>0.51270000000000004</v>
      </c>
      <c r="M555" s="8">
        <v>42.034999999999997</v>
      </c>
      <c r="N555" s="8">
        <v>-1.6172</v>
      </c>
      <c r="O555" s="7">
        <v>-0.70209999999999995</v>
      </c>
      <c r="P555" s="7">
        <v>1950.6297</v>
      </c>
      <c r="Q555" s="7">
        <v>1900.1503</v>
      </c>
      <c r="R555" s="7" t="str">
        <f t="shared" si="121"/>
        <v>Up</v>
      </c>
      <c r="S555" s="7" t="str">
        <f t="shared" si="122"/>
        <v>Hold</v>
      </c>
      <c r="T555" s="8">
        <f t="shared" si="123"/>
        <v>0.16978993506493498</v>
      </c>
      <c r="U555" s="18">
        <f t="shared" si="124"/>
        <v>2712533</v>
      </c>
      <c r="V555" s="7">
        <f t="shared" si="125"/>
        <v>5586.2002000000002</v>
      </c>
      <c r="W555" s="7">
        <f t="shared" si="126"/>
        <v>1809.4</v>
      </c>
      <c r="X555" s="7">
        <f t="shared" si="127"/>
        <v>1905</v>
      </c>
      <c r="Y555" s="7">
        <f t="shared" si="128"/>
        <v>256</v>
      </c>
      <c r="Z555" s="7">
        <f t="shared" si="129"/>
        <v>967128</v>
      </c>
      <c r="AA555" s="7" t="str">
        <f t="shared" si="130"/>
        <v>26-Sep-2023</v>
      </c>
      <c r="AB555" s="7">
        <f t="shared" si="131"/>
        <v>1905</v>
      </c>
      <c r="AC555" s="7">
        <f t="shared" si="135"/>
        <v>1</v>
      </c>
      <c r="AD555" s="7">
        <f t="shared" si="132"/>
        <v>2023</v>
      </c>
      <c r="AE555" s="19">
        <f t="shared" si="133"/>
        <v>-0.61</v>
      </c>
      <c r="BA555" s="10">
        <f t="shared" si="134"/>
        <v>26.997800000000002</v>
      </c>
    </row>
    <row r="556" spans="1:53" x14ac:dyDescent="0.3">
      <c r="A556" s="17">
        <v>45196</v>
      </c>
      <c r="B556" s="8">
        <v>1871.6</v>
      </c>
      <c r="C556" s="7">
        <v>1871.6</v>
      </c>
      <c r="D556" s="7">
        <v>1871.6</v>
      </c>
      <c r="E556" s="7">
        <v>1871.6</v>
      </c>
      <c r="F556" s="18">
        <v>12251</v>
      </c>
      <c r="G556" s="7">
        <v>1917.4571000000001</v>
      </c>
      <c r="H556" s="7">
        <v>1917.4167</v>
      </c>
      <c r="I556" s="7">
        <v>1935.1822</v>
      </c>
      <c r="J556" s="8">
        <v>-1.7533000000000001</v>
      </c>
      <c r="K556" s="7">
        <v>0.82579999999999998</v>
      </c>
      <c r="L556" s="7">
        <v>0.60350000000000004</v>
      </c>
      <c r="M556" s="8">
        <v>34.3324</v>
      </c>
      <c r="N556" s="8">
        <v>-5.4819000000000004</v>
      </c>
      <c r="O556" s="7">
        <v>-1.6579999999999999</v>
      </c>
      <c r="P556" s="7">
        <v>1957.8859</v>
      </c>
      <c r="Q556" s="7">
        <v>1888.2641000000001</v>
      </c>
      <c r="R556" s="7" t="str">
        <f t="shared" si="121"/>
        <v>Down</v>
      </c>
      <c r="S556" s="7" t="str">
        <f t="shared" si="122"/>
        <v>Hold</v>
      </c>
      <c r="T556" s="8">
        <f t="shared" si="123"/>
        <v>0.1710500813008129</v>
      </c>
      <c r="U556" s="18">
        <f t="shared" si="124"/>
        <v>2712372</v>
      </c>
      <c r="V556" s="7">
        <f t="shared" si="125"/>
        <v>5586.2002000000002</v>
      </c>
      <c r="W556" s="7">
        <f t="shared" si="126"/>
        <v>1809.4</v>
      </c>
      <c r="X556" s="7">
        <f t="shared" si="127"/>
        <v>1871.6</v>
      </c>
      <c r="Y556" s="7">
        <f t="shared" si="128"/>
        <v>255</v>
      </c>
      <c r="Z556" s="7">
        <f t="shared" si="129"/>
        <v>966967</v>
      </c>
      <c r="AA556" s="7" t="str">
        <f t="shared" si="130"/>
        <v>27-Sep-2023</v>
      </c>
      <c r="AB556" s="7">
        <f t="shared" si="131"/>
        <v>1871.6</v>
      </c>
      <c r="AC556" s="7">
        <f t="shared" si="135"/>
        <v>1</v>
      </c>
      <c r="AD556" s="7">
        <f t="shared" si="132"/>
        <v>2023</v>
      </c>
      <c r="AE556" s="19">
        <f t="shared" si="133"/>
        <v>-1.75</v>
      </c>
      <c r="BA556" s="10">
        <f t="shared" si="134"/>
        <v>26.997800000000002</v>
      </c>
    </row>
    <row r="557" spans="1:53" x14ac:dyDescent="0.3">
      <c r="A557" s="17">
        <v>45197</v>
      </c>
      <c r="B557" s="8">
        <v>1860.4</v>
      </c>
      <c r="C557" s="7">
        <v>1878.2</v>
      </c>
      <c r="D557" s="7">
        <v>1856.7</v>
      </c>
      <c r="E557" s="7">
        <v>1875.5</v>
      </c>
      <c r="F557" s="18">
        <v>4654</v>
      </c>
      <c r="G557" s="7">
        <v>1909.1</v>
      </c>
      <c r="H557" s="7">
        <v>1916.45</v>
      </c>
      <c r="I557" s="7">
        <v>1934.2433000000001</v>
      </c>
      <c r="J557" s="8">
        <v>0.2084</v>
      </c>
      <c r="K557" s="7">
        <v>0.81299999999999994</v>
      </c>
      <c r="L557" s="7">
        <v>0.60550000000000004</v>
      </c>
      <c r="M557" s="8">
        <v>33.194699999999997</v>
      </c>
      <c r="N557" s="8">
        <v>-8.1361000000000008</v>
      </c>
      <c r="O557" s="7">
        <v>-2.9537</v>
      </c>
      <c r="P557" s="7">
        <v>1960.2320999999999</v>
      </c>
      <c r="Q557" s="7">
        <v>1879.8679</v>
      </c>
      <c r="R557" s="7" t="str">
        <f t="shared" si="121"/>
        <v>Up</v>
      </c>
      <c r="S557" s="7" t="str">
        <f t="shared" si="122"/>
        <v>Hold</v>
      </c>
      <c r="T557" s="8">
        <f t="shared" si="123"/>
        <v>0.17418420195439724</v>
      </c>
      <c r="U557" s="18">
        <f t="shared" si="124"/>
        <v>2700121</v>
      </c>
      <c r="V557" s="7">
        <f t="shared" si="125"/>
        <v>5586.2002000000002</v>
      </c>
      <c r="W557" s="7">
        <f t="shared" si="126"/>
        <v>1809.4</v>
      </c>
      <c r="X557" s="7">
        <f t="shared" si="127"/>
        <v>1875.5</v>
      </c>
      <c r="Y557" s="7">
        <f t="shared" si="128"/>
        <v>255</v>
      </c>
      <c r="Z557" s="7">
        <f t="shared" si="129"/>
        <v>966967</v>
      </c>
      <c r="AA557" s="7" t="str">
        <f t="shared" si="130"/>
        <v>28-Sep-2023</v>
      </c>
      <c r="AB557" s="7">
        <f t="shared" si="131"/>
        <v>1875.5</v>
      </c>
      <c r="AC557" s="7">
        <f t="shared" si="135"/>
        <v>1</v>
      </c>
      <c r="AD557" s="7">
        <f t="shared" si="132"/>
        <v>2023</v>
      </c>
      <c r="AE557" s="19">
        <f t="shared" si="133"/>
        <v>0.21</v>
      </c>
      <c r="BA557" s="10">
        <f t="shared" si="134"/>
        <v>26.997800000000002</v>
      </c>
    </row>
    <row r="558" spans="1:53" x14ac:dyDescent="0.3">
      <c r="A558" s="17">
        <v>45198</v>
      </c>
      <c r="B558" s="8">
        <v>1848.1</v>
      </c>
      <c r="C558" s="7">
        <v>1872.3</v>
      </c>
      <c r="D558" s="7">
        <v>1846</v>
      </c>
      <c r="E558" s="7">
        <v>1864.3</v>
      </c>
      <c r="F558" s="18">
        <v>1605</v>
      </c>
      <c r="G558" s="7">
        <v>1897.4857</v>
      </c>
      <c r="H558" s="7">
        <v>1915.47</v>
      </c>
      <c r="I558" s="7">
        <v>1932.9521999999999</v>
      </c>
      <c r="J558" s="8">
        <v>-0.59719999999999995</v>
      </c>
      <c r="K558" s="7">
        <v>0.67290000000000005</v>
      </c>
      <c r="L558" s="7">
        <v>0.60640000000000005</v>
      </c>
      <c r="M558" s="8">
        <v>31.003299999999999</v>
      </c>
      <c r="N558" s="8">
        <v>-11.016400000000001</v>
      </c>
      <c r="O558" s="7">
        <v>-4.5662000000000003</v>
      </c>
      <c r="P558" s="7">
        <v>1961.6143</v>
      </c>
      <c r="Q558" s="7">
        <v>1870.4757</v>
      </c>
      <c r="R558" s="7" t="str">
        <f t="shared" si="121"/>
        <v>Up</v>
      </c>
      <c r="S558" s="7" t="str">
        <f t="shared" si="122"/>
        <v>Hold</v>
      </c>
      <c r="T558" s="8">
        <f t="shared" si="123"/>
        <v>0.17412838499184327</v>
      </c>
      <c r="U558" s="18">
        <f t="shared" si="124"/>
        <v>2695467</v>
      </c>
      <c r="V558" s="7">
        <f t="shared" si="125"/>
        <v>5586.2002000000002</v>
      </c>
      <c r="W558" s="7">
        <f t="shared" si="126"/>
        <v>1809.4</v>
      </c>
      <c r="X558" s="7">
        <f t="shared" si="127"/>
        <v>1864.3</v>
      </c>
      <c r="Y558" s="7">
        <f t="shared" si="128"/>
        <v>254</v>
      </c>
      <c r="Z558" s="7">
        <f t="shared" si="129"/>
        <v>962313</v>
      </c>
      <c r="AA558" s="7" t="str">
        <f t="shared" si="130"/>
        <v>29-Sep-2023</v>
      </c>
      <c r="AB558" s="7">
        <f t="shared" si="131"/>
        <v>1864.3</v>
      </c>
      <c r="AC558" s="7">
        <f t="shared" si="135"/>
        <v>1</v>
      </c>
      <c r="AD558" s="7">
        <f t="shared" si="132"/>
        <v>2023</v>
      </c>
      <c r="AE558" s="19">
        <f t="shared" si="133"/>
        <v>-0.6</v>
      </c>
      <c r="BA558" s="10">
        <f t="shared" si="134"/>
        <v>26.997800000000002</v>
      </c>
    </row>
    <row r="559" spans="1:53" x14ac:dyDescent="0.3">
      <c r="A559" s="17">
        <v>45201</v>
      </c>
      <c r="B559" s="8">
        <v>1830</v>
      </c>
      <c r="C559" s="7">
        <v>1845.9</v>
      </c>
      <c r="D559" s="7">
        <v>1826.7</v>
      </c>
      <c r="E559" s="7">
        <v>1844.1</v>
      </c>
      <c r="F559" s="18">
        <v>2309</v>
      </c>
      <c r="G559" s="7">
        <v>1886.0714</v>
      </c>
      <c r="H559" s="7">
        <v>1913.88</v>
      </c>
      <c r="I559" s="7">
        <v>1931.5266999999999</v>
      </c>
      <c r="J559" s="8">
        <v>-1.0834999999999999</v>
      </c>
      <c r="K559" s="7">
        <v>0.66959999999999997</v>
      </c>
      <c r="L559" s="7">
        <v>0.6351</v>
      </c>
      <c r="M559" s="8">
        <v>27.7681</v>
      </c>
      <c r="N559" s="8">
        <v>-14.758900000000001</v>
      </c>
      <c r="O559" s="7">
        <v>-6.6047000000000002</v>
      </c>
      <c r="P559" s="7">
        <v>1963.7168999999999</v>
      </c>
      <c r="Q559" s="7">
        <v>1857.7831000000001</v>
      </c>
      <c r="R559" s="7" t="str">
        <f t="shared" si="121"/>
        <v>Up</v>
      </c>
      <c r="S559" s="7" t="str">
        <f t="shared" si="122"/>
        <v>Buy</v>
      </c>
      <c r="T559" s="8">
        <f t="shared" si="123"/>
        <v>0.17538872549019593</v>
      </c>
      <c r="U559" s="18">
        <f t="shared" si="124"/>
        <v>2693862</v>
      </c>
      <c r="V559" s="7">
        <f t="shared" si="125"/>
        <v>5586.2002000000002</v>
      </c>
      <c r="W559" s="7">
        <f t="shared" si="126"/>
        <v>1809.4</v>
      </c>
      <c r="X559" s="7">
        <f t="shared" si="127"/>
        <v>1844.1</v>
      </c>
      <c r="Y559" s="7">
        <f t="shared" si="128"/>
        <v>253</v>
      </c>
      <c r="Z559" s="7">
        <f t="shared" si="129"/>
        <v>960708</v>
      </c>
      <c r="AA559" s="7" t="str">
        <f t="shared" si="130"/>
        <v>02-Oct-2023</v>
      </c>
      <c r="AB559" s="7">
        <f t="shared" si="131"/>
        <v>1844.1</v>
      </c>
      <c r="AC559" s="7">
        <f t="shared" si="135"/>
        <v>1</v>
      </c>
      <c r="AD559" s="7">
        <f t="shared" si="132"/>
        <v>2023</v>
      </c>
      <c r="AE559" s="19">
        <f t="shared" si="133"/>
        <v>-1.08</v>
      </c>
      <c r="BA559" s="10">
        <f t="shared" si="134"/>
        <v>26.997800000000002</v>
      </c>
    </row>
    <row r="560" spans="1:53" x14ac:dyDescent="0.3">
      <c r="A560" s="17">
        <v>45202</v>
      </c>
      <c r="B560" s="8">
        <v>1824.6</v>
      </c>
      <c r="C560" s="7">
        <v>1830.9</v>
      </c>
      <c r="D560" s="7">
        <v>1816.8</v>
      </c>
      <c r="E560" s="7">
        <v>1825</v>
      </c>
      <c r="F560" s="18">
        <v>310</v>
      </c>
      <c r="G560" s="7">
        <v>1871.7285999999999</v>
      </c>
      <c r="H560" s="7">
        <v>1911.5933</v>
      </c>
      <c r="I560" s="7">
        <v>1929.8556000000001</v>
      </c>
      <c r="J560" s="8">
        <v>-1.0357000000000001</v>
      </c>
      <c r="K560" s="7">
        <v>0.61199999999999999</v>
      </c>
      <c r="L560" s="7">
        <v>0.6573</v>
      </c>
      <c r="M560" s="8">
        <v>26.4495</v>
      </c>
      <c r="N560" s="8">
        <v>-19.046399999999998</v>
      </c>
      <c r="O560" s="7">
        <v>-9.0930999999999997</v>
      </c>
      <c r="P560" s="7">
        <v>1969.3875</v>
      </c>
      <c r="Q560" s="7">
        <v>1841.1724999999999</v>
      </c>
      <c r="R560" s="7" t="str">
        <f t="shared" si="121"/>
        <v>Up</v>
      </c>
      <c r="S560" s="7" t="str">
        <f t="shared" si="122"/>
        <v>Buy</v>
      </c>
      <c r="T560" s="8">
        <f t="shared" si="123"/>
        <v>0.17744909983633375</v>
      </c>
      <c r="U560" s="18">
        <f t="shared" si="124"/>
        <v>2691553</v>
      </c>
      <c r="V560" s="7">
        <f t="shared" si="125"/>
        <v>5586.2002000000002</v>
      </c>
      <c r="W560" s="7">
        <f t="shared" si="126"/>
        <v>1809.4</v>
      </c>
      <c r="X560" s="7">
        <f t="shared" si="127"/>
        <v>1825</v>
      </c>
      <c r="Y560" s="7">
        <f t="shared" si="128"/>
        <v>252</v>
      </c>
      <c r="Z560" s="7">
        <f t="shared" si="129"/>
        <v>958399</v>
      </c>
      <c r="AA560" s="7" t="str">
        <f t="shared" si="130"/>
        <v>03-Oct-2023</v>
      </c>
      <c r="AB560" s="7">
        <f t="shared" si="131"/>
        <v>1825</v>
      </c>
      <c r="AC560" s="7">
        <f t="shared" si="135"/>
        <v>1</v>
      </c>
      <c r="AD560" s="7">
        <f t="shared" si="132"/>
        <v>2023</v>
      </c>
      <c r="AE560" s="19">
        <f t="shared" si="133"/>
        <v>-1.04</v>
      </c>
      <c r="BA560" s="10">
        <f t="shared" si="134"/>
        <v>26.997800000000002</v>
      </c>
    </row>
    <row r="561" spans="1:53" x14ac:dyDescent="0.3">
      <c r="A561" s="17">
        <v>45203</v>
      </c>
      <c r="B561" s="8">
        <v>1818.5</v>
      </c>
      <c r="C561" s="7">
        <v>1828.2</v>
      </c>
      <c r="D561" s="7">
        <v>1816.4</v>
      </c>
      <c r="E561" s="7">
        <v>1821.8</v>
      </c>
      <c r="F561" s="18">
        <v>357</v>
      </c>
      <c r="G561" s="7">
        <v>1858.1857</v>
      </c>
      <c r="H561" s="7">
        <v>1909.1667</v>
      </c>
      <c r="I561" s="7">
        <v>1928.5078000000001</v>
      </c>
      <c r="J561" s="8">
        <v>-0.17530000000000001</v>
      </c>
      <c r="K561" s="7">
        <v>0.64370000000000005</v>
      </c>
      <c r="L561" s="7">
        <v>0.65659999999999996</v>
      </c>
      <c r="M561" s="8">
        <v>27.062200000000001</v>
      </c>
      <c r="N561" s="8">
        <v>-22.443899999999999</v>
      </c>
      <c r="O561" s="7">
        <v>-11.763199999999999</v>
      </c>
      <c r="P561" s="7">
        <v>1973.5965000000001</v>
      </c>
      <c r="Q561" s="7">
        <v>1826.7335</v>
      </c>
      <c r="R561" s="7" t="str">
        <f t="shared" si="121"/>
        <v>Up</v>
      </c>
      <c r="S561" s="7" t="str">
        <f t="shared" si="122"/>
        <v>Buy</v>
      </c>
      <c r="T561" s="8">
        <f t="shared" si="123"/>
        <v>0.17943786885245888</v>
      </c>
      <c r="U561" s="18">
        <f t="shared" si="124"/>
        <v>2691243</v>
      </c>
      <c r="V561" s="7">
        <f t="shared" si="125"/>
        <v>5586.2002000000002</v>
      </c>
      <c r="W561" s="7">
        <f t="shared" si="126"/>
        <v>1809.4</v>
      </c>
      <c r="X561" s="7">
        <f t="shared" si="127"/>
        <v>1821.8</v>
      </c>
      <c r="Y561" s="7">
        <f t="shared" si="128"/>
        <v>251</v>
      </c>
      <c r="Z561" s="7">
        <f t="shared" si="129"/>
        <v>958089</v>
      </c>
      <c r="AA561" s="7" t="str">
        <f t="shared" si="130"/>
        <v>04-Oct-2023</v>
      </c>
      <c r="AB561" s="7">
        <f t="shared" si="131"/>
        <v>1821.8</v>
      </c>
      <c r="AC561" s="7">
        <f t="shared" si="135"/>
        <v>1</v>
      </c>
      <c r="AD561" s="7">
        <f t="shared" si="132"/>
        <v>2023</v>
      </c>
      <c r="AE561" s="19">
        <f t="shared" si="133"/>
        <v>-0.18</v>
      </c>
      <c r="BA561" s="10">
        <f t="shared" si="134"/>
        <v>26.997800000000002</v>
      </c>
    </row>
    <row r="562" spans="1:53" x14ac:dyDescent="0.3">
      <c r="A562" s="17">
        <v>45204</v>
      </c>
      <c r="B562" s="8">
        <v>1816.6</v>
      </c>
      <c r="C562" s="7">
        <v>1826.3</v>
      </c>
      <c r="D562" s="7">
        <v>1815.6</v>
      </c>
      <c r="E562" s="7">
        <v>1826.3</v>
      </c>
      <c r="F562" s="18">
        <v>393</v>
      </c>
      <c r="G562" s="7">
        <v>1846.9429</v>
      </c>
      <c r="H562" s="7">
        <v>1906.39</v>
      </c>
      <c r="I562" s="7">
        <v>1927.1532999999999</v>
      </c>
      <c r="J562" s="8">
        <v>0.247</v>
      </c>
      <c r="K562" s="7">
        <v>0.74219999999999997</v>
      </c>
      <c r="L562" s="7">
        <v>0.63749999999999996</v>
      </c>
      <c r="M562" s="8">
        <v>19.813700000000001</v>
      </c>
      <c r="N562" s="8">
        <v>-24.4909</v>
      </c>
      <c r="O562" s="7">
        <v>-14.3088</v>
      </c>
      <c r="P562" s="7">
        <v>1975.5317</v>
      </c>
      <c r="Q562" s="7">
        <v>1815.6683</v>
      </c>
      <c r="R562" s="7" t="str">
        <f t="shared" si="121"/>
        <v>Up</v>
      </c>
      <c r="S562" s="7" t="str">
        <f t="shared" si="122"/>
        <v>Buy</v>
      </c>
      <c r="T562" s="8">
        <f t="shared" si="123"/>
        <v>0.18002036124794735</v>
      </c>
      <c r="U562" s="18">
        <f t="shared" si="124"/>
        <v>2690886</v>
      </c>
      <c r="V562" s="7">
        <f t="shared" si="125"/>
        <v>5586.2002000000002</v>
      </c>
      <c r="W562" s="7">
        <f t="shared" si="126"/>
        <v>1809.4</v>
      </c>
      <c r="X562" s="7">
        <f t="shared" si="127"/>
        <v>1826.3</v>
      </c>
      <c r="Y562" s="7">
        <f t="shared" si="128"/>
        <v>250</v>
      </c>
      <c r="Z562" s="7">
        <f t="shared" si="129"/>
        <v>957732</v>
      </c>
      <c r="AA562" s="7" t="str">
        <f t="shared" si="130"/>
        <v>05-Oct-2023</v>
      </c>
      <c r="AB562" s="7">
        <f t="shared" si="131"/>
        <v>1826.3</v>
      </c>
      <c r="AC562" s="7">
        <f t="shared" si="135"/>
        <v>1</v>
      </c>
      <c r="AD562" s="7">
        <f t="shared" si="132"/>
        <v>2023</v>
      </c>
      <c r="AE562" s="19">
        <f t="shared" si="133"/>
        <v>0.25</v>
      </c>
      <c r="BA562" s="10">
        <f t="shared" si="134"/>
        <v>26.997800000000002</v>
      </c>
    </row>
    <row r="563" spans="1:53" x14ac:dyDescent="0.3">
      <c r="A563" s="17">
        <v>45205</v>
      </c>
      <c r="B563" s="8">
        <v>1830.2</v>
      </c>
      <c r="C563" s="7">
        <v>1831.8</v>
      </c>
      <c r="D563" s="7">
        <v>1809.4</v>
      </c>
      <c r="E563" s="7">
        <v>1819</v>
      </c>
      <c r="F563" s="18">
        <v>390</v>
      </c>
      <c r="G563" s="7">
        <v>1839.4286</v>
      </c>
      <c r="H563" s="7">
        <v>1903.0233000000001</v>
      </c>
      <c r="I563" s="7">
        <v>1925.7789</v>
      </c>
      <c r="J563" s="8">
        <v>-0.3997</v>
      </c>
      <c r="K563" s="7">
        <v>0.53990000000000005</v>
      </c>
      <c r="L563" s="7">
        <v>0.62539999999999996</v>
      </c>
      <c r="M563" s="8">
        <v>16.626000000000001</v>
      </c>
      <c r="N563" s="8">
        <v>-26.398</v>
      </c>
      <c r="O563" s="7">
        <v>-16.726600000000001</v>
      </c>
      <c r="P563" s="7">
        <v>1976.0151000000001</v>
      </c>
      <c r="Q563" s="7">
        <v>1804.6849999999999</v>
      </c>
      <c r="R563" s="7" t="str">
        <f t="shared" si="121"/>
        <v>Down</v>
      </c>
      <c r="S563" s="7" t="str">
        <f t="shared" si="122"/>
        <v>Buy</v>
      </c>
      <c r="T563" s="8">
        <f t="shared" si="123"/>
        <v>0.17991019736842087</v>
      </c>
      <c r="U563" s="18">
        <f t="shared" si="124"/>
        <v>2690493</v>
      </c>
      <c r="V563" s="7">
        <f t="shared" si="125"/>
        <v>5586.2002000000002</v>
      </c>
      <c r="W563" s="7">
        <f t="shared" si="126"/>
        <v>1809.4</v>
      </c>
      <c r="X563" s="7">
        <f t="shared" si="127"/>
        <v>1819</v>
      </c>
      <c r="Y563" s="7">
        <f t="shared" si="128"/>
        <v>249</v>
      </c>
      <c r="Z563" s="7">
        <f t="shared" si="129"/>
        <v>957339</v>
      </c>
      <c r="AA563" s="7" t="str">
        <f t="shared" si="130"/>
        <v>06-Oct-2023</v>
      </c>
      <c r="AB563" s="7">
        <f t="shared" si="131"/>
        <v>1819</v>
      </c>
      <c r="AC563" s="7">
        <f t="shared" si="135"/>
        <v>1</v>
      </c>
      <c r="AD563" s="7">
        <f t="shared" si="132"/>
        <v>2023</v>
      </c>
      <c r="AE563" s="19">
        <f t="shared" si="133"/>
        <v>-0.4</v>
      </c>
      <c r="BA563" s="10">
        <f t="shared" si="134"/>
        <v>26.997800000000002</v>
      </c>
    </row>
    <row r="564" spans="1:53" x14ac:dyDescent="0.3">
      <c r="A564" s="17">
        <v>45208</v>
      </c>
      <c r="B564" s="8">
        <v>1849.5</v>
      </c>
      <c r="C564" s="7">
        <v>1861.5</v>
      </c>
      <c r="D564" s="7">
        <v>1842.5</v>
      </c>
      <c r="E564" s="7">
        <v>1842.5</v>
      </c>
      <c r="F564" s="18">
        <v>232</v>
      </c>
      <c r="G564" s="7">
        <v>1834.7143000000001</v>
      </c>
      <c r="H564" s="7">
        <v>1900.4467</v>
      </c>
      <c r="I564" s="7">
        <v>1924.4933000000001</v>
      </c>
      <c r="J564" s="8">
        <v>1.2919</v>
      </c>
      <c r="K564" s="7">
        <v>0.82509999999999994</v>
      </c>
      <c r="L564" s="7">
        <v>0.68020000000000003</v>
      </c>
      <c r="M564" s="8">
        <v>24.765599999999999</v>
      </c>
      <c r="N564" s="8">
        <v>-25.716699999999999</v>
      </c>
      <c r="O564" s="7">
        <v>-18.5246</v>
      </c>
      <c r="P564" s="7">
        <v>1973.0884000000001</v>
      </c>
      <c r="Q564" s="7">
        <v>1799.5616</v>
      </c>
      <c r="R564" s="7" t="str">
        <f t="shared" si="121"/>
        <v>Down</v>
      </c>
      <c r="S564" s="7" t="str">
        <f t="shared" si="122"/>
        <v>Buy</v>
      </c>
      <c r="T564" s="8">
        <f t="shared" si="123"/>
        <v>0.18086507413509048</v>
      </c>
      <c r="U564" s="18">
        <f t="shared" si="124"/>
        <v>2690103</v>
      </c>
      <c r="V564" s="7">
        <f t="shared" si="125"/>
        <v>5586.2002000000002</v>
      </c>
      <c r="W564" s="7">
        <f t="shared" si="126"/>
        <v>1842.5</v>
      </c>
      <c r="X564" s="7">
        <f t="shared" si="127"/>
        <v>1842.5</v>
      </c>
      <c r="Y564" s="7">
        <f t="shared" si="128"/>
        <v>249</v>
      </c>
      <c r="Z564" s="7">
        <f t="shared" si="129"/>
        <v>957339</v>
      </c>
      <c r="AA564" s="7" t="str">
        <f t="shared" si="130"/>
        <v>09-Oct-2023</v>
      </c>
      <c r="AB564" s="7">
        <f t="shared" si="131"/>
        <v>1842.5</v>
      </c>
      <c r="AC564" s="7">
        <f t="shared" si="135"/>
        <v>1</v>
      </c>
      <c r="AD564" s="7">
        <f t="shared" si="132"/>
        <v>2023</v>
      </c>
      <c r="AE564" s="19">
        <f t="shared" si="133"/>
        <v>1.29</v>
      </c>
      <c r="BA564" s="10">
        <f t="shared" si="134"/>
        <v>26.997800000000002</v>
      </c>
    </row>
    <row r="565" spans="1:53" x14ac:dyDescent="0.3">
      <c r="A565" s="17">
        <v>45209</v>
      </c>
      <c r="B565" s="8">
        <v>1861</v>
      </c>
      <c r="C565" s="7">
        <v>1861.4</v>
      </c>
      <c r="D565" s="7">
        <v>1852.8</v>
      </c>
      <c r="E565" s="7">
        <v>1857</v>
      </c>
      <c r="F565" s="18">
        <v>236</v>
      </c>
      <c r="G565" s="7">
        <v>1833.6713999999999</v>
      </c>
      <c r="H565" s="7">
        <v>1898.4966999999999</v>
      </c>
      <c r="I565" s="7">
        <v>1923.3133</v>
      </c>
      <c r="J565" s="8">
        <v>0.78700000000000003</v>
      </c>
      <c r="K565" s="7">
        <v>0.89139999999999997</v>
      </c>
      <c r="L565" s="7">
        <v>0.70040000000000002</v>
      </c>
      <c r="M565" s="8">
        <v>25.950099999999999</v>
      </c>
      <c r="N565" s="8">
        <v>-23.7331</v>
      </c>
      <c r="O565" s="7">
        <v>-19.566299999999998</v>
      </c>
      <c r="P565" s="7">
        <v>1969.2503999999999</v>
      </c>
      <c r="Q565" s="7">
        <v>1797.0196000000001</v>
      </c>
      <c r="R565" s="7" t="str">
        <f t="shared" si="121"/>
        <v>Down</v>
      </c>
      <c r="S565" s="7" t="str">
        <f t="shared" si="122"/>
        <v>Buy</v>
      </c>
      <c r="T565" s="8">
        <f t="shared" si="123"/>
        <v>0.17903168316831669</v>
      </c>
      <c r="U565" s="18">
        <f t="shared" si="124"/>
        <v>2689871</v>
      </c>
      <c r="V565" s="7">
        <f t="shared" si="125"/>
        <v>5586.2002000000002</v>
      </c>
      <c r="W565" s="7">
        <f t="shared" si="126"/>
        <v>1852.8</v>
      </c>
      <c r="X565" s="7">
        <f t="shared" si="127"/>
        <v>1857</v>
      </c>
      <c r="Y565" s="7">
        <f t="shared" si="128"/>
        <v>249</v>
      </c>
      <c r="Z565" s="7">
        <f t="shared" si="129"/>
        <v>957339</v>
      </c>
      <c r="AA565" s="7" t="str">
        <f t="shared" si="130"/>
        <v>10-Oct-2023</v>
      </c>
      <c r="AB565" s="7">
        <f t="shared" si="131"/>
        <v>1857</v>
      </c>
      <c r="AC565" s="7">
        <f t="shared" si="135"/>
        <v>1</v>
      </c>
      <c r="AD565" s="7">
        <f t="shared" si="132"/>
        <v>2023</v>
      </c>
      <c r="AE565" s="19">
        <f t="shared" si="133"/>
        <v>0.79</v>
      </c>
      <c r="BA565" s="10">
        <f t="shared" si="134"/>
        <v>26.997800000000002</v>
      </c>
    </row>
    <row r="566" spans="1:53" x14ac:dyDescent="0.3">
      <c r="A566" s="17">
        <v>45210</v>
      </c>
      <c r="B566" s="8">
        <v>1872.8</v>
      </c>
      <c r="C566" s="7">
        <v>1874.6</v>
      </c>
      <c r="D566" s="7">
        <v>1869.1</v>
      </c>
      <c r="E566" s="7">
        <v>1869.5</v>
      </c>
      <c r="F566" s="18">
        <v>65</v>
      </c>
      <c r="G566" s="7">
        <v>1837.3</v>
      </c>
      <c r="H566" s="7">
        <v>1896.8833</v>
      </c>
      <c r="I566" s="7">
        <v>1922.1178</v>
      </c>
      <c r="J566" s="8">
        <v>0.67310000000000003</v>
      </c>
      <c r="K566" s="7">
        <v>0.79479999999999995</v>
      </c>
      <c r="L566" s="7">
        <v>0.71350000000000002</v>
      </c>
      <c r="M566" s="8">
        <v>34.4375</v>
      </c>
      <c r="N566" s="8">
        <v>-20.9114</v>
      </c>
      <c r="O566" s="7">
        <v>-19.8353</v>
      </c>
      <c r="P566" s="7">
        <v>1966.4304</v>
      </c>
      <c r="Q566" s="7">
        <v>1795.7596000000001</v>
      </c>
      <c r="R566" s="7" t="str">
        <f t="shared" si="121"/>
        <v>Down</v>
      </c>
      <c r="S566" s="7" t="str">
        <f t="shared" si="122"/>
        <v>Hold</v>
      </c>
      <c r="T566" s="8">
        <f t="shared" si="123"/>
        <v>0.17802677685950399</v>
      </c>
      <c r="U566" s="18">
        <f t="shared" si="124"/>
        <v>2689635</v>
      </c>
      <c r="V566" s="7">
        <f t="shared" si="125"/>
        <v>5586.2002000000002</v>
      </c>
      <c r="W566" s="7">
        <f t="shared" si="126"/>
        <v>1867</v>
      </c>
      <c r="X566" s="7">
        <f t="shared" si="127"/>
        <v>1869.5</v>
      </c>
      <c r="Y566" s="7">
        <f t="shared" si="128"/>
        <v>249</v>
      </c>
      <c r="Z566" s="7">
        <f t="shared" si="129"/>
        <v>957339</v>
      </c>
      <c r="AA566" s="7" t="str">
        <f t="shared" si="130"/>
        <v>11-Oct-2023</v>
      </c>
      <c r="AB566" s="7">
        <f t="shared" si="131"/>
        <v>1869.5</v>
      </c>
      <c r="AC566" s="7">
        <f t="shared" si="135"/>
        <v>1</v>
      </c>
      <c r="AD566" s="7">
        <f t="shared" si="132"/>
        <v>2023</v>
      </c>
      <c r="AE566" s="19">
        <f t="shared" si="133"/>
        <v>0.67</v>
      </c>
      <c r="BA566" s="10">
        <f t="shared" si="134"/>
        <v>26.997800000000002</v>
      </c>
    </row>
    <row r="567" spans="1:53" x14ac:dyDescent="0.3">
      <c r="A567" s="17">
        <v>45211</v>
      </c>
      <c r="B567" s="8">
        <v>1869.3</v>
      </c>
      <c r="C567" s="7">
        <v>1881.2</v>
      </c>
      <c r="D567" s="7">
        <v>1867</v>
      </c>
      <c r="E567" s="7">
        <v>1874.7</v>
      </c>
      <c r="F567" s="18">
        <v>46</v>
      </c>
      <c r="G567" s="7">
        <v>1844.4</v>
      </c>
      <c r="H567" s="7">
        <v>1894.84</v>
      </c>
      <c r="I567" s="7">
        <v>1921.3089</v>
      </c>
      <c r="J567" s="8">
        <v>0.27810000000000001</v>
      </c>
      <c r="K567" s="7">
        <v>0.58130000000000004</v>
      </c>
      <c r="L567" s="7">
        <v>0.6905</v>
      </c>
      <c r="M567" s="8">
        <v>35.830100000000002</v>
      </c>
      <c r="N567" s="8">
        <v>-18.047599999999999</v>
      </c>
      <c r="O567" s="7">
        <v>-19.477799999999998</v>
      </c>
      <c r="P567" s="7">
        <v>1964.4224999999999</v>
      </c>
      <c r="Q567" s="7">
        <v>1794.9375</v>
      </c>
      <c r="R567" s="7" t="str">
        <f t="shared" si="121"/>
        <v>Up</v>
      </c>
      <c r="S567" s="7" t="str">
        <f t="shared" si="122"/>
        <v>Hold</v>
      </c>
      <c r="T567" s="8">
        <f t="shared" si="123"/>
        <v>0.17720711920529786</v>
      </c>
      <c r="U567" s="18">
        <f t="shared" si="124"/>
        <v>2689570</v>
      </c>
      <c r="V567" s="7">
        <f t="shared" si="125"/>
        <v>5586.2002000000002</v>
      </c>
      <c r="W567" s="7">
        <f t="shared" si="126"/>
        <v>1867</v>
      </c>
      <c r="X567" s="7">
        <f t="shared" si="127"/>
        <v>1874.7</v>
      </c>
      <c r="Y567" s="7">
        <f t="shared" si="128"/>
        <v>249</v>
      </c>
      <c r="Z567" s="7">
        <f t="shared" si="129"/>
        <v>957339</v>
      </c>
      <c r="AA567" s="7" t="str">
        <f t="shared" si="130"/>
        <v>12-Oct-2023</v>
      </c>
      <c r="AB567" s="7">
        <f t="shared" si="131"/>
        <v>1874.7</v>
      </c>
      <c r="AC567" s="7">
        <f t="shared" si="135"/>
        <v>1</v>
      </c>
      <c r="AD567" s="7">
        <f t="shared" si="132"/>
        <v>2023</v>
      </c>
      <c r="AE567" s="19">
        <f t="shared" si="133"/>
        <v>0.28000000000000003</v>
      </c>
      <c r="BA567" s="10">
        <f t="shared" si="134"/>
        <v>26.997800000000002</v>
      </c>
    </row>
    <row r="568" spans="1:53" x14ac:dyDescent="0.3">
      <c r="A568" s="17">
        <v>45212</v>
      </c>
      <c r="B568" s="8">
        <v>1927.4</v>
      </c>
      <c r="C568" s="7">
        <v>1930.1</v>
      </c>
      <c r="D568" s="7">
        <v>1877.5</v>
      </c>
      <c r="E568" s="7">
        <v>1877.5</v>
      </c>
      <c r="F568" s="18">
        <v>43</v>
      </c>
      <c r="G568" s="7">
        <v>1852.3570999999999</v>
      </c>
      <c r="H568" s="7">
        <v>1892.61</v>
      </c>
      <c r="I568" s="7">
        <v>1920.3833</v>
      </c>
      <c r="J568" s="8">
        <v>0.14940000000000001</v>
      </c>
      <c r="K568" s="7">
        <v>0.54049999999999998</v>
      </c>
      <c r="L568" s="7">
        <v>0.68469999999999998</v>
      </c>
      <c r="M568" s="8">
        <v>38.692900000000002</v>
      </c>
      <c r="N568" s="8">
        <v>-15.3748</v>
      </c>
      <c r="O568" s="7">
        <v>-18.6572</v>
      </c>
      <c r="P568" s="7">
        <v>1959.5735</v>
      </c>
      <c r="Q568" s="7">
        <v>1795.1865</v>
      </c>
      <c r="R568" s="7" t="str">
        <f t="shared" si="121"/>
        <v>Down</v>
      </c>
      <c r="S568" s="7" t="str">
        <f t="shared" si="122"/>
        <v>Hold</v>
      </c>
      <c r="T568" s="8">
        <f t="shared" si="123"/>
        <v>0.17703980099502473</v>
      </c>
      <c r="U568" s="18">
        <f t="shared" si="124"/>
        <v>2689524</v>
      </c>
      <c r="V568" s="7">
        <f t="shared" si="125"/>
        <v>5586.2002000000002</v>
      </c>
      <c r="W568" s="7">
        <f t="shared" si="126"/>
        <v>1877.5</v>
      </c>
      <c r="X568" s="7">
        <f t="shared" si="127"/>
        <v>1877.5</v>
      </c>
      <c r="Y568" s="7">
        <f t="shared" si="128"/>
        <v>248</v>
      </c>
      <c r="Z568" s="7">
        <f t="shared" si="129"/>
        <v>957293</v>
      </c>
      <c r="AA568" s="7" t="str">
        <f t="shared" si="130"/>
        <v>13-Oct-2023</v>
      </c>
      <c r="AB568" s="7">
        <f t="shared" si="131"/>
        <v>1877.5</v>
      </c>
      <c r="AC568" s="7">
        <f t="shared" si="135"/>
        <v>1</v>
      </c>
      <c r="AD568" s="7">
        <f t="shared" si="132"/>
        <v>2023</v>
      </c>
      <c r="AE568" s="19">
        <f t="shared" si="133"/>
        <v>0.15</v>
      </c>
      <c r="BA568" s="10">
        <f t="shared" si="134"/>
        <v>26.997800000000002</v>
      </c>
    </row>
    <row r="569" spans="1:53" x14ac:dyDescent="0.3">
      <c r="A569" s="17">
        <v>45215</v>
      </c>
      <c r="B569" s="8">
        <v>1921.1</v>
      </c>
      <c r="C569" s="7">
        <v>1921.1</v>
      </c>
      <c r="D569" s="7">
        <v>1910.3</v>
      </c>
      <c r="E569" s="7">
        <v>1910.4</v>
      </c>
      <c r="F569" s="18">
        <v>53</v>
      </c>
      <c r="G569" s="7">
        <v>1864.3714</v>
      </c>
      <c r="H569" s="7">
        <v>1891.29</v>
      </c>
      <c r="I569" s="7">
        <v>1919.8433</v>
      </c>
      <c r="J569" s="8">
        <v>1.7523</v>
      </c>
      <c r="K569" s="7">
        <v>0.72309999999999997</v>
      </c>
      <c r="L569" s="7">
        <v>0.76219999999999999</v>
      </c>
      <c r="M569" s="8">
        <v>51.390300000000003</v>
      </c>
      <c r="N569" s="8">
        <v>-10.481</v>
      </c>
      <c r="O569" s="7">
        <v>-17.021999999999998</v>
      </c>
      <c r="P569" s="7">
        <v>1956.7286999999999</v>
      </c>
      <c r="Q569" s="7">
        <v>1796.2512999999999</v>
      </c>
      <c r="R569" s="7" t="str">
        <f t="shared" si="121"/>
        <v>Down</v>
      </c>
      <c r="S569" s="7" t="str">
        <f t="shared" si="122"/>
        <v>Hold</v>
      </c>
      <c r="T569" s="8">
        <f t="shared" si="123"/>
        <v>0.17708571428571415</v>
      </c>
      <c r="U569" s="18">
        <f t="shared" si="124"/>
        <v>2689481</v>
      </c>
      <c r="V569" s="7">
        <f t="shared" si="125"/>
        <v>5586.2002000000002</v>
      </c>
      <c r="W569" s="7">
        <f t="shared" si="126"/>
        <v>1910.3</v>
      </c>
      <c r="X569" s="7">
        <f t="shared" si="127"/>
        <v>1910.4</v>
      </c>
      <c r="Y569" s="7">
        <f t="shared" si="128"/>
        <v>248</v>
      </c>
      <c r="Z569" s="7">
        <f t="shared" si="129"/>
        <v>957293</v>
      </c>
      <c r="AA569" s="7" t="str">
        <f t="shared" si="130"/>
        <v>16-Oct-2023</v>
      </c>
      <c r="AB569" s="7">
        <f t="shared" si="131"/>
        <v>1910.4</v>
      </c>
      <c r="AC569" s="7">
        <f t="shared" si="135"/>
        <v>1</v>
      </c>
      <c r="AD569" s="7">
        <f t="shared" si="132"/>
        <v>2023</v>
      </c>
      <c r="AE569" s="19">
        <f t="shared" si="133"/>
        <v>1.75</v>
      </c>
      <c r="BA569" s="10">
        <f t="shared" si="134"/>
        <v>26.997800000000002</v>
      </c>
    </row>
    <row r="570" spans="1:53" x14ac:dyDescent="0.3">
      <c r="A570" s="17">
        <v>45216</v>
      </c>
      <c r="B570" s="8">
        <v>1922.7</v>
      </c>
      <c r="C570" s="7">
        <v>1925.8</v>
      </c>
      <c r="D570" s="7">
        <v>1914.3</v>
      </c>
      <c r="E570" s="7">
        <v>1914.3</v>
      </c>
      <c r="F570" s="18">
        <v>103</v>
      </c>
      <c r="G570" s="7">
        <v>1877.9857</v>
      </c>
      <c r="H570" s="7">
        <v>1890.62</v>
      </c>
      <c r="I570" s="7">
        <v>1919.5222000000001</v>
      </c>
      <c r="J570" s="8">
        <v>0.2041</v>
      </c>
      <c r="K570" s="7">
        <v>0.60350000000000004</v>
      </c>
      <c r="L570" s="7">
        <v>0.75080000000000002</v>
      </c>
      <c r="M570" s="8">
        <v>62.963000000000001</v>
      </c>
      <c r="N570" s="8">
        <v>-6.2163000000000004</v>
      </c>
      <c r="O570" s="7">
        <v>-14.860799999999999</v>
      </c>
      <c r="P570" s="7">
        <v>1953.2149999999999</v>
      </c>
      <c r="Q570" s="7">
        <v>1797.7950000000001</v>
      </c>
      <c r="R570" s="7" t="str">
        <f t="shared" si="121"/>
        <v>Down</v>
      </c>
      <c r="S570" s="7" t="str">
        <f t="shared" si="122"/>
        <v>Hold</v>
      </c>
      <c r="T570" s="8">
        <f t="shared" si="123"/>
        <v>0.17446472545757061</v>
      </c>
      <c r="U570" s="18">
        <f t="shared" si="124"/>
        <v>2689428</v>
      </c>
      <c r="V570" s="7">
        <f t="shared" si="125"/>
        <v>5586.2002000000002</v>
      </c>
      <c r="W570" s="7">
        <f t="shared" si="126"/>
        <v>1914.3</v>
      </c>
      <c r="X570" s="7">
        <f t="shared" si="127"/>
        <v>1914.3</v>
      </c>
      <c r="Y570" s="7">
        <f t="shared" si="128"/>
        <v>248</v>
      </c>
      <c r="Z570" s="7">
        <f t="shared" si="129"/>
        <v>957293</v>
      </c>
      <c r="AA570" s="7" t="str">
        <f t="shared" si="130"/>
        <v>17-Oct-2023</v>
      </c>
      <c r="AB570" s="7">
        <f t="shared" si="131"/>
        <v>1914.3</v>
      </c>
      <c r="AC570" s="7">
        <f t="shared" si="135"/>
        <v>1</v>
      </c>
      <c r="AD570" s="7">
        <f t="shared" si="132"/>
        <v>2023</v>
      </c>
      <c r="AE570" s="19">
        <f t="shared" si="133"/>
        <v>0.2</v>
      </c>
      <c r="BA570" s="10">
        <f t="shared" si="134"/>
        <v>26.997800000000002</v>
      </c>
    </row>
    <row r="571" spans="1:53" x14ac:dyDescent="0.3">
      <c r="A571" s="17">
        <v>45217</v>
      </c>
      <c r="B571" s="8">
        <v>1955.3</v>
      </c>
      <c r="C571" s="7">
        <v>1957.9</v>
      </c>
      <c r="D571" s="7">
        <v>1935</v>
      </c>
      <c r="E571" s="7">
        <v>1935</v>
      </c>
      <c r="F571" s="18">
        <v>67</v>
      </c>
      <c r="G571" s="7">
        <v>1891.2</v>
      </c>
      <c r="H571" s="7">
        <v>1890.9833000000001</v>
      </c>
      <c r="I571" s="7">
        <v>1919.1877999999999</v>
      </c>
      <c r="J571" s="8">
        <v>1.0812999999999999</v>
      </c>
      <c r="K571" s="7">
        <v>0.5756</v>
      </c>
      <c r="L571" s="7">
        <v>0.77129999999999999</v>
      </c>
      <c r="M571" s="8">
        <v>66.391199999999998</v>
      </c>
      <c r="N571" s="8">
        <v>-1.1529</v>
      </c>
      <c r="O571" s="7">
        <v>-12.119199999999999</v>
      </c>
      <c r="P571" s="7">
        <v>1950.7936999999999</v>
      </c>
      <c r="Q571" s="7">
        <v>1799.1563000000001</v>
      </c>
      <c r="R571" s="7" t="str">
        <f t="shared" si="121"/>
        <v>Down</v>
      </c>
      <c r="S571" s="7" t="str">
        <f t="shared" si="122"/>
        <v>Hold</v>
      </c>
      <c r="T571" s="8">
        <f t="shared" si="123"/>
        <v>0.1744153333333332</v>
      </c>
      <c r="U571" s="18">
        <f t="shared" si="124"/>
        <v>2689325</v>
      </c>
      <c r="V571" s="7">
        <f t="shared" si="125"/>
        <v>5586.2002000000002</v>
      </c>
      <c r="W571" s="7">
        <f t="shared" si="126"/>
        <v>1932.6</v>
      </c>
      <c r="X571" s="7">
        <f t="shared" si="127"/>
        <v>1935</v>
      </c>
      <c r="Y571" s="7">
        <f t="shared" si="128"/>
        <v>248</v>
      </c>
      <c r="Z571" s="7">
        <f t="shared" si="129"/>
        <v>957293</v>
      </c>
      <c r="AA571" s="7" t="str">
        <f t="shared" si="130"/>
        <v>18-Oct-2023</v>
      </c>
      <c r="AB571" s="7">
        <f t="shared" si="131"/>
        <v>1935</v>
      </c>
      <c r="AC571" s="7">
        <f t="shared" si="135"/>
        <v>1</v>
      </c>
      <c r="AD571" s="7">
        <f t="shared" si="132"/>
        <v>2023</v>
      </c>
      <c r="AE571" s="19">
        <f t="shared" si="133"/>
        <v>1.08</v>
      </c>
      <c r="BA571" s="10">
        <f t="shared" si="134"/>
        <v>26.997800000000002</v>
      </c>
    </row>
    <row r="572" spans="1:53" x14ac:dyDescent="0.3">
      <c r="A572" s="17">
        <v>45218</v>
      </c>
      <c r="B572" s="8">
        <v>1968.4</v>
      </c>
      <c r="C572" s="7">
        <v>1977.7</v>
      </c>
      <c r="D572" s="7">
        <v>1945.7</v>
      </c>
      <c r="E572" s="7">
        <v>1950.1</v>
      </c>
      <c r="F572" s="18">
        <v>1945</v>
      </c>
      <c r="G572" s="7">
        <v>1904.5</v>
      </c>
      <c r="H572" s="7">
        <v>1892.0667000000001</v>
      </c>
      <c r="I572" s="7">
        <v>1919.0811000000001</v>
      </c>
      <c r="J572" s="8">
        <v>0.78039999999999998</v>
      </c>
      <c r="K572" s="7">
        <v>0.57550000000000001</v>
      </c>
      <c r="L572" s="7">
        <v>0.78029999999999999</v>
      </c>
      <c r="M572" s="8">
        <v>73.139099999999999</v>
      </c>
      <c r="N572" s="8">
        <v>4.0319000000000003</v>
      </c>
      <c r="O572" s="7">
        <v>-8.8889999999999993</v>
      </c>
      <c r="P572" s="7">
        <v>1956.4266</v>
      </c>
      <c r="Q572" s="7">
        <v>1796.1333999999999</v>
      </c>
      <c r="R572" s="7" t="str">
        <f t="shared" si="121"/>
        <v>Down</v>
      </c>
      <c r="S572" s="7" t="str">
        <f t="shared" si="122"/>
        <v>Sell</v>
      </c>
      <c r="T572" s="8">
        <f t="shared" si="123"/>
        <v>0.17290133555926526</v>
      </c>
      <c r="U572" s="18">
        <f t="shared" si="124"/>
        <v>2689258</v>
      </c>
      <c r="V572" s="7">
        <f t="shared" si="125"/>
        <v>5586.2002000000002</v>
      </c>
      <c r="W572" s="7">
        <f t="shared" si="126"/>
        <v>1932.6</v>
      </c>
      <c r="X572" s="7">
        <f t="shared" si="127"/>
        <v>1950.1</v>
      </c>
      <c r="Y572" s="7">
        <f t="shared" si="128"/>
        <v>248</v>
      </c>
      <c r="Z572" s="7">
        <f t="shared" si="129"/>
        <v>957293</v>
      </c>
      <c r="AA572" s="7" t="str">
        <f t="shared" si="130"/>
        <v>19-Oct-2023</v>
      </c>
      <c r="AB572" s="7">
        <f t="shared" si="131"/>
        <v>1950.1</v>
      </c>
      <c r="AC572" s="7">
        <f t="shared" si="135"/>
        <v>1</v>
      </c>
      <c r="AD572" s="7">
        <f t="shared" si="132"/>
        <v>2023</v>
      </c>
      <c r="AE572" s="19">
        <f t="shared" si="133"/>
        <v>0.78</v>
      </c>
      <c r="BA572" s="10">
        <f t="shared" si="134"/>
        <v>26.997800000000002</v>
      </c>
    </row>
    <row r="573" spans="1:53" x14ac:dyDescent="0.3">
      <c r="A573" s="17">
        <v>45219</v>
      </c>
      <c r="B573" s="8">
        <v>1982.5</v>
      </c>
      <c r="C573" s="7">
        <v>1988.6</v>
      </c>
      <c r="D573" s="7">
        <v>1980.4</v>
      </c>
      <c r="E573" s="7">
        <v>1981.1</v>
      </c>
      <c r="F573" s="18">
        <v>557</v>
      </c>
      <c r="G573" s="7">
        <v>1920.4429</v>
      </c>
      <c r="H573" s="7">
        <v>1893.97</v>
      </c>
      <c r="I573" s="7">
        <v>1919.3089</v>
      </c>
      <c r="J573" s="8">
        <v>1.5896999999999999</v>
      </c>
      <c r="K573" s="7">
        <v>0.66490000000000005</v>
      </c>
      <c r="L573" s="7">
        <v>0.82779999999999998</v>
      </c>
      <c r="M573" s="8">
        <v>84.913399999999996</v>
      </c>
      <c r="N573" s="8">
        <v>10.521000000000001</v>
      </c>
      <c r="O573" s="7">
        <v>-5.0069999999999997</v>
      </c>
      <c r="P573" s="7">
        <v>1969.5965000000001</v>
      </c>
      <c r="Q573" s="7">
        <v>1788.5335</v>
      </c>
      <c r="R573" s="7" t="str">
        <f t="shared" si="121"/>
        <v>Down</v>
      </c>
      <c r="S573" s="7" t="str">
        <f t="shared" si="122"/>
        <v>Sell</v>
      </c>
      <c r="T573" s="8">
        <f t="shared" si="123"/>
        <v>0.17188545150501658</v>
      </c>
      <c r="U573" s="18">
        <f t="shared" si="124"/>
        <v>2687313</v>
      </c>
      <c r="V573" s="7">
        <f t="shared" si="125"/>
        <v>5586.2002000000002</v>
      </c>
      <c r="W573" s="7">
        <f t="shared" si="126"/>
        <v>1932.6</v>
      </c>
      <c r="X573" s="7">
        <f t="shared" si="127"/>
        <v>1981.1</v>
      </c>
      <c r="Y573" s="7">
        <f t="shared" si="128"/>
        <v>248</v>
      </c>
      <c r="Z573" s="7">
        <f t="shared" si="129"/>
        <v>957293</v>
      </c>
      <c r="AA573" s="7" t="str">
        <f t="shared" si="130"/>
        <v>20-Oct-2023</v>
      </c>
      <c r="AB573" s="7">
        <f t="shared" si="131"/>
        <v>1981.1</v>
      </c>
      <c r="AC573" s="7">
        <f t="shared" si="135"/>
        <v>1</v>
      </c>
      <c r="AD573" s="7">
        <f t="shared" si="132"/>
        <v>2023</v>
      </c>
      <c r="AE573" s="19">
        <f t="shared" si="133"/>
        <v>1.59</v>
      </c>
      <c r="BA573" s="10">
        <f t="shared" si="134"/>
        <v>26.997800000000002</v>
      </c>
    </row>
    <row r="574" spans="1:53" x14ac:dyDescent="0.3">
      <c r="A574" s="17">
        <v>45222</v>
      </c>
      <c r="B574" s="8">
        <v>1976.3</v>
      </c>
      <c r="C574" s="7">
        <v>1978.9</v>
      </c>
      <c r="D574" s="7">
        <v>1972.9</v>
      </c>
      <c r="E574" s="7">
        <v>1976.2</v>
      </c>
      <c r="F574" s="18">
        <v>127</v>
      </c>
      <c r="G574" s="7">
        <v>1934.9429</v>
      </c>
      <c r="H574" s="7">
        <v>1895.7433000000001</v>
      </c>
      <c r="I574" s="7">
        <v>1919.6422</v>
      </c>
      <c r="J574" s="8">
        <v>-0.24729999999999999</v>
      </c>
      <c r="K574" s="7">
        <v>0.76080000000000003</v>
      </c>
      <c r="L574" s="7">
        <v>0.82979999999999998</v>
      </c>
      <c r="M574" s="8">
        <v>91.538399999999996</v>
      </c>
      <c r="N574" s="8">
        <v>15.0943</v>
      </c>
      <c r="O574" s="7">
        <v>-0.98670000000000002</v>
      </c>
      <c r="P574" s="7">
        <v>1981.2837</v>
      </c>
      <c r="Q574" s="7">
        <v>1782.8063</v>
      </c>
      <c r="R574" s="7" t="str">
        <f t="shared" si="121"/>
        <v>Down</v>
      </c>
      <c r="S574" s="7" t="str">
        <f t="shared" si="122"/>
        <v>Sell</v>
      </c>
      <c r="T574" s="8">
        <f t="shared" si="123"/>
        <v>0.16951055276381891</v>
      </c>
      <c r="U574" s="18">
        <f t="shared" si="124"/>
        <v>2686756</v>
      </c>
      <c r="V574" s="7">
        <f t="shared" si="125"/>
        <v>5586.2002000000002</v>
      </c>
      <c r="W574" s="7">
        <f t="shared" si="126"/>
        <v>1932.6</v>
      </c>
      <c r="X574" s="7">
        <f t="shared" si="127"/>
        <v>1976.2</v>
      </c>
      <c r="Y574" s="7">
        <f t="shared" si="128"/>
        <v>248</v>
      </c>
      <c r="Z574" s="7">
        <f t="shared" si="129"/>
        <v>957293</v>
      </c>
      <c r="AA574" s="7" t="str">
        <f t="shared" si="130"/>
        <v>23-Oct-2023</v>
      </c>
      <c r="AB574" s="7">
        <f t="shared" si="131"/>
        <v>1976.2</v>
      </c>
      <c r="AC574" s="7">
        <f t="shared" si="135"/>
        <v>1</v>
      </c>
      <c r="AD574" s="7">
        <f t="shared" si="132"/>
        <v>2023</v>
      </c>
      <c r="AE574" s="19">
        <f t="shared" si="133"/>
        <v>-0.25</v>
      </c>
      <c r="BA574" s="10">
        <f t="shared" si="134"/>
        <v>26.997800000000002</v>
      </c>
    </row>
    <row r="575" spans="1:53" x14ac:dyDescent="0.3">
      <c r="A575" s="17">
        <v>45223</v>
      </c>
      <c r="B575" s="8">
        <v>1975</v>
      </c>
      <c r="C575" s="7">
        <v>1975</v>
      </c>
      <c r="D575" s="7">
        <v>1970.3</v>
      </c>
      <c r="E575" s="7">
        <v>1970.3</v>
      </c>
      <c r="F575" s="18">
        <v>10</v>
      </c>
      <c r="G575" s="7">
        <v>1948.2</v>
      </c>
      <c r="H575" s="7">
        <v>1897.3933</v>
      </c>
      <c r="I575" s="7">
        <v>1919.96</v>
      </c>
      <c r="J575" s="8">
        <v>-0.29849999999999999</v>
      </c>
      <c r="K575" s="7">
        <v>0.83579999999999999</v>
      </c>
      <c r="L575" s="7">
        <v>0.83199999999999996</v>
      </c>
      <c r="M575" s="8">
        <v>90.200299999999999</v>
      </c>
      <c r="N575" s="8">
        <v>18.034700000000001</v>
      </c>
      <c r="O575" s="7">
        <v>2.8176000000000001</v>
      </c>
      <c r="P575" s="7">
        <v>1991.7632000000001</v>
      </c>
      <c r="Q575" s="7">
        <v>1778.8568</v>
      </c>
      <c r="R575" s="7" t="str">
        <f t="shared" si="121"/>
        <v>Down</v>
      </c>
      <c r="S575" s="7" t="str">
        <f t="shared" si="122"/>
        <v>Sell</v>
      </c>
      <c r="T575" s="8">
        <f t="shared" si="123"/>
        <v>0.17020989932885891</v>
      </c>
      <c r="U575" s="18">
        <f t="shared" si="124"/>
        <v>2686629</v>
      </c>
      <c r="V575" s="7">
        <f t="shared" si="125"/>
        <v>5586.2002000000002</v>
      </c>
      <c r="W575" s="7">
        <f t="shared" si="126"/>
        <v>1932.6</v>
      </c>
      <c r="X575" s="7">
        <f t="shared" si="127"/>
        <v>1970.3</v>
      </c>
      <c r="Y575" s="7">
        <f t="shared" si="128"/>
        <v>248</v>
      </c>
      <c r="Z575" s="7">
        <f t="shared" si="129"/>
        <v>957293</v>
      </c>
      <c r="AA575" s="7" t="str">
        <f t="shared" si="130"/>
        <v>24-Oct-2023</v>
      </c>
      <c r="AB575" s="7">
        <f t="shared" si="131"/>
        <v>1970.3</v>
      </c>
      <c r="AC575" s="7">
        <f t="shared" si="135"/>
        <v>1</v>
      </c>
      <c r="AD575" s="7">
        <f t="shared" si="132"/>
        <v>2023</v>
      </c>
      <c r="AE575" s="19">
        <f t="shared" si="133"/>
        <v>-0.3</v>
      </c>
      <c r="BA575" s="10">
        <f t="shared" si="134"/>
        <v>26.997800000000002</v>
      </c>
    </row>
    <row r="576" spans="1:53" x14ac:dyDescent="0.3">
      <c r="A576" s="17">
        <v>45224</v>
      </c>
      <c r="B576" s="8">
        <v>1984.1</v>
      </c>
      <c r="C576" s="7">
        <v>1985.3</v>
      </c>
      <c r="D576" s="7">
        <v>1971.2</v>
      </c>
      <c r="E576" s="7">
        <v>1971.2</v>
      </c>
      <c r="F576" s="18">
        <v>97</v>
      </c>
      <c r="G576" s="7">
        <v>1956.8857</v>
      </c>
      <c r="H576" s="7">
        <v>1899.4232999999999</v>
      </c>
      <c r="I576" s="7">
        <v>1920.0689</v>
      </c>
      <c r="J576" s="8">
        <v>4.5699999999999998E-2</v>
      </c>
      <c r="K576" s="7">
        <v>0.71609999999999996</v>
      </c>
      <c r="L576" s="7">
        <v>0.82340000000000002</v>
      </c>
      <c r="M576" s="8">
        <v>90.005499999999998</v>
      </c>
      <c r="N576" s="8">
        <v>20.204699999999999</v>
      </c>
      <c r="O576" s="7">
        <v>6.2949999999999999</v>
      </c>
      <c r="P576" s="7">
        <v>2003.1676</v>
      </c>
      <c r="Q576" s="7">
        <v>1777.4123999999999</v>
      </c>
      <c r="R576" s="7" t="str">
        <f t="shared" si="121"/>
        <v>Down</v>
      </c>
      <c r="S576" s="7" t="str">
        <f t="shared" si="122"/>
        <v>Sell</v>
      </c>
      <c r="T576" s="8">
        <f t="shared" si="123"/>
        <v>0.17099764705882337</v>
      </c>
      <c r="U576" s="18">
        <f t="shared" si="124"/>
        <v>2686619</v>
      </c>
      <c r="V576" s="7">
        <f t="shared" si="125"/>
        <v>5586.2002000000002</v>
      </c>
      <c r="W576" s="7">
        <f t="shared" si="126"/>
        <v>1932.6</v>
      </c>
      <c r="X576" s="7">
        <f t="shared" si="127"/>
        <v>1971.2</v>
      </c>
      <c r="Y576" s="7">
        <f t="shared" si="128"/>
        <v>248</v>
      </c>
      <c r="Z576" s="7">
        <f t="shared" si="129"/>
        <v>957293</v>
      </c>
      <c r="AA576" s="7" t="str">
        <f t="shared" si="130"/>
        <v>25-Oct-2023</v>
      </c>
      <c r="AB576" s="7">
        <f t="shared" si="131"/>
        <v>1971.2</v>
      </c>
      <c r="AC576" s="7">
        <f t="shared" si="135"/>
        <v>1</v>
      </c>
      <c r="AD576" s="7">
        <f t="shared" si="132"/>
        <v>2023</v>
      </c>
      <c r="AE576" s="19">
        <f t="shared" si="133"/>
        <v>0.05</v>
      </c>
      <c r="BA576" s="10">
        <f t="shared" si="134"/>
        <v>26.997800000000002</v>
      </c>
    </row>
    <row r="577" spans="1:53" x14ac:dyDescent="0.3">
      <c r="A577" s="17">
        <v>45225</v>
      </c>
      <c r="B577" s="8">
        <v>1987.2</v>
      </c>
      <c r="C577" s="7">
        <v>1988.2</v>
      </c>
      <c r="D577" s="7">
        <v>1980.4</v>
      </c>
      <c r="E577" s="7">
        <v>1988.2</v>
      </c>
      <c r="F577" s="18">
        <v>521</v>
      </c>
      <c r="G577" s="7">
        <v>1967.4428</v>
      </c>
      <c r="H577" s="7">
        <v>1902.2633000000001</v>
      </c>
      <c r="I577" s="7">
        <v>1920.3978</v>
      </c>
      <c r="J577" s="8">
        <v>0.86240000000000006</v>
      </c>
      <c r="K577" s="7">
        <v>0.72160000000000002</v>
      </c>
      <c r="L577" s="7">
        <v>0.82920000000000005</v>
      </c>
      <c r="M577" s="8">
        <v>94.339699999999993</v>
      </c>
      <c r="N577" s="8">
        <v>23.0307</v>
      </c>
      <c r="O577" s="7">
        <v>9.6420999999999992</v>
      </c>
      <c r="P577" s="7">
        <v>2016.6718000000001</v>
      </c>
      <c r="Q577" s="7">
        <v>1775.1782000000001</v>
      </c>
      <c r="R577" s="7" t="str">
        <f t="shared" si="121"/>
        <v>Up</v>
      </c>
      <c r="S577" s="7" t="str">
        <f t="shared" si="122"/>
        <v>Sell</v>
      </c>
      <c r="T577" s="8">
        <f t="shared" si="123"/>
        <v>0.17120858585858567</v>
      </c>
      <c r="U577" s="18">
        <f t="shared" si="124"/>
        <v>2686522</v>
      </c>
      <c r="V577" s="7">
        <f t="shared" si="125"/>
        <v>5586.2002000000002</v>
      </c>
      <c r="W577" s="7">
        <f t="shared" si="126"/>
        <v>1932.6</v>
      </c>
      <c r="X577" s="7">
        <f t="shared" si="127"/>
        <v>1988.2</v>
      </c>
      <c r="Y577" s="7">
        <f t="shared" si="128"/>
        <v>248</v>
      </c>
      <c r="Z577" s="7">
        <f t="shared" si="129"/>
        <v>957293</v>
      </c>
      <c r="AA577" s="7" t="str">
        <f t="shared" si="130"/>
        <v>26-Oct-2023</v>
      </c>
      <c r="AB577" s="7">
        <f t="shared" si="131"/>
        <v>1988.2</v>
      </c>
      <c r="AC577" s="7">
        <f t="shared" si="135"/>
        <v>1</v>
      </c>
      <c r="AD577" s="7">
        <f t="shared" si="132"/>
        <v>2023</v>
      </c>
      <c r="AE577" s="19">
        <f t="shared" si="133"/>
        <v>0.86</v>
      </c>
      <c r="BA577" s="10">
        <f t="shared" si="134"/>
        <v>26.997800000000002</v>
      </c>
    </row>
    <row r="578" spans="1:53" x14ac:dyDescent="0.3">
      <c r="A578" s="17">
        <v>45226</v>
      </c>
      <c r="B578" s="8">
        <v>1988.6</v>
      </c>
      <c r="C578" s="7">
        <v>1988.6</v>
      </c>
      <c r="D578" s="7">
        <v>1988.6</v>
      </c>
      <c r="E578" s="7">
        <v>1988.6</v>
      </c>
      <c r="F578" s="18">
        <v>372</v>
      </c>
      <c r="G578" s="7">
        <v>1975.1</v>
      </c>
      <c r="H578" s="7">
        <v>1904.4332999999999</v>
      </c>
      <c r="I578" s="7">
        <v>1920.9866999999999</v>
      </c>
      <c r="J578" s="8">
        <v>2.01E-2</v>
      </c>
      <c r="K578" s="7">
        <v>0.70120000000000005</v>
      </c>
      <c r="L578" s="7">
        <v>0.81069999999999998</v>
      </c>
      <c r="M578" s="8">
        <v>93.56</v>
      </c>
      <c r="N578" s="8">
        <v>25.014299999999999</v>
      </c>
      <c r="O578" s="7">
        <v>12.7166</v>
      </c>
      <c r="P578" s="7">
        <v>2028.6893</v>
      </c>
      <c r="Q578" s="7">
        <v>1775.5907</v>
      </c>
      <c r="R578" s="7" t="str">
        <f t="shared" si="121"/>
        <v>Down</v>
      </c>
      <c r="S578" s="7" t="str">
        <f t="shared" si="122"/>
        <v>Sell</v>
      </c>
      <c r="T578" s="8">
        <f t="shared" si="123"/>
        <v>0.17004300168634046</v>
      </c>
      <c r="U578" s="18">
        <f t="shared" si="124"/>
        <v>2686001</v>
      </c>
      <c r="V578" s="7">
        <f t="shared" si="125"/>
        <v>5586.2002000000002</v>
      </c>
      <c r="W578" s="7">
        <f t="shared" si="126"/>
        <v>1932.6</v>
      </c>
      <c r="X578" s="7">
        <f t="shared" si="127"/>
        <v>1988.6</v>
      </c>
      <c r="Y578" s="7">
        <f t="shared" si="128"/>
        <v>247</v>
      </c>
      <c r="Z578" s="7">
        <f t="shared" si="129"/>
        <v>956772</v>
      </c>
      <c r="AA578" s="7" t="str">
        <f t="shared" si="130"/>
        <v>27-Oct-2023</v>
      </c>
      <c r="AB578" s="7">
        <f t="shared" si="131"/>
        <v>1988.6</v>
      </c>
      <c r="AC578" s="7">
        <f t="shared" si="135"/>
        <v>1</v>
      </c>
      <c r="AD578" s="7">
        <f t="shared" si="132"/>
        <v>2023</v>
      </c>
      <c r="AE578" s="19">
        <f t="shared" si="133"/>
        <v>0.02</v>
      </c>
      <c r="BA578" s="10">
        <f t="shared" si="134"/>
        <v>26.997800000000002</v>
      </c>
    </row>
    <row r="579" spans="1:53" x14ac:dyDescent="0.3">
      <c r="A579" s="17">
        <v>45229</v>
      </c>
      <c r="B579" s="8">
        <v>1996.2</v>
      </c>
      <c r="C579" s="7">
        <v>2004.1</v>
      </c>
      <c r="D579" s="7">
        <v>1992.5</v>
      </c>
      <c r="E579" s="7">
        <v>2004.1</v>
      </c>
      <c r="F579" s="18">
        <v>157</v>
      </c>
      <c r="G579" s="7">
        <v>1982.8143</v>
      </c>
      <c r="H579" s="7">
        <v>1906.9632999999999</v>
      </c>
      <c r="I579" s="7">
        <v>1921.9211</v>
      </c>
      <c r="J579" s="8">
        <v>0.77939999999999998</v>
      </c>
      <c r="K579" s="7">
        <v>0.70109999999999995</v>
      </c>
      <c r="L579" s="7">
        <v>0.81950000000000001</v>
      </c>
      <c r="M579" s="8">
        <v>93.598100000000002</v>
      </c>
      <c r="N579" s="8">
        <v>27.5197</v>
      </c>
      <c r="O579" s="7">
        <v>15.677199999999999</v>
      </c>
      <c r="P579" s="7">
        <v>2041.3828000000001</v>
      </c>
      <c r="Q579" s="7">
        <v>1778.8972000000001</v>
      </c>
      <c r="R579" s="7" t="str">
        <f t="shared" ref="R579:R642" si="136">IF(E579&gt;B579,"Up","Down")</f>
        <v>Up</v>
      </c>
      <c r="S579" s="7" t="str">
        <f t="shared" ref="S579:S642" si="137">IF(M579&gt;70,"Sell",IF(M579&lt;30,"Buy","Hold"))</f>
        <v>Sell</v>
      </c>
      <c r="T579" s="8">
        <f t="shared" ref="T579:T642" si="138">AVERAGE(J579:J1747)</f>
        <v>0.17029628378378361</v>
      </c>
      <c r="U579" s="18">
        <f t="shared" ref="U579:U642" si="139">SUM(F579:F1747)</f>
        <v>2685629</v>
      </c>
      <c r="V579" s="7">
        <f t="shared" ref="V579:V642" si="140">MAX(C579:C1747)</f>
        <v>5586.2002000000002</v>
      </c>
      <c r="W579" s="7">
        <f t="shared" ref="W579:W642" si="141">MIN(D579:D1747)</f>
        <v>1932.6</v>
      </c>
      <c r="X579" s="7">
        <f t="shared" ref="X579:X642" si="142">INDEX(E579:E1747,MATCH(A579,A579:A1747,0))</f>
        <v>2004.1</v>
      </c>
      <c r="Y579" s="7">
        <f t="shared" ref="Y579:Y642" si="143">COUNTIF(R579:R1747,"Up")</f>
        <v>247</v>
      </c>
      <c r="Z579" s="7">
        <f t="shared" ref="Z579:Z642" si="144">SUMIF(R579:R1747,"Up",F579:F1747)</f>
        <v>956772</v>
      </c>
      <c r="AA579" s="7" t="str">
        <f t="shared" ref="AA579:AA642" si="145">TEXT(A579,"DD-MMM-YYYY")</f>
        <v>30-Oct-2023</v>
      </c>
      <c r="AB579" s="7">
        <f t="shared" ref="AB579:AB642" si="146">_xlfn.XLOOKUP(A579,A579:A1747,E579:E1747)</f>
        <v>2004.1</v>
      </c>
      <c r="AC579" s="7">
        <f t="shared" si="135"/>
        <v>1</v>
      </c>
      <c r="AD579" s="7">
        <f t="shared" ref="AD579:AD642" si="147">YEAR(A579)</f>
        <v>2023</v>
      </c>
      <c r="AE579" s="19">
        <f t="shared" ref="AE579:AE642" si="148">ROUND(J579,2)</f>
        <v>0.78</v>
      </c>
      <c r="BA579" s="10">
        <f t="shared" ref="BA579:BA642" si="149">MODE(M579:M1747)</f>
        <v>26.997800000000002</v>
      </c>
    </row>
    <row r="580" spans="1:53" x14ac:dyDescent="0.3">
      <c r="A580" s="17">
        <v>45230</v>
      </c>
      <c r="B580" s="8">
        <v>1985.2</v>
      </c>
      <c r="C580" s="7">
        <v>2001</v>
      </c>
      <c r="D580" s="7">
        <v>1983.7</v>
      </c>
      <c r="E580" s="7">
        <v>1996.5</v>
      </c>
      <c r="F580" s="18">
        <v>84</v>
      </c>
      <c r="G580" s="7">
        <v>1985.0143</v>
      </c>
      <c r="H580" s="7">
        <v>1909.0467000000001</v>
      </c>
      <c r="I580" s="7">
        <v>1922.7855999999999</v>
      </c>
      <c r="J580" s="8">
        <v>-0.37919999999999998</v>
      </c>
      <c r="K580" s="7">
        <v>0.51</v>
      </c>
      <c r="L580" s="7">
        <v>0.82410000000000005</v>
      </c>
      <c r="M580" s="8">
        <v>88.766800000000003</v>
      </c>
      <c r="N580" s="8">
        <v>28.562799999999999</v>
      </c>
      <c r="O580" s="7">
        <v>18.254300000000001</v>
      </c>
      <c r="P580" s="7">
        <v>2048.9422</v>
      </c>
      <c r="Q580" s="7">
        <v>1788.4878000000001</v>
      </c>
      <c r="R580" s="7" t="str">
        <f t="shared" si="136"/>
        <v>Up</v>
      </c>
      <c r="S580" s="7" t="str">
        <f t="shared" si="137"/>
        <v>Sell</v>
      </c>
      <c r="T580" s="8">
        <f t="shared" si="138"/>
        <v>0.16926565143824007</v>
      </c>
      <c r="U580" s="18">
        <f t="shared" si="139"/>
        <v>2685472</v>
      </c>
      <c r="V580" s="7">
        <f t="shared" si="140"/>
        <v>5586.2002000000002</v>
      </c>
      <c r="W580" s="7">
        <f t="shared" si="141"/>
        <v>1932.6</v>
      </c>
      <c r="X580" s="7">
        <f t="shared" si="142"/>
        <v>1996.5</v>
      </c>
      <c r="Y580" s="7">
        <f t="shared" si="143"/>
        <v>246</v>
      </c>
      <c r="Z580" s="7">
        <f t="shared" si="144"/>
        <v>956615</v>
      </c>
      <c r="AA580" s="7" t="str">
        <f t="shared" si="145"/>
        <v>31-Oct-2023</v>
      </c>
      <c r="AB580" s="7">
        <f t="shared" si="146"/>
        <v>1996.5</v>
      </c>
      <c r="AC580" s="7">
        <f t="shared" si="135"/>
        <v>1</v>
      </c>
      <c r="AD580" s="7">
        <f t="shared" si="147"/>
        <v>2023</v>
      </c>
      <c r="AE580" s="19">
        <f t="shared" si="148"/>
        <v>-0.38</v>
      </c>
      <c r="BA580" s="10">
        <f t="shared" si="149"/>
        <v>26.997800000000002</v>
      </c>
    </row>
    <row r="581" spans="1:53" x14ac:dyDescent="0.3">
      <c r="A581" s="17">
        <v>45231</v>
      </c>
      <c r="B581" s="8">
        <v>1978.8</v>
      </c>
      <c r="C581" s="7">
        <v>1990.5</v>
      </c>
      <c r="D581" s="7">
        <v>1977.8</v>
      </c>
      <c r="E581" s="7">
        <v>1990.5</v>
      </c>
      <c r="F581" s="18">
        <v>41</v>
      </c>
      <c r="G581" s="7">
        <v>1987.0571</v>
      </c>
      <c r="H581" s="7">
        <v>1910.5433</v>
      </c>
      <c r="I581" s="7">
        <v>1923.5367000000001</v>
      </c>
      <c r="J581" s="8">
        <v>-0.30049999999999999</v>
      </c>
      <c r="K581" s="7">
        <v>0.51659999999999995</v>
      </c>
      <c r="L581" s="7">
        <v>0.82199999999999995</v>
      </c>
      <c r="M581" s="8">
        <v>85.176199999999994</v>
      </c>
      <c r="N581" s="8">
        <v>28.576000000000001</v>
      </c>
      <c r="O581" s="7">
        <v>20.3186</v>
      </c>
      <c r="P581" s="7">
        <v>2052.7168000000001</v>
      </c>
      <c r="Q581" s="7">
        <v>1801.5832</v>
      </c>
      <c r="R581" s="7" t="str">
        <f t="shared" si="136"/>
        <v>Up</v>
      </c>
      <c r="S581" s="7" t="str">
        <f t="shared" si="137"/>
        <v>Sell</v>
      </c>
      <c r="T581" s="8">
        <f t="shared" si="138"/>
        <v>0.17019525423728793</v>
      </c>
      <c r="U581" s="18">
        <f t="shared" si="139"/>
        <v>2685388</v>
      </c>
      <c r="V581" s="7">
        <f t="shared" si="140"/>
        <v>5586.2002000000002</v>
      </c>
      <c r="W581" s="7">
        <f t="shared" si="141"/>
        <v>1932.6</v>
      </c>
      <c r="X581" s="7">
        <f t="shared" si="142"/>
        <v>1990.5</v>
      </c>
      <c r="Y581" s="7">
        <f t="shared" si="143"/>
        <v>245</v>
      </c>
      <c r="Z581" s="7">
        <f t="shared" si="144"/>
        <v>956531</v>
      </c>
      <c r="AA581" s="7" t="str">
        <f t="shared" si="145"/>
        <v>01-Nov-2023</v>
      </c>
      <c r="AB581" s="7">
        <f t="shared" si="146"/>
        <v>1990.5</v>
      </c>
      <c r="AC581" s="7">
        <f t="shared" ref="AC581:AC644" si="150">_xlfn.XMATCH(A581,A581:A1749)</f>
        <v>1</v>
      </c>
      <c r="AD581" s="7">
        <f t="shared" si="147"/>
        <v>2023</v>
      </c>
      <c r="AE581" s="19">
        <f t="shared" si="148"/>
        <v>-0.3</v>
      </c>
      <c r="BA581" s="10">
        <f t="shared" si="149"/>
        <v>26.997800000000002</v>
      </c>
    </row>
    <row r="582" spans="1:53" x14ac:dyDescent="0.3">
      <c r="A582" s="17">
        <v>45232</v>
      </c>
      <c r="B582" s="8">
        <v>1985.6</v>
      </c>
      <c r="C582" s="7">
        <v>1990.3</v>
      </c>
      <c r="D582" s="7">
        <v>1979.5</v>
      </c>
      <c r="E582" s="7">
        <v>1989.1</v>
      </c>
      <c r="F582" s="18">
        <v>39</v>
      </c>
      <c r="G582" s="7">
        <v>1989.7428</v>
      </c>
      <c r="H582" s="7">
        <v>1912.7132999999999</v>
      </c>
      <c r="I582" s="7">
        <v>1924.2266999999999</v>
      </c>
      <c r="J582" s="8">
        <v>-7.0300000000000001E-2</v>
      </c>
      <c r="K582" s="7">
        <v>0.49359999999999998</v>
      </c>
      <c r="L582" s="7">
        <v>0.79139999999999999</v>
      </c>
      <c r="M582" s="8">
        <v>84.191199999999995</v>
      </c>
      <c r="N582" s="8">
        <v>28.148900000000001</v>
      </c>
      <c r="O582" s="7">
        <v>21.884699999999999</v>
      </c>
      <c r="P582" s="7">
        <v>2054.2638999999999</v>
      </c>
      <c r="Q582" s="7">
        <v>1816.316</v>
      </c>
      <c r="R582" s="7" t="str">
        <f t="shared" si="136"/>
        <v>Up</v>
      </c>
      <c r="S582" s="7" t="str">
        <f t="shared" si="137"/>
        <v>Sell</v>
      </c>
      <c r="T582" s="8">
        <f t="shared" si="138"/>
        <v>0.17099439728353127</v>
      </c>
      <c r="U582" s="18">
        <f t="shared" si="139"/>
        <v>2685347</v>
      </c>
      <c r="V582" s="7">
        <f t="shared" si="140"/>
        <v>5586.2002000000002</v>
      </c>
      <c r="W582" s="7">
        <f t="shared" si="141"/>
        <v>1932.6</v>
      </c>
      <c r="X582" s="7">
        <f t="shared" si="142"/>
        <v>1989.1</v>
      </c>
      <c r="Y582" s="7">
        <f t="shared" si="143"/>
        <v>244</v>
      </c>
      <c r="Z582" s="7">
        <f t="shared" si="144"/>
        <v>956490</v>
      </c>
      <c r="AA582" s="7" t="str">
        <f t="shared" si="145"/>
        <v>02-Nov-2023</v>
      </c>
      <c r="AB582" s="7">
        <f t="shared" si="146"/>
        <v>1989.1</v>
      </c>
      <c r="AC582" s="7">
        <f t="shared" si="150"/>
        <v>1</v>
      </c>
      <c r="AD582" s="7">
        <f t="shared" si="147"/>
        <v>2023</v>
      </c>
      <c r="AE582" s="19">
        <f t="shared" si="148"/>
        <v>-7.0000000000000007E-2</v>
      </c>
      <c r="BA582" s="10">
        <f t="shared" si="149"/>
        <v>26.997800000000002</v>
      </c>
    </row>
    <row r="583" spans="1:53" x14ac:dyDescent="0.3">
      <c r="A583" s="17">
        <v>45233</v>
      </c>
      <c r="B583" s="8">
        <v>1991.5</v>
      </c>
      <c r="C583" s="7">
        <v>1991.5</v>
      </c>
      <c r="D583" s="7">
        <v>1989</v>
      </c>
      <c r="E583" s="7">
        <v>1989</v>
      </c>
      <c r="F583" s="18">
        <v>12</v>
      </c>
      <c r="G583" s="7">
        <v>1992.2856999999999</v>
      </c>
      <c r="H583" s="7">
        <v>1914.8333</v>
      </c>
      <c r="I583" s="7">
        <v>1925.0789</v>
      </c>
      <c r="J583" s="8">
        <v>-5.0000000000000001E-3</v>
      </c>
      <c r="K583" s="7">
        <v>0.4955</v>
      </c>
      <c r="L583" s="7">
        <v>0.79169999999999996</v>
      </c>
      <c r="M583" s="8">
        <v>80.138099999999994</v>
      </c>
      <c r="N583" s="8">
        <v>27.485499999999998</v>
      </c>
      <c r="O583" s="7">
        <v>23.004899999999999</v>
      </c>
      <c r="P583" s="7">
        <v>2051.5437999999999</v>
      </c>
      <c r="Q583" s="7">
        <v>1836.0362</v>
      </c>
      <c r="R583" s="7" t="str">
        <f t="shared" si="136"/>
        <v>Down</v>
      </c>
      <c r="S583" s="7" t="str">
        <f t="shared" si="137"/>
        <v>Sell</v>
      </c>
      <c r="T583" s="8">
        <f t="shared" si="138"/>
        <v>0.17140476190476173</v>
      </c>
      <c r="U583" s="18">
        <f t="shared" si="139"/>
        <v>2685308</v>
      </c>
      <c r="V583" s="7">
        <f t="shared" si="140"/>
        <v>5586.2002000000002</v>
      </c>
      <c r="W583" s="7">
        <f t="shared" si="141"/>
        <v>1932.6</v>
      </c>
      <c r="X583" s="7">
        <f t="shared" si="142"/>
        <v>1989</v>
      </c>
      <c r="Y583" s="7">
        <f t="shared" si="143"/>
        <v>243</v>
      </c>
      <c r="Z583" s="7">
        <f t="shared" si="144"/>
        <v>956451</v>
      </c>
      <c r="AA583" s="7" t="str">
        <f t="shared" si="145"/>
        <v>03-Nov-2023</v>
      </c>
      <c r="AB583" s="7">
        <f t="shared" si="146"/>
        <v>1989</v>
      </c>
      <c r="AC583" s="7">
        <f t="shared" si="150"/>
        <v>1</v>
      </c>
      <c r="AD583" s="7">
        <f t="shared" si="147"/>
        <v>2023</v>
      </c>
      <c r="AE583" s="19">
        <f t="shared" si="148"/>
        <v>-0.01</v>
      </c>
      <c r="BA583" s="10">
        <f t="shared" si="149"/>
        <v>26.997800000000002</v>
      </c>
    </row>
    <row r="584" spans="1:53" x14ac:dyDescent="0.3">
      <c r="A584" s="17">
        <v>45236</v>
      </c>
      <c r="B584" s="8">
        <v>1981.6</v>
      </c>
      <c r="C584" s="7">
        <v>1981.6</v>
      </c>
      <c r="D584" s="7">
        <v>1977.4</v>
      </c>
      <c r="E584" s="7">
        <v>1981.6</v>
      </c>
      <c r="F584" s="18">
        <v>130</v>
      </c>
      <c r="G584" s="7">
        <v>1991.3427999999999</v>
      </c>
      <c r="H584" s="7">
        <v>1917</v>
      </c>
      <c r="I584" s="7">
        <v>1925.8756000000001</v>
      </c>
      <c r="J584" s="8">
        <v>-0.372</v>
      </c>
      <c r="K584" s="7">
        <v>0.40210000000000001</v>
      </c>
      <c r="L584" s="7">
        <v>0.78979999999999995</v>
      </c>
      <c r="M584" s="8">
        <v>75.130700000000004</v>
      </c>
      <c r="N584" s="8">
        <v>26.0623</v>
      </c>
      <c r="O584" s="7">
        <v>23.616299999999999</v>
      </c>
      <c r="P584" s="7">
        <v>2048.4600999999998</v>
      </c>
      <c r="Q584" s="7">
        <v>1853.0298</v>
      </c>
      <c r="R584" s="7" t="str">
        <f t="shared" si="136"/>
        <v>Down</v>
      </c>
      <c r="S584" s="7" t="str">
        <f t="shared" si="137"/>
        <v>Sell</v>
      </c>
      <c r="T584" s="8">
        <f t="shared" si="138"/>
        <v>0.1717052810902894</v>
      </c>
      <c r="U584" s="18">
        <f t="shared" si="139"/>
        <v>2685296</v>
      </c>
      <c r="V584" s="7">
        <f t="shared" si="140"/>
        <v>5586.2002000000002</v>
      </c>
      <c r="W584" s="7">
        <f t="shared" si="141"/>
        <v>1932.6</v>
      </c>
      <c r="X584" s="7">
        <f t="shared" si="142"/>
        <v>1981.6</v>
      </c>
      <c r="Y584" s="7">
        <f t="shared" si="143"/>
        <v>243</v>
      </c>
      <c r="Z584" s="7">
        <f t="shared" si="144"/>
        <v>956451</v>
      </c>
      <c r="AA584" s="7" t="str">
        <f t="shared" si="145"/>
        <v>06-Nov-2023</v>
      </c>
      <c r="AB584" s="7">
        <f t="shared" si="146"/>
        <v>1981.6</v>
      </c>
      <c r="AC584" s="7">
        <f t="shared" si="150"/>
        <v>1</v>
      </c>
      <c r="AD584" s="7">
        <f t="shared" si="147"/>
        <v>2023</v>
      </c>
      <c r="AE584" s="19">
        <f t="shared" si="148"/>
        <v>-0.37</v>
      </c>
      <c r="BA584" s="10">
        <f t="shared" si="149"/>
        <v>26.997800000000002</v>
      </c>
    </row>
    <row r="585" spans="1:53" x14ac:dyDescent="0.3">
      <c r="A585" s="17">
        <v>45237</v>
      </c>
      <c r="B585" s="8">
        <v>1966.8</v>
      </c>
      <c r="C585" s="7">
        <v>1966.8</v>
      </c>
      <c r="D585" s="7">
        <v>1960.7</v>
      </c>
      <c r="E585" s="7">
        <v>1966.5</v>
      </c>
      <c r="F585" s="18">
        <v>20</v>
      </c>
      <c r="G585" s="7">
        <v>1988.1857</v>
      </c>
      <c r="H585" s="7">
        <v>1919.05</v>
      </c>
      <c r="I585" s="7">
        <v>1926.5189</v>
      </c>
      <c r="J585" s="8">
        <v>-0.76200000000000001</v>
      </c>
      <c r="K585" s="7">
        <v>0.48130000000000001</v>
      </c>
      <c r="L585" s="7">
        <v>0.79520000000000002</v>
      </c>
      <c r="M585" s="8">
        <v>62.2759</v>
      </c>
      <c r="N585" s="8">
        <v>23.445599999999999</v>
      </c>
      <c r="O585" s="7">
        <v>23.5822</v>
      </c>
      <c r="P585" s="7">
        <v>2043.5364999999999</v>
      </c>
      <c r="Q585" s="7">
        <v>1868.9034999999999</v>
      </c>
      <c r="R585" s="7" t="str">
        <f t="shared" si="136"/>
        <v>Down</v>
      </c>
      <c r="S585" s="7" t="str">
        <f t="shared" si="137"/>
        <v>Hold</v>
      </c>
      <c r="T585" s="8">
        <f t="shared" si="138"/>
        <v>0.1726331058020476</v>
      </c>
      <c r="U585" s="18">
        <f t="shared" si="139"/>
        <v>2685166</v>
      </c>
      <c r="V585" s="7">
        <f t="shared" si="140"/>
        <v>5586.2002000000002</v>
      </c>
      <c r="W585" s="7">
        <f t="shared" si="141"/>
        <v>1932.6</v>
      </c>
      <c r="X585" s="7">
        <f t="shared" si="142"/>
        <v>1966.5</v>
      </c>
      <c r="Y585" s="7">
        <f t="shared" si="143"/>
        <v>243</v>
      </c>
      <c r="Z585" s="7">
        <f t="shared" si="144"/>
        <v>956451</v>
      </c>
      <c r="AA585" s="7" t="str">
        <f t="shared" si="145"/>
        <v>07-Nov-2023</v>
      </c>
      <c r="AB585" s="7">
        <f t="shared" si="146"/>
        <v>1966.5</v>
      </c>
      <c r="AC585" s="7">
        <f t="shared" si="150"/>
        <v>1</v>
      </c>
      <c r="AD585" s="7">
        <f t="shared" si="147"/>
        <v>2023</v>
      </c>
      <c r="AE585" s="19">
        <f t="shared" si="148"/>
        <v>-0.76</v>
      </c>
      <c r="BA585" s="10">
        <f t="shared" si="149"/>
        <v>26.997800000000002</v>
      </c>
    </row>
    <row r="586" spans="1:53" x14ac:dyDescent="0.3">
      <c r="A586" s="17">
        <v>45238</v>
      </c>
      <c r="B586" s="8">
        <v>1951.5</v>
      </c>
      <c r="C586" s="7">
        <v>1967.8</v>
      </c>
      <c r="D586" s="7">
        <v>1947.7</v>
      </c>
      <c r="E586" s="7">
        <v>1967.8</v>
      </c>
      <c r="F586" s="18">
        <v>43</v>
      </c>
      <c r="G586" s="7">
        <v>1983</v>
      </c>
      <c r="H586" s="7">
        <v>1922.2566999999999</v>
      </c>
      <c r="I586" s="7">
        <v>1927.0733</v>
      </c>
      <c r="J586" s="8">
        <v>6.6100000000000006E-2</v>
      </c>
      <c r="K586" s="7">
        <v>0.28510000000000002</v>
      </c>
      <c r="L586" s="7">
        <v>0.71340000000000003</v>
      </c>
      <c r="M586" s="8">
        <v>57.729300000000002</v>
      </c>
      <c r="N586" s="8">
        <v>21.232099999999999</v>
      </c>
      <c r="O586" s="7">
        <v>23.112200000000001</v>
      </c>
      <c r="P586" s="7">
        <v>2038.3842</v>
      </c>
      <c r="Q586" s="7">
        <v>1883.8857</v>
      </c>
      <c r="R586" s="7" t="str">
        <f t="shared" si="136"/>
        <v>Up</v>
      </c>
      <c r="S586" s="7" t="str">
        <f t="shared" si="137"/>
        <v>Hold</v>
      </c>
      <c r="T586" s="8">
        <f t="shared" si="138"/>
        <v>0.17423076923076905</v>
      </c>
      <c r="U586" s="18">
        <f t="shared" si="139"/>
        <v>2685146</v>
      </c>
      <c r="V586" s="7">
        <f t="shared" si="140"/>
        <v>5586.2002000000002</v>
      </c>
      <c r="W586" s="7">
        <f t="shared" si="141"/>
        <v>1932.6</v>
      </c>
      <c r="X586" s="7">
        <f t="shared" si="142"/>
        <v>1967.8</v>
      </c>
      <c r="Y586" s="7">
        <f t="shared" si="143"/>
        <v>243</v>
      </c>
      <c r="Z586" s="7">
        <f t="shared" si="144"/>
        <v>956451</v>
      </c>
      <c r="AA586" s="7" t="str">
        <f t="shared" si="145"/>
        <v>08-Nov-2023</v>
      </c>
      <c r="AB586" s="7">
        <f t="shared" si="146"/>
        <v>1967.8</v>
      </c>
      <c r="AC586" s="7">
        <f t="shared" si="150"/>
        <v>1</v>
      </c>
      <c r="AD586" s="7">
        <f t="shared" si="147"/>
        <v>2023</v>
      </c>
      <c r="AE586" s="19">
        <f t="shared" si="148"/>
        <v>7.0000000000000007E-2</v>
      </c>
      <c r="BA586" s="10">
        <f t="shared" si="149"/>
        <v>26.997800000000002</v>
      </c>
    </row>
    <row r="587" spans="1:53" x14ac:dyDescent="0.3">
      <c r="A587" s="17">
        <v>45239</v>
      </c>
      <c r="B587" s="8">
        <v>1964.2</v>
      </c>
      <c r="C587" s="7">
        <v>1964.2</v>
      </c>
      <c r="D587" s="7">
        <v>1945.3</v>
      </c>
      <c r="E587" s="7">
        <v>1951.7</v>
      </c>
      <c r="F587" s="18">
        <v>10</v>
      </c>
      <c r="G587" s="7">
        <v>1976.6</v>
      </c>
      <c r="H587" s="7">
        <v>1924.7967000000001</v>
      </c>
      <c r="I587" s="7">
        <v>1927.3867</v>
      </c>
      <c r="J587" s="8">
        <v>-0.81820000000000004</v>
      </c>
      <c r="K587" s="7">
        <v>0.35520000000000002</v>
      </c>
      <c r="L587" s="7">
        <v>0.73580000000000001</v>
      </c>
      <c r="M587" s="8">
        <v>35.240900000000003</v>
      </c>
      <c r="N587" s="8">
        <v>17.971499999999999</v>
      </c>
      <c r="O587" s="7">
        <v>22.084</v>
      </c>
      <c r="P587" s="7">
        <v>2030.9466</v>
      </c>
      <c r="Q587" s="7">
        <v>1899.0234</v>
      </c>
      <c r="R587" s="7" t="str">
        <f t="shared" si="136"/>
        <v>Down</v>
      </c>
      <c r="S587" s="7" t="str">
        <f t="shared" si="137"/>
        <v>Hold</v>
      </c>
      <c r="T587" s="8">
        <f t="shared" si="138"/>
        <v>0.17441592465753405</v>
      </c>
      <c r="U587" s="18">
        <f t="shared" si="139"/>
        <v>2685103</v>
      </c>
      <c r="V587" s="7">
        <f t="shared" si="140"/>
        <v>5586.2002000000002</v>
      </c>
      <c r="W587" s="7">
        <f t="shared" si="141"/>
        <v>1932.6</v>
      </c>
      <c r="X587" s="7">
        <f t="shared" si="142"/>
        <v>1951.7</v>
      </c>
      <c r="Y587" s="7">
        <f t="shared" si="143"/>
        <v>242</v>
      </c>
      <c r="Z587" s="7">
        <f t="shared" si="144"/>
        <v>956408</v>
      </c>
      <c r="AA587" s="7" t="str">
        <f t="shared" si="145"/>
        <v>09-Nov-2023</v>
      </c>
      <c r="AB587" s="7">
        <f t="shared" si="146"/>
        <v>1951.7</v>
      </c>
      <c r="AC587" s="7">
        <f t="shared" si="150"/>
        <v>1</v>
      </c>
      <c r="AD587" s="7">
        <f t="shared" si="147"/>
        <v>2023</v>
      </c>
      <c r="AE587" s="19">
        <f t="shared" si="148"/>
        <v>-0.82</v>
      </c>
      <c r="BA587" s="10">
        <f t="shared" si="149"/>
        <v>26.997800000000002</v>
      </c>
    </row>
    <row r="588" spans="1:53" x14ac:dyDescent="0.3">
      <c r="A588" s="17">
        <v>45240</v>
      </c>
      <c r="B588" s="8">
        <v>1932.6</v>
      </c>
      <c r="C588" s="7">
        <v>1959.6</v>
      </c>
      <c r="D588" s="7">
        <v>1932.6</v>
      </c>
      <c r="E588" s="7">
        <v>1959.6</v>
      </c>
      <c r="F588" s="18">
        <v>375</v>
      </c>
      <c r="G588" s="7">
        <v>1972.1857</v>
      </c>
      <c r="H588" s="7">
        <v>1927.9733000000001</v>
      </c>
      <c r="I588" s="7">
        <v>1927.9456</v>
      </c>
      <c r="J588" s="8">
        <v>0.40479999999999999</v>
      </c>
      <c r="K588" s="7">
        <v>0.4501</v>
      </c>
      <c r="L588" s="7">
        <v>0.72399999999999998</v>
      </c>
      <c r="M588" s="8">
        <v>41.910299999999999</v>
      </c>
      <c r="N588" s="8">
        <v>15.8423</v>
      </c>
      <c r="O588" s="7">
        <v>20.835699999999999</v>
      </c>
      <c r="P588" s="7">
        <v>2020.8083999999999</v>
      </c>
      <c r="Q588" s="7">
        <v>1917.3715999999999</v>
      </c>
      <c r="R588" s="7" t="str">
        <f t="shared" si="136"/>
        <v>Up</v>
      </c>
      <c r="S588" s="7" t="str">
        <f t="shared" si="137"/>
        <v>Hold</v>
      </c>
      <c r="T588" s="8">
        <f t="shared" si="138"/>
        <v>0.1761185248713549</v>
      </c>
      <c r="U588" s="18">
        <f t="shared" si="139"/>
        <v>2685093</v>
      </c>
      <c r="V588" s="7">
        <f t="shared" si="140"/>
        <v>5586.2002000000002</v>
      </c>
      <c r="W588" s="7">
        <f t="shared" si="141"/>
        <v>1932.6</v>
      </c>
      <c r="X588" s="7">
        <f t="shared" si="142"/>
        <v>1959.6</v>
      </c>
      <c r="Y588" s="7">
        <f t="shared" si="143"/>
        <v>242</v>
      </c>
      <c r="Z588" s="7">
        <f t="shared" si="144"/>
        <v>956408</v>
      </c>
      <c r="AA588" s="7" t="str">
        <f t="shared" si="145"/>
        <v>10-Nov-2023</v>
      </c>
      <c r="AB588" s="7">
        <f t="shared" si="146"/>
        <v>1959.6</v>
      </c>
      <c r="AC588" s="7">
        <f t="shared" si="150"/>
        <v>1</v>
      </c>
      <c r="AD588" s="7">
        <f t="shared" si="147"/>
        <v>2023</v>
      </c>
      <c r="AE588" s="19">
        <f t="shared" si="148"/>
        <v>0.4</v>
      </c>
      <c r="BA588" s="10">
        <f t="shared" si="149"/>
        <v>26.997800000000002</v>
      </c>
    </row>
    <row r="589" spans="1:53" x14ac:dyDescent="0.3">
      <c r="A589" s="17">
        <v>45243</v>
      </c>
      <c r="B589" s="8">
        <v>1945.5</v>
      </c>
      <c r="C589" s="7">
        <v>1947.2</v>
      </c>
      <c r="D589" s="7">
        <v>1934</v>
      </c>
      <c r="E589" s="7">
        <v>1939.9</v>
      </c>
      <c r="F589" s="18">
        <v>191</v>
      </c>
      <c r="G589" s="7">
        <v>1965.1570999999999</v>
      </c>
      <c r="H589" s="7">
        <v>1931.1667</v>
      </c>
      <c r="I589" s="7">
        <v>1928.24</v>
      </c>
      <c r="J589" s="8">
        <v>-1.0053000000000001</v>
      </c>
      <c r="K589" s="7">
        <v>0.5292</v>
      </c>
      <c r="L589" s="7">
        <v>0.71950000000000003</v>
      </c>
      <c r="M589" s="8">
        <v>36.941600000000001</v>
      </c>
      <c r="N589" s="8">
        <v>12.4221</v>
      </c>
      <c r="O589" s="7">
        <v>19.152999999999999</v>
      </c>
      <c r="P589" s="7">
        <v>2016.6069</v>
      </c>
      <c r="Q589" s="7">
        <v>1924.5231000000001</v>
      </c>
      <c r="R589" s="7" t="str">
        <f t="shared" si="136"/>
        <v>Down</v>
      </c>
      <c r="S589" s="7" t="str">
        <f t="shared" si="137"/>
        <v>Hold</v>
      </c>
      <c r="T589" s="8">
        <f t="shared" si="138"/>
        <v>0.17572560137457022</v>
      </c>
      <c r="U589" s="18">
        <f t="shared" si="139"/>
        <v>2684718</v>
      </c>
      <c r="V589" s="7">
        <f t="shared" si="140"/>
        <v>5586.2002000000002</v>
      </c>
      <c r="W589" s="7">
        <f t="shared" si="141"/>
        <v>1934</v>
      </c>
      <c r="X589" s="7">
        <f t="shared" si="142"/>
        <v>1939.9</v>
      </c>
      <c r="Y589" s="7">
        <f t="shared" si="143"/>
        <v>241</v>
      </c>
      <c r="Z589" s="7">
        <f t="shared" si="144"/>
        <v>956033</v>
      </c>
      <c r="AA589" s="7" t="str">
        <f t="shared" si="145"/>
        <v>13-Nov-2023</v>
      </c>
      <c r="AB589" s="7">
        <f t="shared" si="146"/>
        <v>1939.9</v>
      </c>
      <c r="AC589" s="7">
        <f t="shared" si="150"/>
        <v>1</v>
      </c>
      <c r="AD589" s="7">
        <f t="shared" si="147"/>
        <v>2023</v>
      </c>
      <c r="AE589" s="19">
        <f t="shared" si="148"/>
        <v>-1.01</v>
      </c>
      <c r="BA589" s="10">
        <f t="shared" si="149"/>
        <v>26.997800000000002</v>
      </c>
    </row>
    <row r="590" spans="1:53" x14ac:dyDescent="0.3">
      <c r="A590" s="17">
        <v>45244</v>
      </c>
      <c r="B590" s="8">
        <v>1961.8</v>
      </c>
      <c r="C590" s="7">
        <v>1965.8</v>
      </c>
      <c r="D590" s="7">
        <v>1961.8</v>
      </c>
      <c r="E590" s="7">
        <v>1965.8</v>
      </c>
      <c r="F590" s="18">
        <v>2</v>
      </c>
      <c r="G590" s="7">
        <v>1961.8429000000001</v>
      </c>
      <c r="H590" s="7">
        <v>1935.86</v>
      </c>
      <c r="I590" s="7">
        <v>1928.7089000000001</v>
      </c>
      <c r="J590" s="8">
        <v>1.3351</v>
      </c>
      <c r="K590" s="7">
        <v>0.8327</v>
      </c>
      <c r="L590" s="7">
        <v>0.71250000000000002</v>
      </c>
      <c r="M590" s="8">
        <v>48.090600000000002</v>
      </c>
      <c r="N590" s="8">
        <v>11.667</v>
      </c>
      <c r="O590" s="7">
        <v>17.655799999999999</v>
      </c>
      <c r="P590" s="7">
        <v>2010.9585999999999</v>
      </c>
      <c r="Q590" s="7">
        <v>1935.3214</v>
      </c>
      <c r="R590" s="7" t="str">
        <f t="shared" si="136"/>
        <v>Up</v>
      </c>
      <c r="S590" s="7" t="str">
        <f t="shared" si="137"/>
        <v>Hold</v>
      </c>
      <c r="T590" s="8">
        <f t="shared" si="138"/>
        <v>0.17775834767641979</v>
      </c>
      <c r="U590" s="18">
        <f t="shared" si="139"/>
        <v>2684527</v>
      </c>
      <c r="V590" s="7">
        <f t="shared" si="140"/>
        <v>5586.2002000000002</v>
      </c>
      <c r="W590" s="7">
        <f t="shared" si="141"/>
        <v>1960</v>
      </c>
      <c r="X590" s="7">
        <f t="shared" si="142"/>
        <v>1965.8</v>
      </c>
      <c r="Y590" s="7">
        <f t="shared" si="143"/>
        <v>241</v>
      </c>
      <c r="Z590" s="7">
        <f t="shared" si="144"/>
        <v>956033</v>
      </c>
      <c r="AA590" s="7" t="str">
        <f t="shared" si="145"/>
        <v>14-Nov-2023</v>
      </c>
      <c r="AB590" s="7">
        <f t="shared" si="146"/>
        <v>1965.8</v>
      </c>
      <c r="AC590" s="7">
        <f t="shared" si="150"/>
        <v>1</v>
      </c>
      <c r="AD590" s="7">
        <f t="shared" si="147"/>
        <v>2023</v>
      </c>
      <c r="AE590" s="19">
        <f t="shared" si="148"/>
        <v>1.34</v>
      </c>
      <c r="BA590" s="10">
        <f t="shared" si="149"/>
        <v>26.997800000000002</v>
      </c>
    </row>
    <row r="591" spans="1:53" x14ac:dyDescent="0.3">
      <c r="A591" s="17">
        <v>45245</v>
      </c>
      <c r="B591" s="8">
        <v>1960.1</v>
      </c>
      <c r="C591" s="7">
        <v>1962.8</v>
      </c>
      <c r="D591" s="7">
        <v>1960</v>
      </c>
      <c r="E591" s="7">
        <v>1962.8</v>
      </c>
      <c r="F591" s="18">
        <v>6</v>
      </c>
      <c r="G591" s="7">
        <v>1959.1572000000001</v>
      </c>
      <c r="H591" s="7">
        <v>1940.56</v>
      </c>
      <c r="I591" s="7">
        <v>1929.1288999999999</v>
      </c>
      <c r="J591" s="8">
        <v>-0.15260000000000001</v>
      </c>
      <c r="K591" s="7">
        <v>0.82769999999999999</v>
      </c>
      <c r="L591" s="7">
        <v>0.71199999999999997</v>
      </c>
      <c r="M591" s="8">
        <v>40.031399999999998</v>
      </c>
      <c r="N591" s="8">
        <v>10.703099999999999</v>
      </c>
      <c r="O591" s="7">
        <v>16.2652</v>
      </c>
      <c r="P591" s="7">
        <v>2008.2698</v>
      </c>
      <c r="Q591" s="7">
        <v>1940.7901999999999</v>
      </c>
      <c r="R591" s="7" t="str">
        <f t="shared" si="136"/>
        <v>Up</v>
      </c>
      <c r="S591" s="7" t="str">
        <f t="shared" si="137"/>
        <v>Hold</v>
      </c>
      <c r="T591" s="8">
        <f t="shared" si="138"/>
        <v>0.17576293103448257</v>
      </c>
      <c r="U591" s="18">
        <f t="shared" si="139"/>
        <v>2684525</v>
      </c>
      <c r="V591" s="7">
        <f t="shared" si="140"/>
        <v>5586.2002000000002</v>
      </c>
      <c r="W591" s="7">
        <f t="shared" si="141"/>
        <v>1960</v>
      </c>
      <c r="X591" s="7">
        <f t="shared" si="142"/>
        <v>1962.8</v>
      </c>
      <c r="Y591" s="7">
        <f t="shared" si="143"/>
        <v>240</v>
      </c>
      <c r="Z591" s="7">
        <f t="shared" si="144"/>
        <v>956031</v>
      </c>
      <c r="AA591" s="7" t="str">
        <f t="shared" si="145"/>
        <v>15-Nov-2023</v>
      </c>
      <c r="AB591" s="7">
        <f t="shared" si="146"/>
        <v>1962.8</v>
      </c>
      <c r="AC591" s="7">
        <f t="shared" si="150"/>
        <v>1</v>
      </c>
      <c r="AD591" s="7">
        <f t="shared" si="147"/>
        <v>2023</v>
      </c>
      <c r="AE591" s="19">
        <f t="shared" si="148"/>
        <v>-0.15</v>
      </c>
      <c r="BA591" s="10">
        <f t="shared" si="149"/>
        <v>26.997800000000002</v>
      </c>
    </row>
    <row r="592" spans="1:53" x14ac:dyDescent="0.3">
      <c r="A592" s="17">
        <v>45246</v>
      </c>
      <c r="B592" s="8">
        <v>1983.9</v>
      </c>
      <c r="C592" s="7">
        <v>1983.9</v>
      </c>
      <c r="D592" s="7">
        <v>1964.6</v>
      </c>
      <c r="E592" s="7">
        <v>1965.3</v>
      </c>
      <c r="F592" s="18">
        <v>39</v>
      </c>
      <c r="G592" s="7">
        <v>1958.9857</v>
      </c>
      <c r="H592" s="7">
        <v>1945.1932999999999</v>
      </c>
      <c r="I592" s="7">
        <v>1929.4956</v>
      </c>
      <c r="J592" s="8">
        <v>0.12740000000000001</v>
      </c>
      <c r="K592" s="7">
        <v>0.78210000000000002</v>
      </c>
      <c r="L592" s="7">
        <v>0.71240000000000003</v>
      </c>
      <c r="M592" s="8">
        <v>41.003900000000002</v>
      </c>
      <c r="N592" s="8">
        <v>10.025399999999999</v>
      </c>
      <c r="O592" s="7">
        <v>15.017300000000001</v>
      </c>
      <c r="P592" s="7">
        <v>2007.356</v>
      </c>
      <c r="Q592" s="7">
        <v>1943.2239999999999</v>
      </c>
      <c r="R592" s="7" t="str">
        <f t="shared" si="136"/>
        <v>Down</v>
      </c>
      <c r="S592" s="7" t="str">
        <f t="shared" si="137"/>
        <v>Hold</v>
      </c>
      <c r="T592" s="8">
        <f t="shared" si="138"/>
        <v>0.17633005181347125</v>
      </c>
      <c r="U592" s="18">
        <f t="shared" si="139"/>
        <v>2684519</v>
      </c>
      <c r="V592" s="7">
        <f t="shared" si="140"/>
        <v>5586.2002000000002</v>
      </c>
      <c r="W592" s="7">
        <f t="shared" si="141"/>
        <v>1964.6</v>
      </c>
      <c r="X592" s="7">
        <f t="shared" si="142"/>
        <v>1965.3</v>
      </c>
      <c r="Y592" s="7">
        <f t="shared" si="143"/>
        <v>239</v>
      </c>
      <c r="Z592" s="7">
        <f t="shared" si="144"/>
        <v>956025</v>
      </c>
      <c r="AA592" s="7" t="str">
        <f t="shared" si="145"/>
        <v>16-Nov-2023</v>
      </c>
      <c r="AB592" s="7">
        <f t="shared" si="146"/>
        <v>1965.3</v>
      </c>
      <c r="AC592" s="7">
        <f t="shared" si="150"/>
        <v>1</v>
      </c>
      <c r="AD592" s="7">
        <f t="shared" si="147"/>
        <v>2023</v>
      </c>
      <c r="AE592" s="19">
        <f t="shared" si="148"/>
        <v>0.13</v>
      </c>
      <c r="BA592" s="10">
        <f t="shared" si="149"/>
        <v>26.997800000000002</v>
      </c>
    </row>
    <row r="593" spans="1:53" x14ac:dyDescent="0.3">
      <c r="A593" s="17">
        <v>45247</v>
      </c>
      <c r="B593" s="8">
        <v>1981.6</v>
      </c>
      <c r="C593" s="7">
        <v>1984</v>
      </c>
      <c r="D593" s="7">
        <v>1979.8</v>
      </c>
      <c r="E593" s="7">
        <v>1982.5</v>
      </c>
      <c r="F593" s="18">
        <v>32</v>
      </c>
      <c r="G593" s="7">
        <v>1961.0857000000001</v>
      </c>
      <c r="H593" s="7">
        <v>1950.6433</v>
      </c>
      <c r="I593" s="7">
        <v>1929.7333000000001</v>
      </c>
      <c r="J593" s="8">
        <v>0.87519999999999998</v>
      </c>
      <c r="K593" s="7">
        <v>0.85129999999999995</v>
      </c>
      <c r="L593" s="7">
        <v>0.71050000000000002</v>
      </c>
      <c r="M593" s="8">
        <v>41.768300000000004</v>
      </c>
      <c r="N593" s="8">
        <v>10.7522</v>
      </c>
      <c r="O593" s="7">
        <v>14.164199999999999</v>
      </c>
      <c r="P593" s="7">
        <v>2007.4855</v>
      </c>
      <c r="Q593" s="7">
        <v>1943.2345</v>
      </c>
      <c r="R593" s="7" t="str">
        <f t="shared" si="136"/>
        <v>Up</v>
      </c>
      <c r="S593" s="7" t="str">
        <f t="shared" si="137"/>
        <v>Hold</v>
      </c>
      <c r="T593" s="8">
        <f t="shared" si="138"/>
        <v>0.1764147058823527</v>
      </c>
      <c r="U593" s="18">
        <f t="shared" si="139"/>
        <v>2684480</v>
      </c>
      <c r="V593" s="7">
        <f t="shared" si="140"/>
        <v>5586.2002000000002</v>
      </c>
      <c r="W593" s="7">
        <f t="shared" si="141"/>
        <v>1969.7</v>
      </c>
      <c r="X593" s="7">
        <f t="shared" si="142"/>
        <v>1982.5</v>
      </c>
      <c r="Y593" s="7">
        <f t="shared" si="143"/>
        <v>239</v>
      </c>
      <c r="Z593" s="7">
        <f t="shared" si="144"/>
        <v>956025</v>
      </c>
      <c r="AA593" s="7" t="str">
        <f t="shared" si="145"/>
        <v>17-Nov-2023</v>
      </c>
      <c r="AB593" s="7">
        <f t="shared" si="146"/>
        <v>1982.5</v>
      </c>
      <c r="AC593" s="7">
        <f t="shared" si="150"/>
        <v>1</v>
      </c>
      <c r="AD593" s="7">
        <f t="shared" si="147"/>
        <v>2023</v>
      </c>
      <c r="AE593" s="19">
        <f t="shared" si="148"/>
        <v>0.88</v>
      </c>
      <c r="BA593" s="10">
        <f t="shared" si="149"/>
        <v>26.997800000000002</v>
      </c>
    </row>
    <row r="594" spans="1:53" x14ac:dyDescent="0.3">
      <c r="A594" s="17">
        <v>45250</v>
      </c>
      <c r="B594" s="8">
        <v>1977.7</v>
      </c>
      <c r="C594" s="7">
        <v>1979.4</v>
      </c>
      <c r="D594" s="7">
        <v>1969.7</v>
      </c>
      <c r="E594" s="7">
        <v>1978.7</v>
      </c>
      <c r="F594" s="18">
        <v>182</v>
      </c>
      <c r="G594" s="7">
        <v>1964.9429</v>
      </c>
      <c r="H594" s="7">
        <v>1955.1832999999999</v>
      </c>
      <c r="I594" s="7">
        <v>1929.9589000000001</v>
      </c>
      <c r="J594" s="8">
        <v>-0.19170000000000001</v>
      </c>
      <c r="K594" s="7">
        <v>0.76619999999999999</v>
      </c>
      <c r="L594" s="7">
        <v>0.68959999999999999</v>
      </c>
      <c r="M594" s="8">
        <v>43.014099999999999</v>
      </c>
      <c r="N594" s="8">
        <v>10.896000000000001</v>
      </c>
      <c r="O594" s="7">
        <v>13.5106</v>
      </c>
      <c r="P594" s="7">
        <v>2007.6437000000001</v>
      </c>
      <c r="Q594" s="7">
        <v>1943.3262999999999</v>
      </c>
      <c r="R594" s="7" t="str">
        <f t="shared" si="136"/>
        <v>Up</v>
      </c>
      <c r="S594" s="7" t="str">
        <f t="shared" si="137"/>
        <v>Hold</v>
      </c>
      <c r="T594" s="8">
        <f t="shared" si="138"/>
        <v>0.17520363951473117</v>
      </c>
      <c r="U594" s="18">
        <f t="shared" si="139"/>
        <v>2684448</v>
      </c>
      <c r="V594" s="7">
        <f t="shared" si="140"/>
        <v>5586.2002000000002</v>
      </c>
      <c r="W594" s="7">
        <f t="shared" si="141"/>
        <v>1969.7</v>
      </c>
      <c r="X594" s="7">
        <f t="shared" si="142"/>
        <v>1978.7</v>
      </c>
      <c r="Y594" s="7">
        <f t="shared" si="143"/>
        <v>238</v>
      </c>
      <c r="Z594" s="7">
        <f t="shared" si="144"/>
        <v>955993</v>
      </c>
      <c r="AA594" s="7" t="str">
        <f t="shared" si="145"/>
        <v>20-Nov-2023</v>
      </c>
      <c r="AB594" s="7">
        <f t="shared" si="146"/>
        <v>1978.7</v>
      </c>
      <c r="AC594" s="7">
        <f t="shared" si="150"/>
        <v>1</v>
      </c>
      <c r="AD594" s="7">
        <f t="shared" si="147"/>
        <v>2023</v>
      </c>
      <c r="AE594" s="19">
        <f t="shared" si="148"/>
        <v>-0.19</v>
      </c>
      <c r="BA594" s="10">
        <f t="shared" si="149"/>
        <v>26.997800000000002</v>
      </c>
    </row>
    <row r="595" spans="1:53" x14ac:dyDescent="0.3">
      <c r="A595" s="17">
        <v>45251</v>
      </c>
      <c r="B595" s="8">
        <v>1999.3</v>
      </c>
      <c r="C595" s="7">
        <v>2005.5</v>
      </c>
      <c r="D595" s="7">
        <v>1988.5</v>
      </c>
      <c r="E595" s="7">
        <v>1990.7</v>
      </c>
      <c r="F595" s="18">
        <v>16</v>
      </c>
      <c r="G595" s="7">
        <v>1969.3857</v>
      </c>
      <c r="H595" s="7">
        <v>1959.64</v>
      </c>
      <c r="I595" s="7">
        <v>1930.3667</v>
      </c>
      <c r="J595" s="8">
        <v>0.60650000000000004</v>
      </c>
      <c r="K595" s="7">
        <v>0.77890000000000004</v>
      </c>
      <c r="L595" s="7">
        <v>0.6855</v>
      </c>
      <c r="M595" s="8">
        <v>50.0749</v>
      </c>
      <c r="N595" s="8">
        <v>11.841799999999999</v>
      </c>
      <c r="O595" s="7">
        <v>13.1768</v>
      </c>
      <c r="P595" s="7">
        <v>2009.2598</v>
      </c>
      <c r="Q595" s="7">
        <v>1943.7501999999999</v>
      </c>
      <c r="R595" s="7" t="str">
        <f t="shared" si="136"/>
        <v>Down</v>
      </c>
      <c r="S595" s="7" t="str">
        <f t="shared" si="137"/>
        <v>Hold</v>
      </c>
      <c r="T595" s="8">
        <f t="shared" si="138"/>
        <v>0.17584062499999981</v>
      </c>
      <c r="U595" s="18">
        <f t="shared" si="139"/>
        <v>2684266</v>
      </c>
      <c r="V595" s="7">
        <f t="shared" si="140"/>
        <v>5586.2002000000002</v>
      </c>
      <c r="W595" s="7">
        <f t="shared" si="141"/>
        <v>1975</v>
      </c>
      <c r="X595" s="7">
        <f t="shared" si="142"/>
        <v>1990.7</v>
      </c>
      <c r="Y595" s="7">
        <f t="shared" si="143"/>
        <v>237</v>
      </c>
      <c r="Z595" s="7">
        <f t="shared" si="144"/>
        <v>955811</v>
      </c>
      <c r="AA595" s="7" t="str">
        <f t="shared" si="145"/>
        <v>21-Nov-2023</v>
      </c>
      <c r="AB595" s="7">
        <f t="shared" si="146"/>
        <v>1990.7</v>
      </c>
      <c r="AC595" s="7">
        <f t="shared" si="150"/>
        <v>1</v>
      </c>
      <c r="AD595" s="7">
        <f t="shared" si="147"/>
        <v>2023</v>
      </c>
      <c r="AE595" s="19">
        <f t="shared" si="148"/>
        <v>0.61</v>
      </c>
      <c r="BA595" s="10">
        <f t="shared" si="149"/>
        <v>26.997800000000002</v>
      </c>
    </row>
    <row r="596" spans="1:53" x14ac:dyDescent="0.3">
      <c r="A596" s="17">
        <v>45252</v>
      </c>
      <c r="B596" s="8">
        <v>1991.4</v>
      </c>
      <c r="C596" s="7">
        <v>1999.4</v>
      </c>
      <c r="D596" s="7">
        <v>1991</v>
      </c>
      <c r="E596" s="7">
        <v>1999.1</v>
      </c>
      <c r="F596" s="18">
        <v>6075</v>
      </c>
      <c r="G596" s="7">
        <v>1977.8429000000001</v>
      </c>
      <c r="H596" s="7">
        <v>1963.96</v>
      </c>
      <c r="I596" s="7">
        <v>1930.7032999999999</v>
      </c>
      <c r="J596" s="8">
        <v>0.42199999999999999</v>
      </c>
      <c r="K596" s="7">
        <v>0.55769999999999997</v>
      </c>
      <c r="L596" s="7">
        <v>0.68149999999999999</v>
      </c>
      <c r="M596" s="8">
        <v>53.561199999999999</v>
      </c>
      <c r="N596" s="8">
        <v>13.117900000000001</v>
      </c>
      <c r="O596" s="7">
        <v>13.164999999999999</v>
      </c>
      <c r="P596" s="7">
        <v>2012.0501999999999</v>
      </c>
      <c r="Q596" s="7">
        <v>1943.7498000000001</v>
      </c>
      <c r="R596" s="7" t="str">
        <f t="shared" si="136"/>
        <v>Up</v>
      </c>
      <c r="S596" s="7" t="str">
        <f t="shared" si="137"/>
        <v>Hold</v>
      </c>
      <c r="T596" s="8">
        <f t="shared" si="138"/>
        <v>0.17509165217391287</v>
      </c>
      <c r="U596" s="18">
        <f t="shared" si="139"/>
        <v>2684250</v>
      </c>
      <c r="V596" s="7">
        <f t="shared" si="140"/>
        <v>5586.2002000000002</v>
      </c>
      <c r="W596" s="7">
        <f t="shared" si="141"/>
        <v>1975</v>
      </c>
      <c r="X596" s="7">
        <f t="shared" si="142"/>
        <v>1999.1</v>
      </c>
      <c r="Y596" s="7">
        <f t="shared" si="143"/>
        <v>237</v>
      </c>
      <c r="Z596" s="7">
        <f t="shared" si="144"/>
        <v>955811</v>
      </c>
      <c r="AA596" s="7" t="str">
        <f t="shared" si="145"/>
        <v>22-Nov-2023</v>
      </c>
      <c r="AB596" s="7">
        <f t="shared" si="146"/>
        <v>1999.1</v>
      </c>
      <c r="AC596" s="7">
        <f t="shared" si="150"/>
        <v>1</v>
      </c>
      <c r="AD596" s="7">
        <f t="shared" si="147"/>
        <v>2023</v>
      </c>
      <c r="AE596" s="19">
        <f t="shared" si="148"/>
        <v>0.42</v>
      </c>
      <c r="BA596" s="10">
        <f t="shared" si="149"/>
        <v>26.997800000000002</v>
      </c>
    </row>
    <row r="597" spans="1:53" x14ac:dyDescent="0.3">
      <c r="A597" s="17">
        <v>45254</v>
      </c>
      <c r="B597" s="8">
        <v>2002.2</v>
      </c>
      <c r="C597" s="7">
        <v>2002.2</v>
      </c>
      <c r="D597" s="7">
        <v>1991.5</v>
      </c>
      <c r="E597" s="7">
        <v>1991.9</v>
      </c>
      <c r="F597" s="18">
        <v>63</v>
      </c>
      <c r="G597" s="7">
        <v>1981.5714</v>
      </c>
      <c r="H597" s="7">
        <v>1967.8667</v>
      </c>
      <c r="I597" s="7">
        <v>1930.8688999999999</v>
      </c>
      <c r="J597" s="8">
        <v>-0.36020000000000002</v>
      </c>
      <c r="K597" s="7">
        <v>0.45939999999999998</v>
      </c>
      <c r="L597" s="7">
        <v>0.68969999999999998</v>
      </c>
      <c r="M597" s="8">
        <v>50.9831</v>
      </c>
      <c r="N597" s="8">
        <v>13.393800000000001</v>
      </c>
      <c r="O597" s="7">
        <v>13.210800000000001</v>
      </c>
      <c r="P597" s="7">
        <v>2012.5092</v>
      </c>
      <c r="Q597" s="7">
        <v>1943.6608000000001</v>
      </c>
      <c r="R597" s="7" t="str">
        <f t="shared" si="136"/>
        <v>Down</v>
      </c>
      <c r="S597" s="7" t="str">
        <f t="shared" si="137"/>
        <v>Hold</v>
      </c>
      <c r="T597" s="8">
        <f t="shared" si="138"/>
        <v>0.17466149825783955</v>
      </c>
      <c r="U597" s="18">
        <f t="shared" si="139"/>
        <v>2678175</v>
      </c>
      <c r="V597" s="7">
        <f t="shared" si="140"/>
        <v>5586.2002000000002</v>
      </c>
      <c r="W597" s="7">
        <f t="shared" si="141"/>
        <v>1975</v>
      </c>
      <c r="X597" s="7">
        <f t="shared" si="142"/>
        <v>1991.9</v>
      </c>
      <c r="Y597" s="7">
        <f t="shared" si="143"/>
        <v>236</v>
      </c>
      <c r="Z597" s="7">
        <f t="shared" si="144"/>
        <v>949736</v>
      </c>
      <c r="AA597" s="7" t="str">
        <f t="shared" si="145"/>
        <v>24-Nov-2023</v>
      </c>
      <c r="AB597" s="7">
        <f t="shared" si="146"/>
        <v>1991.9</v>
      </c>
      <c r="AC597" s="7">
        <f t="shared" si="150"/>
        <v>1</v>
      </c>
      <c r="AD597" s="7">
        <f t="shared" si="147"/>
        <v>2023</v>
      </c>
      <c r="AE597" s="19">
        <f t="shared" si="148"/>
        <v>-0.36</v>
      </c>
      <c r="BA597" s="10">
        <f t="shared" si="149"/>
        <v>26.997800000000002</v>
      </c>
    </row>
    <row r="598" spans="1:53" x14ac:dyDescent="0.3">
      <c r="A598" s="17">
        <v>45257</v>
      </c>
      <c r="B598" s="8">
        <v>2011.8</v>
      </c>
      <c r="C598" s="7">
        <v>2011.8</v>
      </c>
      <c r="D598" s="7">
        <v>2011.7</v>
      </c>
      <c r="E598" s="7">
        <v>2011.7</v>
      </c>
      <c r="F598" s="18">
        <v>228</v>
      </c>
      <c r="G598" s="7">
        <v>1988.5571</v>
      </c>
      <c r="H598" s="7">
        <v>1972.34</v>
      </c>
      <c r="I598" s="7">
        <v>1931.2910999999999</v>
      </c>
      <c r="J598" s="8">
        <v>0.99399999999999999</v>
      </c>
      <c r="K598" s="7">
        <v>0.51780000000000004</v>
      </c>
      <c r="L598" s="7">
        <v>0.70440000000000003</v>
      </c>
      <c r="M598" s="8">
        <v>59.412100000000002</v>
      </c>
      <c r="N598" s="8">
        <v>15.036899999999999</v>
      </c>
      <c r="O598" s="7">
        <v>13.576000000000001</v>
      </c>
      <c r="P598" s="7">
        <v>2016.5764999999999</v>
      </c>
      <c r="Q598" s="7">
        <v>1941.9034999999999</v>
      </c>
      <c r="R598" s="7" t="str">
        <f t="shared" si="136"/>
        <v>Down</v>
      </c>
      <c r="S598" s="7" t="str">
        <f t="shared" si="137"/>
        <v>Hold</v>
      </c>
      <c r="T598" s="8">
        <f t="shared" si="138"/>
        <v>0.1755949389179754</v>
      </c>
      <c r="U598" s="18">
        <f t="shared" si="139"/>
        <v>2678112</v>
      </c>
      <c r="V598" s="7">
        <f t="shared" si="140"/>
        <v>5586.2002000000002</v>
      </c>
      <c r="W598" s="7">
        <f t="shared" si="141"/>
        <v>1975</v>
      </c>
      <c r="X598" s="7">
        <f t="shared" si="142"/>
        <v>2011.7</v>
      </c>
      <c r="Y598" s="7">
        <f t="shared" si="143"/>
        <v>236</v>
      </c>
      <c r="Z598" s="7">
        <f t="shared" si="144"/>
        <v>949736</v>
      </c>
      <c r="AA598" s="7" t="str">
        <f t="shared" si="145"/>
        <v>27-Nov-2023</v>
      </c>
      <c r="AB598" s="7">
        <f t="shared" si="146"/>
        <v>2011.7</v>
      </c>
      <c r="AC598" s="7">
        <f t="shared" si="150"/>
        <v>1</v>
      </c>
      <c r="AD598" s="7">
        <f t="shared" si="147"/>
        <v>2023</v>
      </c>
      <c r="AE598" s="19">
        <f t="shared" si="148"/>
        <v>0.99</v>
      </c>
      <c r="BA598" s="10">
        <f t="shared" si="149"/>
        <v>26.997800000000002</v>
      </c>
    </row>
    <row r="599" spans="1:53" x14ac:dyDescent="0.3">
      <c r="A599" s="17">
        <v>45258</v>
      </c>
      <c r="B599" s="8">
        <v>2039.7</v>
      </c>
      <c r="C599" s="7">
        <v>2042.7</v>
      </c>
      <c r="D599" s="7">
        <v>2039.7</v>
      </c>
      <c r="E599" s="7">
        <v>2040.6</v>
      </c>
      <c r="F599" s="18">
        <v>174665</v>
      </c>
      <c r="G599" s="7">
        <v>1999.3143</v>
      </c>
      <c r="H599" s="7">
        <v>1976.68</v>
      </c>
      <c r="I599" s="7">
        <v>1932.1667</v>
      </c>
      <c r="J599" s="8">
        <v>1.4366000000000001</v>
      </c>
      <c r="K599" s="7">
        <v>0.64370000000000005</v>
      </c>
      <c r="L599" s="7">
        <v>0.68300000000000005</v>
      </c>
      <c r="M599" s="8">
        <v>71.329899999999995</v>
      </c>
      <c r="N599" s="8">
        <v>18.458200000000001</v>
      </c>
      <c r="O599" s="7">
        <v>14.5525</v>
      </c>
      <c r="P599" s="7">
        <v>2026.2592999999999</v>
      </c>
      <c r="Q599" s="7">
        <v>1935.8706999999999</v>
      </c>
      <c r="R599" s="7" t="str">
        <f t="shared" si="136"/>
        <v>Up</v>
      </c>
      <c r="S599" s="7" t="str">
        <f t="shared" si="137"/>
        <v>Sell</v>
      </c>
      <c r="T599" s="8">
        <f t="shared" si="138"/>
        <v>0.17416416083916067</v>
      </c>
      <c r="U599" s="18">
        <f t="shared" si="139"/>
        <v>2677884</v>
      </c>
      <c r="V599" s="7">
        <f t="shared" si="140"/>
        <v>5586.2002000000002</v>
      </c>
      <c r="W599" s="7">
        <f t="shared" si="141"/>
        <v>1975</v>
      </c>
      <c r="X599" s="7">
        <f t="shared" si="142"/>
        <v>2040.6</v>
      </c>
      <c r="Y599" s="7">
        <f t="shared" si="143"/>
        <v>236</v>
      </c>
      <c r="Z599" s="7">
        <f t="shared" si="144"/>
        <v>949736</v>
      </c>
      <c r="AA599" s="7" t="str">
        <f t="shared" si="145"/>
        <v>28-Nov-2023</v>
      </c>
      <c r="AB599" s="7">
        <f t="shared" si="146"/>
        <v>2040.6</v>
      </c>
      <c r="AC599" s="7">
        <f t="shared" si="150"/>
        <v>1</v>
      </c>
      <c r="AD599" s="7">
        <f t="shared" si="147"/>
        <v>2023</v>
      </c>
      <c r="AE599" s="19">
        <f t="shared" si="148"/>
        <v>1.44</v>
      </c>
      <c r="BA599" s="10">
        <f t="shared" si="149"/>
        <v>26.997800000000002</v>
      </c>
    </row>
    <row r="600" spans="1:53" x14ac:dyDescent="0.3">
      <c r="A600" s="17">
        <v>45259</v>
      </c>
      <c r="B600" s="8">
        <v>2047.1</v>
      </c>
      <c r="C600" s="7">
        <v>2052.1001000000001</v>
      </c>
      <c r="D600" s="7">
        <v>2036</v>
      </c>
      <c r="E600" s="7">
        <v>2041.7</v>
      </c>
      <c r="F600" s="18">
        <v>15290</v>
      </c>
      <c r="G600" s="7">
        <v>2007.7714000000001</v>
      </c>
      <c r="H600" s="7">
        <v>1980.9267</v>
      </c>
      <c r="I600" s="7">
        <v>1933.0155999999999</v>
      </c>
      <c r="J600" s="8">
        <v>5.3900000000000003E-2</v>
      </c>
      <c r="K600" s="7">
        <v>0.64739999999999998</v>
      </c>
      <c r="L600" s="7">
        <v>0.68369999999999997</v>
      </c>
      <c r="M600" s="8">
        <v>71.296800000000005</v>
      </c>
      <c r="N600" s="8">
        <v>21.016200000000001</v>
      </c>
      <c r="O600" s="7">
        <v>15.8452</v>
      </c>
      <c r="P600" s="7">
        <v>2035.7166</v>
      </c>
      <c r="Q600" s="7">
        <v>1930.9333999999999</v>
      </c>
      <c r="R600" s="7" t="str">
        <f t="shared" si="136"/>
        <v>Down</v>
      </c>
      <c r="S600" s="7" t="str">
        <f t="shared" si="137"/>
        <v>Sell</v>
      </c>
      <c r="T600" s="8">
        <f t="shared" si="138"/>
        <v>0.17195323992994724</v>
      </c>
      <c r="U600" s="18">
        <f t="shared" si="139"/>
        <v>2503219</v>
      </c>
      <c r="V600" s="7">
        <f t="shared" si="140"/>
        <v>5586.2002000000002</v>
      </c>
      <c r="W600" s="7">
        <f t="shared" si="141"/>
        <v>1975</v>
      </c>
      <c r="X600" s="7">
        <f t="shared" si="142"/>
        <v>2041.7</v>
      </c>
      <c r="Y600" s="7">
        <f t="shared" si="143"/>
        <v>235</v>
      </c>
      <c r="Z600" s="7">
        <f t="shared" si="144"/>
        <v>775071</v>
      </c>
      <c r="AA600" s="7" t="str">
        <f t="shared" si="145"/>
        <v>29-Nov-2023</v>
      </c>
      <c r="AB600" s="7">
        <f t="shared" si="146"/>
        <v>2041.7</v>
      </c>
      <c r="AC600" s="7">
        <f t="shared" si="150"/>
        <v>1</v>
      </c>
      <c r="AD600" s="7">
        <f t="shared" si="147"/>
        <v>2023</v>
      </c>
      <c r="AE600" s="19">
        <f t="shared" si="148"/>
        <v>0.05</v>
      </c>
      <c r="BA600" s="10">
        <f t="shared" si="149"/>
        <v>26.997800000000002</v>
      </c>
    </row>
    <row r="601" spans="1:53" x14ac:dyDescent="0.3">
      <c r="A601" s="17">
        <v>45260</v>
      </c>
      <c r="B601" s="8">
        <v>2038.1</v>
      </c>
      <c r="C601" s="7">
        <v>2047.1</v>
      </c>
      <c r="D601" s="7">
        <v>2033.1</v>
      </c>
      <c r="E601" s="7">
        <v>2046.1</v>
      </c>
      <c r="F601" s="18">
        <v>2506</v>
      </c>
      <c r="G601" s="7">
        <v>2017.4</v>
      </c>
      <c r="H601" s="7">
        <v>1984.63</v>
      </c>
      <c r="I601" s="7">
        <v>1934.05</v>
      </c>
      <c r="J601" s="8">
        <v>0.2155</v>
      </c>
      <c r="K601" s="7">
        <v>0.59940000000000004</v>
      </c>
      <c r="L601" s="7">
        <v>0.66390000000000005</v>
      </c>
      <c r="M601" s="8">
        <v>79.171800000000005</v>
      </c>
      <c r="N601" s="8">
        <v>23.131799999999998</v>
      </c>
      <c r="O601" s="7">
        <v>17.302499999999998</v>
      </c>
      <c r="P601" s="7">
        <v>2045.5282999999999</v>
      </c>
      <c r="Q601" s="7">
        <v>1926.6817000000001</v>
      </c>
      <c r="R601" s="7" t="str">
        <f t="shared" si="136"/>
        <v>Up</v>
      </c>
      <c r="S601" s="7" t="str">
        <f t="shared" si="137"/>
        <v>Sell</v>
      </c>
      <c r="T601" s="8">
        <f t="shared" si="138"/>
        <v>0.17216035087719275</v>
      </c>
      <c r="U601" s="18">
        <f t="shared" si="139"/>
        <v>2487929</v>
      </c>
      <c r="V601" s="7">
        <f t="shared" si="140"/>
        <v>5586.2002000000002</v>
      </c>
      <c r="W601" s="7">
        <f t="shared" si="141"/>
        <v>1975</v>
      </c>
      <c r="X601" s="7">
        <f t="shared" si="142"/>
        <v>2046.1</v>
      </c>
      <c r="Y601" s="7">
        <f t="shared" si="143"/>
        <v>235</v>
      </c>
      <c r="Z601" s="7">
        <f t="shared" si="144"/>
        <v>775071</v>
      </c>
      <c r="AA601" s="7" t="str">
        <f t="shared" si="145"/>
        <v>30-Nov-2023</v>
      </c>
      <c r="AB601" s="7">
        <f t="shared" si="146"/>
        <v>2046.1</v>
      </c>
      <c r="AC601" s="7">
        <f t="shared" si="150"/>
        <v>1</v>
      </c>
      <c r="AD601" s="7">
        <f t="shared" si="147"/>
        <v>2023</v>
      </c>
      <c r="AE601" s="19">
        <f t="shared" si="148"/>
        <v>0.22</v>
      </c>
      <c r="BA601" s="10">
        <f t="shared" si="149"/>
        <v>26.997800000000002</v>
      </c>
    </row>
    <row r="602" spans="1:53" x14ac:dyDescent="0.3">
      <c r="A602" s="17">
        <v>45261</v>
      </c>
      <c r="B602" s="8">
        <v>2071</v>
      </c>
      <c r="C602" s="7">
        <v>2073.1999999999998</v>
      </c>
      <c r="D602" s="7">
        <v>2036</v>
      </c>
      <c r="E602" s="7">
        <v>2038.3</v>
      </c>
      <c r="F602" s="18">
        <v>614</v>
      </c>
      <c r="G602" s="7">
        <v>2024.2</v>
      </c>
      <c r="H602" s="7">
        <v>1987.57</v>
      </c>
      <c r="I602" s="7">
        <v>1934.8511000000001</v>
      </c>
      <c r="J602" s="8">
        <v>-0.38119999999999998</v>
      </c>
      <c r="K602" s="7">
        <v>0.6764</v>
      </c>
      <c r="L602" s="7">
        <v>0.66210000000000002</v>
      </c>
      <c r="M602" s="8">
        <v>74.3352</v>
      </c>
      <c r="N602" s="8">
        <v>23.903400000000001</v>
      </c>
      <c r="O602" s="7">
        <v>18.622699999999998</v>
      </c>
      <c r="P602" s="7">
        <v>2052.4187000000002</v>
      </c>
      <c r="Q602" s="7">
        <v>1924.7112999999999</v>
      </c>
      <c r="R602" s="7" t="str">
        <f t="shared" si="136"/>
        <v>Down</v>
      </c>
      <c r="S602" s="7" t="str">
        <f t="shared" si="137"/>
        <v>Sell</v>
      </c>
      <c r="T602" s="8">
        <f t="shared" si="138"/>
        <v>0.17208418277680118</v>
      </c>
      <c r="U602" s="18">
        <f t="shared" si="139"/>
        <v>2485423</v>
      </c>
      <c r="V602" s="7">
        <f t="shared" si="140"/>
        <v>5586.2002000000002</v>
      </c>
      <c r="W602" s="7">
        <f t="shared" si="141"/>
        <v>1975</v>
      </c>
      <c r="X602" s="7">
        <f t="shared" si="142"/>
        <v>2038.3</v>
      </c>
      <c r="Y602" s="7">
        <f t="shared" si="143"/>
        <v>234</v>
      </c>
      <c r="Z602" s="7">
        <f t="shared" si="144"/>
        <v>772565</v>
      </c>
      <c r="AA602" s="7" t="str">
        <f t="shared" si="145"/>
        <v>01-Dec-2023</v>
      </c>
      <c r="AB602" s="7">
        <f t="shared" si="146"/>
        <v>2038.3</v>
      </c>
      <c r="AC602" s="7">
        <f t="shared" si="150"/>
        <v>1</v>
      </c>
      <c r="AD602" s="7">
        <f t="shared" si="147"/>
        <v>2023</v>
      </c>
      <c r="AE602" s="19">
        <f t="shared" si="148"/>
        <v>-0.38</v>
      </c>
      <c r="BA602" s="10">
        <f t="shared" si="149"/>
        <v>26.997800000000002</v>
      </c>
    </row>
    <row r="603" spans="1:53" x14ac:dyDescent="0.3">
      <c r="A603" s="17">
        <v>45264</v>
      </c>
      <c r="B603" s="8">
        <v>2024.1</v>
      </c>
      <c r="C603" s="7">
        <v>2130.1999999999998</v>
      </c>
      <c r="D603" s="7">
        <v>2021</v>
      </c>
      <c r="E603" s="7">
        <v>2075.3000000000002</v>
      </c>
      <c r="F603" s="18">
        <v>1071</v>
      </c>
      <c r="G603" s="7">
        <v>2035.0857000000001</v>
      </c>
      <c r="H603" s="7">
        <v>1990.71</v>
      </c>
      <c r="I603" s="7">
        <v>1936.2944</v>
      </c>
      <c r="J603" s="8">
        <v>1.8151999999999999</v>
      </c>
      <c r="K603" s="7">
        <v>0.87909999999999999</v>
      </c>
      <c r="L603" s="7">
        <v>0.68</v>
      </c>
      <c r="M603" s="8">
        <v>87.821299999999994</v>
      </c>
      <c r="N603" s="8">
        <v>27.187200000000001</v>
      </c>
      <c r="O603" s="7">
        <v>20.335599999999999</v>
      </c>
      <c r="P603" s="7">
        <v>2067.5971</v>
      </c>
      <c r="Q603" s="7">
        <v>1918.1629</v>
      </c>
      <c r="R603" s="7" t="str">
        <f t="shared" si="136"/>
        <v>Up</v>
      </c>
      <c r="S603" s="7" t="str">
        <f t="shared" si="137"/>
        <v>Sell</v>
      </c>
      <c r="T603" s="8">
        <f t="shared" si="138"/>
        <v>0.17305827464788712</v>
      </c>
      <c r="U603" s="18">
        <f t="shared" si="139"/>
        <v>2484809</v>
      </c>
      <c r="V603" s="7">
        <f t="shared" si="140"/>
        <v>5586.2002000000002</v>
      </c>
      <c r="W603" s="7">
        <f t="shared" si="141"/>
        <v>1975</v>
      </c>
      <c r="X603" s="7">
        <f t="shared" si="142"/>
        <v>2075.3000000000002</v>
      </c>
      <c r="Y603" s="7">
        <f t="shared" si="143"/>
        <v>234</v>
      </c>
      <c r="Z603" s="7">
        <f t="shared" si="144"/>
        <v>772565</v>
      </c>
      <c r="AA603" s="7" t="str">
        <f t="shared" si="145"/>
        <v>04-Dec-2023</v>
      </c>
      <c r="AB603" s="7">
        <f t="shared" si="146"/>
        <v>2075.3000000000002</v>
      </c>
      <c r="AC603" s="7">
        <f t="shared" si="150"/>
        <v>1</v>
      </c>
      <c r="AD603" s="7">
        <f t="shared" si="147"/>
        <v>2023</v>
      </c>
      <c r="AE603" s="19">
        <f t="shared" si="148"/>
        <v>1.82</v>
      </c>
      <c r="BA603" s="10">
        <f t="shared" si="149"/>
        <v>26.997800000000002</v>
      </c>
    </row>
    <row r="604" spans="1:53" x14ac:dyDescent="0.3">
      <c r="A604" s="17">
        <v>45265</v>
      </c>
      <c r="B604" s="8">
        <v>2018.5</v>
      </c>
      <c r="C604" s="7">
        <v>2037</v>
      </c>
      <c r="D604" s="7">
        <v>2010.2</v>
      </c>
      <c r="E604" s="7">
        <v>2035.1</v>
      </c>
      <c r="F604" s="18">
        <v>289</v>
      </c>
      <c r="G604" s="7">
        <v>2041.2571</v>
      </c>
      <c r="H604" s="7">
        <v>1992.6732999999999</v>
      </c>
      <c r="I604" s="7">
        <v>1937.29</v>
      </c>
      <c r="J604" s="8">
        <v>-1.9371</v>
      </c>
      <c r="K604" s="7">
        <v>1.2652000000000001</v>
      </c>
      <c r="L604" s="7">
        <v>0.77769999999999995</v>
      </c>
      <c r="M604" s="8">
        <v>67.9255</v>
      </c>
      <c r="N604" s="8">
        <v>26.243300000000001</v>
      </c>
      <c r="O604" s="7">
        <v>21.517099999999999</v>
      </c>
      <c r="P604" s="7">
        <v>2072.373</v>
      </c>
      <c r="Q604" s="7">
        <v>1918.7370000000001</v>
      </c>
      <c r="R604" s="7" t="str">
        <f t="shared" si="136"/>
        <v>Up</v>
      </c>
      <c r="S604" s="7" t="str">
        <f t="shared" si="137"/>
        <v>Hold</v>
      </c>
      <c r="T604" s="8">
        <f t="shared" si="138"/>
        <v>0.17016208112874759</v>
      </c>
      <c r="U604" s="18">
        <f t="shared" si="139"/>
        <v>2483738</v>
      </c>
      <c r="V604" s="7">
        <f t="shared" si="140"/>
        <v>5586.2002000000002</v>
      </c>
      <c r="W604" s="7">
        <f t="shared" si="141"/>
        <v>1975</v>
      </c>
      <c r="X604" s="7">
        <f t="shared" si="142"/>
        <v>2035.1</v>
      </c>
      <c r="Y604" s="7">
        <f t="shared" si="143"/>
        <v>233</v>
      </c>
      <c r="Z604" s="7">
        <f t="shared" si="144"/>
        <v>771494</v>
      </c>
      <c r="AA604" s="7" t="str">
        <f t="shared" si="145"/>
        <v>05-Dec-2023</v>
      </c>
      <c r="AB604" s="7">
        <f t="shared" si="146"/>
        <v>2035.1</v>
      </c>
      <c r="AC604" s="7">
        <f t="shared" si="150"/>
        <v>1</v>
      </c>
      <c r="AD604" s="7">
        <f t="shared" si="147"/>
        <v>2023</v>
      </c>
      <c r="AE604" s="19">
        <f t="shared" si="148"/>
        <v>-1.94</v>
      </c>
      <c r="BA604" s="10">
        <f t="shared" si="149"/>
        <v>26.997800000000002</v>
      </c>
    </row>
    <row r="605" spans="1:53" x14ac:dyDescent="0.3">
      <c r="A605" s="17">
        <v>45266</v>
      </c>
      <c r="B605" s="8">
        <v>2030.5</v>
      </c>
      <c r="C605" s="7">
        <v>2035.8</v>
      </c>
      <c r="D605" s="7">
        <v>2019</v>
      </c>
      <c r="E605" s="7">
        <v>2019.9</v>
      </c>
      <c r="F605" s="18">
        <v>417</v>
      </c>
      <c r="G605" s="7">
        <v>2042.4286</v>
      </c>
      <c r="H605" s="7">
        <v>1994.3267000000001</v>
      </c>
      <c r="I605" s="7">
        <v>1937.9644000000001</v>
      </c>
      <c r="J605" s="8">
        <v>-0.74690000000000001</v>
      </c>
      <c r="K605" s="7">
        <v>1.2802</v>
      </c>
      <c r="L605" s="7">
        <v>0.78979999999999995</v>
      </c>
      <c r="M605" s="8">
        <v>63.892899999999997</v>
      </c>
      <c r="N605" s="8">
        <v>23.992100000000001</v>
      </c>
      <c r="O605" s="7">
        <v>22.0121</v>
      </c>
      <c r="P605" s="7">
        <v>2074.5010000000002</v>
      </c>
      <c r="Q605" s="7">
        <v>1921.9490000000001</v>
      </c>
      <c r="R605" s="7" t="str">
        <f t="shared" si="136"/>
        <v>Down</v>
      </c>
      <c r="S605" s="7" t="str">
        <f t="shared" si="137"/>
        <v>Hold</v>
      </c>
      <c r="T605" s="8">
        <f t="shared" si="138"/>
        <v>0.17388515901060053</v>
      </c>
      <c r="U605" s="18">
        <f t="shared" si="139"/>
        <v>2483449</v>
      </c>
      <c r="V605" s="7">
        <f t="shared" si="140"/>
        <v>5586.2002000000002</v>
      </c>
      <c r="W605" s="7">
        <f t="shared" si="141"/>
        <v>1975</v>
      </c>
      <c r="X605" s="7">
        <f t="shared" si="142"/>
        <v>2019.9</v>
      </c>
      <c r="Y605" s="7">
        <f t="shared" si="143"/>
        <v>232</v>
      </c>
      <c r="Z605" s="7">
        <f t="shared" si="144"/>
        <v>771205</v>
      </c>
      <c r="AA605" s="7" t="str">
        <f t="shared" si="145"/>
        <v>06-Dec-2023</v>
      </c>
      <c r="AB605" s="7">
        <f t="shared" si="146"/>
        <v>2019.9</v>
      </c>
      <c r="AC605" s="7">
        <f t="shared" si="150"/>
        <v>1</v>
      </c>
      <c r="AD605" s="7">
        <f t="shared" si="147"/>
        <v>2023</v>
      </c>
      <c r="AE605" s="19">
        <f t="shared" si="148"/>
        <v>-0.75</v>
      </c>
      <c r="BA605" s="10">
        <f t="shared" si="149"/>
        <v>26.997800000000002</v>
      </c>
    </row>
    <row r="606" spans="1:53" x14ac:dyDescent="0.3">
      <c r="A606" s="17">
        <v>45267</v>
      </c>
      <c r="B606" s="8">
        <v>2029.9</v>
      </c>
      <c r="C606" s="7">
        <v>2034.9</v>
      </c>
      <c r="D606" s="7">
        <v>2024</v>
      </c>
      <c r="E606" s="7">
        <v>2029.2</v>
      </c>
      <c r="F606" s="18">
        <v>67</v>
      </c>
      <c r="G606" s="7">
        <v>2040.8</v>
      </c>
      <c r="H606" s="7">
        <v>1996.26</v>
      </c>
      <c r="I606" s="7">
        <v>1938.6789000000001</v>
      </c>
      <c r="J606" s="8">
        <v>0.46039999999999998</v>
      </c>
      <c r="K606" s="7">
        <v>1.1528</v>
      </c>
      <c r="L606" s="7">
        <v>0.79269999999999996</v>
      </c>
      <c r="M606" s="8">
        <v>65.049400000000006</v>
      </c>
      <c r="N606" s="8">
        <v>22.696899999999999</v>
      </c>
      <c r="O606" s="7">
        <v>22.149100000000001</v>
      </c>
      <c r="P606" s="7">
        <v>2077.3571999999999</v>
      </c>
      <c r="Q606" s="7">
        <v>1925.2328</v>
      </c>
      <c r="R606" s="7" t="str">
        <f t="shared" si="136"/>
        <v>Down</v>
      </c>
      <c r="S606" s="7" t="str">
        <f t="shared" si="137"/>
        <v>Hold</v>
      </c>
      <c r="T606" s="8">
        <f t="shared" si="138"/>
        <v>0.17551486725663701</v>
      </c>
      <c r="U606" s="18">
        <f t="shared" si="139"/>
        <v>2483032</v>
      </c>
      <c r="V606" s="7">
        <f t="shared" si="140"/>
        <v>5586.2002000000002</v>
      </c>
      <c r="W606" s="7">
        <f t="shared" si="141"/>
        <v>1975</v>
      </c>
      <c r="X606" s="7">
        <f t="shared" si="142"/>
        <v>2029.2</v>
      </c>
      <c r="Y606" s="7">
        <f t="shared" si="143"/>
        <v>232</v>
      </c>
      <c r="Z606" s="7">
        <f t="shared" si="144"/>
        <v>771205</v>
      </c>
      <c r="AA606" s="7" t="str">
        <f t="shared" si="145"/>
        <v>07-Dec-2023</v>
      </c>
      <c r="AB606" s="7">
        <f t="shared" si="146"/>
        <v>2029.2</v>
      </c>
      <c r="AC606" s="7">
        <f t="shared" si="150"/>
        <v>1</v>
      </c>
      <c r="AD606" s="7">
        <f t="shared" si="147"/>
        <v>2023</v>
      </c>
      <c r="AE606" s="19">
        <f t="shared" si="148"/>
        <v>0.46</v>
      </c>
      <c r="BA606" s="10">
        <f t="shared" si="149"/>
        <v>26.997800000000002</v>
      </c>
    </row>
    <row r="607" spans="1:53" x14ac:dyDescent="0.3">
      <c r="A607" s="17">
        <v>45268</v>
      </c>
      <c r="B607" s="8">
        <v>1998.3</v>
      </c>
      <c r="C607" s="7">
        <v>2033.1</v>
      </c>
      <c r="D607" s="7">
        <v>1995</v>
      </c>
      <c r="E607" s="7">
        <v>2031.7</v>
      </c>
      <c r="F607" s="18">
        <v>449</v>
      </c>
      <c r="G607" s="7">
        <v>2039.3714</v>
      </c>
      <c r="H607" s="7">
        <v>1997.71</v>
      </c>
      <c r="I607" s="7">
        <v>1939.6043999999999</v>
      </c>
      <c r="J607" s="8">
        <v>0.1232</v>
      </c>
      <c r="K607" s="7">
        <v>1.1543000000000001</v>
      </c>
      <c r="L607" s="7">
        <v>0.77959999999999996</v>
      </c>
      <c r="M607" s="8">
        <v>62.449399999999997</v>
      </c>
      <c r="N607" s="8">
        <v>21.622800000000002</v>
      </c>
      <c r="O607" s="7">
        <v>22.043800000000001</v>
      </c>
      <c r="P607" s="7">
        <v>2078.7449000000001</v>
      </c>
      <c r="Q607" s="7">
        <v>1931.8451</v>
      </c>
      <c r="R607" s="7" t="str">
        <f t="shared" si="136"/>
        <v>Up</v>
      </c>
      <c r="S607" s="7" t="str">
        <f t="shared" si="137"/>
        <v>Hold</v>
      </c>
      <c r="T607" s="8">
        <f t="shared" si="138"/>
        <v>0.17500975177304945</v>
      </c>
      <c r="U607" s="18">
        <f t="shared" si="139"/>
        <v>2482965</v>
      </c>
      <c r="V607" s="7">
        <f t="shared" si="140"/>
        <v>5586.2002000000002</v>
      </c>
      <c r="W607" s="7">
        <f t="shared" si="141"/>
        <v>1975</v>
      </c>
      <c r="X607" s="7">
        <f t="shared" si="142"/>
        <v>2031.7</v>
      </c>
      <c r="Y607" s="7">
        <f t="shared" si="143"/>
        <v>232</v>
      </c>
      <c r="Z607" s="7">
        <f t="shared" si="144"/>
        <v>771205</v>
      </c>
      <c r="AA607" s="7" t="str">
        <f t="shared" si="145"/>
        <v>08-Dec-2023</v>
      </c>
      <c r="AB607" s="7">
        <f t="shared" si="146"/>
        <v>2031.7</v>
      </c>
      <c r="AC607" s="7">
        <f t="shared" si="150"/>
        <v>1</v>
      </c>
      <c r="AD607" s="7">
        <f t="shared" si="147"/>
        <v>2023</v>
      </c>
      <c r="AE607" s="19">
        <f t="shared" si="148"/>
        <v>0.12</v>
      </c>
      <c r="BA607" s="10">
        <f t="shared" si="149"/>
        <v>26.997800000000002</v>
      </c>
    </row>
    <row r="608" spans="1:53" x14ac:dyDescent="0.3">
      <c r="A608" s="17">
        <v>45271</v>
      </c>
      <c r="B608" s="8">
        <v>1978</v>
      </c>
      <c r="C608" s="7">
        <v>2004.2</v>
      </c>
      <c r="D608" s="7">
        <v>1977.2</v>
      </c>
      <c r="E608" s="7">
        <v>2004.1</v>
      </c>
      <c r="F608" s="18">
        <v>651</v>
      </c>
      <c r="G608" s="7">
        <v>2033.3714</v>
      </c>
      <c r="H608" s="7">
        <v>1998.2266999999999</v>
      </c>
      <c r="I608" s="7">
        <v>1940.3811000000001</v>
      </c>
      <c r="J608" s="8">
        <v>-1.3585</v>
      </c>
      <c r="K608" s="7">
        <v>1.2407999999999999</v>
      </c>
      <c r="L608" s="7">
        <v>0.82240000000000002</v>
      </c>
      <c r="M608" s="8">
        <v>55.736199999999997</v>
      </c>
      <c r="N608" s="8">
        <v>18.333200000000001</v>
      </c>
      <c r="O608" s="7">
        <v>21.3017</v>
      </c>
      <c r="P608" s="7">
        <v>2077.7678000000001</v>
      </c>
      <c r="Q608" s="7">
        <v>1937.2722000000001</v>
      </c>
      <c r="R608" s="7" t="str">
        <f t="shared" si="136"/>
        <v>Up</v>
      </c>
      <c r="S608" s="7" t="str">
        <f t="shared" si="137"/>
        <v>Hold</v>
      </c>
      <c r="T608" s="8">
        <f t="shared" si="138"/>
        <v>0.17510177619893408</v>
      </c>
      <c r="U608" s="18">
        <f t="shared" si="139"/>
        <v>2482516</v>
      </c>
      <c r="V608" s="7">
        <f t="shared" si="140"/>
        <v>5586.2002000000002</v>
      </c>
      <c r="W608" s="7">
        <f t="shared" si="141"/>
        <v>1975</v>
      </c>
      <c r="X608" s="7">
        <f t="shared" si="142"/>
        <v>2004.1</v>
      </c>
      <c r="Y608" s="7">
        <f t="shared" si="143"/>
        <v>231</v>
      </c>
      <c r="Z608" s="7">
        <f t="shared" si="144"/>
        <v>770756</v>
      </c>
      <c r="AA608" s="7" t="str">
        <f t="shared" si="145"/>
        <v>11-Dec-2023</v>
      </c>
      <c r="AB608" s="7">
        <f t="shared" si="146"/>
        <v>2004.1</v>
      </c>
      <c r="AC608" s="7">
        <f t="shared" si="150"/>
        <v>1</v>
      </c>
      <c r="AD608" s="7">
        <f t="shared" si="147"/>
        <v>2023</v>
      </c>
      <c r="AE608" s="19">
        <f t="shared" si="148"/>
        <v>-1.36</v>
      </c>
      <c r="BA608" s="10">
        <f t="shared" si="149"/>
        <v>26.997800000000002</v>
      </c>
    </row>
    <row r="609" spans="1:53" x14ac:dyDescent="0.3">
      <c r="A609" s="17">
        <v>45272</v>
      </c>
      <c r="B609" s="8">
        <v>1977.8</v>
      </c>
      <c r="C609" s="7">
        <v>1994.2</v>
      </c>
      <c r="D609" s="7">
        <v>1977.8</v>
      </c>
      <c r="E609" s="7">
        <v>1984.2</v>
      </c>
      <c r="F609" s="18">
        <v>95</v>
      </c>
      <c r="G609" s="7">
        <v>2025.6428000000001</v>
      </c>
      <c r="H609" s="7">
        <v>1997.5633</v>
      </c>
      <c r="I609" s="7">
        <v>1940.9289000000001</v>
      </c>
      <c r="J609" s="8">
        <v>-0.99299999999999999</v>
      </c>
      <c r="K609" s="7">
        <v>1.2696000000000001</v>
      </c>
      <c r="L609" s="7">
        <v>0.83030000000000004</v>
      </c>
      <c r="M609" s="8">
        <v>48.582599999999999</v>
      </c>
      <c r="N609" s="8">
        <v>13.9595</v>
      </c>
      <c r="O609" s="7">
        <v>19.833300000000001</v>
      </c>
      <c r="P609" s="7">
        <v>2073.4998999999998</v>
      </c>
      <c r="Q609" s="7">
        <v>1945.9701</v>
      </c>
      <c r="R609" s="7" t="str">
        <f t="shared" si="136"/>
        <v>Up</v>
      </c>
      <c r="S609" s="7" t="str">
        <f t="shared" si="137"/>
        <v>Hold</v>
      </c>
      <c r="T609" s="8">
        <f t="shared" si="138"/>
        <v>0.17783060498220621</v>
      </c>
      <c r="U609" s="18">
        <f t="shared" si="139"/>
        <v>2481865</v>
      </c>
      <c r="V609" s="7">
        <f t="shared" si="140"/>
        <v>5586.2002000000002</v>
      </c>
      <c r="W609" s="7">
        <f t="shared" si="141"/>
        <v>1975</v>
      </c>
      <c r="X609" s="7">
        <f t="shared" si="142"/>
        <v>1984.2</v>
      </c>
      <c r="Y609" s="7">
        <f t="shared" si="143"/>
        <v>230</v>
      </c>
      <c r="Z609" s="7">
        <f t="shared" si="144"/>
        <v>770105</v>
      </c>
      <c r="AA609" s="7" t="str">
        <f t="shared" si="145"/>
        <v>12-Dec-2023</v>
      </c>
      <c r="AB609" s="7">
        <f t="shared" si="146"/>
        <v>1984.2</v>
      </c>
      <c r="AC609" s="7">
        <f t="shared" si="150"/>
        <v>1</v>
      </c>
      <c r="AD609" s="7">
        <f t="shared" si="147"/>
        <v>2023</v>
      </c>
      <c r="AE609" s="19">
        <f t="shared" si="148"/>
        <v>-0.99</v>
      </c>
      <c r="BA609" s="10">
        <f t="shared" si="149"/>
        <v>26.997800000000002</v>
      </c>
    </row>
    <row r="610" spans="1:53" x14ac:dyDescent="0.3">
      <c r="A610" s="17">
        <v>45273</v>
      </c>
      <c r="B610" s="8">
        <v>1982.3</v>
      </c>
      <c r="C610" s="7">
        <v>2024.8</v>
      </c>
      <c r="D610" s="7">
        <v>1975</v>
      </c>
      <c r="E610" s="7">
        <v>1978.5</v>
      </c>
      <c r="F610" s="18">
        <v>2252</v>
      </c>
      <c r="G610" s="7">
        <v>2011.8143</v>
      </c>
      <c r="H610" s="7">
        <v>1996.9632999999999</v>
      </c>
      <c r="I610" s="7">
        <v>1941.3456000000001</v>
      </c>
      <c r="J610" s="8">
        <v>-0.2873</v>
      </c>
      <c r="K610" s="7">
        <v>0.84089999999999998</v>
      </c>
      <c r="L610" s="7">
        <v>0.82909999999999995</v>
      </c>
      <c r="M610" s="8">
        <v>45.454500000000003</v>
      </c>
      <c r="N610" s="8">
        <v>9.9191000000000003</v>
      </c>
      <c r="O610" s="7">
        <v>17.8504</v>
      </c>
      <c r="P610" s="7">
        <v>2072.5252999999998</v>
      </c>
      <c r="Q610" s="7">
        <v>1948.2146</v>
      </c>
      <c r="R610" s="7" t="str">
        <f t="shared" si="136"/>
        <v>Down</v>
      </c>
      <c r="S610" s="7" t="str">
        <f t="shared" si="137"/>
        <v>Hold</v>
      </c>
      <c r="T610" s="8">
        <f t="shared" si="138"/>
        <v>0.17991764705882332</v>
      </c>
      <c r="U610" s="18">
        <f t="shared" si="139"/>
        <v>2481770</v>
      </c>
      <c r="V610" s="7">
        <f t="shared" si="140"/>
        <v>5586.2002000000002</v>
      </c>
      <c r="W610" s="7">
        <f t="shared" si="141"/>
        <v>1975</v>
      </c>
      <c r="X610" s="7">
        <f t="shared" si="142"/>
        <v>1978.5</v>
      </c>
      <c r="Y610" s="7">
        <f t="shared" si="143"/>
        <v>229</v>
      </c>
      <c r="Z610" s="7">
        <f t="shared" si="144"/>
        <v>770010</v>
      </c>
      <c r="AA610" s="7" t="str">
        <f t="shared" si="145"/>
        <v>13-Dec-2023</v>
      </c>
      <c r="AB610" s="7">
        <f t="shared" si="146"/>
        <v>1978.5</v>
      </c>
      <c r="AC610" s="7">
        <f t="shared" si="150"/>
        <v>1</v>
      </c>
      <c r="AD610" s="7">
        <f t="shared" si="147"/>
        <v>2023</v>
      </c>
      <c r="AE610" s="19">
        <f t="shared" si="148"/>
        <v>-0.28999999999999998</v>
      </c>
      <c r="BA610" s="10">
        <f t="shared" si="149"/>
        <v>26.997800000000002</v>
      </c>
    </row>
    <row r="611" spans="1:53" x14ac:dyDescent="0.3">
      <c r="A611" s="17">
        <v>45274</v>
      </c>
      <c r="B611" s="8">
        <v>2030.2</v>
      </c>
      <c r="C611" s="7">
        <v>2040.1</v>
      </c>
      <c r="D611" s="7">
        <v>2024.3</v>
      </c>
      <c r="E611" s="7">
        <v>2024.7</v>
      </c>
      <c r="F611" s="18">
        <v>236</v>
      </c>
      <c r="G611" s="7">
        <v>2010.3285000000001</v>
      </c>
      <c r="H611" s="7">
        <v>1998.1033</v>
      </c>
      <c r="I611" s="7">
        <v>1942.3788999999999</v>
      </c>
      <c r="J611" s="8">
        <v>2.3351000000000002</v>
      </c>
      <c r="K611" s="7">
        <v>1.2329000000000001</v>
      </c>
      <c r="L611" s="7">
        <v>0.93230000000000002</v>
      </c>
      <c r="M611" s="8">
        <v>56.174700000000001</v>
      </c>
      <c r="N611" s="8">
        <v>10.325900000000001</v>
      </c>
      <c r="O611" s="7">
        <v>16.345500000000001</v>
      </c>
      <c r="P611" s="7">
        <v>2071.6869000000002</v>
      </c>
      <c r="Q611" s="7">
        <v>1955.2430999999999</v>
      </c>
      <c r="R611" s="7" t="str">
        <f t="shared" si="136"/>
        <v>Down</v>
      </c>
      <c r="S611" s="7" t="str">
        <f t="shared" si="137"/>
        <v>Hold</v>
      </c>
      <c r="T611" s="8">
        <f t="shared" si="138"/>
        <v>0.18075196428571411</v>
      </c>
      <c r="U611" s="18">
        <f t="shared" si="139"/>
        <v>2479518</v>
      </c>
      <c r="V611" s="7">
        <f t="shared" si="140"/>
        <v>5586.2002000000002</v>
      </c>
      <c r="W611" s="7">
        <f t="shared" si="141"/>
        <v>1984.8</v>
      </c>
      <c r="X611" s="7">
        <f t="shared" si="142"/>
        <v>2024.7</v>
      </c>
      <c r="Y611" s="7">
        <f t="shared" si="143"/>
        <v>229</v>
      </c>
      <c r="Z611" s="7">
        <f t="shared" si="144"/>
        <v>770010</v>
      </c>
      <c r="AA611" s="7" t="str">
        <f t="shared" si="145"/>
        <v>14-Dec-2023</v>
      </c>
      <c r="AB611" s="7">
        <f t="shared" si="146"/>
        <v>2024.7</v>
      </c>
      <c r="AC611" s="7">
        <f t="shared" si="150"/>
        <v>1</v>
      </c>
      <c r="AD611" s="7">
        <f t="shared" si="147"/>
        <v>2023</v>
      </c>
      <c r="AE611" s="19">
        <f t="shared" si="148"/>
        <v>2.34</v>
      </c>
      <c r="BA611" s="10">
        <f t="shared" si="149"/>
        <v>26.997800000000002</v>
      </c>
    </row>
    <row r="612" spans="1:53" x14ac:dyDescent="0.3">
      <c r="A612" s="17">
        <v>45275</v>
      </c>
      <c r="B612" s="8">
        <v>2021.1</v>
      </c>
      <c r="C612" s="7">
        <v>2043.4</v>
      </c>
      <c r="D612" s="7">
        <v>2018.3</v>
      </c>
      <c r="E612" s="7">
        <v>2032.6</v>
      </c>
      <c r="F612" s="18">
        <v>261</v>
      </c>
      <c r="G612" s="7">
        <v>2012.1428000000001</v>
      </c>
      <c r="H612" s="7">
        <v>1999.5533</v>
      </c>
      <c r="I612" s="7">
        <v>1943.57</v>
      </c>
      <c r="J612" s="8">
        <v>0.39019999999999999</v>
      </c>
      <c r="K612" s="7">
        <v>1.2029000000000001</v>
      </c>
      <c r="L612" s="7">
        <v>0.93389999999999995</v>
      </c>
      <c r="M612" s="8">
        <v>54.119</v>
      </c>
      <c r="N612" s="8">
        <v>11.1571</v>
      </c>
      <c r="O612" s="7">
        <v>15.3078</v>
      </c>
      <c r="P612" s="7">
        <v>2070.9668999999999</v>
      </c>
      <c r="Q612" s="7">
        <v>1962.6931</v>
      </c>
      <c r="R612" s="7" t="str">
        <f t="shared" si="136"/>
        <v>Up</v>
      </c>
      <c r="S612" s="7" t="str">
        <f t="shared" si="137"/>
        <v>Hold</v>
      </c>
      <c r="T612" s="8">
        <f t="shared" si="138"/>
        <v>0.17689803220035757</v>
      </c>
      <c r="U612" s="18">
        <f t="shared" si="139"/>
        <v>2479282</v>
      </c>
      <c r="V612" s="7">
        <f t="shared" si="140"/>
        <v>5586.2002000000002</v>
      </c>
      <c r="W612" s="7">
        <f t="shared" si="141"/>
        <v>1984.8</v>
      </c>
      <c r="X612" s="7">
        <f t="shared" si="142"/>
        <v>2032.6</v>
      </c>
      <c r="Y612" s="7">
        <f t="shared" si="143"/>
        <v>229</v>
      </c>
      <c r="Z612" s="7">
        <f t="shared" si="144"/>
        <v>770010</v>
      </c>
      <c r="AA612" s="7" t="str">
        <f t="shared" si="145"/>
        <v>15-Dec-2023</v>
      </c>
      <c r="AB612" s="7">
        <f t="shared" si="146"/>
        <v>2032.6</v>
      </c>
      <c r="AC612" s="7">
        <f t="shared" si="150"/>
        <v>1</v>
      </c>
      <c r="AD612" s="7">
        <f t="shared" si="147"/>
        <v>2023</v>
      </c>
      <c r="AE612" s="19">
        <f t="shared" si="148"/>
        <v>0.39</v>
      </c>
      <c r="BA612" s="10">
        <f t="shared" si="149"/>
        <v>26.997800000000002</v>
      </c>
    </row>
    <row r="613" spans="1:53" x14ac:dyDescent="0.3">
      <c r="A613" s="17">
        <v>45278</v>
      </c>
      <c r="B613" s="8">
        <v>2026.3</v>
      </c>
      <c r="C613" s="7">
        <v>2032.8</v>
      </c>
      <c r="D613" s="7">
        <v>2024</v>
      </c>
      <c r="E613" s="7">
        <v>2024.3</v>
      </c>
      <c r="F613" s="18">
        <v>100</v>
      </c>
      <c r="G613" s="7">
        <v>2011.4428</v>
      </c>
      <c r="H613" s="7">
        <v>2000.73</v>
      </c>
      <c r="I613" s="7">
        <v>1944.7166999999999</v>
      </c>
      <c r="J613" s="8">
        <v>-0.4083</v>
      </c>
      <c r="K613" s="7">
        <v>1.2038</v>
      </c>
      <c r="L613" s="7">
        <v>0.93799999999999994</v>
      </c>
      <c r="M613" s="8">
        <v>46.503700000000002</v>
      </c>
      <c r="N613" s="8">
        <v>11.0192</v>
      </c>
      <c r="O613" s="7">
        <v>14.450100000000001</v>
      </c>
      <c r="P613" s="7">
        <v>2070.6505000000002</v>
      </c>
      <c r="Q613" s="7">
        <v>1967.1895</v>
      </c>
      <c r="R613" s="7" t="str">
        <f t="shared" si="136"/>
        <v>Down</v>
      </c>
      <c r="S613" s="7" t="str">
        <f t="shared" si="137"/>
        <v>Hold</v>
      </c>
      <c r="T613" s="8">
        <f t="shared" si="138"/>
        <v>0.17651577060931881</v>
      </c>
      <c r="U613" s="18">
        <f t="shared" si="139"/>
        <v>2479021</v>
      </c>
      <c r="V613" s="7">
        <f t="shared" si="140"/>
        <v>5586.2002000000002</v>
      </c>
      <c r="W613" s="7">
        <f t="shared" si="141"/>
        <v>1984.8</v>
      </c>
      <c r="X613" s="7">
        <f t="shared" si="142"/>
        <v>2024.3</v>
      </c>
      <c r="Y613" s="7">
        <f t="shared" si="143"/>
        <v>228</v>
      </c>
      <c r="Z613" s="7">
        <f t="shared" si="144"/>
        <v>769749</v>
      </c>
      <c r="AA613" s="7" t="str">
        <f t="shared" si="145"/>
        <v>18-Dec-2023</v>
      </c>
      <c r="AB613" s="7">
        <f t="shared" si="146"/>
        <v>2024.3</v>
      </c>
      <c r="AC613" s="7">
        <f t="shared" si="150"/>
        <v>1</v>
      </c>
      <c r="AD613" s="7">
        <f t="shared" si="147"/>
        <v>2023</v>
      </c>
      <c r="AE613" s="19">
        <f t="shared" si="148"/>
        <v>-0.41</v>
      </c>
      <c r="BA613" s="10">
        <f t="shared" si="149"/>
        <v>26.997800000000002</v>
      </c>
    </row>
    <row r="614" spans="1:53" x14ac:dyDescent="0.3">
      <c r="A614" s="17">
        <v>45279</v>
      </c>
      <c r="B614" s="8">
        <v>2038.4</v>
      </c>
      <c r="C614" s="7">
        <v>2042.7</v>
      </c>
      <c r="D614" s="7">
        <v>2025.2</v>
      </c>
      <c r="E614" s="7">
        <v>2025.2</v>
      </c>
      <c r="F614" s="18">
        <v>498</v>
      </c>
      <c r="G614" s="7">
        <v>2010.5143</v>
      </c>
      <c r="H614" s="7">
        <v>2002.1832999999999</v>
      </c>
      <c r="I614" s="7">
        <v>1945.9632999999999</v>
      </c>
      <c r="J614" s="8">
        <v>4.4499999999999998E-2</v>
      </c>
      <c r="K614" s="7">
        <v>1.2024999999999999</v>
      </c>
      <c r="L614" s="7">
        <v>0.93440000000000001</v>
      </c>
      <c r="M614" s="8">
        <v>46.457700000000003</v>
      </c>
      <c r="N614" s="8">
        <v>10.8573</v>
      </c>
      <c r="O614" s="7">
        <v>13.7315</v>
      </c>
      <c r="P614" s="7">
        <v>2069.422</v>
      </c>
      <c r="Q614" s="7">
        <v>1973.0679</v>
      </c>
      <c r="R614" s="7" t="str">
        <f t="shared" si="136"/>
        <v>Down</v>
      </c>
      <c r="S614" s="7" t="str">
        <f t="shared" si="137"/>
        <v>Hold</v>
      </c>
      <c r="T614" s="8">
        <f t="shared" si="138"/>
        <v>0.17756570915619369</v>
      </c>
      <c r="U614" s="18">
        <f t="shared" si="139"/>
        <v>2478921</v>
      </c>
      <c r="V614" s="7">
        <f t="shared" si="140"/>
        <v>5586.2002000000002</v>
      </c>
      <c r="W614" s="7">
        <f t="shared" si="141"/>
        <v>1984.8</v>
      </c>
      <c r="X614" s="7">
        <f t="shared" si="142"/>
        <v>2025.2</v>
      </c>
      <c r="Y614" s="7">
        <f t="shared" si="143"/>
        <v>228</v>
      </c>
      <c r="Z614" s="7">
        <f t="shared" si="144"/>
        <v>769749</v>
      </c>
      <c r="AA614" s="7" t="str">
        <f t="shared" si="145"/>
        <v>19-Dec-2023</v>
      </c>
      <c r="AB614" s="7">
        <f t="shared" si="146"/>
        <v>2025.2</v>
      </c>
      <c r="AC614" s="7">
        <f t="shared" si="150"/>
        <v>1</v>
      </c>
      <c r="AD614" s="7">
        <f t="shared" si="147"/>
        <v>2023</v>
      </c>
      <c r="AE614" s="19">
        <f t="shared" si="148"/>
        <v>0.04</v>
      </c>
      <c r="BA614" s="10">
        <f t="shared" si="149"/>
        <v>26.997800000000002</v>
      </c>
    </row>
    <row r="615" spans="1:53" x14ac:dyDescent="0.3">
      <c r="A615" s="17">
        <v>45280</v>
      </c>
      <c r="B615" s="8">
        <v>2034.5</v>
      </c>
      <c r="C615" s="7">
        <v>2037.1</v>
      </c>
      <c r="D615" s="7">
        <v>2030.3</v>
      </c>
      <c r="E615" s="7">
        <v>2037.1</v>
      </c>
      <c r="F615" s="18">
        <v>258</v>
      </c>
      <c r="G615" s="7">
        <v>2015.2285999999999</v>
      </c>
      <c r="H615" s="7">
        <v>2004.5367000000001</v>
      </c>
      <c r="I615" s="7">
        <v>1947.3833</v>
      </c>
      <c r="J615" s="8">
        <v>0.58760000000000001</v>
      </c>
      <c r="K615" s="7">
        <v>1.0638000000000001</v>
      </c>
      <c r="L615" s="7">
        <v>0.92500000000000004</v>
      </c>
      <c r="M615" s="8">
        <v>48.128100000000003</v>
      </c>
      <c r="N615" s="8">
        <v>11.555999999999999</v>
      </c>
      <c r="O615" s="7">
        <v>13.2964</v>
      </c>
      <c r="P615" s="7">
        <v>2069.9854999999998</v>
      </c>
      <c r="Q615" s="7">
        <v>1977.1445000000001</v>
      </c>
      <c r="R615" s="7" t="str">
        <f t="shared" si="136"/>
        <v>Up</v>
      </c>
      <c r="S615" s="7" t="str">
        <f t="shared" si="137"/>
        <v>Hold</v>
      </c>
      <c r="T615" s="8">
        <f t="shared" si="138"/>
        <v>0.17780503597122277</v>
      </c>
      <c r="U615" s="18">
        <f t="shared" si="139"/>
        <v>2478423</v>
      </c>
      <c r="V615" s="7">
        <f t="shared" si="140"/>
        <v>5586.2002000000002</v>
      </c>
      <c r="W615" s="7">
        <f t="shared" si="141"/>
        <v>1984.8</v>
      </c>
      <c r="X615" s="7">
        <f t="shared" si="142"/>
        <v>2037.1</v>
      </c>
      <c r="Y615" s="7">
        <f t="shared" si="143"/>
        <v>228</v>
      </c>
      <c r="Z615" s="7">
        <f t="shared" si="144"/>
        <v>769749</v>
      </c>
      <c r="AA615" s="7" t="str">
        <f t="shared" si="145"/>
        <v>20-Dec-2023</v>
      </c>
      <c r="AB615" s="7">
        <f t="shared" si="146"/>
        <v>2037.1</v>
      </c>
      <c r="AC615" s="7">
        <f t="shared" si="150"/>
        <v>1</v>
      </c>
      <c r="AD615" s="7">
        <f t="shared" si="147"/>
        <v>2023</v>
      </c>
      <c r="AE615" s="19">
        <f t="shared" si="148"/>
        <v>0.59</v>
      </c>
      <c r="BA615" s="10">
        <f t="shared" si="149"/>
        <v>26.997800000000002</v>
      </c>
    </row>
    <row r="616" spans="1:53" x14ac:dyDescent="0.3">
      <c r="A616" s="17">
        <v>45281</v>
      </c>
      <c r="B616" s="8">
        <v>2039.1</v>
      </c>
      <c r="C616" s="7">
        <v>2044.5</v>
      </c>
      <c r="D616" s="7">
        <v>2033</v>
      </c>
      <c r="E616" s="7">
        <v>2035.8</v>
      </c>
      <c r="F616" s="18">
        <v>228</v>
      </c>
      <c r="G616" s="7">
        <v>2022.6</v>
      </c>
      <c r="H616" s="7">
        <v>2006.8033</v>
      </c>
      <c r="I616" s="7">
        <v>1948.8255999999999</v>
      </c>
      <c r="J616" s="8">
        <v>-6.3799999999999996E-2</v>
      </c>
      <c r="K616" s="7">
        <v>0.93459999999999999</v>
      </c>
      <c r="L616" s="7">
        <v>0.92559999999999998</v>
      </c>
      <c r="M616" s="8">
        <v>49.465600000000002</v>
      </c>
      <c r="N616" s="8">
        <v>11.868</v>
      </c>
      <c r="O616" s="7">
        <v>13.0107</v>
      </c>
      <c r="P616" s="7">
        <v>2070.6349</v>
      </c>
      <c r="Q616" s="7">
        <v>1980.1650999999999</v>
      </c>
      <c r="R616" s="7" t="str">
        <f t="shared" si="136"/>
        <v>Down</v>
      </c>
      <c r="S616" s="7" t="str">
        <f t="shared" si="137"/>
        <v>Hold</v>
      </c>
      <c r="T616" s="8">
        <f t="shared" si="138"/>
        <v>0.17706666666666646</v>
      </c>
      <c r="U616" s="18">
        <f t="shared" si="139"/>
        <v>2478165</v>
      </c>
      <c r="V616" s="7">
        <f t="shared" si="140"/>
        <v>5586.2002000000002</v>
      </c>
      <c r="W616" s="7">
        <f t="shared" si="141"/>
        <v>1984.8</v>
      </c>
      <c r="X616" s="7">
        <f t="shared" si="142"/>
        <v>2035.8</v>
      </c>
      <c r="Y616" s="7">
        <f t="shared" si="143"/>
        <v>227</v>
      </c>
      <c r="Z616" s="7">
        <f t="shared" si="144"/>
        <v>769491</v>
      </c>
      <c r="AA616" s="7" t="str">
        <f t="shared" si="145"/>
        <v>21-Dec-2023</v>
      </c>
      <c r="AB616" s="7">
        <f t="shared" si="146"/>
        <v>2035.8</v>
      </c>
      <c r="AC616" s="7">
        <f t="shared" si="150"/>
        <v>1</v>
      </c>
      <c r="AD616" s="7">
        <f t="shared" si="147"/>
        <v>2023</v>
      </c>
      <c r="AE616" s="19">
        <f t="shared" si="148"/>
        <v>-0.06</v>
      </c>
      <c r="BA616" s="10">
        <f t="shared" si="149"/>
        <v>26.997800000000002</v>
      </c>
    </row>
    <row r="617" spans="1:53" x14ac:dyDescent="0.3">
      <c r="A617" s="17">
        <v>45282</v>
      </c>
      <c r="B617" s="8">
        <v>2057.1001000000001</v>
      </c>
      <c r="C617" s="7">
        <v>2068.6999999999998</v>
      </c>
      <c r="D617" s="7">
        <v>2052.1999999999998</v>
      </c>
      <c r="E617" s="7">
        <v>2055.6999999999998</v>
      </c>
      <c r="F617" s="18">
        <v>202</v>
      </c>
      <c r="G617" s="7">
        <v>2033.6286</v>
      </c>
      <c r="H617" s="7">
        <v>2010.27</v>
      </c>
      <c r="I617" s="7">
        <v>1950.5056</v>
      </c>
      <c r="J617" s="8">
        <v>0.97750000000000004</v>
      </c>
      <c r="K617" s="7">
        <v>0.90800000000000003</v>
      </c>
      <c r="L617" s="7">
        <v>0.92110000000000003</v>
      </c>
      <c r="M617" s="8">
        <v>45.479700000000001</v>
      </c>
      <c r="N617" s="8">
        <v>13.5647</v>
      </c>
      <c r="O617" s="7">
        <v>13.121499999999999</v>
      </c>
      <c r="P617" s="7">
        <v>2072.866</v>
      </c>
      <c r="Q617" s="7">
        <v>1984.3139000000001</v>
      </c>
      <c r="R617" s="7" t="str">
        <f t="shared" si="136"/>
        <v>Down</v>
      </c>
      <c r="S617" s="7" t="str">
        <f t="shared" si="137"/>
        <v>Hold</v>
      </c>
      <c r="T617" s="8">
        <f t="shared" si="138"/>
        <v>0.1775014440433211</v>
      </c>
      <c r="U617" s="18">
        <f t="shared" si="139"/>
        <v>2477937</v>
      </c>
      <c r="V617" s="7">
        <f t="shared" si="140"/>
        <v>5586.2002000000002</v>
      </c>
      <c r="W617" s="7">
        <f t="shared" si="141"/>
        <v>1984.8</v>
      </c>
      <c r="X617" s="7">
        <f t="shared" si="142"/>
        <v>2055.6999999999998</v>
      </c>
      <c r="Y617" s="7">
        <f t="shared" si="143"/>
        <v>227</v>
      </c>
      <c r="Z617" s="7">
        <f t="shared" si="144"/>
        <v>769491</v>
      </c>
      <c r="AA617" s="7" t="str">
        <f t="shared" si="145"/>
        <v>22-Dec-2023</v>
      </c>
      <c r="AB617" s="7">
        <f t="shared" si="146"/>
        <v>2055.6999999999998</v>
      </c>
      <c r="AC617" s="7">
        <f t="shared" si="150"/>
        <v>1</v>
      </c>
      <c r="AD617" s="7">
        <f t="shared" si="147"/>
        <v>2023</v>
      </c>
      <c r="AE617" s="19">
        <f t="shared" si="148"/>
        <v>0.98</v>
      </c>
      <c r="BA617" s="10">
        <f t="shared" si="149"/>
        <v>26.997800000000002</v>
      </c>
    </row>
    <row r="618" spans="1:53" x14ac:dyDescent="0.3">
      <c r="A618" s="17">
        <v>45286</v>
      </c>
      <c r="B618" s="8">
        <v>2058.1999999999998</v>
      </c>
      <c r="C618" s="7">
        <v>2060.8000000000002</v>
      </c>
      <c r="D618" s="7">
        <v>2054.1999999999998</v>
      </c>
      <c r="E618" s="7">
        <v>2060</v>
      </c>
      <c r="F618" s="18">
        <v>64</v>
      </c>
      <c r="G618" s="7">
        <v>2038.6713999999999</v>
      </c>
      <c r="H618" s="7">
        <v>2013.6167</v>
      </c>
      <c r="I618" s="7">
        <v>1952.3533</v>
      </c>
      <c r="J618" s="8">
        <v>0.2092</v>
      </c>
      <c r="K618" s="7">
        <v>0.45440000000000003</v>
      </c>
      <c r="L618" s="7">
        <v>0.92010000000000003</v>
      </c>
      <c r="M618" s="8">
        <v>56.882300000000001</v>
      </c>
      <c r="N618" s="8">
        <v>15.0825</v>
      </c>
      <c r="O618" s="7">
        <v>13.5137</v>
      </c>
      <c r="P618" s="7">
        <v>2076.6498999999999</v>
      </c>
      <c r="Q618" s="7">
        <v>1985.3601000000001</v>
      </c>
      <c r="R618" s="7" t="str">
        <f t="shared" si="136"/>
        <v>Up</v>
      </c>
      <c r="S618" s="7" t="str">
        <f t="shared" si="137"/>
        <v>Hold</v>
      </c>
      <c r="T618" s="8">
        <f t="shared" si="138"/>
        <v>0.17605479204339941</v>
      </c>
      <c r="U618" s="18">
        <f t="shared" si="139"/>
        <v>2477735</v>
      </c>
      <c r="V618" s="7">
        <f t="shared" si="140"/>
        <v>5586.2002000000002</v>
      </c>
      <c r="W618" s="7">
        <f t="shared" si="141"/>
        <v>1984.8</v>
      </c>
      <c r="X618" s="7">
        <f t="shared" si="142"/>
        <v>2060</v>
      </c>
      <c r="Y618" s="7">
        <f t="shared" si="143"/>
        <v>227</v>
      </c>
      <c r="Z618" s="7">
        <f t="shared" si="144"/>
        <v>769491</v>
      </c>
      <c r="AA618" s="7" t="str">
        <f t="shared" si="145"/>
        <v>26-Dec-2023</v>
      </c>
      <c r="AB618" s="7">
        <f t="shared" si="146"/>
        <v>2060</v>
      </c>
      <c r="AC618" s="7">
        <f t="shared" si="150"/>
        <v>1</v>
      </c>
      <c r="AD618" s="7">
        <f t="shared" si="147"/>
        <v>2023</v>
      </c>
      <c r="AE618" s="19">
        <f t="shared" si="148"/>
        <v>0.21</v>
      </c>
      <c r="BA618" s="10">
        <f t="shared" si="149"/>
        <v>26.997800000000002</v>
      </c>
    </row>
    <row r="619" spans="1:53" x14ac:dyDescent="0.3">
      <c r="A619" s="17">
        <v>45287</v>
      </c>
      <c r="B619" s="8">
        <v>2081.8998999999999</v>
      </c>
      <c r="C619" s="7">
        <v>2081.8998999999999</v>
      </c>
      <c r="D619" s="7">
        <v>2064.8000000000002</v>
      </c>
      <c r="E619" s="7">
        <v>2067.3000000000002</v>
      </c>
      <c r="F619" s="18">
        <v>586</v>
      </c>
      <c r="G619" s="7">
        <v>2043.6286</v>
      </c>
      <c r="H619" s="7">
        <v>2017.8633</v>
      </c>
      <c r="I619" s="7">
        <v>1954.3033</v>
      </c>
      <c r="J619" s="8">
        <v>0.35439999999999999</v>
      </c>
      <c r="K619" s="7">
        <v>0.45269999999999999</v>
      </c>
      <c r="L619" s="7">
        <v>0.89329999999999998</v>
      </c>
      <c r="M619" s="8">
        <v>63.6995</v>
      </c>
      <c r="N619" s="8">
        <v>16.681999999999999</v>
      </c>
      <c r="O619" s="7">
        <v>14.147399999999999</v>
      </c>
      <c r="P619" s="7">
        <v>2080.6505000000002</v>
      </c>
      <c r="Q619" s="7">
        <v>1984.0295000000001</v>
      </c>
      <c r="R619" s="7" t="str">
        <f t="shared" si="136"/>
        <v>Down</v>
      </c>
      <c r="S619" s="7" t="str">
        <f t="shared" si="137"/>
        <v>Hold</v>
      </c>
      <c r="T619" s="8">
        <f t="shared" si="138"/>
        <v>0.17599474637681134</v>
      </c>
      <c r="U619" s="18">
        <f t="shared" si="139"/>
        <v>2477671</v>
      </c>
      <c r="V619" s="7">
        <f t="shared" si="140"/>
        <v>5586.2002000000002</v>
      </c>
      <c r="W619" s="7">
        <f t="shared" si="141"/>
        <v>1984.8</v>
      </c>
      <c r="X619" s="7">
        <f t="shared" si="142"/>
        <v>2067.3000000000002</v>
      </c>
      <c r="Y619" s="7">
        <f t="shared" si="143"/>
        <v>226</v>
      </c>
      <c r="Z619" s="7">
        <f t="shared" si="144"/>
        <v>769427</v>
      </c>
      <c r="AA619" s="7" t="str">
        <f t="shared" si="145"/>
        <v>27-Dec-2023</v>
      </c>
      <c r="AB619" s="7">
        <f t="shared" si="146"/>
        <v>2067.3000000000002</v>
      </c>
      <c r="AC619" s="7">
        <f t="shared" si="150"/>
        <v>1</v>
      </c>
      <c r="AD619" s="7">
        <f t="shared" si="147"/>
        <v>2023</v>
      </c>
      <c r="AE619" s="19">
        <f t="shared" si="148"/>
        <v>0.35</v>
      </c>
      <c r="BA619" s="10">
        <f t="shared" si="149"/>
        <v>26.997800000000002</v>
      </c>
    </row>
    <row r="620" spans="1:53" x14ac:dyDescent="0.3">
      <c r="A620" s="17">
        <v>45288</v>
      </c>
      <c r="B620" s="8">
        <v>2073.8998999999999</v>
      </c>
      <c r="C620" s="7">
        <v>2087.3000000000002</v>
      </c>
      <c r="D620" s="7">
        <v>2066.5</v>
      </c>
      <c r="E620" s="7">
        <v>2081.6001000000001</v>
      </c>
      <c r="F620" s="18">
        <v>338</v>
      </c>
      <c r="G620" s="7">
        <v>2051.8143</v>
      </c>
      <c r="H620" s="7">
        <v>2021.7233000000001</v>
      </c>
      <c r="I620" s="7">
        <v>1956.3922</v>
      </c>
      <c r="J620" s="8">
        <v>0.69169999999999998</v>
      </c>
      <c r="K620" s="7">
        <v>0.37280000000000002</v>
      </c>
      <c r="L620" s="7">
        <v>0.873</v>
      </c>
      <c r="M620" s="8">
        <v>64.719200000000001</v>
      </c>
      <c r="N620" s="8">
        <v>18.885899999999999</v>
      </c>
      <c r="O620" s="7">
        <v>15.0951</v>
      </c>
      <c r="P620" s="7">
        <v>2087.3402000000001</v>
      </c>
      <c r="Q620" s="7">
        <v>1981.3298</v>
      </c>
      <c r="R620" s="7" t="str">
        <f t="shared" si="136"/>
        <v>Up</v>
      </c>
      <c r="S620" s="7" t="str">
        <f t="shared" si="137"/>
        <v>Hold</v>
      </c>
      <c r="T620" s="8">
        <f t="shared" si="138"/>
        <v>0.17567096188747711</v>
      </c>
      <c r="U620" s="18">
        <f t="shared" si="139"/>
        <v>2477085</v>
      </c>
      <c r="V620" s="7">
        <f t="shared" si="140"/>
        <v>5586.2002000000002</v>
      </c>
      <c r="W620" s="7">
        <f t="shared" si="141"/>
        <v>1984.8</v>
      </c>
      <c r="X620" s="7">
        <f t="shared" si="142"/>
        <v>2081.6001000000001</v>
      </c>
      <c r="Y620" s="7">
        <f t="shared" si="143"/>
        <v>226</v>
      </c>
      <c r="Z620" s="7">
        <f t="shared" si="144"/>
        <v>769427</v>
      </c>
      <c r="AA620" s="7" t="str">
        <f t="shared" si="145"/>
        <v>28-Dec-2023</v>
      </c>
      <c r="AB620" s="7">
        <f t="shared" si="146"/>
        <v>2081.6001000000001</v>
      </c>
      <c r="AC620" s="7">
        <f t="shared" si="150"/>
        <v>1</v>
      </c>
      <c r="AD620" s="7">
        <f t="shared" si="147"/>
        <v>2023</v>
      </c>
      <c r="AE620" s="19">
        <f t="shared" si="148"/>
        <v>0.69</v>
      </c>
      <c r="BA620" s="10">
        <f t="shared" si="149"/>
        <v>26.997800000000002</v>
      </c>
    </row>
    <row r="621" spans="1:53" x14ac:dyDescent="0.3">
      <c r="A621" s="17">
        <v>45289</v>
      </c>
      <c r="B621" s="8">
        <v>2062.3998999999999</v>
      </c>
      <c r="C621" s="7">
        <v>2068.8998999999999</v>
      </c>
      <c r="D621" s="7">
        <v>2062.1001000000001</v>
      </c>
      <c r="E621" s="7">
        <v>2068</v>
      </c>
      <c r="F621" s="18">
        <v>47</v>
      </c>
      <c r="G621" s="7">
        <v>2057.9286000000002</v>
      </c>
      <c r="H621" s="7">
        <v>2025.23</v>
      </c>
      <c r="I621" s="7">
        <v>1958.3189</v>
      </c>
      <c r="J621" s="8">
        <v>-0.65329999999999999</v>
      </c>
      <c r="K621" s="7">
        <v>0.53969999999999996</v>
      </c>
      <c r="L621" s="7">
        <v>0.88449999999999995</v>
      </c>
      <c r="M621" s="8">
        <v>59.598100000000002</v>
      </c>
      <c r="N621" s="8">
        <v>19.3125</v>
      </c>
      <c r="O621" s="7">
        <v>15.938599999999999</v>
      </c>
      <c r="P621" s="7">
        <v>2090.3296</v>
      </c>
      <c r="Q621" s="7">
        <v>1980.5304000000001</v>
      </c>
      <c r="R621" s="7" t="str">
        <f t="shared" si="136"/>
        <v>Up</v>
      </c>
      <c r="S621" s="7" t="str">
        <f t="shared" si="137"/>
        <v>Hold</v>
      </c>
      <c r="T621" s="8">
        <f t="shared" si="138"/>
        <v>0.17473272727272704</v>
      </c>
      <c r="U621" s="18">
        <f t="shared" si="139"/>
        <v>2476747</v>
      </c>
      <c r="V621" s="7">
        <f t="shared" si="140"/>
        <v>5586.2002000000002</v>
      </c>
      <c r="W621" s="7">
        <f t="shared" si="141"/>
        <v>1984.8</v>
      </c>
      <c r="X621" s="7">
        <f t="shared" si="142"/>
        <v>2068</v>
      </c>
      <c r="Y621" s="7">
        <f t="shared" si="143"/>
        <v>225</v>
      </c>
      <c r="Z621" s="7">
        <f t="shared" si="144"/>
        <v>769089</v>
      </c>
      <c r="AA621" s="7" t="str">
        <f t="shared" si="145"/>
        <v>29-Dec-2023</v>
      </c>
      <c r="AB621" s="7">
        <f t="shared" si="146"/>
        <v>2068</v>
      </c>
      <c r="AC621" s="7">
        <f t="shared" si="150"/>
        <v>1</v>
      </c>
      <c r="AD621" s="7">
        <f t="shared" si="147"/>
        <v>2023</v>
      </c>
      <c r="AE621" s="19">
        <f t="shared" si="148"/>
        <v>-0.65</v>
      </c>
      <c r="BA621" s="10">
        <f t="shared" si="149"/>
        <v>26.997800000000002</v>
      </c>
    </row>
    <row r="622" spans="1:53" x14ac:dyDescent="0.3">
      <c r="A622" s="17">
        <v>45293</v>
      </c>
      <c r="B622" s="8">
        <v>2064.3998999999999</v>
      </c>
      <c r="C622" s="7">
        <v>2073.6999999999998</v>
      </c>
      <c r="D622" s="7">
        <v>2057.1001000000001</v>
      </c>
      <c r="E622" s="7">
        <v>2063.5</v>
      </c>
      <c r="F622" s="18">
        <v>61</v>
      </c>
      <c r="G622" s="7">
        <v>2061.6999999999998</v>
      </c>
      <c r="H622" s="7">
        <v>2028.5033000000001</v>
      </c>
      <c r="I622" s="7">
        <v>1960.0289</v>
      </c>
      <c r="J622" s="8">
        <v>-0.21759999999999999</v>
      </c>
      <c r="K622" s="7">
        <v>0.55389999999999995</v>
      </c>
      <c r="L622" s="7">
        <v>0.88749999999999996</v>
      </c>
      <c r="M622" s="8">
        <v>67.891599999999997</v>
      </c>
      <c r="N622" s="8">
        <v>19.067599999999999</v>
      </c>
      <c r="O622" s="7">
        <v>16.564399999999999</v>
      </c>
      <c r="P622" s="7">
        <v>2093.0054</v>
      </c>
      <c r="Q622" s="7">
        <v>1980.3746000000001</v>
      </c>
      <c r="R622" s="7" t="str">
        <f t="shared" si="136"/>
        <v>Down</v>
      </c>
      <c r="S622" s="7" t="str">
        <f t="shared" si="137"/>
        <v>Hold</v>
      </c>
      <c r="T622" s="8">
        <f t="shared" si="138"/>
        <v>0.17624098360655713</v>
      </c>
      <c r="U622" s="18">
        <f t="shared" si="139"/>
        <v>2476700</v>
      </c>
      <c r="V622" s="7">
        <f t="shared" si="140"/>
        <v>5586.2002000000002</v>
      </c>
      <c r="W622" s="7">
        <f t="shared" si="141"/>
        <v>1984.8</v>
      </c>
      <c r="X622" s="7">
        <f t="shared" si="142"/>
        <v>2063.5</v>
      </c>
      <c r="Y622" s="7">
        <f t="shared" si="143"/>
        <v>224</v>
      </c>
      <c r="Z622" s="7">
        <f t="shared" si="144"/>
        <v>769042</v>
      </c>
      <c r="AA622" s="7" t="str">
        <f t="shared" si="145"/>
        <v>02-Jan-2024</v>
      </c>
      <c r="AB622" s="7">
        <f t="shared" si="146"/>
        <v>2063.5</v>
      </c>
      <c r="AC622" s="7">
        <f t="shared" si="150"/>
        <v>1</v>
      </c>
      <c r="AD622" s="7">
        <f t="shared" si="147"/>
        <v>2024</v>
      </c>
      <c r="AE622" s="19">
        <f t="shared" si="148"/>
        <v>-0.22</v>
      </c>
      <c r="BA622" s="10">
        <f t="shared" si="149"/>
        <v>26.997800000000002</v>
      </c>
    </row>
    <row r="623" spans="1:53" x14ac:dyDescent="0.3">
      <c r="A623" s="17">
        <v>45294</v>
      </c>
      <c r="B623" s="8">
        <v>2034.2</v>
      </c>
      <c r="C623" s="7">
        <v>2044</v>
      </c>
      <c r="D623" s="7">
        <v>2034.2</v>
      </c>
      <c r="E623" s="7">
        <v>2034.2</v>
      </c>
      <c r="F623" s="18">
        <v>54</v>
      </c>
      <c r="G623" s="7">
        <v>2061.4713999999999</v>
      </c>
      <c r="H623" s="7">
        <v>2030.2266999999999</v>
      </c>
      <c r="I623" s="7">
        <v>1961.2978000000001</v>
      </c>
      <c r="J623" s="8">
        <v>-1.4198999999999999</v>
      </c>
      <c r="K623" s="7">
        <v>0.82599999999999996</v>
      </c>
      <c r="L623" s="7">
        <v>0.92249999999999999</v>
      </c>
      <c r="M623" s="8">
        <v>64.253100000000003</v>
      </c>
      <c r="N623" s="8">
        <v>16.321100000000001</v>
      </c>
      <c r="O623" s="7">
        <v>16.515699999999999</v>
      </c>
      <c r="P623" s="7">
        <v>2087.9369999999999</v>
      </c>
      <c r="Q623" s="7">
        <v>1981.3329000000001</v>
      </c>
      <c r="R623" s="7" t="str">
        <f t="shared" si="136"/>
        <v>Down</v>
      </c>
      <c r="S623" s="7" t="str">
        <f t="shared" si="137"/>
        <v>Hold</v>
      </c>
      <c r="T623" s="8">
        <f t="shared" si="138"/>
        <v>0.17695967153284647</v>
      </c>
      <c r="U623" s="18">
        <f t="shared" si="139"/>
        <v>2476639</v>
      </c>
      <c r="V623" s="7">
        <f t="shared" si="140"/>
        <v>5586.2002000000002</v>
      </c>
      <c r="W623" s="7">
        <f t="shared" si="141"/>
        <v>1984.8</v>
      </c>
      <c r="X623" s="7">
        <f t="shared" si="142"/>
        <v>2034.2</v>
      </c>
      <c r="Y623" s="7">
        <f t="shared" si="143"/>
        <v>224</v>
      </c>
      <c r="Z623" s="7">
        <f t="shared" si="144"/>
        <v>769042</v>
      </c>
      <c r="AA623" s="7" t="str">
        <f t="shared" si="145"/>
        <v>03-Jan-2024</v>
      </c>
      <c r="AB623" s="7">
        <f t="shared" si="146"/>
        <v>2034.2</v>
      </c>
      <c r="AC623" s="7">
        <f t="shared" si="150"/>
        <v>1</v>
      </c>
      <c r="AD623" s="7">
        <f t="shared" si="147"/>
        <v>2024</v>
      </c>
      <c r="AE623" s="19">
        <f t="shared" si="148"/>
        <v>-1.42</v>
      </c>
      <c r="BA623" s="10">
        <f t="shared" si="149"/>
        <v>26.997800000000002</v>
      </c>
    </row>
    <row r="624" spans="1:53" x14ac:dyDescent="0.3">
      <c r="A624" s="17">
        <v>45295</v>
      </c>
      <c r="B624" s="8">
        <v>2042.3</v>
      </c>
      <c r="C624" s="7">
        <v>2044.5</v>
      </c>
      <c r="D624" s="7">
        <v>2038</v>
      </c>
      <c r="E624" s="7">
        <v>2041.6</v>
      </c>
      <c r="F624" s="18">
        <v>88</v>
      </c>
      <c r="G624" s="7">
        <v>2059.4571999999998</v>
      </c>
      <c r="H624" s="7">
        <v>2032.3233</v>
      </c>
      <c r="I624" s="7">
        <v>1962.6511</v>
      </c>
      <c r="J624" s="8">
        <v>0.36380000000000001</v>
      </c>
      <c r="K624" s="7">
        <v>0.73099999999999998</v>
      </c>
      <c r="L624" s="7">
        <v>0.92220000000000002</v>
      </c>
      <c r="M624" s="8">
        <v>67.814800000000005</v>
      </c>
      <c r="N624" s="8">
        <v>14.573600000000001</v>
      </c>
      <c r="O624" s="7">
        <v>16.127300000000002</v>
      </c>
      <c r="P624" s="7">
        <v>2088.3532</v>
      </c>
      <c r="Q624" s="7">
        <v>1981.5668000000001</v>
      </c>
      <c r="R624" s="7" t="str">
        <f t="shared" si="136"/>
        <v>Down</v>
      </c>
      <c r="S624" s="7" t="str">
        <f t="shared" si="137"/>
        <v>Hold</v>
      </c>
      <c r="T624" s="8">
        <f t="shared" si="138"/>
        <v>0.17987897623400345</v>
      </c>
      <c r="U624" s="18">
        <f t="shared" si="139"/>
        <v>2476585</v>
      </c>
      <c r="V624" s="7">
        <f t="shared" si="140"/>
        <v>5586.2002000000002</v>
      </c>
      <c r="W624" s="7">
        <f t="shared" si="141"/>
        <v>1984.8</v>
      </c>
      <c r="X624" s="7">
        <f t="shared" si="142"/>
        <v>2041.6</v>
      </c>
      <c r="Y624" s="7">
        <f t="shared" si="143"/>
        <v>224</v>
      </c>
      <c r="Z624" s="7">
        <f t="shared" si="144"/>
        <v>769042</v>
      </c>
      <c r="AA624" s="7" t="str">
        <f t="shared" si="145"/>
        <v>04-Jan-2024</v>
      </c>
      <c r="AB624" s="7">
        <f t="shared" si="146"/>
        <v>2041.6</v>
      </c>
      <c r="AC624" s="7">
        <f t="shared" si="150"/>
        <v>1</v>
      </c>
      <c r="AD624" s="7">
        <f t="shared" si="147"/>
        <v>2024</v>
      </c>
      <c r="AE624" s="19">
        <f t="shared" si="148"/>
        <v>0.36</v>
      </c>
      <c r="BA624" s="10">
        <f t="shared" si="149"/>
        <v>26.997800000000002</v>
      </c>
    </row>
    <row r="625" spans="1:53" x14ac:dyDescent="0.3">
      <c r="A625" s="17">
        <v>45296</v>
      </c>
      <c r="B625" s="8">
        <v>2042.4</v>
      </c>
      <c r="C625" s="7">
        <v>2048.1001000000001</v>
      </c>
      <c r="D625" s="7">
        <v>2042.4</v>
      </c>
      <c r="E625" s="7">
        <v>2044.5</v>
      </c>
      <c r="F625" s="18">
        <v>12</v>
      </c>
      <c r="G625" s="7">
        <v>2057.2429000000002</v>
      </c>
      <c r="H625" s="7">
        <v>2034.1167</v>
      </c>
      <c r="I625" s="7">
        <v>1964.0844</v>
      </c>
      <c r="J625" s="8">
        <v>0.14199999999999999</v>
      </c>
      <c r="K625" s="7">
        <v>0.72670000000000001</v>
      </c>
      <c r="L625" s="7">
        <v>0.91749999999999998</v>
      </c>
      <c r="M625" s="8">
        <v>57.399099999999997</v>
      </c>
      <c r="N625" s="8">
        <v>13.2698</v>
      </c>
      <c r="O625" s="7">
        <v>15.5558</v>
      </c>
      <c r="P625" s="7">
        <v>2089.2548000000002</v>
      </c>
      <c r="Q625" s="7">
        <v>1983.1251999999999</v>
      </c>
      <c r="R625" s="7" t="str">
        <f t="shared" si="136"/>
        <v>Up</v>
      </c>
      <c r="S625" s="7" t="str">
        <f t="shared" si="137"/>
        <v>Hold</v>
      </c>
      <c r="T625" s="8">
        <f t="shared" si="138"/>
        <v>0.17954212454212429</v>
      </c>
      <c r="U625" s="18">
        <f t="shared" si="139"/>
        <v>2476497</v>
      </c>
      <c r="V625" s="7">
        <f t="shared" si="140"/>
        <v>5586.2002000000002</v>
      </c>
      <c r="W625" s="7">
        <f t="shared" si="141"/>
        <v>1984.8</v>
      </c>
      <c r="X625" s="7">
        <f t="shared" si="142"/>
        <v>2044.5</v>
      </c>
      <c r="Y625" s="7">
        <f t="shared" si="143"/>
        <v>224</v>
      </c>
      <c r="Z625" s="7">
        <f t="shared" si="144"/>
        <v>769042</v>
      </c>
      <c r="AA625" s="7" t="str">
        <f t="shared" si="145"/>
        <v>05-Jan-2024</v>
      </c>
      <c r="AB625" s="7">
        <f t="shared" si="146"/>
        <v>2044.5</v>
      </c>
      <c r="AC625" s="7">
        <f t="shared" si="150"/>
        <v>1</v>
      </c>
      <c r="AD625" s="7">
        <f t="shared" si="147"/>
        <v>2024</v>
      </c>
      <c r="AE625" s="19">
        <f t="shared" si="148"/>
        <v>0.14000000000000001</v>
      </c>
      <c r="BA625" s="10">
        <f t="shared" si="149"/>
        <v>26.997800000000002</v>
      </c>
    </row>
    <row r="626" spans="1:53" x14ac:dyDescent="0.3">
      <c r="A626" s="17">
        <v>45299</v>
      </c>
      <c r="B626" s="8">
        <v>2026.6</v>
      </c>
      <c r="C626" s="7">
        <v>2033.7</v>
      </c>
      <c r="D626" s="7">
        <v>2019.1</v>
      </c>
      <c r="E626" s="7">
        <v>2019.1</v>
      </c>
      <c r="F626" s="18">
        <v>10</v>
      </c>
      <c r="G626" s="7">
        <v>2050.3571000000002</v>
      </c>
      <c r="H626" s="7">
        <v>2034.7833000000001</v>
      </c>
      <c r="I626" s="7">
        <v>1965.2089000000001</v>
      </c>
      <c r="J626" s="8">
        <v>-1.2423999999999999</v>
      </c>
      <c r="K626" s="7">
        <v>0.80469999999999997</v>
      </c>
      <c r="L626" s="7">
        <v>0.94669999999999999</v>
      </c>
      <c r="M626" s="8">
        <v>45.538699999999999</v>
      </c>
      <c r="N626" s="8">
        <v>10.0708</v>
      </c>
      <c r="O626" s="7">
        <v>14.4588</v>
      </c>
      <c r="P626" s="7">
        <v>2089.2199999999998</v>
      </c>
      <c r="Q626" s="7">
        <v>1982.1498999999999</v>
      </c>
      <c r="R626" s="7" t="str">
        <f t="shared" si="136"/>
        <v>Down</v>
      </c>
      <c r="S626" s="7" t="str">
        <f t="shared" si="137"/>
        <v>Hold</v>
      </c>
      <c r="T626" s="8">
        <f t="shared" si="138"/>
        <v>0.17961100917431166</v>
      </c>
      <c r="U626" s="18">
        <f t="shared" si="139"/>
        <v>2476485</v>
      </c>
      <c r="V626" s="7">
        <f t="shared" si="140"/>
        <v>5586.2002000000002</v>
      </c>
      <c r="W626" s="7">
        <f t="shared" si="141"/>
        <v>1984.8</v>
      </c>
      <c r="X626" s="7">
        <f t="shared" si="142"/>
        <v>2019.1</v>
      </c>
      <c r="Y626" s="7">
        <f t="shared" si="143"/>
        <v>223</v>
      </c>
      <c r="Z626" s="7">
        <f t="shared" si="144"/>
        <v>769030</v>
      </c>
      <c r="AA626" s="7" t="str">
        <f t="shared" si="145"/>
        <v>08-Jan-2024</v>
      </c>
      <c r="AB626" s="7">
        <f t="shared" si="146"/>
        <v>2019.1</v>
      </c>
      <c r="AC626" s="7">
        <f t="shared" si="150"/>
        <v>1</v>
      </c>
      <c r="AD626" s="7">
        <f t="shared" si="147"/>
        <v>2024</v>
      </c>
      <c r="AE626" s="19">
        <f t="shared" si="148"/>
        <v>-1.24</v>
      </c>
      <c r="BA626" s="10">
        <f t="shared" si="149"/>
        <v>26.997800000000002</v>
      </c>
    </row>
    <row r="627" spans="1:53" x14ac:dyDescent="0.3">
      <c r="A627" s="17">
        <v>45300</v>
      </c>
      <c r="B627" s="8">
        <v>2026.4</v>
      </c>
      <c r="C627" s="7">
        <v>2035.8</v>
      </c>
      <c r="D627" s="7">
        <v>2026.4</v>
      </c>
      <c r="E627" s="7">
        <v>2035.8</v>
      </c>
      <c r="F627" s="18">
        <v>27</v>
      </c>
      <c r="G627" s="7">
        <v>2043.8143</v>
      </c>
      <c r="H627" s="7">
        <v>2036.2466999999999</v>
      </c>
      <c r="I627" s="7">
        <v>1966.3178</v>
      </c>
      <c r="J627" s="8">
        <v>0.82709999999999995</v>
      </c>
      <c r="K627" s="7">
        <v>0.83460000000000001</v>
      </c>
      <c r="L627" s="7">
        <v>0.95430000000000004</v>
      </c>
      <c r="M627" s="8">
        <v>53.600499999999997</v>
      </c>
      <c r="N627" s="8">
        <v>8.782</v>
      </c>
      <c r="O627" s="7">
        <v>13.323399999999999</v>
      </c>
      <c r="P627" s="7">
        <v>2089.3921999999998</v>
      </c>
      <c r="Q627" s="7">
        <v>1982.3878</v>
      </c>
      <c r="R627" s="7" t="str">
        <f t="shared" si="136"/>
        <v>Up</v>
      </c>
      <c r="S627" s="7" t="str">
        <f t="shared" si="137"/>
        <v>Hold</v>
      </c>
      <c r="T627" s="8">
        <f t="shared" si="138"/>
        <v>0.1822249999999998</v>
      </c>
      <c r="U627" s="18">
        <f t="shared" si="139"/>
        <v>2476475</v>
      </c>
      <c r="V627" s="7">
        <f t="shared" si="140"/>
        <v>5586.2002000000002</v>
      </c>
      <c r="W627" s="7">
        <f t="shared" si="141"/>
        <v>1984.8</v>
      </c>
      <c r="X627" s="7">
        <f t="shared" si="142"/>
        <v>2035.8</v>
      </c>
      <c r="Y627" s="7">
        <f t="shared" si="143"/>
        <v>223</v>
      </c>
      <c r="Z627" s="7">
        <f t="shared" si="144"/>
        <v>769030</v>
      </c>
      <c r="AA627" s="7" t="str">
        <f t="shared" si="145"/>
        <v>09-Jan-2024</v>
      </c>
      <c r="AB627" s="7">
        <f t="shared" si="146"/>
        <v>2035.8</v>
      </c>
      <c r="AC627" s="7">
        <f t="shared" si="150"/>
        <v>1</v>
      </c>
      <c r="AD627" s="7">
        <f t="shared" si="147"/>
        <v>2024</v>
      </c>
      <c r="AE627" s="19">
        <f t="shared" si="148"/>
        <v>0.83</v>
      </c>
      <c r="BA627" s="10">
        <f t="shared" si="149"/>
        <v>26.997800000000002</v>
      </c>
    </row>
    <row r="628" spans="1:53" x14ac:dyDescent="0.3">
      <c r="A628" s="17">
        <v>45301</v>
      </c>
      <c r="B628" s="8">
        <v>2021.7</v>
      </c>
      <c r="C628" s="7">
        <v>2035.6</v>
      </c>
      <c r="D628" s="7">
        <v>2021.7</v>
      </c>
      <c r="E628" s="7">
        <v>2029</v>
      </c>
      <c r="F628" s="18">
        <v>538</v>
      </c>
      <c r="G628" s="7">
        <v>2038.2429</v>
      </c>
      <c r="H628" s="7">
        <v>2036.8233</v>
      </c>
      <c r="I628" s="7">
        <v>1967.2578000000001</v>
      </c>
      <c r="J628" s="8">
        <v>-0.33400000000000002</v>
      </c>
      <c r="K628" s="7">
        <v>0.8216</v>
      </c>
      <c r="L628" s="7">
        <v>0.94099999999999995</v>
      </c>
      <c r="M628" s="8">
        <v>51.147399999999998</v>
      </c>
      <c r="N628" s="8">
        <v>7.1295999999999999</v>
      </c>
      <c r="O628" s="7">
        <v>12.0847</v>
      </c>
      <c r="P628" s="7">
        <v>2088.6441</v>
      </c>
      <c r="Q628" s="7">
        <v>1985.6259</v>
      </c>
      <c r="R628" s="7" t="str">
        <f t="shared" si="136"/>
        <v>Up</v>
      </c>
      <c r="S628" s="7" t="str">
        <f t="shared" si="137"/>
        <v>Hold</v>
      </c>
      <c r="T628" s="8">
        <f t="shared" si="138"/>
        <v>0.18103738489871066</v>
      </c>
      <c r="U628" s="18">
        <f t="shared" si="139"/>
        <v>2476448</v>
      </c>
      <c r="V628" s="7">
        <f t="shared" si="140"/>
        <v>5586.2002000000002</v>
      </c>
      <c r="W628" s="7">
        <f t="shared" si="141"/>
        <v>1984.8</v>
      </c>
      <c r="X628" s="7">
        <f t="shared" si="142"/>
        <v>2029</v>
      </c>
      <c r="Y628" s="7">
        <f t="shared" si="143"/>
        <v>222</v>
      </c>
      <c r="Z628" s="7">
        <f t="shared" si="144"/>
        <v>769003</v>
      </c>
      <c r="AA628" s="7" t="str">
        <f t="shared" si="145"/>
        <v>10-Jan-2024</v>
      </c>
      <c r="AB628" s="7">
        <f t="shared" si="146"/>
        <v>2029</v>
      </c>
      <c r="AC628" s="7">
        <f t="shared" si="150"/>
        <v>1</v>
      </c>
      <c r="AD628" s="7">
        <f t="shared" si="147"/>
        <v>2024</v>
      </c>
      <c r="AE628" s="19">
        <f t="shared" si="148"/>
        <v>-0.33</v>
      </c>
      <c r="BA628" s="10">
        <f t="shared" si="149"/>
        <v>26.997800000000002</v>
      </c>
    </row>
    <row r="629" spans="1:53" x14ac:dyDescent="0.3">
      <c r="A629" s="17">
        <v>45302</v>
      </c>
      <c r="B629" s="8">
        <v>2014.3</v>
      </c>
      <c r="C629" s="7">
        <v>2025.1</v>
      </c>
      <c r="D629" s="7">
        <v>2014.3</v>
      </c>
      <c r="E629" s="7">
        <v>2025.1</v>
      </c>
      <c r="F629" s="18">
        <v>97</v>
      </c>
      <c r="G629" s="7">
        <v>2032.7571</v>
      </c>
      <c r="H629" s="7">
        <v>2036.3067000000001</v>
      </c>
      <c r="I629" s="7">
        <v>1968.0922</v>
      </c>
      <c r="J629" s="8">
        <v>-0.19220000000000001</v>
      </c>
      <c r="K629" s="7">
        <v>0.82189999999999996</v>
      </c>
      <c r="L629" s="7">
        <v>0.90349999999999997</v>
      </c>
      <c r="M629" s="8">
        <v>46.192900000000002</v>
      </c>
      <c r="N629" s="8">
        <v>5.4427000000000003</v>
      </c>
      <c r="O629" s="7">
        <v>10.7563</v>
      </c>
      <c r="P629" s="7">
        <v>2084.7449000000001</v>
      </c>
      <c r="Q629" s="7">
        <v>1993.6151</v>
      </c>
      <c r="R629" s="7" t="str">
        <f t="shared" si="136"/>
        <v>Up</v>
      </c>
      <c r="S629" s="7" t="str">
        <f t="shared" si="137"/>
        <v>Hold</v>
      </c>
      <c r="T629" s="8">
        <f t="shared" si="138"/>
        <v>0.18198763837638357</v>
      </c>
      <c r="U629" s="18">
        <f t="shared" si="139"/>
        <v>2475910</v>
      </c>
      <c r="V629" s="7">
        <f t="shared" si="140"/>
        <v>5586.2002000000002</v>
      </c>
      <c r="W629" s="7">
        <f t="shared" si="141"/>
        <v>1984.8</v>
      </c>
      <c r="X629" s="7">
        <f t="shared" si="142"/>
        <v>2025.1</v>
      </c>
      <c r="Y629" s="7">
        <f t="shared" si="143"/>
        <v>221</v>
      </c>
      <c r="Z629" s="7">
        <f t="shared" si="144"/>
        <v>768465</v>
      </c>
      <c r="AA629" s="7" t="str">
        <f t="shared" si="145"/>
        <v>11-Jan-2024</v>
      </c>
      <c r="AB629" s="7">
        <f t="shared" si="146"/>
        <v>2025.1</v>
      </c>
      <c r="AC629" s="7">
        <f t="shared" si="150"/>
        <v>1</v>
      </c>
      <c r="AD629" s="7">
        <f t="shared" si="147"/>
        <v>2024</v>
      </c>
      <c r="AE629" s="19">
        <f t="shared" si="148"/>
        <v>-0.19</v>
      </c>
      <c r="BA629" s="10">
        <f t="shared" si="149"/>
        <v>26.997800000000002</v>
      </c>
    </row>
    <row r="630" spans="1:53" x14ac:dyDescent="0.3">
      <c r="A630" s="17">
        <v>45303</v>
      </c>
      <c r="B630" s="8">
        <v>2046.7</v>
      </c>
      <c r="C630" s="7">
        <v>2057</v>
      </c>
      <c r="D630" s="7">
        <v>2031.1</v>
      </c>
      <c r="E630" s="7">
        <v>2031.1</v>
      </c>
      <c r="F630" s="18">
        <v>390</v>
      </c>
      <c r="G630" s="7">
        <v>2032.3143</v>
      </c>
      <c r="H630" s="7">
        <v>2035.9532999999999</v>
      </c>
      <c r="I630" s="7">
        <v>1969.1667</v>
      </c>
      <c r="J630" s="8">
        <v>0.29630000000000001</v>
      </c>
      <c r="K630" s="7">
        <v>0.66</v>
      </c>
      <c r="L630" s="7">
        <v>0.90529999999999999</v>
      </c>
      <c r="M630" s="8">
        <v>48.552</v>
      </c>
      <c r="N630" s="8">
        <v>4.5376000000000003</v>
      </c>
      <c r="O630" s="7">
        <v>9.5124999999999993</v>
      </c>
      <c r="P630" s="7">
        <v>2077.6653999999999</v>
      </c>
      <c r="Q630" s="7">
        <v>2005.9546</v>
      </c>
      <c r="R630" s="7" t="str">
        <f t="shared" si="136"/>
        <v>Down</v>
      </c>
      <c r="S630" s="7" t="str">
        <f t="shared" si="137"/>
        <v>Hold</v>
      </c>
      <c r="T630" s="8">
        <f t="shared" si="138"/>
        <v>0.18267929759704229</v>
      </c>
      <c r="U630" s="18">
        <f t="shared" si="139"/>
        <v>2475813</v>
      </c>
      <c r="V630" s="7">
        <f t="shared" si="140"/>
        <v>5586.2002000000002</v>
      </c>
      <c r="W630" s="7">
        <f t="shared" si="141"/>
        <v>1984.8</v>
      </c>
      <c r="X630" s="7">
        <f t="shared" si="142"/>
        <v>2031.1</v>
      </c>
      <c r="Y630" s="7">
        <f t="shared" si="143"/>
        <v>220</v>
      </c>
      <c r="Z630" s="7">
        <f t="shared" si="144"/>
        <v>768368</v>
      </c>
      <c r="AA630" s="7" t="str">
        <f t="shared" si="145"/>
        <v>12-Jan-2024</v>
      </c>
      <c r="AB630" s="7">
        <f t="shared" si="146"/>
        <v>2031.1</v>
      </c>
      <c r="AC630" s="7">
        <f t="shared" si="150"/>
        <v>1</v>
      </c>
      <c r="AD630" s="7">
        <f t="shared" si="147"/>
        <v>2024</v>
      </c>
      <c r="AE630" s="19">
        <f t="shared" si="148"/>
        <v>0.3</v>
      </c>
      <c r="BA630" s="10">
        <f t="shared" si="149"/>
        <v>26.997800000000002</v>
      </c>
    </row>
    <row r="631" spans="1:53" x14ac:dyDescent="0.3">
      <c r="A631" s="17">
        <v>45307</v>
      </c>
      <c r="B631" s="8">
        <v>2026</v>
      </c>
      <c r="C631" s="7">
        <v>2054.8000000000002</v>
      </c>
      <c r="D631" s="7">
        <v>2026</v>
      </c>
      <c r="E631" s="7">
        <v>2051.6999999999998</v>
      </c>
      <c r="F631" s="18">
        <v>46</v>
      </c>
      <c r="G631" s="7">
        <v>2033.7571</v>
      </c>
      <c r="H631" s="7">
        <v>2036.14</v>
      </c>
      <c r="I631" s="7">
        <v>1970.5844</v>
      </c>
      <c r="J631" s="8">
        <v>1.0142</v>
      </c>
      <c r="K631" s="7">
        <v>0.7611</v>
      </c>
      <c r="L631" s="7">
        <v>0.92379999999999995</v>
      </c>
      <c r="M631" s="8">
        <v>48.773000000000003</v>
      </c>
      <c r="N631" s="8">
        <v>5.4200999999999997</v>
      </c>
      <c r="O631" s="7">
        <v>8.6941000000000006</v>
      </c>
      <c r="P631" s="7">
        <v>2078.3294999999998</v>
      </c>
      <c r="Q631" s="7">
        <v>2007.9905000000001</v>
      </c>
      <c r="R631" s="7" t="str">
        <f t="shared" si="136"/>
        <v>Up</v>
      </c>
      <c r="S631" s="7" t="str">
        <f t="shared" si="137"/>
        <v>Hold</v>
      </c>
      <c r="T631" s="8">
        <f t="shared" si="138"/>
        <v>0.18246888888888865</v>
      </c>
      <c r="U631" s="18">
        <f t="shared" si="139"/>
        <v>2475423</v>
      </c>
      <c r="V631" s="7">
        <f t="shared" si="140"/>
        <v>5586.2002000000002</v>
      </c>
      <c r="W631" s="7">
        <f t="shared" si="141"/>
        <v>1984.8</v>
      </c>
      <c r="X631" s="7">
        <f t="shared" si="142"/>
        <v>2051.6999999999998</v>
      </c>
      <c r="Y631" s="7">
        <f t="shared" si="143"/>
        <v>220</v>
      </c>
      <c r="Z631" s="7">
        <f t="shared" si="144"/>
        <v>768368</v>
      </c>
      <c r="AA631" s="7" t="str">
        <f t="shared" si="145"/>
        <v>16-Jan-2024</v>
      </c>
      <c r="AB631" s="7">
        <f t="shared" si="146"/>
        <v>2051.6999999999998</v>
      </c>
      <c r="AC631" s="7">
        <f t="shared" si="150"/>
        <v>1</v>
      </c>
      <c r="AD631" s="7">
        <f t="shared" si="147"/>
        <v>2024</v>
      </c>
      <c r="AE631" s="19">
        <f t="shared" si="148"/>
        <v>1.01</v>
      </c>
      <c r="BA631" s="10">
        <f t="shared" si="149"/>
        <v>26.997800000000002</v>
      </c>
    </row>
    <row r="632" spans="1:53" x14ac:dyDescent="0.3">
      <c r="A632" s="17">
        <v>45308</v>
      </c>
      <c r="B632" s="8">
        <v>2002.6</v>
      </c>
      <c r="C632" s="7">
        <v>2026.5</v>
      </c>
      <c r="D632" s="7">
        <v>2002.6</v>
      </c>
      <c r="E632" s="7">
        <v>2026.5</v>
      </c>
      <c r="F632" s="18">
        <v>764</v>
      </c>
      <c r="G632" s="7">
        <v>2031.1857</v>
      </c>
      <c r="H632" s="7">
        <v>2035.7466999999999</v>
      </c>
      <c r="I632" s="7">
        <v>1971.7944</v>
      </c>
      <c r="J632" s="8">
        <v>-1.2282</v>
      </c>
      <c r="K632" s="7">
        <v>0.90329999999999999</v>
      </c>
      <c r="L632" s="7">
        <v>0.94889999999999997</v>
      </c>
      <c r="M632" s="8">
        <v>40.891800000000003</v>
      </c>
      <c r="N632" s="8">
        <v>4.0395000000000003</v>
      </c>
      <c r="O632" s="7">
        <v>7.7632000000000003</v>
      </c>
      <c r="P632" s="7">
        <v>2078.5124999999998</v>
      </c>
      <c r="Q632" s="7">
        <v>2007.1975</v>
      </c>
      <c r="R632" s="7" t="str">
        <f t="shared" si="136"/>
        <v>Up</v>
      </c>
      <c r="S632" s="7" t="str">
        <f t="shared" si="137"/>
        <v>Hold</v>
      </c>
      <c r="T632" s="8">
        <f t="shared" si="138"/>
        <v>0.18092578849721683</v>
      </c>
      <c r="U632" s="18">
        <f t="shared" si="139"/>
        <v>2475377</v>
      </c>
      <c r="V632" s="7">
        <f t="shared" si="140"/>
        <v>5586.2002000000002</v>
      </c>
      <c r="W632" s="7">
        <f t="shared" si="141"/>
        <v>1984.8</v>
      </c>
      <c r="X632" s="7">
        <f t="shared" si="142"/>
        <v>2026.5</v>
      </c>
      <c r="Y632" s="7">
        <f t="shared" si="143"/>
        <v>219</v>
      </c>
      <c r="Z632" s="7">
        <f t="shared" si="144"/>
        <v>768322</v>
      </c>
      <c r="AA632" s="7" t="str">
        <f t="shared" si="145"/>
        <v>17-Jan-2024</v>
      </c>
      <c r="AB632" s="7">
        <f t="shared" si="146"/>
        <v>2026.5</v>
      </c>
      <c r="AC632" s="7">
        <f t="shared" si="150"/>
        <v>1</v>
      </c>
      <c r="AD632" s="7">
        <f t="shared" si="147"/>
        <v>2024</v>
      </c>
      <c r="AE632" s="19">
        <f t="shared" si="148"/>
        <v>-1.23</v>
      </c>
      <c r="BA632" s="10">
        <f t="shared" si="149"/>
        <v>26.997800000000002</v>
      </c>
    </row>
    <row r="633" spans="1:53" x14ac:dyDescent="0.3">
      <c r="A633" s="17">
        <v>45309</v>
      </c>
      <c r="B633" s="8">
        <v>2018.6</v>
      </c>
      <c r="C633" s="7">
        <v>2018.6</v>
      </c>
      <c r="D633" s="7">
        <v>2009.5</v>
      </c>
      <c r="E633" s="7">
        <v>2012.8</v>
      </c>
      <c r="F633" s="18">
        <v>1474</v>
      </c>
      <c r="G633" s="7">
        <v>2030.2856999999999</v>
      </c>
      <c r="H633" s="7">
        <v>2033.6632999999999</v>
      </c>
      <c r="I633" s="7">
        <v>1972.7810999999999</v>
      </c>
      <c r="J633" s="8">
        <v>-0.67600000000000005</v>
      </c>
      <c r="K633" s="7">
        <v>0.80649999999999999</v>
      </c>
      <c r="L633" s="7">
        <v>0.89039999999999997</v>
      </c>
      <c r="M633" s="8">
        <v>35.680500000000002</v>
      </c>
      <c r="N633" s="8">
        <v>1.8189</v>
      </c>
      <c r="O633" s="7">
        <v>6.5743</v>
      </c>
      <c r="P633" s="7">
        <v>2079.5324999999998</v>
      </c>
      <c r="Q633" s="7">
        <v>2005.0274999999999</v>
      </c>
      <c r="R633" s="7" t="str">
        <f t="shared" si="136"/>
        <v>Down</v>
      </c>
      <c r="S633" s="7" t="str">
        <f t="shared" si="137"/>
        <v>Hold</v>
      </c>
      <c r="T633" s="8">
        <f t="shared" si="138"/>
        <v>0.18354498141263917</v>
      </c>
      <c r="U633" s="18">
        <f t="shared" si="139"/>
        <v>2474613</v>
      </c>
      <c r="V633" s="7">
        <f t="shared" si="140"/>
        <v>5586.2002000000002</v>
      </c>
      <c r="W633" s="7">
        <f t="shared" si="141"/>
        <v>1984.8</v>
      </c>
      <c r="X633" s="7">
        <f t="shared" si="142"/>
        <v>2012.8</v>
      </c>
      <c r="Y633" s="7">
        <f t="shared" si="143"/>
        <v>218</v>
      </c>
      <c r="Z633" s="7">
        <f t="shared" si="144"/>
        <v>767558</v>
      </c>
      <c r="AA633" s="7" t="str">
        <f t="shared" si="145"/>
        <v>18-Jan-2024</v>
      </c>
      <c r="AB633" s="7">
        <f t="shared" si="146"/>
        <v>2012.8</v>
      </c>
      <c r="AC633" s="7">
        <f t="shared" si="150"/>
        <v>1</v>
      </c>
      <c r="AD633" s="7">
        <f t="shared" si="147"/>
        <v>2024</v>
      </c>
      <c r="AE633" s="19">
        <f t="shared" si="148"/>
        <v>-0.68</v>
      </c>
      <c r="BA633" s="10">
        <f t="shared" si="149"/>
        <v>26.997800000000002</v>
      </c>
    </row>
    <row r="634" spans="1:53" x14ac:dyDescent="0.3">
      <c r="A634" s="17">
        <v>45310</v>
      </c>
      <c r="B634" s="8">
        <v>2026.5</v>
      </c>
      <c r="C634" s="7">
        <v>2036</v>
      </c>
      <c r="D634" s="7">
        <v>2019.5</v>
      </c>
      <c r="E634" s="7">
        <v>2023.2</v>
      </c>
      <c r="F634" s="18">
        <v>50</v>
      </c>
      <c r="G634" s="7">
        <v>2028.4857</v>
      </c>
      <c r="H634" s="7">
        <v>2033.2666999999999</v>
      </c>
      <c r="I634" s="7">
        <v>1973.8943999999999</v>
      </c>
      <c r="J634" s="8">
        <v>0.51670000000000005</v>
      </c>
      <c r="K634" s="7">
        <v>0.75780000000000003</v>
      </c>
      <c r="L634" s="7">
        <v>0.82599999999999996</v>
      </c>
      <c r="M634" s="8">
        <v>34.334699999999998</v>
      </c>
      <c r="N634" s="8">
        <v>0.8881</v>
      </c>
      <c r="O634" s="7">
        <v>5.4371</v>
      </c>
      <c r="P634" s="7">
        <v>2079.6358</v>
      </c>
      <c r="Q634" s="7">
        <v>2004.7242000000001</v>
      </c>
      <c r="R634" s="7" t="str">
        <f t="shared" si="136"/>
        <v>Down</v>
      </c>
      <c r="S634" s="7" t="str">
        <f t="shared" si="137"/>
        <v>Hold</v>
      </c>
      <c r="T634" s="8">
        <f t="shared" si="138"/>
        <v>0.18514562383612643</v>
      </c>
      <c r="U634" s="18">
        <f t="shared" si="139"/>
        <v>2473139</v>
      </c>
      <c r="V634" s="7">
        <f t="shared" si="140"/>
        <v>5586.2002000000002</v>
      </c>
      <c r="W634" s="7">
        <f t="shared" si="141"/>
        <v>1984.8</v>
      </c>
      <c r="X634" s="7">
        <f t="shared" si="142"/>
        <v>2023.2</v>
      </c>
      <c r="Y634" s="7">
        <f t="shared" si="143"/>
        <v>218</v>
      </c>
      <c r="Z634" s="7">
        <f t="shared" si="144"/>
        <v>767558</v>
      </c>
      <c r="AA634" s="7" t="str">
        <f t="shared" si="145"/>
        <v>19-Jan-2024</v>
      </c>
      <c r="AB634" s="7">
        <f t="shared" si="146"/>
        <v>2023.2</v>
      </c>
      <c r="AC634" s="7">
        <f t="shared" si="150"/>
        <v>1</v>
      </c>
      <c r="AD634" s="7">
        <f t="shared" si="147"/>
        <v>2024</v>
      </c>
      <c r="AE634" s="19">
        <f t="shared" si="148"/>
        <v>0.52</v>
      </c>
      <c r="BA634" s="10">
        <f t="shared" si="149"/>
        <v>26.997800000000002</v>
      </c>
    </row>
    <row r="635" spans="1:53" x14ac:dyDescent="0.3">
      <c r="A635" s="17">
        <v>45313</v>
      </c>
      <c r="B635" s="8">
        <v>2019.8</v>
      </c>
      <c r="C635" s="7">
        <v>2021.3</v>
      </c>
      <c r="D635" s="7">
        <v>2019.8</v>
      </c>
      <c r="E635" s="7">
        <v>2021.3</v>
      </c>
      <c r="F635" s="18">
        <v>12</v>
      </c>
      <c r="G635" s="7">
        <v>2027.3857</v>
      </c>
      <c r="H635" s="7">
        <v>2033.3133</v>
      </c>
      <c r="I635" s="7">
        <v>1975.0110999999999</v>
      </c>
      <c r="J635" s="8">
        <v>-9.3899999999999997E-2</v>
      </c>
      <c r="K635" s="7">
        <v>0.75009999999999999</v>
      </c>
      <c r="L635" s="7">
        <v>0.81459999999999999</v>
      </c>
      <c r="M635" s="8">
        <v>36.6342</v>
      </c>
      <c r="N635" s="8">
        <v>-2.8999999999999998E-3</v>
      </c>
      <c r="O635" s="7">
        <v>4.3491</v>
      </c>
      <c r="P635" s="7">
        <v>2079.9472000000001</v>
      </c>
      <c r="Q635" s="7">
        <v>2002.8327999999999</v>
      </c>
      <c r="R635" s="7" t="str">
        <f t="shared" si="136"/>
        <v>Up</v>
      </c>
      <c r="S635" s="7" t="str">
        <f t="shared" si="137"/>
        <v>Hold</v>
      </c>
      <c r="T635" s="8">
        <f t="shared" si="138"/>
        <v>0.18452705223880575</v>
      </c>
      <c r="U635" s="18">
        <f t="shared" si="139"/>
        <v>2473089</v>
      </c>
      <c r="V635" s="7">
        <f t="shared" si="140"/>
        <v>5586.2002000000002</v>
      </c>
      <c r="W635" s="7">
        <f t="shared" si="141"/>
        <v>1984.8</v>
      </c>
      <c r="X635" s="7">
        <f t="shared" si="142"/>
        <v>2021.3</v>
      </c>
      <c r="Y635" s="7">
        <f t="shared" si="143"/>
        <v>218</v>
      </c>
      <c r="Z635" s="7">
        <f t="shared" si="144"/>
        <v>767558</v>
      </c>
      <c r="AA635" s="7" t="str">
        <f t="shared" si="145"/>
        <v>22-Jan-2024</v>
      </c>
      <c r="AB635" s="7">
        <f t="shared" si="146"/>
        <v>2021.3</v>
      </c>
      <c r="AC635" s="7">
        <f t="shared" si="150"/>
        <v>1</v>
      </c>
      <c r="AD635" s="7">
        <f t="shared" si="147"/>
        <v>2024</v>
      </c>
      <c r="AE635" s="19">
        <f t="shared" si="148"/>
        <v>-0.09</v>
      </c>
      <c r="BA635" s="10">
        <f t="shared" si="149"/>
        <v>26.997800000000002</v>
      </c>
    </row>
    <row r="636" spans="1:53" x14ac:dyDescent="0.3">
      <c r="A636" s="17">
        <v>45314</v>
      </c>
      <c r="B636" s="8">
        <v>2023.7</v>
      </c>
      <c r="C636" s="7">
        <v>2030.3</v>
      </c>
      <c r="D636" s="7">
        <v>2022.5</v>
      </c>
      <c r="E636" s="7">
        <v>2030.3</v>
      </c>
      <c r="F636" s="18">
        <v>15</v>
      </c>
      <c r="G636" s="7">
        <v>2028.1286</v>
      </c>
      <c r="H636" s="7">
        <v>2033.35</v>
      </c>
      <c r="I636" s="7">
        <v>1976.3444</v>
      </c>
      <c r="J636" s="8">
        <v>0.44529999999999997</v>
      </c>
      <c r="K636" s="7">
        <v>0.76870000000000005</v>
      </c>
      <c r="L636" s="7">
        <v>0.81430000000000002</v>
      </c>
      <c r="M636" s="8">
        <v>40.736600000000003</v>
      </c>
      <c r="N636" s="8">
        <v>1.7000000000000001E-2</v>
      </c>
      <c r="O636" s="7">
        <v>3.4826000000000001</v>
      </c>
      <c r="P636" s="7">
        <v>2079.9177</v>
      </c>
      <c r="Q636" s="7">
        <v>2002.3123000000001</v>
      </c>
      <c r="R636" s="7" t="str">
        <f t="shared" si="136"/>
        <v>Up</v>
      </c>
      <c r="S636" s="7" t="str">
        <f t="shared" si="137"/>
        <v>Hold</v>
      </c>
      <c r="T636" s="8">
        <f t="shared" si="138"/>
        <v>0.18504747663551377</v>
      </c>
      <c r="U636" s="18">
        <f t="shared" si="139"/>
        <v>2473077</v>
      </c>
      <c r="V636" s="7">
        <f t="shared" si="140"/>
        <v>5586.2002000000002</v>
      </c>
      <c r="W636" s="7">
        <f t="shared" si="141"/>
        <v>1984.8</v>
      </c>
      <c r="X636" s="7">
        <f t="shared" si="142"/>
        <v>2030.3</v>
      </c>
      <c r="Y636" s="7">
        <f t="shared" si="143"/>
        <v>217</v>
      </c>
      <c r="Z636" s="7">
        <f t="shared" si="144"/>
        <v>767546</v>
      </c>
      <c r="AA636" s="7" t="str">
        <f t="shared" si="145"/>
        <v>23-Jan-2024</v>
      </c>
      <c r="AB636" s="7">
        <f t="shared" si="146"/>
        <v>2030.3</v>
      </c>
      <c r="AC636" s="7">
        <f t="shared" si="150"/>
        <v>1</v>
      </c>
      <c r="AD636" s="7">
        <f t="shared" si="147"/>
        <v>2024</v>
      </c>
      <c r="AE636" s="19">
        <f t="shared" si="148"/>
        <v>0.45</v>
      </c>
      <c r="BA636" s="10">
        <f t="shared" si="149"/>
        <v>26.997800000000002</v>
      </c>
    </row>
    <row r="637" spans="1:53" x14ac:dyDescent="0.3">
      <c r="A637" s="17">
        <v>45315</v>
      </c>
      <c r="B637" s="8">
        <v>2013.9</v>
      </c>
      <c r="C637" s="7">
        <v>2033.2</v>
      </c>
      <c r="D637" s="7">
        <v>2013.9</v>
      </c>
      <c r="E637" s="7">
        <v>2023.2</v>
      </c>
      <c r="F637" s="18">
        <v>253</v>
      </c>
      <c r="G637" s="7">
        <v>2027</v>
      </c>
      <c r="H637" s="7">
        <v>2033.0667000000001</v>
      </c>
      <c r="I637" s="7">
        <v>1977.68</v>
      </c>
      <c r="J637" s="8">
        <v>-0.34970000000000001</v>
      </c>
      <c r="K637" s="7">
        <v>0.77149999999999996</v>
      </c>
      <c r="L637" s="7">
        <v>0.8165</v>
      </c>
      <c r="M637" s="8">
        <v>46.4968</v>
      </c>
      <c r="N637" s="8">
        <v>-0.53400000000000003</v>
      </c>
      <c r="O637" s="7">
        <v>2.6793</v>
      </c>
      <c r="P637" s="7">
        <v>2078.4427999999998</v>
      </c>
      <c r="Q637" s="7">
        <v>2000.5372</v>
      </c>
      <c r="R637" s="7" t="str">
        <f t="shared" si="136"/>
        <v>Up</v>
      </c>
      <c r="S637" s="7" t="str">
        <f t="shared" si="137"/>
        <v>Hold</v>
      </c>
      <c r="T637" s="8">
        <f t="shared" si="138"/>
        <v>0.18456011235955036</v>
      </c>
      <c r="U637" s="18">
        <f t="shared" si="139"/>
        <v>2473062</v>
      </c>
      <c r="V637" s="7">
        <f t="shared" si="140"/>
        <v>5586.2002000000002</v>
      </c>
      <c r="W637" s="7">
        <f t="shared" si="141"/>
        <v>1984.8</v>
      </c>
      <c r="X637" s="7">
        <f t="shared" si="142"/>
        <v>2023.2</v>
      </c>
      <c r="Y637" s="7">
        <f t="shared" si="143"/>
        <v>216</v>
      </c>
      <c r="Z637" s="7">
        <f t="shared" si="144"/>
        <v>767531</v>
      </c>
      <c r="AA637" s="7" t="str">
        <f t="shared" si="145"/>
        <v>24-Jan-2024</v>
      </c>
      <c r="AB637" s="7">
        <f t="shared" si="146"/>
        <v>2023.2</v>
      </c>
      <c r="AC637" s="7">
        <f t="shared" si="150"/>
        <v>1</v>
      </c>
      <c r="AD637" s="7">
        <f t="shared" si="147"/>
        <v>2024</v>
      </c>
      <c r="AE637" s="19">
        <f t="shared" si="148"/>
        <v>-0.35</v>
      </c>
      <c r="BA637" s="10">
        <f t="shared" si="149"/>
        <v>26.997800000000002</v>
      </c>
    </row>
    <row r="638" spans="1:53" x14ac:dyDescent="0.3">
      <c r="A638" s="17">
        <v>45316</v>
      </c>
      <c r="B638" s="8">
        <v>2016.9</v>
      </c>
      <c r="C638" s="7">
        <v>2022.4</v>
      </c>
      <c r="D638" s="7">
        <v>2012.1</v>
      </c>
      <c r="E638" s="7">
        <v>2012.1</v>
      </c>
      <c r="F638" s="18">
        <v>548</v>
      </c>
      <c r="G638" s="7">
        <v>2021.3429000000001</v>
      </c>
      <c r="H638" s="7">
        <v>2033.3333</v>
      </c>
      <c r="I638" s="7">
        <v>1978.6643999999999</v>
      </c>
      <c r="J638" s="8">
        <v>-0.54859999999999998</v>
      </c>
      <c r="K638" s="7">
        <v>0.62290000000000001</v>
      </c>
      <c r="L638" s="7">
        <v>0.78310000000000002</v>
      </c>
      <c r="M638" s="8">
        <v>40.821399999999997</v>
      </c>
      <c r="N638" s="8">
        <v>-1.8451</v>
      </c>
      <c r="O638" s="7">
        <v>1.7744</v>
      </c>
      <c r="P638" s="7">
        <v>2076.6241</v>
      </c>
      <c r="Q638" s="7">
        <v>1997.5659000000001</v>
      </c>
      <c r="R638" s="7" t="str">
        <f t="shared" si="136"/>
        <v>Down</v>
      </c>
      <c r="S638" s="7" t="str">
        <f t="shared" si="137"/>
        <v>Hold</v>
      </c>
      <c r="T638" s="8">
        <f t="shared" si="138"/>
        <v>0.18556247654784216</v>
      </c>
      <c r="U638" s="18">
        <f t="shared" si="139"/>
        <v>2472809</v>
      </c>
      <c r="V638" s="7">
        <f t="shared" si="140"/>
        <v>5586.2002000000002</v>
      </c>
      <c r="W638" s="7">
        <f t="shared" si="141"/>
        <v>1984.8</v>
      </c>
      <c r="X638" s="7">
        <f t="shared" si="142"/>
        <v>2012.1</v>
      </c>
      <c r="Y638" s="7">
        <f t="shared" si="143"/>
        <v>215</v>
      </c>
      <c r="Z638" s="7">
        <f t="shared" si="144"/>
        <v>767278</v>
      </c>
      <c r="AA638" s="7" t="str">
        <f t="shared" si="145"/>
        <v>25-Jan-2024</v>
      </c>
      <c r="AB638" s="7">
        <f t="shared" si="146"/>
        <v>2012.1</v>
      </c>
      <c r="AC638" s="7">
        <f t="shared" si="150"/>
        <v>1</v>
      </c>
      <c r="AD638" s="7">
        <f t="shared" si="147"/>
        <v>2024</v>
      </c>
      <c r="AE638" s="19">
        <f t="shared" si="148"/>
        <v>-0.55000000000000004</v>
      </c>
      <c r="BA638" s="10">
        <f t="shared" si="149"/>
        <v>26.997800000000002</v>
      </c>
    </row>
    <row r="639" spans="1:53" x14ac:dyDescent="0.3">
      <c r="A639" s="17">
        <v>45317</v>
      </c>
      <c r="B639" s="8">
        <v>2016.8</v>
      </c>
      <c r="C639" s="7">
        <v>2022.4</v>
      </c>
      <c r="D639" s="7">
        <v>2016.8</v>
      </c>
      <c r="E639" s="7">
        <v>2021.7</v>
      </c>
      <c r="F639" s="18">
        <v>49</v>
      </c>
      <c r="G639" s="7">
        <v>2020.6570999999999</v>
      </c>
      <c r="H639" s="7">
        <v>2034.5833</v>
      </c>
      <c r="I639" s="7">
        <v>1979.7032999999999</v>
      </c>
      <c r="J639" s="8">
        <v>0.47710000000000002</v>
      </c>
      <c r="K639" s="7">
        <v>0.51229999999999998</v>
      </c>
      <c r="L639" s="7">
        <v>0.76349999999999996</v>
      </c>
      <c r="M639" s="8">
        <v>43.189900000000002</v>
      </c>
      <c r="N639" s="8">
        <v>-2.0853999999999999</v>
      </c>
      <c r="O639" s="7">
        <v>1.0024999999999999</v>
      </c>
      <c r="P639" s="7">
        <v>2072.2112999999999</v>
      </c>
      <c r="Q639" s="7">
        <v>1997.4186999999999</v>
      </c>
      <c r="R639" s="7" t="str">
        <f t="shared" si="136"/>
        <v>Up</v>
      </c>
      <c r="S639" s="7" t="str">
        <f t="shared" si="137"/>
        <v>Hold</v>
      </c>
      <c r="T639" s="8">
        <f t="shared" si="138"/>
        <v>0.18694248120300733</v>
      </c>
      <c r="U639" s="18">
        <f t="shared" si="139"/>
        <v>2472261</v>
      </c>
      <c r="V639" s="7">
        <f t="shared" si="140"/>
        <v>5586.2002000000002</v>
      </c>
      <c r="W639" s="7">
        <f t="shared" si="141"/>
        <v>1984.8</v>
      </c>
      <c r="X639" s="7">
        <f t="shared" si="142"/>
        <v>2021.7</v>
      </c>
      <c r="Y639" s="7">
        <f t="shared" si="143"/>
        <v>215</v>
      </c>
      <c r="Z639" s="7">
        <f t="shared" si="144"/>
        <v>767278</v>
      </c>
      <c r="AA639" s="7" t="str">
        <f t="shared" si="145"/>
        <v>26-Jan-2024</v>
      </c>
      <c r="AB639" s="7">
        <f t="shared" si="146"/>
        <v>2021.7</v>
      </c>
      <c r="AC639" s="7">
        <f t="shared" si="150"/>
        <v>1</v>
      </c>
      <c r="AD639" s="7">
        <f t="shared" si="147"/>
        <v>2024</v>
      </c>
      <c r="AE639" s="19">
        <f t="shared" si="148"/>
        <v>0.48</v>
      </c>
      <c r="BA639" s="10">
        <f t="shared" si="149"/>
        <v>26.997800000000002</v>
      </c>
    </row>
    <row r="640" spans="1:53" x14ac:dyDescent="0.3">
      <c r="A640" s="17">
        <v>45320</v>
      </c>
      <c r="B640" s="8">
        <v>2025.2</v>
      </c>
      <c r="C640" s="7">
        <v>2025.2</v>
      </c>
      <c r="D640" s="7">
        <v>2025.2</v>
      </c>
      <c r="E640" s="7">
        <v>2025.2</v>
      </c>
      <c r="F640" s="18">
        <v>150708</v>
      </c>
      <c r="G640" s="7">
        <v>2022.4286</v>
      </c>
      <c r="H640" s="7">
        <v>2036.14</v>
      </c>
      <c r="I640" s="7">
        <v>1980.7166999999999</v>
      </c>
      <c r="J640" s="8">
        <v>0.1731</v>
      </c>
      <c r="K640" s="7">
        <v>0.42820000000000003</v>
      </c>
      <c r="L640" s="7">
        <v>0.76080000000000003</v>
      </c>
      <c r="M640" s="8">
        <v>52.096200000000003</v>
      </c>
      <c r="N640" s="8">
        <v>-1.9708000000000001</v>
      </c>
      <c r="O640" s="7">
        <v>0.4078</v>
      </c>
      <c r="P640" s="7">
        <v>2062.3865999999998</v>
      </c>
      <c r="Q640" s="7">
        <v>2001.6033</v>
      </c>
      <c r="R640" s="7" t="str">
        <f t="shared" si="136"/>
        <v>Down</v>
      </c>
      <c r="S640" s="7" t="str">
        <f t="shared" si="137"/>
        <v>Hold</v>
      </c>
      <c r="T640" s="8">
        <f t="shared" si="138"/>
        <v>0.18639604519773986</v>
      </c>
      <c r="U640" s="18">
        <f t="shared" si="139"/>
        <v>2472212</v>
      </c>
      <c r="V640" s="7">
        <f t="shared" si="140"/>
        <v>5586.2002000000002</v>
      </c>
      <c r="W640" s="7">
        <f t="shared" si="141"/>
        <v>1984.8</v>
      </c>
      <c r="X640" s="7">
        <f t="shared" si="142"/>
        <v>2025.2</v>
      </c>
      <c r="Y640" s="7">
        <f t="shared" si="143"/>
        <v>214</v>
      </c>
      <c r="Z640" s="7">
        <f t="shared" si="144"/>
        <v>767229</v>
      </c>
      <c r="AA640" s="7" t="str">
        <f t="shared" si="145"/>
        <v>29-Jan-2024</v>
      </c>
      <c r="AB640" s="7">
        <f t="shared" si="146"/>
        <v>2025.2</v>
      </c>
      <c r="AC640" s="7">
        <f t="shared" si="150"/>
        <v>1</v>
      </c>
      <c r="AD640" s="7">
        <f t="shared" si="147"/>
        <v>2024</v>
      </c>
      <c r="AE640" s="19">
        <f t="shared" si="148"/>
        <v>0.17</v>
      </c>
      <c r="BA640" s="10">
        <f t="shared" si="149"/>
        <v>26.997800000000002</v>
      </c>
    </row>
    <row r="641" spans="1:53" x14ac:dyDescent="0.3">
      <c r="A641" s="17">
        <v>45321</v>
      </c>
      <c r="B641" s="8">
        <v>2031.5</v>
      </c>
      <c r="C641" s="7">
        <v>2048.5</v>
      </c>
      <c r="D641" s="7">
        <v>2028.1</v>
      </c>
      <c r="E641" s="7">
        <v>2032.5</v>
      </c>
      <c r="F641" s="18">
        <v>26907</v>
      </c>
      <c r="G641" s="7">
        <v>2023.7571</v>
      </c>
      <c r="H641" s="7">
        <v>2036.4</v>
      </c>
      <c r="I641" s="7">
        <v>1981.6822</v>
      </c>
      <c r="J641" s="8">
        <v>0.36049999999999999</v>
      </c>
      <c r="K641" s="7">
        <v>0.40560000000000002</v>
      </c>
      <c r="L641" s="7">
        <v>0.63390000000000002</v>
      </c>
      <c r="M641" s="8">
        <v>48.787599999999998</v>
      </c>
      <c r="N641" s="8">
        <v>-1.2761</v>
      </c>
      <c r="O641" s="7">
        <v>7.0999999999999994E-2</v>
      </c>
      <c r="P641" s="7">
        <v>2055.4692</v>
      </c>
      <c r="Q641" s="7">
        <v>2004.9708000000001</v>
      </c>
      <c r="R641" s="7" t="str">
        <f t="shared" si="136"/>
        <v>Up</v>
      </c>
      <c r="S641" s="7" t="str">
        <f t="shared" si="137"/>
        <v>Hold</v>
      </c>
      <c r="T641" s="8">
        <f t="shared" si="138"/>
        <v>0.18642113207547142</v>
      </c>
      <c r="U641" s="18">
        <f t="shared" si="139"/>
        <v>2321504</v>
      </c>
      <c r="V641" s="7">
        <f t="shared" si="140"/>
        <v>5586.2002000000002</v>
      </c>
      <c r="W641" s="7">
        <f t="shared" si="141"/>
        <v>1984.8</v>
      </c>
      <c r="X641" s="7">
        <f t="shared" si="142"/>
        <v>2032.5</v>
      </c>
      <c r="Y641" s="7">
        <f t="shared" si="143"/>
        <v>214</v>
      </c>
      <c r="Z641" s="7">
        <f t="shared" si="144"/>
        <v>767229</v>
      </c>
      <c r="AA641" s="7" t="str">
        <f t="shared" si="145"/>
        <v>30-Jan-2024</v>
      </c>
      <c r="AB641" s="7">
        <f t="shared" si="146"/>
        <v>2032.5</v>
      </c>
      <c r="AC641" s="7">
        <f t="shared" si="150"/>
        <v>1</v>
      </c>
      <c r="AD641" s="7">
        <f t="shared" si="147"/>
        <v>2024</v>
      </c>
      <c r="AE641" s="19">
        <f t="shared" si="148"/>
        <v>0.36</v>
      </c>
      <c r="BA641" s="10">
        <f t="shared" si="149"/>
        <v>26.997800000000002</v>
      </c>
    </row>
    <row r="642" spans="1:53" x14ac:dyDescent="0.3">
      <c r="A642" s="17">
        <v>45322</v>
      </c>
      <c r="B642" s="8">
        <v>2048.3998999999999</v>
      </c>
      <c r="C642" s="7">
        <v>2055</v>
      </c>
      <c r="D642" s="7">
        <v>2030</v>
      </c>
      <c r="E642" s="7">
        <v>2035.4</v>
      </c>
      <c r="F642" s="18">
        <v>2007</v>
      </c>
      <c r="G642" s="7">
        <v>2025.7714000000001</v>
      </c>
      <c r="H642" s="7">
        <v>2036.4933000000001</v>
      </c>
      <c r="I642" s="7">
        <v>1982.92</v>
      </c>
      <c r="J642" s="8">
        <v>0.14269999999999999</v>
      </c>
      <c r="K642" s="7">
        <v>0.39989999999999998</v>
      </c>
      <c r="L642" s="7">
        <v>0.63039999999999996</v>
      </c>
      <c r="M642" s="8">
        <v>52.4206</v>
      </c>
      <c r="N642" s="8">
        <v>-0.48599999999999999</v>
      </c>
      <c r="O642" s="7">
        <v>-4.0399999999999998E-2</v>
      </c>
      <c r="P642" s="7">
        <v>2048.8571999999999</v>
      </c>
      <c r="Q642" s="7">
        <v>2008.7728</v>
      </c>
      <c r="R642" s="7" t="str">
        <f t="shared" si="136"/>
        <v>Down</v>
      </c>
      <c r="S642" s="7" t="str">
        <f t="shared" si="137"/>
        <v>Hold</v>
      </c>
      <c r="T642" s="8">
        <f t="shared" si="138"/>
        <v>0.18609206049149318</v>
      </c>
      <c r="U642" s="18">
        <f t="shared" si="139"/>
        <v>2294597</v>
      </c>
      <c r="V642" s="7">
        <f t="shared" si="140"/>
        <v>5586.2002000000002</v>
      </c>
      <c r="W642" s="7">
        <f t="shared" si="141"/>
        <v>1984.8</v>
      </c>
      <c r="X642" s="7">
        <f t="shared" si="142"/>
        <v>2035.4</v>
      </c>
      <c r="Y642" s="7">
        <f t="shared" si="143"/>
        <v>213</v>
      </c>
      <c r="Z642" s="7">
        <f t="shared" si="144"/>
        <v>740322</v>
      </c>
      <c r="AA642" s="7" t="str">
        <f t="shared" si="145"/>
        <v>31-Jan-2024</v>
      </c>
      <c r="AB642" s="7">
        <f t="shared" si="146"/>
        <v>2035.4</v>
      </c>
      <c r="AC642" s="7">
        <f t="shared" si="150"/>
        <v>1</v>
      </c>
      <c r="AD642" s="7">
        <f t="shared" si="147"/>
        <v>2024</v>
      </c>
      <c r="AE642" s="19">
        <f t="shared" si="148"/>
        <v>0.14000000000000001</v>
      </c>
      <c r="BA642" s="10">
        <f t="shared" si="149"/>
        <v>26.997800000000002</v>
      </c>
    </row>
    <row r="643" spans="1:53" x14ac:dyDescent="0.3">
      <c r="A643" s="17">
        <v>45323</v>
      </c>
      <c r="B643" s="8">
        <v>2053</v>
      </c>
      <c r="C643" s="7">
        <v>2064.5</v>
      </c>
      <c r="D643" s="7">
        <v>2029</v>
      </c>
      <c r="E643" s="7">
        <v>2040.2</v>
      </c>
      <c r="F643" s="18">
        <v>947</v>
      </c>
      <c r="G643" s="7">
        <v>2027.1857</v>
      </c>
      <c r="H643" s="7">
        <v>2037.0233000000001</v>
      </c>
      <c r="I643" s="7">
        <v>1984.1955</v>
      </c>
      <c r="J643" s="8">
        <v>0.23580000000000001</v>
      </c>
      <c r="K643" s="7">
        <v>0.37690000000000001</v>
      </c>
      <c r="L643" s="7">
        <v>0.62680000000000002</v>
      </c>
      <c r="M643" s="8">
        <v>55.672400000000003</v>
      </c>
      <c r="N643" s="8">
        <v>0.52139999999999997</v>
      </c>
      <c r="O643" s="7">
        <v>7.1999999999999995E-2</v>
      </c>
      <c r="P643" s="7">
        <v>2049.6696000000002</v>
      </c>
      <c r="Q643" s="7">
        <v>2008.5603000000001</v>
      </c>
      <c r="R643" s="7" t="str">
        <f t="shared" ref="R643:R706" si="151">IF(E643&gt;B643,"Up","Down")</f>
        <v>Down</v>
      </c>
      <c r="S643" s="7" t="str">
        <f t="shared" ref="S643:S706" si="152">IF(M643&gt;70,"Sell",IF(M643&lt;30,"Buy","Hold"))</f>
        <v>Hold</v>
      </c>
      <c r="T643" s="8">
        <f t="shared" ref="T643:T706" si="153">AVERAGE(J643:J1811)</f>
        <v>0.18617424242424224</v>
      </c>
      <c r="U643" s="18">
        <f t="shared" ref="U643:U706" si="154">SUM(F643:F1811)</f>
        <v>2292590</v>
      </c>
      <c r="V643" s="7">
        <f t="shared" ref="V643:V706" si="155">MAX(C643:C1811)</f>
        <v>5586.2002000000002</v>
      </c>
      <c r="W643" s="7">
        <f t="shared" ref="W643:W706" si="156">MIN(D643:D1811)</f>
        <v>1984.8</v>
      </c>
      <c r="X643" s="7">
        <f t="shared" ref="X643:X706" si="157">INDEX(E643:E1811,MATCH(A643,A643:A1811,0))</f>
        <v>2040.2</v>
      </c>
      <c r="Y643" s="7">
        <f t="shared" ref="Y643:Y706" si="158">COUNTIF(R643:R1811,"Up")</f>
        <v>213</v>
      </c>
      <c r="Z643" s="7">
        <f t="shared" ref="Z643:Z706" si="159">SUMIF(R643:R1811,"Up",F643:F1811)</f>
        <v>740322</v>
      </c>
      <c r="AA643" s="7" t="str">
        <f t="shared" ref="AA643:AA706" si="160">TEXT(A643,"DD-MMM-YYYY")</f>
        <v>01-Feb-2024</v>
      </c>
      <c r="AB643" s="7">
        <f t="shared" ref="AB643:AB706" si="161">_xlfn.XLOOKUP(A643,A643:A1811,E643:E1811)</f>
        <v>2040.2</v>
      </c>
      <c r="AC643" s="7">
        <f t="shared" si="150"/>
        <v>1</v>
      </c>
      <c r="AD643" s="7">
        <f t="shared" ref="AD643:AD706" si="162">YEAR(A643)</f>
        <v>2024</v>
      </c>
      <c r="AE643" s="19">
        <f t="shared" ref="AE643:AE706" si="163">ROUND(J643,2)</f>
        <v>0.24</v>
      </c>
      <c r="BA643" s="10">
        <f t="shared" ref="BA643:BA706" si="164">MODE(M643:M1811)</f>
        <v>26.997800000000002</v>
      </c>
    </row>
    <row r="644" spans="1:53" x14ac:dyDescent="0.3">
      <c r="A644" s="17">
        <v>45324</v>
      </c>
      <c r="B644" s="8">
        <v>2036.1</v>
      </c>
      <c r="C644" s="7">
        <v>2055.8998999999999</v>
      </c>
      <c r="D644" s="7">
        <v>2027.7</v>
      </c>
      <c r="E644" s="7">
        <v>2054.8000000000002</v>
      </c>
      <c r="F644" s="18">
        <v>888</v>
      </c>
      <c r="G644" s="7">
        <v>2031.7</v>
      </c>
      <c r="H644" s="7">
        <v>2038.01</v>
      </c>
      <c r="I644" s="7">
        <v>1985.7311</v>
      </c>
      <c r="J644" s="8">
        <v>0.71560000000000001</v>
      </c>
      <c r="K644" s="7">
        <v>0.39379999999999998</v>
      </c>
      <c r="L644" s="7">
        <v>0.63929999999999998</v>
      </c>
      <c r="M644" s="8">
        <v>58.3628</v>
      </c>
      <c r="N644" s="8">
        <v>2.4695</v>
      </c>
      <c r="O644" s="7">
        <v>0.55149999999999999</v>
      </c>
      <c r="P644" s="7">
        <v>2052.7256000000002</v>
      </c>
      <c r="Q644" s="7">
        <v>2006.8243</v>
      </c>
      <c r="R644" s="7" t="str">
        <f t="shared" si="151"/>
        <v>Up</v>
      </c>
      <c r="S644" s="7" t="str">
        <f t="shared" si="152"/>
        <v>Hold</v>
      </c>
      <c r="T644" s="8">
        <f t="shared" si="153"/>
        <v>0.18608007590132805</v>
      </c>
      <c r="U644" s="18">
        <f t="shared" si="154"/>
        <v>2291643</v>
      </c>
      <c r="V644" s="7">
        <f t="shared" si="155"/>
        <v>5586.2002000000002</v>
      </c>
      <c r="W644" s="7">
        <f t="shared" si="156"/>
        <v>1984.8</v>
      </c>
      <c r="X644" s="7">
        <f t="shared" si="157"/>
        <v>2054.8000000000002</v>
      </c>
      <c r="Y644" s="7">
        <f t="shared" si="158"/>
        <v>213</v>
      </c>
      <c r="Z644" s="7">
        <f t="shared" si="159"/>
        <v>740322</v>
      </c>
      <c r="AA644" s="7" t="str">
        <f t="shared" si="160"/>
        <v>02-Feb-2024</v>
      </c>
      <c r="AB644" s="7">
        <f t="shared" si="161"/>
        <v>2054.8000000000002</v>
      </c>
      <c r="AC644" s="7">
        <f t="shared" si="150"/>
        <v>1</v>
      </c>
      <c r="AD644" s="7">
        <f t="shared" si="162"/>
        <v>2024</v>
      </c>
      <c r="AE644" s="19">
        <f t="shared" si="163"/>
        <v>0.72</v>
      </c>
      <c r="BA644" s="10">
        <f t="shared" si="164"/>
        <v>26.997800000000002</v>
      </c>
    </row>
    <row r="645" spans="1:53" x14ac:dyDescent="0.3">
      <c r="A645" s="17">
        <v>45327</v>
      </c>
      <c r="B645" s="8">
        <v>2025.7</v>
      </c>
      <c r="C645" s="7">
        <v>2040.8</v>
      </c>
      <c r="D645" s="7">
        <v>2013.8</v>
      </c>
      <c r="E645" s="7">
        <v>2038.9</v>
      </c>
      <c r="F645" s="18">
        <v>412</v>
      </c>
      <c r="G645" s="7">
        <v>2035.5286000000001</v>
      </c>
      <c r="H645" s="7">
        <v>2038.07</v>
      </c>
      <c r="I645" s="7">
        <v>1987.2189000000001</v>
      </c>
      <c r="J645" s="8">
        <v>-0.77380000000000004</v>
      </c>
      <c r="K645" s="7">
        <v>0.46929999999999999</v>
      </c>
      <c r="L645" s="7">
        <v>0.64810000000000001</v>
      </c>
      <c r="M645" s="8">
        <v>45.328499999999998</v>
      </c>
      <c r="N645" s="8">
        <v>2.6991999999999998</v>
      </c>
      <c r="O645" s="7">
        <v>0.98099999999999998</v>
      </c>
      <c r="P645" s="7">
        <v>2051.8173000000002</v>
      </c>
      <c r="Q645" s="7">
        <v>2007.1727000000001</v>
      </c>
      <c r="R645" s="7" t="str">
        <f t="shared" si="151"/>
        <v>Up</v>
      </c>
      <c r="S645" s="7" t="str">
        <f t="shared" si="152"/>
        <v>Hold</v>
      </c>
      <c r="T645" s="8">
        <f t="shared" si="153"/>
        <v>0.18507338403041798</v>
      </c>
      <c r="U645" s="18">
        <f t="shared" si="154"/>
        <v>2290755</v>
      </c>
      <c r="V645" s="7">
        <f t="shared" si="155"/>
        <v>5586.2002000000002</v>
      </c>
      <c r="W645" s="7">
        <f t="shared" si="156"/>
        <v>1984.8</v>
      </c>
      <c r="X645" s="7">
        <f t="shared" si="157"/>
        <v>2038.9</v>
      </c>
      <c r="Y645" s="7">
        <f t="shared" si="158"/>
        <v>212</v>
      </c>
      <c r="Z645" s="7">
        <f t="shared" si="159"/>
        <v>739434</v>
      </c>
      <c r="AA645" s="7" t="str">
        <f t="shared" si="160"/>
        <v>05-Feb-2024</v>
      </c>
      <c r="AB645" s="7">
        <f t="shared" si="161"/>
        <v>2038.9</v>
      </c>
      <c r="AC645" s="7">
        <f t="shared" ref="AC645:AC708" si="165">_xlfn.XMATCH(A645,A645:A1813)</f>
        <v>1</v>
      </c>
      <c r="AD645" s="7">
        <f t="shared" si="162"/>
        <v>2024</v>
      </c>
      <c r="AE645" s="19">
        <f t="shared" si="163"/>
        <v>-0.77</v>
      </c>
      <c r="BA645" s="10">
        <f t="shared" si="164"/>
        <v>26.997800000000002</v>
      </c>
    </row>
    <row r="646" spans="1:53" x14ac:dyDescent="0.3">
      <c r="A646" s="17">
        <v>45328</v>
      </c>
      <c r="B646" s="8">
        <v>2034.5</v>
      </c>
      <c r="C646" s="7">
        <v>2037.3</v>
      </c>
      <c r="D646" s="7">
        <v>2025.9</v>
      </c>
      <c r="E646" s="7">
        <v>2025.9</v>
      </c>
      <c r="F646" s="18">
        <v>249</v>
      </c>
      <c r="G646" s="7">
        <v>2036.1286</v>
      </c>
      <c r="H646" s="7">
        <v>2037.74</v>
      </c>
      <c r="I646" s="7">
        <v>1988.9332999999999</v>
      </c>
      <c r="J646" s="8">
        <v>-0.63759999999999994</v>
      </c>
      <c r="K646" s="7">
        <v>0.53949999999999998</v>
      </c>
      <c r="L646" s="7">
        <v>0.65849999999999997</v>
      </c>
      <c r="M646" s="8">
        <v>49.759599999999999</v>
      </c>
      <c r="N646" s="8">
        <v>1.8113999999999999</v>
      </c>
      <c r="O646" s="7">
        <v>1.1471</v>
      </c>
      <c r="P646" s="7">
        <v>2051.6929</v>
      </c>
      <c r="Q646" s="7">
        <v>2007.9770000000001</v>
      </c>
      <c r="R646" s="7" t="str">
        <f t="shared" si="151"/>
        <v>Down</v>
      </c>
      <c r="S646" s="7" t="str">
        <f t="shared" si="152"/>
        <v>Hold</v>
      </c>
      <c r="T646" s="8">
        <f t="shared" si="153"/>
        <v>0.1868998095238093</v>
      </c>
      <c r="U646" s="18">
        <f t="shared" si="154"/>
        <v>2290343</v>
      </c>
      <c r="V646" s="7">
        <f t="shared" si="155"/>
        <v>5586.2002000000002</v>
      </c>
      <c r="W646" s="7">
        <f t="shared" si="156"/>
        <v>1984.8</v>
      </c>
      <c r="X646" s="7">
        <f t="shared" si="157"/>
        <v>2025.9</v>
      </c>
      <c r="Y646" s="7">
        <f t="shared" si="158"/>
        <v>211</v>
      </c>
      <c r="Z646" s="7">
        <f t="shared" si="159"/>
        <v>739022</v>
      </c>
      <c r="AA646" s="7" t="str">
        <f t="shared" si="160"/>
        <v>06-Feb-2024</v>
      </c>
      <c r="AB646" s="7">
        <f t="shared" si="161"/>
        <v>2025.9</v>
      </c>
      <c r="AC646" s="7">
        <f t="shared" si="165"/>
        <v>1</v>
      </c>
      <c r="AD646" s="7">
        <f t="shared" si="162"/>
        <v>2024</v>
      </c>
      <c r="AE646" s="19">
        <f t="shared" si="163"/>
        <v>-0.64</v>
      </c>
      <c r="BA646" s="10">
        <f t="shared" si="164"/>
        <v>26.997800000000002</v>
      </c>
    </row>
    <row r="647" spans="1:53" x14ac:dyDescent="0.3">
      <c r="A647" s="17">
        <v>45329</v>
      </c>
      <c r="B647" s="8">
        <v>2035.2</v>
      </c>
      <c r="C647" s="7">
        <v>2039.5</v>
      </c>
      <c r="D647" s="7">
        <v>2032.7</v>
      </c>
      <c r="E647" s="7">
        <v>2032.8</v>
      </c>
      <c r="F647" s="18">
        <v>71</v>
      </c>
      <c r="G647" s="7">
        <v>2037.2143000000001</v>
      </c>
      <c r="H647" s="7">
        <v>2036.9766999999999</v>
      </c>
      <c r="I647" s="7">
        <v>1990.6811</v>
      </c>
      <c r="J647" s="8">
        <v>0.34060000000000001</v>
      </c>
      <c r="K647" s="7">
        <v>0.55049999999999999</v>
      </c>
      <c r="L647" s="7">
        <v>0.63529999999999998</v>
      </c>
      <c r="M647" s="8">
        <v>58.474600000000002</v>
      </c>
      <c r="N647" s="8">
        <v>1.6456999999999999</v>
      </c>
      <c r="O647" s="7">
        <v>1.2467999999999999</v>
      </c>
      <c r="P647" s="7">
        <v>2051.4114</v>
      </c>
      <c r="Q647" s="7">
        <v>2007.9585999999999</v>
      </c>
      <c r="R647" s="7" t="str">
        <f t="shared" si="151"/>
        <v>Down</v>
      </c>
      <c r="S647" s="7" t="str">
        <f t="shared" si="152"/>
        <v>Hold</v>
      </c>
      <c r="T647" s="8">
        <f t="shared" si="153"/>
        <v>0.18847328244274786</v>
      </c>
      <c r="U647" s="18">
        <f t="shared" si="154"/>
        <v>2290094</v>
      </c>
      <c r="V647" s="7">
        <f t="shared" si="155"/>
        <v>5586.2002000000002</v>
      </c>
      <c r="W647" s="7">
        <f t="shared" si="156"/>
        <v>1984.8</v>
      </c>
      <c r="X647" s="7">
        <f t="shared" si="157"/>
        <v>2032.8</v>
      </c>
      <c r="Y647" s="7">
        <f t="shared" si="158"/>
        <v>211</v>
      </c>
      <c r="Z647" s="7">
        <f t="shared" si="159"/>
        <v>739022</v>
      </c>
      <c r="AA647" s="7" t="str">
        <f t="shared" si="160"/>
        <v>07-Feb-2024</v>
      </c>
      <c r="AB647" s="7">
        <f t="shared" si="161"/>
        <v>2032.8</v>
      </c>
      <c r="AC647" s="7">
        <f t="shared" si="165"/>
        <v>1</v>
      </c>
      <c r="AD647" s="7">
        <f t="shared" si="162"/>
        <v>2024</v>
      </c>
      <c r="AE647" s="19">
        <f t="shared" si="163"/>
        <v>0.34</v>
      </c>
      <c r="BA647" s="10">
        <f t="shared" si="164"/>
        <v>26.997800000000002</v>
      </c>
    </row>
    <row r="648" spans="1:53" x14ac:dyDescent="0.3">
      <c r="A648" s="17">
        <v>45330</v>
      </c>
      <c r="B648" s="8">
        <v>2032.2</v>
      </c>
      <c r="C648" s="7">
        <v>2036.7</v>
      </c>
      <c r="D648" s="7">
        <v>2020.3</v>
      </c>
      <c r="E648" s="7">
        <v>2028</v>
      </c>
      <c r="F648" s="18">
        <v>341</v>
      </c>
      <c r="G648" s="7">
        <v>2036.5714</v>
      </c>
      <c r="H648" s="7">
        <v>2035.91</v>
      </c>
      <c r="I648" s="7">
        <v>1992.5</v>
      </c>
      <c r="J648" s="8">
        <v>-0.2361</v>
      </c>
      <c r="K648" s="7">
        <v>0.54139999999999999</v>
      </c>
      <c r="L648" s="7">
        <v>0.63460000000000005</v>
      </c>
      <c r="M648" s="8">
        <v>52.135300000000001</v>
      </c>
      <c r="N648" s="8">
        <v>1.1141000000000001</v>
      </c>
      <c r="O648" s="7">
        <v>1.2202999999999999</v>
      </c>
      <c r="P648" s="7">
        <v>2051.3726000000001</v>
      </c>
      <c r="Q648" s="7">
        <v>2007.8974000000001</v>
      </c>
      <c r="R648" s="7" t="str">
        <f t="shared" si="151"/>
        <v>Down</v>
      </c>
      <c r="S648" s="7" t="str">
        <f t="shared" si="152"/>
        <v>Hold</v>
      </c>
      <c r="T648" s="8">
        <f t="shared" si="153"/>
        <v>0.18818240917782003</v>
      </c>
      <c r="U648" s="18">
        <f t="shared" si="154"/>
        <v>2290023</v>
      </c>
      <c r="V648" s="7">
        <f t="shared" si="155"/>
        <v>5586.2002000000002</v>
      </c>
      <c r="W648" s="7">
        <f t="shared" si="156"/>
        <v>1984.8</v>
      </c>
      <c r="X648" s="7">
        <f t="shared" si="157"/>
        <v>2028</v>
      </c>
      <c r="Y648" s="7">
        <f t="shared" si="158"/>
        <v>211</v>
      </c>
      <c r="Z648" s="7">
        <f t="shared" si="159"/>
        <v>739022</v>
      </c>
      <c r="AA648" s="7" t="str">
        <f t="shared" si="160"/>
        <v>08-Feb-2024</v>
      </c>
      <c r="AB648" s="7">
        <f t="shared" si="161"/>
        <v>2028</v>
      </c>
      <c r="AC648" s="7">
        <f t="shared" si="165"/>
        <v>1</v>
      </c>
      <c r="AD648" s="7">
        <f t="shared" si="162"/>
        <v>2024</v>
      </c>
      <c r="AE648" s="19">
        <f t="shared" si="163"/>
        <v>-0.24</v>
      </c>
      <c r="BA648" s="10">
        <f t="shared" si="164"/>
        <v>26.997800000000002</v>
      </c>
    </row>
    <row r="649" spans="1:53" x14ac:dyDescent="0.3">
      <c r="A649" s="17">
        <v>45331</v>
      </c>
      <c r="B649" s="8">
        <v>2023.3</v>
      </c>
      <c r="C649" s="7">
        <v>2032</v>
      </c>
      <c r="D649" s="7">
        <v>2020</v>
      </c>
      <c r="E649" s="7">
        <v>2032</v>
      </c>
      <c r="F649" s="18">
        <v>62</v>
      </c>
      <c r="G649" s="7">
        <v>2036.0857000000001</v>
      </c>
      <c r="H649" s="7">
        <v>2034.7333000000001</v>
      </c>
      <c r="I649" s="7">
        <v>1994.5878</v>
      </c>
      <c r="J649" s="8">
        <v>0.19719999999999999</v>
      </c>
      <c r="K649" s="7">
        <v>0.54469999999999996</v>
      </c>
      <c r="L649" s="7">
        <v>0.63180000000000003</v>
      </c>
      <c r="M649" s="8">
        <v>54.672499999999999</v>
      </c>
      <c r="N649" s="8">
        <v>1.004</v>
      </c>
      <c r="O649" s="7">
        <v>1.177</v>
      </c>
      <c r="P649" s="7">
        <v>2051.6334000000002</v>
      </c>
      <c r="Q649" s="7">
        <v>2008.3266000000001</v>
      </c>
      <c r="R649" s="7" t="str">
        <f t="shared" si="151"/>
        <v>Up</v>
      </c>
      <c r="S649" s="7" t="str">
        <f t="shared" si="152"/>
        <v>Hold</v>
      </c>
      <c r="T649" s="8">
        <f t="shared" si="153"/>
        <v>0.1889952107279691</v>
      </c>
      <c r="U649" s="18">
        <f t="shared" si="154"/>
        <v>2289682</v>
      </c>
      <c r="V649" s="7">
        <f t="shared" si="155"/>
        <v>5586.2002000000002</v>
      </c>
      <c r="W649" s="7">
        <f t="shared" si="156"/>
        <v>1984.8</v>
      </c>
      <c r="X649" s="7">
        <f t="shared" si="157"/>
        <v>2032</v>
      </c>
      <c r="Y649" s="7">
        <f t="shared" si="158"/>
        <v>211</v>
      </c>
      <c r="Z649" s="7">
        <f t="shared" si="159"/>
        <v>739022</v>
      </c>
      <c r="AA649" s="7" t="str">
        <f t="shared" si="160"/>
        <v>09-Feb-2024</v>
      </c>
      <c r="AB649" s="7">
        <f t="shared" si="161"/>
        <v>2032</v>
      </c>
      <c r="AC649" s="7">
        <f t="shared" si="165"/>
        <v>1</v>
      </c>
      <c r="AD649" s="7">
        <f t="shared" si="162"/>
        <v>2024</v>
      </c>
      <c r="AE649" s="19">
        <f t="shared" si="163"/>
        <v>0.2</v>
      </c>
      <c r="BA649" s="10">
        <f t="shared" si="164"/>
        <v>26.997800000000002</v>
      </c>
    </row>
    <row r="650" spans="1:53" x14ac:dyDescent="0.3">
      <c r="A650" s="17">
        <v>45334</v>
      </c>
      <c r="B650" s="8">
        <v>2018.2</v>
      </c>
      <c r="C650" s="7">
        <v>2025.5</v>
      </c>
      <c r="D650" s="7">
        <v>2011.6</v>
      </c>
      <c r="E650" s="7">
        <v>2025.5</v>
      </c>
      <c r="F650" s="18">
        <v>317</v>
      </c>
      <c r="G650" s="7">
        <v>2033.9857</v>
      </c>
      <c r="H650" s="7">
        <v>2032.8633</v>
      </c>
      <c r="I650" s="7">
        <v>1996.8155999999999</v>
      </c>
      <c r="J650" s="8">
        <v>-0.31990000000000002</v>
      </c>
      <c r="K650" s="7">
        <v>0.54120000000000001</v>
      </c>
      <c r="L650" s="7">
        <v>0.61739999999999995</v>
      </c>
      <c r="M650" s="8">
        <v>47.857100000000003</v>
      </c>
      <c r="N650" s="8">
        <v>0.38790000000000002</v>
      </c>
      <c r="O650" s="7">
        <v>1.0192000000000001</v>
      </c>
      <c r="P650" s="7">
        <v>2051.4371000000001</v>
      </c>
      <c r="Q650" s="7">
        <v>2007.9629</v>
      </c>
      <c r="R650" s="7" t="str">
        <f t="shared" si="151"/>
        <v>Up</v>
      </c>
      <c r="S650" s="7" t="str">
        <f t="shared" si="152"/>
        <v>Hold</v>
      </c>
      <c r="T650" s="8">
        <f t="shared" si="153"/>
        <v>0.18897946257197676</v>
      </c>
      <c r="U650" s="18">
        <f t="shared" si="154"/>
        <v>2289620</v>
      </c>
      <c r="V650" s="7">
        <f t="shared" si="155"/>
        <v>5586.2002000000002</v>
      </c>
      <c r="W650" s="7">
        <f t="shared" si="156"/>
        <v>1984.8</v>
      </c>
      <c r="X650" s="7">
        <f t="shared" si="157"/>
        <v>2025.5</v>
      </c>
      <c r="Y650" s="7">
        <f t="shared" si="158"/>
        <v>210</v>
      </c>
      <c r="Z650" s="7">
        <f t="shared" si="159"/>
        <v>738960</v>
      </c>
      <c r="AA650" s="7" t="str">
        <f t="shared" si="160"/>
        <v>12-Feb-2024</v>
      </c>
      <c r="AB650" s="7">
        <f t="shared" si="161"/>
        <v>2025.5</v>
      </c>
      <c r="AC650" s="7">
        <f t="shared" si="165"/>
        <v>1</v>
      </c>
      <c r="AD650" s="7">
        <f t="shared" si="162"/>
        <v>2024</v>
      </c>
      <c r="AE650" s="19">
        <f t="shared" si="163"/>
        <v>-0.32</v>
      </c>
      <c r="BA650" s="10">
        <f t="shared" si="164"/>
        <v>26.997800000000002</v>
      </c>
    </row>
    <row r="651" spans="1:53" x14ac:dyDescent="0.3">
      <c r="A651" s="17">
        <v>45335</v>
      </c>
      <c r="B651" s="8">
        <v>1992.9</v>
      </c>
      <c r="C651" s="7">
        <v>2025.8</v>
      </c>
      <c r="D651" s="7">
        <v>1990</v>
      </c>
      <c r="E651" s="7">
        <v>2025.1</v>
      </c>
      <c r="F651" s="18">
        <v>198</v>
      </c>
      <c r="G651" s="7">
        <v>2029.7429</v>
      </c>
      <c r="H651" s="7">
        <v>2031.4332999999999</v>
      </c>
      <c r="I651" s="7">
        <v>1999.0744</v>
      </c>
      <c r="J651" s="8">
        <v>-1.9699999999999999E-2</v>
      </c>
      <c r="K651" s="7">
        <v>0.41199999999999998</v>
      </c>
      <c r="L651" s="7">
        <v>0.60819999999999996</v>
      </c>
      <c r="M651" s="8">
        <v>50.902200000000001</v>
      </c>
      <c r="N651" s="8">
        <v>-0.1313</v>
      </c>
      <c r="O651" s="7">
        <v>0.78910000000000002</v>
      </c>
      <c r="P651" s="7">
        <v>2047.5433</v>
      </c>
      <c r="Q651" s="7">
        <v>2009.1967</v>
      </c>
      <c r="R651" s="7" t="str">
        <f t="shared" si="151"/>
        <v>Up</v>
      </c>
      <c r="S651" s="7" t="str">
        <f t="shared" si="152"/>
        <v>Hold</v>
      </c>
      <c r="T651" s="8">
        <f t="shared" si="153"/>
        <v>0.1899580769230767</v>
      </c>
      <c r="U651" s="18">
        <f t="shared" si="154"/>
        <v>2289303</v>
      </c>
      <c r="V651" s="7">
        <f t="shared" si="155"/>
        <v>5586.2002000000002</v>
      </c>
      <c r="W651" s="7">
        <f t="shared" si="156"/>
        <v>1984.8</v>
      </c>
      <c r="X651" s="7">
        <f t="shared" si="157"/>
        <v>2025.1</v>
      </c>
      <c r="Y651" s="7">
        <f t="shared" si="158"/>
        <v>209</v>
      </c>
      <c r="Z651" s="7">
        <f t="shared" si="159"/>
        <v>738643</v>
      </c>
      <c r="AA651" s="7" t="str">
        <f t="shared" si="160"/>
        <v>13-Feb-2024</v>
      </c>
      <c r="AB651" s="7">
        <f t="shared" si="161"/>
        <v>2025.1</v>
      </c>
      <c r="AC651" s="7">
        <f t="shared" si="165"/>
        <v>1</v>
      </c>
      <c r="AD651" s="7">
        <f t="shared" si="162"/>
        <v>2024</v>
      </c>
      <c r="AE651" s="19">
        <f t="shared" si="163"/>
        <v>-0.02</v>
      </c>
      <c r="BA651" s="10">
        <f t="shared" si="164"/>
        <v>26.997800000000002</v>
      </c>
    </row>
    <row r="652" spans="1:53" x14ac:dyDescent="0.3">
      <c r="A652" s="17">
        <v>45336</v>
      </c>
      <c r="B652" s="8">
        <v>1990.3</v>
      </c>
      <c r="C652" s="7">
        <v>1993.5</v>
      </c>
      <c r="D652" s="7">
        <v>1984.8</v>
      </c>
      <c r="E652" s="7">
        <v>1990.3</v>
      </c>
      <c r="F652" s="18">
        <v>1916</v>
      </c>
      <c r="G652" s="7">
        <v>2022.8</v>
      </c>
      <c r="H652" s="7">
        <v>2028.9933000000001</v>
      </c>
      <c r="I652" s="7">
        <v>2000.8967</v>
      </c>
      <c r="J652" s="8">
        <v>-1.7183999999999999</v>
      </c>
      <c r="K652" s="7">
        <v>0.68969999999999998</v>
      </c>
      <c r="L652" s="7">
        <v>0.67859999999999998</v>
      </c>
      <c r="M652" s="8">
        <v>41.550400000000003</v>
      </c>
      <c r="N652" s="8">
        <v>-3.3125</v>
      </c>
      <c r="O652" s="7">
        <v>-3.1199999999999999E-2</v>
      </c>
      <c r="P652" s="7">
        <v>2052.2154999999998</v>
      </c>
      <c r="Q652" s="7">
        <v>2000.9045000000001</v>
      </c>
      <c r="R652" s="7" t="str">
        <f t="shared" si="151"/>
        <v>Down</v>
      </c>
      <c r="S652" s="7" t="str">
        <f t="shared" si="152"/>
        <v>Hold</v>
      </c>
      <c r="T652" s="8">
        <f t="shared" si="153"/>
        <v>0.19036204238920978</v>
      </c>
      <c r="U652" s="18">
        <f t="shared" si="154"/>
        <v>2289105</v>
      </c>
      <c r="V652" s="7">
        <f t="shared" si="155"/>
        <v>5586.2002000000002</v>
      </c>
      <c r="W652" s="7">
        <f t="shared" si="156"/>
        <v>1984.8</v>
      </c>
      <c r="X652" s="7">
        <f t="shared" si="157"/>
        <v>1990.3</v>
      </c>
      <c r="Y652" s="7">
        <f t="shared" si="158"/>
        <v>208</v>
      </c>
      <c r="Z652" s="7">
        <f t="shared" si="159"/>
        <v>738445</v>
      </c>
      <c r="AA652" s="7" t="str">
        <f t="shared" si="160"/>
        <v>14-Feb-2024</v>
      </c>
      <c r="AB652" s="7">
        <f t="shared" si="161"/>
        <v>1990.3</v>
      </c>
      <c r="AC652" s="7">
        <f t="shared" si="165"/>
        <v>1</v>
      </c>
      <c r="AD652" s="7">
        <f t="shared" si="162"/>
        <v>2024</v>
      </c>
      <c r="AE652" s="19">
        <f t="shared" si="163"/>
        <v>-1.72</v>
      </c>
      <c r="BA652" s="10">
        <f t="shared" si="164"/>
        <v>26.997800000000002</v>
      </c>
    </row>
    <row r="653" spans="1:53" x14ac:dyDescent="0.3">
      <c r="A653" s="17">
        <v>45337</v>
      </c>
      <c r="B653" s="8">
        <v>2002.1</v>
      </c>
      <c r="C653" s="7">
        <v>2007.2</v>
      </c>
      <c r="D653" s="7">
        <v>1993.6</v>
      </c>
      <c r="E653" s="7">
        <v>1993.6</v>
      </c>
      <c r="F653" s="18">
        <v>286</v>
      </c>
      <c r="G653" s="7">
        <v>2018.1857</v>
      </c>
      <c r="H653" s="7">
        <v>2027.64</v>
      </c>
      <c r="I653" s="7">
        <v>2002.8367000000001</v>
      </c>
      <c r="J653" s="8">
        <v>0.1658</v>
      </c>
      <c r="K653" s="7">
        <v>0.69910000000000005</v>
      </c>
      <c r="L653" s="7">
        <v>0.63400000000000001</v>
      </c>
      <c r="M653" s="8">
        <v>38.549300000000002</v>
      </c>
      <c r="N653" s="8">
        <v>-5.5039999999999996</v>
      </c>
      <c r="O653" s="7">
        <v>-1.1257999999999999</v>
      </c>
      <c r="P653" s="7">
        <v>2054.6374000000001</v>
      </c>
      <c r="Q653" s="7">
        <v>1996.5626</v>
      </c>
      <c r="R653" s="7" t="str">
        <f t="shared" si="151"/>
        <v>Down</v>
      </c>
      <c r="S653" s="7" t="str">
        <f t="shared" si="152"/>
        <v>Hold</v>
      </c>
      <c r="T653" s="8">
        <f t="shared" si="153"/>
        <v>0.19404691119691098</v>
      </c>
      <c r="U653" s="18">
        <f t="shared" si="154"/>
        <v>2287189</v>
      </c>
      <c r="V653" s="7">
        <f t="shared" si="155"/>
        <v>5586.2002000000002</v>
      </c>
      <c r="W653" s="7">
        <f t="shared" si="156"/>
        <v>1993.6</v>
      </c>
      <c r="X653" s="7">
        <f t="shared" si="157"/>
        <v>1993.6</v>
      </c>
      <c r="Y653" s="7">
        <f t="shared" si="158"/>
        <v>208</v>
      </c>
      <c r="Z653" s="7">
        <f t="shared" si="159"/>
        <v>738445</v>
      </c>
      <c r="AA653" s="7" t="str">
        <f t="shared" si="160"/>
        <v>15-Feb-2024</v>
      </c>
      <c r="AB653" s="7">
        <f t="shared" si="161"/>
        <v>1993.6</v>
      </c>
      <c r="AC653" s="7">
        <f t="shared" si="165"/>
        <v>1</v>
      </c>
      <c r="AD653" s="7">
        <f t="shared" si="162"/>
        <v>2024</v>
      </c>
      <c r="AE653" s="19">
        <f t="shared" si="163"/>
        <v>0.17</v>
      </c>
      <c r="BA653" s="10">
        <f t="shared" si="164"/>
        <v>26.997800000000002</v>
      </c>
    </row>
    <row r="654" spans="1:53" x14ac:dyDescent="0.3">
      <c r="A654" s="17">
        <v>45338</v>
      </c>
      <c r="B654" s="8">
        <v>2011.5</v>
      </c>
      <c r="C654" s="7">
        <v>2011.5</v>
      </c>
      <c r="D654" s="7">
        <v>1996.5</v>
      </c>
      <c r="E654" s="7">
        <v>2005</v>
      </c>
      <c r="F654" s="18">
        <v>32</v>
      </c>
      <c r="G654" s="7">
        <v>2014.2143000000001</v>
      </c>
      <c r="H654" s="7">
        <v>2026.42</v>
      </c>
      <c r="I654" s="7">
        <v>2004.6422</v>
      </c>
      <c r="J654" s="8">
        <v>0.57179999999999997</v>
      </c>
      <c r="K654" s="7">
        <v>0.7349</v>
      </c>
      <c r="L654" s="7">
        <v>0.63990000000000002</v>
      </c>
      <c r="M654" s="8">
        <v>42.266500000000001</v>
      </c>
      <c r="N654" s="8">
        <v>-6.2488000000000001</v>
      </c>
      <c r="O654" s="7">
        <v>-2.1503999999999999</v>
      </c>
      <c r="P654" s="7">
        <v>2055.15</v>
      </c>
      <c r="Q654" s="7">
        <v>1994.23</v>
      </c>
      <c r="R654" s="7" t="str">
        <f t="shared" si="151"/>
        <v>Down</v>
      </c>
      <c r="S654" s="7" t="str">
        <f t="shared" si="152"/>
        <v>Hold</v>
      </c>
      <c r="T654" s="8">
        <f t="shared" si="153"/>
        <v>0.19410154738878124</v>
      </c>
      <c r="U654" s="18">
        <f t="shared" si="154"/>
        <v>2286903</v>
      </c>
      <c r="V654" s="7">
        <f t="shared" si="155"/>
        <v>5586.2002000000002</v>
      </c>
      <c r="W654" s="7">
        <f t="shared" si="156"/>
        <v>1996.5</v>
      </c>
      <c r="X654" s="7">
        <f t="shared" si="157"/>
        <v>2005</v>
      </c>
      <c r="Y654" s="7">
        <f t="shared" si="158"/>
        <v>208</v>
      </c>
      <c r="Z654" s="7">
        <f t="shared" si="159"/>
        <v>738445</v>
      </c>
      <c r="AA654" s="7" t="str">
        <f t="shared" si="160"/>
        <v>16-Feb-2024</v>
      </c>
      <c r="AB654" s="7">
        <f t="shared" si="161"/>
        <v>2005</v>
      </c>
      <c r="AC654" s="7">
        <f t="shared" si="165"/>
        <v>1</v>
      </c>
      <c r="AD654" s="7">
        <f t="shared" si="162"/>
        <v>2024</v>
      </c>
      <c r="AE654" s="19">
        <f t="shared" si="163"/>
        <v>0.56999999999999995</v>
      </c>
      <c r="BA654" s="10">
        <f t="shared" si="164"/>
        <v>26.997800000000002</v>
      </c>
    </row>
    <row r="655" spans="1:53" x14ac:dyDescent="0.3">
      <c r="A655" s="17">
        <v>45342</v>
      </c>
      <c r="B655" s="8">
        <v>2027.5</v>
      </c>
      <c r="C655" s="7">
        <v>2029</v>
      </c>
      <c r="D655" s="7">
        <v>2015.6</v>
      </c>
      <c r="E655" s="7">
        <v>2015.6</v>
      </c>
      <c r="F655" s="18">
        <v>1326</v>
      </c>
      <c r="G655" s="7">
        <v>2012.4429</v>
      </c>
      <c r="H655" s="7">
        <v>2025.4567</v>
      </c>
      <c r="I655" s="7">
        <v>2006.4043999999999</v>
      </c>
      <c r="J655" s="8">
        <v>0.52869999999999995</v>
      </c>
      <c r="K655" s="7">
        <v>0.78300000000000003</v>
      </c>
      <c r="L655" s="7">
        <v>0.64790000000000003</v>
      </c>
      <c r="M655" s="8">
        <v>43.689300000000003</v>
      </c>
      <c r="N655" s="8">
        <v>-5.9156000000000004</v>
      </c>
      <c r="O655" s="7">
        <v>-2.9034</v>
      </c>
      <c r="P655" s="7">
        <v>2055.1043</v>
      </c>
      <c r="Q655" s="7">
        <v>1993.7057</v>
      </c>
      <c r="R655" s="7" t="str">
        <f t="shared" si="151"/>
        <v>Down</v>
      </c>
      <c r="S655" s="7" t="str">
        <f t="shared" si="152"/>
        <v>Hold</v>
      </c>
      <c r="T655" s="8">
        <f t="shared" si="153"/>
        <v>0.19336957364341062</v>
      </c>
      <c r="U655" s="18">
        <f t="shared" si="154"/>
        <v>2286871</v>
      </c>
      <c r="V655" s="7">
        <f t="shared" si="155"/>
        <v>5586.2002000000002</v>
      </c>
      <c r="W655" s="7">
        <f t="shared" si="156"/>
        <v>2014.9</v>
      </c>
      <c r="X655" s="7">
        <f t="shared" si="157"/>
        <v>2015.6</v>
      </c>
      <c r="Y655" s="7">
        <f t="shared" si="158"/>
        <v>208</v>
      </c>
      <c r="Z655" s="7">
        <f t="shared" si="159"/>
        <v>738445</v>
      </c>
      <c r="AA655" s="7" t="str">
        <f t="shared" si="160"/>
        <v>20-Feb-2024</v>
      </c>
      <c r="AB655" s="7">
        <f t="shared" si="161"/>
        <v>2015.6</v>
      </c>
      <c r="AC655" s="7">
        <f t="shared" si="165"/>
        <v>1</v>
      </c>
      <c r="AD655" s="7">
        <f t="shared" si="162"/>
        <v>2024</v>
      </c>
      <c r="AE655" s="19">
        <f t="shared" si="163"/>
        <v>0.53</v>
      </c>
      <c r="BA655" s="10">
        <f t="shared" si="164"/>
        <v>26.997800000000002</v>
      </c>
    </row>
    <row r="656" spans="1:53" x14ac:dyDescent="0.3">
      <c r="A656" s="17">
        <v>45343</v>
      </c>
      <c r="B656" s="8">
        <v>2022.3</v>
      </c>
      <c r="C656" s="7">
        <v>2028.2</v>
      </c>
      <c r="D656" s="7">
        <v>2022.3</v>
      </c>
      <c r="E656" s="7">
        <v>2028.2</v>
      </c>
      <c r="F656" s="18">
        <v>15</v>
      </c>
      <c r="G656" s="7">
        <v>2011.9</v>
      </c>
      <c r="H656" s="7">
        <v>2025.76</v>
      </c>
      <c r="I656" s="7">
        <v>2008.1677999999999</v>
      </c>
      <c r="J656" s="8">
        <v>0.62509999999999999</v>
      </c>
      <c r="K656" s="7">
        <v>0.82430000000000003</v>
      </c>
      <c r="L656" s="7">
        <v>0.61799999999999999</v>
      </c>
      <c r="M656" s="8">
        <v>47.493000000000002</v>
      </c>
      <c r="N656" s="8">
        <v>-4.5819000000000001</v>
      </c>
      <c r="O656" s="7">
        <v>-3.2391000000000001</v>
      </c>
      <c r="P656" s="7">
        <v>2054.9286000000002</v>
      </c>
      <c r="Q656" s="7">
        <v>1993.6713</v>
      </c>
      <c r="R656" s="7" t="str">
        <f t="shared" si="151"/>
        <v>Up</v>
      </c>
      <c r="S656" s="7" t="str">
        <f t="shared" si="152"/>
        <v>Hold</v>
      </c>
      <c r="T656" s="8">
        <f t="shared" si="153"/>
        <v>0.19271844660194154</v>
      </c>
      <c r="U656" s="18">
        <f t="shared" si="154"/>
        <v>2285545</v>
      </c>
      <c r="V656" s="7">
        <f t="shared" si="155"/>
        <v>5586.2002000000002</v>
      </c>
      <c r="W656" s="7">
        <f t="shared" si="156"/>
        <v>2014.9</v>
      </c>
      <c r="X656" s="7">
        <f t="shared" si="157"/>
        <v>2028.2</v>
      </c>
      <c r="Y656" s="7">
        <f t="shared" si="158"/>
        <v>208</v>
      </c>
      <c r="Z656" s="7">
        <f t="shared" si="159"/>
        <v>738445</v>
      </c>
      <c r="AA656" s="7" t="str">
        <f t="shared" si="160"/>
        <v>21-Feb-2024</v>
      </c>
      <c r="AB656" s="7">
        <f t="shared" si="161"/>
        <v>2028.2</v>
      </c>
      <c r="AC656" s="7">
        <f t="shared" si="165"/>
        <v>1</v>
      </c>
      <c r="AD656" s="7">
        <f t="shared" si="162"/>
        <v>2024</v>
      </c>
      <c r="AE656" s="19">
        <f t="shared" si="163"/>
        <v>0.63</v>
      </c>
      <c r="BA656" s="10">
        <f t="shared" si="164"/>
        <v>26.997800000000002</v>
      </c>
    </row>
    <row r="657" spans="1:53" x14ac:dyDescent="0.3">
      <c r="A657" s="17">
        <v>45344</v>
      </c>
      <c r="B657" s="8">
        <v>2019.7</v>
      </c>
      <c r="C657" s="7">
        <v>2033.2</v>
      </c>
      <c r="D657" s="7">
        <v>2019.7</v>
      </c>
      <c r="E657" s="7">
        <v>2033.2</v>
      </c>
      <c r="F657" s="18">
        <v>964</v>
      </c>
      <c r="G657" s="7">
        <v>2013</v>
      </c>
      <c r="H657" s="7">
        <v>2025.6732999999999</v>
      </c>
      <c r="I657" s="7">
        <v>2009.9289000000001</v>
      </c>
      <c r="J657" s="8">
        <v>0.2465</v>
      </c>
      <c r="K657" s="7">
        <v>0.81810000000000005</v>
      </c>
      <c r="L657" s="7">
        <v>0.60060000000000002</v>
      </c>
      <c r="M657" s="8">
        <v>47.566099999999999</v>
      </c>
      <c r="N657" s="8">
        <v>-3.0859999999999999</v>
      </c>
      <c r="O657" s="7">
        <v>-3.2084999999999999</v>
      </c>
      <c r="P657" s="7">
        <v>2055.6785</v>
      </c>
      <c r="Q657" s="7">
        <v>1993.9214999999999</v>
      </c>
      <c r="R657" s="7" t="str">
        <f t="shared" si="151"/>
        <v>Up</v>
      </c>
      <c r="S657" s="7" t="str">
        <f t="shared" si="152"/>
        <v>Hold</v>
      </c>
      <c r="T657" s="8">
        <f t="shared" si="153"/>
        <v>0.19187723735408538</v>
      </c>
      <c r="U657" s="18">
        <f t="shared" si="154"/>
        <v>2285530</v>
      </c>
      <c r="V657" s="7">
        <f t="shared" si="155"/>
        <v>5586.2002000000002</v>
      </c>
      <c r="W657" s="7">
        <f t="shared" si="156"/>
        <v>2014.9</v>
      </c>
      <c r="X657" s="7">
        <f t="shared" si="157"/>
        <v>2033.2</v>
      </c>
      <c r="Y657" s="7">
        <f t="shared" si="158"/>
        <v>207</v>
      </c>
      <c r="Z657" s="7">
        <f t="shared" si="159"/>
        <v>738430</v>
      </c>
      <c r="AA657" s="7" t="str">
        <f t="shared" si="160"/>
        <v>22-Feb-2024</v>
      </c>
      <c r="AB657" s="7">
        <f t="shared" si="161"/>
        <v>2033.2</v>
      </c>
      <c r="AC657" s="7">
        <f t="shared" si="165"/>
        <v>1</v>
      </c>
      <c r="AD657" s="7">
        <f t="shared" si="162"/>
        <v>2024</v>
      </c>
      <c r="AE657" s="19">
        <f t="shared" si="163"/>
        <v>0.25</v>
      </c>
      <c r="BA657" s="10">
        <f t="shared" si="164"/>
        <v>26.997800000000002</v>
      </c>
    </row>
    <row r="658" spans="1:53" x14ac:dyDescent="0.3">
      <c r="A658" s="17">
        <v>45345</v>
      </c>
      <c r="B658" s="8">
        <v>2038.6</v>
      </c>
      <c r="C658" s="7">
        <v>2038.6</v>
      </c>
      <c r="D658" s="7">
        <v>2014.9</v>
      </c>
      <c r="E658" s="7">
        <v>2026</v>
      </c>
      <c r="F658" s="18">
        <v>22</v>
      </c>
      <c r="G658" s="7">
        <v>2013.1286</v>
      </c>
      <c r="H658" s="7">
        <v>2025.5733</v>
      </c>
      <c r="I658" s="7">
        <v>2011.5789</v>
      </c>
      <c r="J658" s="8">
        <v>-0.35410000000000003</v>
      </c>
      <c r="K658" s="7">
        <v>0.83299999999999996</v>
      </c>
      <c r="L658" s="7">
        <v>0.60099999999999998</v>
      </c>
      <c r="M658" s="8">
        <v>39.442799999999998</v>
      </c>
      <c r="N658" s="8">
        <v>-2.4531999999999998</v>
      </c>
      <c r="O658" s="7">
        <v>-3.0573999999999999</v>
      </c>
      <c r="P658" s="7">
        <v>2055.7901000000002</v>
      </c>
      <c r="Q658" s="7">
        <v>1995.1998000000001</v>
      </c>
      <c r="R658" s="7" t="str">
        <f t="shared" si="151"/>
        <v>Down</v>
      </c>
      <c r="S658" s="7" t="str">
        <f t="shared" si="152"/>
        <v>Hold</v>
      </c>
      <c r="T658" s="8">
        <f t="shared" si="153"/>
        <v>0.1917707602339179</v>
      </c>
      <c r="U658" s="18">
        <f t="shared" si="154"/>
        <v>2284566</v>
      </c>
      <c r="V658" s="7">
        <f t="shared" si="155"/>
        <v>5586.2002000000002</v>
      </c>
      <c r="W658" s="7">
        <f t="shared" si="156"/>
        <v>2014.9</v>
      </c>
      <c r="X658" s="7">
        <f t="shared" si="157"/>
        <v>2026</v>
      </c>
      <c r="Y658" s="7">
        <f t="shared" si="158"/>
        <v>206</v>
      </c>
      <c r="Z658" s="7">
        <f t="shared" si="159"/>
        <v>737466</v>
      </c>
      <c r="AA658" s="7" t="str">
        <f t="shared" si="160"/>
        <v>23-Feb-2024</v>
      </c>
      <c r="AB658" s="7">
        <f t="shared" si="161"/>
        <v>2026</v>
      </c>
      <c r="AC658" s="7">
        <f t="shared" si="165"/>
        <v>1</v>
      </c>
      <c r="AD658" s="7">
        <f t="shared" si="162"/>
        <v>2024</v>
      </c>
      <c r="AE658" s="19">
        <f t="shared" si="163"/>
        <v>-0.35</v>
      </c>
      <c r="BA658" s="10">
        <f t="shared" si="164"/>
        <v>26.997800000000002</v>
      </c>
    </row>
    <row r="659" spans="1:53" x14ac:dyDescent="0.3">
      <c r="A659" s="17">
        <v>45348</v>
      </c>
      <c r="B659" s="8">
        <v>2028.5</v>
      </c>
      <c r="C659" s="7">
        <v>2035.4</v>
      </c>
      <c r="D659" s="7">
        <v>2024.8</v>
      </c>
      <c r="E659" s="7">
        <v>2034.1</v>
      </c>
      <c r="F659" s="18">
        <v>143</v>
      </c>
      <c r="G659" s="7">
        <v>2019.3857</v>
      </c>
      <c r="H659" s="7">
        <v>2025.8733</v>
      </c>
      <c r="I659" s="7">
        <v>2012.9532999999999</v>
      </c>
      <c r="J659" s="8">
        <v>0.39979999999999999</v>
      </c>
      <c r="K659" s="7">
        <v>0.33900000000000002</v>
      </c>
      <c r="L659" s="7">
        <v>0.60429999999999995</v>
      </c>
      <c r="M659" s="8">
        <v>48.133699999999997</v>
      </c>
      <c r="N659" s="8">
        <v>-1.2831999999999999</v>
      </c>
      <c r="O659" s="7">
        <v>-2.7025999999999999</v>
      </c>
      <c r="P659" s="7">
        <v>2056.5900999999999</v>
      </c>
      <c r="Q659" s="7">
        <v>1995.6398999999999</v>
      </c>
      <c r="R659" s="7" t="str">
        <f t="shared" si="151"/>
        <v>Up</v>
      </c>
      <c r="S659" s="7" t="str">
        <f t="shared" si="152"/>
        <v>Hold</v>
      </c>
      <c r="T659" s="8">
        <f t="shared" si="153"/>
        <v>0.19283691406249975</v>
      </c>
      <c r="U659" s="18">
        <f t="shared" si="154"/>
        <v>2284544</v>
      </c>
      <c r="V659" s="7">
        <f t="shared" si="155"/>
        <v>5586.2002000000002</v>
      </c>
      <c r="W659" s="7">
        <f t="shared" si="156"/>
        <v>2024.8</v>
      </c>
      <c r="X659" s="7">
        <f t="shared" si="157"/>
        <v>2034.1</v>
      </c>
      <c r="Y659" s="7">
        <f t="shared" si="158"/>
        <v>206</v>
      </c>
      <c r="Z659" s="7">
        <f t="shared" si="159"/>
        <v>737466</v>
      </c>
      <c r="AA659" s="7" t="str">
        <f t="shared" si="160"/>
        <v>26-Feb-2024</v>
      </c>
      <c r="AB659" s="7">
        <f t="shared" si="161"/>
        <v>2034.1</v>
      </c>
      <c r="AC659" s="7">
        <f t="shared" si="165"/>
        <v>1</v>
      </c>
      <c r="AD659" s="7">
        <f t="shared" si="162"/>
        <v>2024</v>
      </c>
      <c r="AE659" s="19">
        <f t="shared" si="163"/>
        <v>0.4</v>
      </c>
      <c r="BA659" s="10">
        <f t="shared" si="164"/>
        <v>26.997800000000002</v>
      </c>
    </row>
    <row r="660" spans="1:53" x14ac:dyDescent="0.3">
      <c r="A660" s="17">
        <v>45349</v>
      </c>
      <c r="B660" s="8">
        <v>2034</v>
      </c>
      <c r="C660" s="7">
        <v>2035.9</v>
      </c>
      <c r="D660" s="7">
        <v>2034</v>
      </c>
      <c r="E660" s="7">
        <v>2035.9</v>
      </c>
      <c r="F660" s="18">
        <v>964</v>
      </c>
      <c r="G660" s="7">
        <v>2025.4286</v>
      </c>
      <c r="H660" s="7">
        <v>2026.0333000000001</v>
      </c>
      <c r="I660" s="7">
        <v>2014.3044</v>
      </c>
      <c r="J660" s="8">
        <v>8.8499999999999995E-2</v>
      </c>
      <c r="K660" s="7">
        <v>0.3458</v>
      </c>
      <c r="L660" s="7">
        <v>0.60209999999999997</v>
      </c>
      <c r="M660" s="8">
        <v>54.258899999999997</v>
      </c>
      <c r="N660" s="8">
        <v>-0.2084</v>
      </c>
      <c r="O660" s="7">
        <v>-2.2038000000000002</v>
      </c>
      <c r="P660" s="7">
        <v>2057.4315999999999</v>
      </c>
      <c r="Q660" s="7">
        <v>1995.8684000000001</v>
      </c>
      <c r="R660" s="7" t="str">
        <f t="shared" si="151"/>
        <v>Up</v>
      </c>
      <c r="S660" s="7" t="str">
        <f t="shared" si="152"/>
        <v>Hold</v>
      </c>
      <c r="T660" s="8">
        <f t="shared" si="153"/>
        <v>0.19243189823874732</v>
      </c>
      <c r="U660" s="18">
        <f t="shared" si="154"/>
        <v>2284401</v>
      </c>
      <c r="V660" s="7">
        <f t="shared" si="155"/>
        <v>5586.2002000000002</v>
      </c>
      <c r="W660" s="7">
        <f t="shared" si="156"/>
        <v>2024.8</v>
      </c>
      <c r="X660" s="7">
        <f t="shared" si="157"/>
        <v>2035.9</v>
      </c>
      <c r="Y660" s="7">
        <f t="shared" si="158"/>
        <v>205</v>
      </c>
      <c r="Z660" s="7">
        <f t="shared" si="159"/>
        <v>737323</v>
      </c>
      <c r="AA660" s="7" t="str">
        <f t="shared" si="160"/>
        <v>27-Feb-2024</v>
      </c>
      <c r="AB660" s="7">
        <f t="shared" si="161"/>
        <v>2035.9</v>
      </c>
      <c r="AC660" s="7">
        <f t="shared" si="165"/>
        <v>1</v>
      </c>
      <c r="AD660" s="7">
        <f t="shared" si="162"/>
        <v>2024</v>
      </c>
      <c r="AE660" s="19">
        <f t="shared" si="163"/>
        <v>0.09</v>
      </c>
      <c r="BA660" s="10">
        <f t="shared" si="164"/>
        <v>26.997800000000002</v>
      </c>
    </row>
    <row r="661" spans="1:53" x14ac:dyDescent="0.3">
      <c r="A661" s="17">
        <v>45350</v>
      </c>
      <c r="B661" s="8">
        <v>2033</v>
      </c>
      <c r="C661" s="7">
        <v>2037</v>
      </c>
      <c r="D661" s="7">
        <v>2024.8</v>
      </c>
      <c r="E661" s="7">
        <v>2029.5</v>
      </c>
      <c r="F661" s="18">
        <v>581</v>
      </c>
      <c r="G661" s="7">
        <v>2028.9286</v>
      </c>
      <c r="H661" s="7">
        <v>2025.2933</v>
      </c>
      <c r="I661" s="7">
        <v>2015.3543999999999</v>
      </c>
      <c r="J661" s="8">
        <v>-0.31440000000000001</v>
      </c>
      <c r="K661" s="7">
        <v>0.38950000000000001</v>
      </c>
      <c r="L661" s="7">
        <v>0.57389999999999997</v>
      </c>
      <c r="M661" s="8">
        <v>48.588500000000003</v>
      </c>
      <c r="N661" s="8">
        <v>0.1255</v>
      </c>
      <c r="O661" s="7">
        <v>-1.7379</v>
      </c>
      <c r="P661" s="7">
        <v>2057.1907000000001</v>
      </c>
      <c r="Q661" s="7">
        <v>1995.8092999999999</v>
      </c>
      <c r="R661" s="7" t="str">
        <f t="shared" si="151"/>
        <v>Down</v>
      </c>
      <c r="S661" s="7" t="str">
        <f t="shared" si="152"/>
        <v>Hold</v>
      </c>
      <c r="T661" s="8">
        <f t="shared" si="153"/>
        <v>0.19263568627450953</v>
      </c>
      <c r="U661" s="18">
        <f t="shared" si="154"/>
        <v>2283437</v>
      </c>
      <c r="V661" s="7">
        <f t="shared" si="155"/>
        <v>5586.2002000000002</v>
      </c>
      <c r="W661" s="7">
        <f t="shared" si="156"/>
        <v>2024.8</v>
      </c>
      <c r="X661" s="7">
        <f t="shared" si="157"/>
        <v>2029.5</v>
      </c>
      <c r="Y661" s="7">
        <f t="shared" si="158"/>
        <v>204</v>
      </c>
      <c r="Z661" s="7">
        <f t="shared" si="159"/>
        <v>736359</v>
      </c>
      <c r="AA661" s="7" t="str">
        <f t="shared" si="160"/>
        <v>28-Feb-2024</v>
      </c>
      <c r="AB661" s="7">
        <f t="shared" si="161"/>
        <v>2029.5</v>
      </c>
      <c r="AC661" s="7">
        <f t="shared" si="165"/>
        <v>1</v>
      </c>
      <c r="AD661" s="7">
        <f t="shared" si="162"/>
        <v>2024</v>
      </c>
      <c r="AE661" s="19">
        <f t="shared" si="163"/>
        <v>-0.31</v>
      </c>
      <c r="BA661" s="10">
        <f t="shared" si="164"/>
        <v>26.997800000000002</v>
      </c>
    </row>
    <row r="662" spans="1:53" x14ac:dyDescent="0.3">
      <c r="A662" s="17">
        <v>45351</v>
      </c>
      <c r="B662" s="8">
        <v>2045.7</v>
      </c>
      <c r="C662" s="7">
        <v>2049.8000000000002</v>
      </c>
      <c r="D662" s="7">
        <v>2034.3</v>
      </c>
      <c r="E662" s="7">
        <v>2034.3</v>
      </c>
      <c r="F662" s="18">
        <v>706</v>
      </c>
      <c r="G662" s="7">
        <v>2031.6</v>
      </c>
      <c r="H662" s="7">
        <v>2025.5533</v>
      </c>
      <c r="I662" s="7">
        <v>2016.29</v>
      </c>
      <c r="J662" s="8">
        <v>0.23649999999999999</v>
      </c>
      <c r="K662" s="7">
        <v>0.35970000000000002</v>
      </c>
      <c r="L662" s="7">
        <v>0.52939999999999998</v>
      </c>
      <c r="M662" s="8">
        <v>52.694600000000001</v>
      </c>
      <c r="N662" s="8">
        <v>0.76859999999999995</v>
      </c>
      <c r="O662" s="7">
        <v>-1.2365999999999999</v>
      </c>
      <c r="P662" s="7">
        <v>2057.0724</v>
      </c>
      <c r="Q662" s="7">
        <v>1995.8176000000001</v>
      </c>
      <c r="R662" s="7" t="str">
        <f t="shared" si="151"/>
        <v>Down</v>
      </c>
      <c r="S662" s="7" t="str">
        <f t="shared" si="152"/>
        <v>Hold</v>
      </c>
      <c r="T662" s="8">
        <f t="shared" si="153"/>
        <v>0.1936318271119841</v>
      </c>
      <c r="U662" s="18">
        <f t="shared" si="154"/>
        <v>2282856</v>
      </c>
      <c r="V662" s="7">
        <f t="shared" si="155"/>
        <v>5586.2002000000002</v>
      </c>
      <c r="W662" s="7">
        <f t="shared" si="156"/>
        <v>2034.3</v>
      </c>
      <c r="X662" s="7">
        <f t="shared" si="157"/>
        <v>2034.3</v>
      </c>
      <c r="Y662" s="7">
        <f t="shared" si="158"/>
        <v>204</v>
      </c>
      <c r="Z662" s="7">
        <f t="shared" si="159"/>
        <v>736359</v>
      </c>
      <c r="AA662" s="7" t="str">
        <f t="shared" si="160"/>
        <v>29-Feb-2024</v>
      </c>
      <c r="AB662" s="7">
        <f t="shared" si="161"/>
        <v>2034.3</v>
      </c>
      <c r="AC662" s="7">
        <f t="shared" si="165"/>
        <v>1</v>
      </c>
      <c r="AD662" s="7">
        <f t="shared" si="162"/>
        <v>2024</v>
      </c>
      <c r="AE662" s="19">
        <f t="shared" si="163"/>
        <v>0.24</v>
      </c>
      <c r="BA662" s="10">
        <f t="shared" si="164"/>
        <v>26.997800000000002</v>
      </c>
    </row>
    <row r="663" spans="1:53" x14ac:dyDescent="0.3">
      <c r="A663" s="17">
        <v>45352</v>
      </c>
      <c r="B663" s="8">
        <v>2086.8998999999999</v>
      </c>
      <c r="C663" s="7">
        <v>2086.8998999999999</v>
      </c>
      <c r="D663" s="7">
        <v>2041.8</v>
      </c>
      <c r="E663" s="7">
        <v>2043.1</v>
      </c>
      <c r="F663" s="18">
        <v>1210</v>
      </c>
      <c r="G663" s="7">
        <v>2033.7285999999999</v>
      </c>
      <c r="H663" s="7">
        <v>2026.5633</v>
      </c>
      <c r="I663" s="7">
        <v>2016.9789000000001</v>
      </c>
      <c r="J663" s="8">
        <v>0.43259999999999998</v>
      </c>
      <c r="K663" s="7">
        <v>0.3211</v>
      </c>
      <c r="L663" s="7">
        <v>0.51819999999999999</v>
      </c>
      <c r="M663" s="8">
        <v>54.560400000000001</v>
      </c>
      <c r="N663" s="8">
        <v>1.9657</v>
      </c>
      <c r="O663" s="7">
        <v>-0.59609999999999996</v>
      </c>
      <c r="P663" s="7">
        <v>2057.5176000000001</v>
      </c>
      <c r="Q663" s="7">
        <v>1995.6623999999999</v>
      </c>
      <c r="R663" s="7" t="str">
        <f t="shared" si="151"/>
        <v>Down</v>
      </c>
      <c r="S663" s="7" t="str">
        <f t="shared" si="152"/>
        <v>Hold</v>
      </c>
      <c r="T663" s="8">
        <f t="shared" si="153"/>
        <v>0.19354744094488169</v>
      </c>
      <c r="U663" s="18">
        <f t="shared" si="154"/>
        <v>2282150</v>
      </c>
      <c r="V663" s="7">
        <f t="shared" si="155"/>
        <v>5586.2002000000002</v>
      </c>
      <c r="W663" s="7">
        <f t="shared" si="156"/>
        <v>2041.8</v>
      </c>
      <c r="X663" s="7">
        <f t="shared" si="157"/>
        <v>2043.1</v>
      </c>
      <c r="Y663" s="7">
        <f t="shared" si="158"/>
        <v>204</v>
      </c>
      <c r="Z663" s="7">
        <f t="shared" si="159"/>
        <v>736359</v>
      </c>
      <c r="AA663" s="7" t="str">
        <f t="shared" si="160"/>
        <v>01-Mar-2024</v>
      </c>
      <c r="AB663" s="7">
        <f t="shared" si="161"/>
        <v>2043.1</v>
      </c>
      <c r="AC663" s="7">
        <f t="shared" si="165"/>
        <v>1</v>
      </c>
      <c r="AD663" s="7">
        <f t="shared" si="162"/>
        <v>2024</v>
      </c>
      <c r="AE663" s="19">
        <f t="shared" si="163"/>
        <v>0.43</v>
      </c>
      <c r="BA663" s="10">
        <f t="shared" si="164"/>
        <v>26.997800000000002</v>
      </c>
    </row>
    <row r="664" spans="1:53" x14ac:dyDescent="0.3">
      <c r="A664" s="17">
        <v>45355</v>
      </c>
      <c r="B664" s="8">
        <v>2117.6999999999998</v>
      </c>
      <c r="C664" s="7">
        <v>2119.8000000000002</v>
      </c>
      <c r="D664" s="7">
        <v>2080.6999999999998</v>
      </c>
      <c r="E664" s="7">
        <v>2083.6001000000001</v>
      </c>
      <c r="F664" s="18">
        <v>805</v>
      </c>
      <c r="G664" s="7">
        <v>2040.9286</v>
      </c>
      <c r="H664" s="7">
        <v>2028.5767000000001</v>
      </c>
      <c r="I664" s="7">
        <v>2018.1722</v>
      </c>
      <c r="J664" s="8">
        <v>1.9823</v>
      </c>
      <c r="K664" s="7">
        <v>0.78439999999999999</v>
      </c>
      <c r="L664" s="7">
        <v>0.62219999999999998</v>
      </c>
      <c r="M664" s="8">
        <v>68.657700000000006</v>
      </c>
      <c r="N664" s="8">
        <v>6.1120000000000001</v>
      </c>
      <c r="O664" s="7">
        <v>0.74550000000000005</v>
      </c>
      <c r="P664" s="7">
        <v>2066.2986999999998</v>
      </c>
      <c r="Q664" s="7">
        <v>1989.7612999999999</v>
      </c>
      <c r="R664" s="7" t="str">
        <f t="shared" si="151"/>
        <v>Down</v>
      </c>
      <c r="S664" s="7" t="str">
        <f t="shared" si="152"/>
        <v>Hold</v>
      </c>
      <c r="T664" s="8">
        <f t="shared" si="153"/>
        <v>0.19307593688362895</v>
      </c>
      <c r="U664" s="18">
        <f t="shared" si="154"/>
        <v>2280940</v>
      </c>
      <c r="V664" s="7">
        <f t="shared" si="155"/>
        <v>5586.2002000000002</v>
      </c>
      <c r="W664" s="7">
        <f t="shared" si="156"/>
        <v>2080.6999999999998</v>
      </c>
      <c r="X664" s="7">
        <f t="shared" si="157"/>
        <v>2083.6001000000001</v>
      </c>
      <c r="Y664" s="7">
        <f t="shared" si="158"/>
        <v>204</v>
      </c>
      <c r="Z664" s="7">
        <f t="shared" si="159"/>
        <v>736359</v>
      </c>
      <c r="AA664" s="7" t="str">
        <f t="shared" si="160"/>
        <v>04-Mar-2024</v>
      </c>
      <c r="AB664" s="7">
        <f t="shared" si="161"/>
        <v>2083.6001000000001</v>
      </c>
      <c r="AC664" s="7">
        <f t="shared" si="165"/>
        <v>1</v>
      </c>
      <c r="AD664" s="7">
        <f t="shared" si="162"/>
        <v>2024</v>
      </c>
      <c r="AE664" s="19">
        <f t="shared" si="163"/>
        <v>1.98</v>
      </c>
      <c r="BA664" s="10">
        <f t="shared" si="164"/>
        <v>26.997800000000002</v>
      </c>
    </row>
    <row r="665" spans="1:53" x14ac:dyDescent="0.3">
      <c r="A665" s="17">
        <v>45356</v>
      </c>
      <c r="B665" s="8">
        <v>2133.5</v>
      </c>
      <c r="C665" s="7">
        <v>2133.5</v>
      </c>
      <c r="D665" s="7">
        <v>2111.3998999999999</v>
      </c>
      <c r="E665" s="7">
        <v>2114.8998999999999</v>
      </c>
      <c r="F665" s="18">
        <v>1287</v>
      </c>
      <c r="G665" s="7">
        <v>2053.6286</v>
      </c>
      <c r="H665" s="7">
        <v>2031.6967</v>
      </c>
      <c r="I665" s="7">
        <v>2019.7789</v>
      </c>
      <c r="J665" s="8">
        <v>1.5022</v>
      </c>
      <c r="K665" s="7">
        <v>0.81859999999999999</v>
      </c>
      <c r="L665" s="7">
        <v>0.6714</v>
      </c>
      <c r="M665" s="8">
        <v>74.062200000000004</v>
      </c>
      <c r="N665" s="8">
        <v>11.787699999999999</v>
      </c>
      <c r="O665" s="7">
        <v>2.9539</v>
      </c>
      <c r="P665" s="7">
        <v>2086.3049999999998</v>
      </c>
      <c r="Q665" s="7">
        <v>1977.355</v>
      </c>
      <c r="R665" s="7" t="str">
        <f t="shared" si="151"/>
        <v>Down</v>
      </c>
      <c r="S665" s="7" t="str">
        <f t="shared" si="152"/>
        <v>Sell</v>
      </c>
      <c r="T665" s="8">
        <f t="shared" si="153"/>
        <v>0.18953992094861635</v>
      </c>
      <c r="U665" s="18">
        <f t="shared" si="154"/>
        <v>2280135</v>
      </c>
      <c r="V665" s="7">
        <f t="shared" si="155"/>
        <v>5586.2002000000002</v>
      </c>
      <c r="W665" s="7">
        <f t="shared" si="156"/>
        <v>2111.3998999999999</v>
      </c>
      <c r="X665" s="7">
        <f t="shared" si="157"/>
        <v>2114.8998999999999</v>
      </c>
      <c r="Y665" s="7">
        <f t="shared" si="158"/>
        <v>204</v>
      </c>
      <c r="Z665" s="7">
        <f t="shared" si="159"/>
        <v>736359</v>
      </c>
      <c r="AA665" s="7" t="str">
        <f t="shared" si="160"/>
        <v>05-Mar-2024</v>
      </c>
      <c r="AB665" s="7">
        <f t="shared" si="161"/>
        <v>2114.8998999999999</v>
      </c>
      <c r="AC665" s="7">
        <f t="shared" si="165"/>
        <v>1</v>
      </c>
      <c r="AD665" s="7">
        <f t="shared" si="162"/>
        <v>2024</v>
      </c>
      <c r="AE665" s="19">
        <f t="shared" si="163"/>
        <v>1.5</v>
      </c>
      <c r="BA665" s="10">
        <f t="shared" si="164"/>
        <v>26.997800000000002</v>
      </c>
    </row>
    <row r="666" spans="1:53" x14ac:dyDescent="0.3">
      <c r="A666" s="17">
        <v>45357</v>
      </c>
      <c r="B666" s="8">
        <v>2150.3000000000002</v>
      </c>
      <c r="C666" s="7">
        <v>2150.3000000000002</v>
      </c>
      <c r="D666" s="7">
        <v>2125.5</v>
      </c>
      <c r="E666" s="7">
        <v>2125.5</v>
      </c>
      <c r="F666" s="18">
        <v>443</v>
      </c>
      <c r="G666" s="7">
        <v>2066.6857</v>
      </c>
      <c r="H666" s="7">
        <v>2034.87</v>
      </c>
      <c r="I666" s="7">
        <v>2021.4933000000001</v>
      </c>
      <c r="J666" s="8">
        <v>0.50119999999999998</v>
      </c>
      <c r="K666" s="7">
        <v>0.81489999999999996</v>
      </c>
      <c r="L666" s="7">
        <v>0.67230000000000001</v>
      </c>
      <c r="M666" s="8">
        <v>91.625600000000006</v>
      </c>
      <c r="N666" s="8">
        <v>16.945699999999999</v>
      </c>
      <c r="O666" s="7">
        <v>5.7523</v>
      </c>
      <c r="P666" s="7">
        <v>2105.3874999999998</v>
      </c>
      <c r="Q666" s="7">
        <v>1968.2325000000001</v>
      </c>
      <c r="R666" s="7" t="str">
        <f t="shared" si="151"/>
        <v>Down</v>
      </c>
      <c r="S666" s="7" t="str">
        <f t="shared" si="152"/>
        <v>Sell</v>
      </c>
      <c r="T666" s="8">
        <f t="shared" si="153"/>
        <v>0.18694059405940572</v>
      </c>
      <c r="U666" s="18">
        <f t="shared" si="154"/>
        <v>2278848</v>
      </c>
      <c r="V666" s="7">
        <f t="shared" si="155"/>
        <v>5586.2002000000002</v>
      </c>
      <c r="W666" s="7">
        <f t="shared" si="156"/>
        <v>2125.5</v>
      </c>
      <c r="X666" s="7">
        <f t="shared" si="157"/>
        <v>2125.5</v>
      </c>
      <c r="Y666" s="7">
        <f t="shared" si="158"/>
        <v>204</v>
      </c>
      <c r="Z666" s="7">
        <f t="shared" si="159"/>
        <v>736359</v>
      </c>
      <c r="AA666" s="7" t="str">
        <f t="shared" si="160"/>
        <v>06-Mar-2024</v>
      </c>
      <c r="AB666" s="7">
        <f t="shared" si="161"/>
        <v>2125.5</v>
      </c>
      <c r="AC666" s="7">
        <f t="shared" si="165"/>
        <v>1</v>
      </c>
      <c r="AD666" s="7">
        <f t="shared" si="162"/>
        <v>2024</v>
      </c>
      <c r="AE666" s="19">
        <f t="shared" si="163"/>
        <v>0.5</v>
      </c>
      <c r="BA666" s="10">
        <f t="shared" si="164"/>
        <v>26.997800000000002</v>
      </c>
    </row>
    <row r="667" spans="1:53" x14ac:dyDescent="0.3">
      <c r="A667" s="17">
        <v>45358</v>
      </c>
      <c r="B667" s="8">
        <v>2158</v>
      </c>
      <c r="C667" s="7">
        <v>2163</v>
      </c>
      <c r="D667" s="7">
        <v>2147</v>
      </c>
      <c r="E667" s="7">
        <v>2147</v>
      </c>
      <c r="F667" s="18">
        <v>152</v>
      </c>
      <c r="G667" s="7">
        <v>2082.5571</v>
      </c>
      <c r="H667" s="7">
        <v>2038.9966999999999</v>
      </c>
      <c r="I667" s="7">
        <v>2023.2578000000001</v>
      </c>
      <c r="J667" s="8">
        <v>1.0115000000000001</v>
      </c>
      <c r="K667" s="7">
        <v>0.78639999999999999</v>
      </c>
      <c r="L667" s="7">
        <v>0.68289999999999995</v>
      </c>
      <c r="M667" s="8">
        <v>92.4696</v>
      </c>
      <c r="N667" s="8">
        <v>22.508900000000001</v>
      </c>
      <c r="O667" s="7">
        <v>9.1036000000000001</v>
      </c>
      <c r="P667" s="7">
        <v>2126.8905</v>
      </c>
      <c r="Q667" s="7">
        <v>1958.1495</v>
      </c>
      <c r="R667" s="7" t="str">
        <f t="shared" si="151"/>
        <v>Down</v>
      </c>
      <c r="S667" s="7" t="str">
        <f t="shared" si="152"/>
        <v>Sell</v>
      </c>
      <c r="T667" s="8">
        <f t="shared" si="153"/>
        <v>0.18631706349206331</v>
      </c>
      <c r="U667" s="18">
        <f t="shared" si="154"/>
        <v>2278405</v>
      </c>
      <c r="V667" s="7">
        <f t="shared" si="155"/>
        <v>5586.2002000000002</v>
      </c>
      <c r="W667" s="7">
        <f t="shared" si="156"/>
        <v>2146.1999999999998</v>
      </c>
      <c r="X667" s="7">
        <f t="shared" si="157"/>
        <v>2147</v>
      </c>
      <c r="Y667" s="7">
        <f t="shared" si="158"/>
        <v>204</v>
      </c>
      <c r="Z667" s="7">
        <f t="shared" si="159"/>
        <v>736359</v>
      </c>
      <c r="AA667" s="7" t="str">
        <f t="shared" si="160"/>
        <v>07-Mar-2024</v>
      </c>
      <c r="AB667" s="7">
        <f t="shared" si="161"/>
        <v>2147</v>
      </c>
      <c r="AC667" s="7">
        <f t="shared" si="165"/>
        <v>1</v>
      </c>
      <c r="AD667" s="7">
        <f t="shared" si="162"/>
        <v>2024</v>
      </c>
      <c r="AE667" s="19">
        <f t="shared" si="163"/>
        <v>1.01</v>
      </c>
      <c r="BA667" s="10">
        <f t="shared" si="164"/>
        <v>26.997800000000002</v>
      </c>
    </row>
    <row r="668" spans="1:53" x14ac:dyDescent="0.3">
      <c r="A668" s="17">
        <v>45359</v>
      </c>
      <c r="B668" s="8">
        <v>2178.6001000000001</v>
      </c>
      <c r="C668" s="7">
        <v>2194.8998999999999</v>
      </c>
      <c r="D668" s="7">
        <v>2166.3000000000002</v>
      </c>
      <c r="E668" s="7">
        <v>2167.3000000000002</v>
      </c>
      <c r="F668" s="18">
        <v>259</v>
      </c>
      <c r="G668" s="7">
        <v>2102.2429000000002</v>
      </c>
      <c r="H668" s="7">
        <v>2044.17</v>
      </c>
      <c r="I668" s="7">
        <v>2025.2433000000001</v>
      </c>
      <c r="J668" s="8">
        <v>0.94550000000000001</v>
      </c>
      <c r="K668" s="7">
        <v>0.62609999999999999</v>
      </c>
      <c r="L668" s="7">
        <v>0.68089999999999995</v>
      </c>
      <c r="M668" s="8">
        <v>92.8232</v>
      </c>
      <c r="N668" s="8">
        <v>28.230399999999999</v>
      </c>
      <c r="O668" s="7">
        <v>12.929</v>
      </c>
      <c r="P668" s="7">
        <v>2150.2204999999999</v>
      </c>
      <c r="Q668" s="7">
        <v>1948.7494999999999</v>
      </c>
      <c r="R668" s="7" t="str">
        <f t="shared" si="151"/>
        <v>Down</v>
      </c>
      <c r="S668" s="7" t="str">
        <f t="shared" si="152"/>
        <v>Sell</v>
      </c>
      <c r="T668" s="8">
        <f t="shared" si="153"/>
        <v>0.18467654075546699</v>
      </c>
      <c r="U668" s="18">
        <f t="shared" si="154"/>
        <v>2278253</v>
      </c>
      <c r="V668" s="7">
        <f t="shared" si="155"/>
        <v>5586.2002000000002</v>
      </c>
      <c r="W668" s="7">
        <f t="shared" si="156"/>
        <v>2146.1999999999998</v>
      </c>
      <c r="X668" s="7">
        <f t="shared" si="157"/>
        <v>2167.3000000000002</v>
      </c>
      <c r="Y668" s="7">
        <f t="shared" si="158"/>
        <v>204</v>
      </c>
      <c r="Z668" s="7">
        <f t="shared" si="159"/>
        <v>736359</v>
      </c>
      <c r="AA668" s="7" t="str">
        <f t="shared" si="160"/>
        <v>08-Mar-2024</v>
      </c>
      <c r="AB668" s="7">
        <f t="shared" si="161"/>
        <v>2167.3000000000002</v>
      </c>
      <c r="AC668" s="7">
        <f t="shared" si="165"/>
        <v>1</v>
      </c>
      <c r="AD668" s="7">
        <f t="shared" si="162"/>
        <v>2024</v>
      </c>
      <c r="AE668" s="19">
        <f t="shared" si="163"/>
        <v>0.95</v>
      </c>
      <c r="BA668" s="10">
        <f t="shared" si="164"/>
        <v>26.997800000000002</v>
      </c>
    </row>
    <row r="669" spans="1:53" x14ac:dyDescent="0.3">
      <c r="A669" s="17">
        <v>45362</v>
      </c>
      <c r="B669" s="8">
        <v>2182.5</v>
      </c>
      <c r="C669" s="7">
        <v>2184</v>
      </c>
      <c r="D669" s="7">
        <v>2177.1999999999998</v>
      </c>
      <c r="E669" s="7">
        <v>2181</v>
      </c>
      <c r="F669" s="18">
        <v>738</v>
      </c>
      <c r="G669" s="7">
        <v>2123.1999999999998</v>
      </c>
      <c r="H669" s="7">
        <v>2049.48</v>
      </c>
      <c r="I669" s="7">
        <v>2027.2089000000001</v>
      </c>
      <c r="J669" s="8">
        <v>0.6321</v>
      </c>
      <c r="K669" s="7">
        <v>0.56659999999999999</v>
      </c>
      <c r="L669" s="7">
        <v>0.68320000000000003</v>
      </c>
      <c r="M669" s="8">
        <v>92.938699999999997</v>
      </c>
      <c r="N669" s="8">
        <v>33.484200000000001</v>
      </c>
      <c r="O669" s="7">
        <v>17.04</v>
      </c>
      <c r="P669" s="7">
        <v>2173.0853000000002</v>
      </c>
      <c r="Q669" s="7">
        <v>1940.7846999999999</v>
      </c>
      <c r="R669" s="7" t="str">
        <f t="shared" si="151"/>
        <v>Down</v>
      </c>
      <c r="S669" s="7" t="str">
        <f t="shared" si="152"/>
        <v>Sell</v>
      </c>
      <c r="T669" s="8">
        <f t="shared" si="153"/>
        <v>0.18316095617529862</v>
      </c>
      <c r="U669" s="18">
        <f t="shared" si="154"/>
        <v>2277994</v>
      </c>
      <c r="V669" s="7">
        <f t="shared" si="155"/>
        <v>5586.2002000000002</v>
      </c>
      <c r="W669" s="7">
        <f t="shared" si="156"/>
        <v>2146.1999999999998</v>
      </c>
      <c r="X669" s="7">
        <f t="shared" si="157"/>
        <v>2181</v>
      </c>
      <c r="Y669" s="7">
        <f t="shared" si="158"/>
        <v>204</v>
      </c>
      <c r="Z669" s="7">
        <f t="shared" si="159"/>
        <v>736359</v>
      </c>
      <c r="AA669" s="7" t="str">
        <f t="shared" si="160"/>
        <v>11-Mar-2024</v>
      </c>
      <c r="AB669" s="7">
        <f t="shared" si="161"/>
        <v>2181</v>
      </c>
      <c r="AC669" s="7">
        <f t="shared" si="165"/>
        <v>1</v>
      </c>
      <c r="AD669" s="7">
        <f t="shared" si="162"/>
        <v>2024</v>
      </c>
      <c r="AE669" s="19">
        <f t="shared" si="163"/>
        <v>0.63</v>
      </c>
      <c r="BA669" s="10">
        <f t="shared" si="164"/>
        <v>26.997800000000002</v>
      </c>
    </row>
    <row r="670" spans="1:53" x14ac:dyDescent="0.3">
      <c r="A670" s="17">
        <v>45363</v>
      </c>
      <c r="B670" s="8">
        <v>2160.3998999999999</v>
      </c>
      <c r="C670" s="7">
        <v>2182.6999999999998</v>
      </c>
      <c r="D670" s="7">
        <v>2160.3998999999999</v>
      </c>
      <c r="E670" s="7">
        <v>2182.5</v>
      </c>
      <c r="F670" s="18">
        <v>550</v>
      </c>
      <c r="G670" s="7">
        <v>2143.1143000000002</v>
      </c>
      <c r="H670" s="7">
        <v>2054.7233000000001</v>
      </c>
      <c r="I670" s="7">
        <v>2029.2755999999999</v>
      </c>
      <c r="J670" s="8">
        <v>6.88E-2</v>
      </c>
      <c r="K670" s="7">
        <v>0.63939999999999997</v>
      </c>
      <c r="L670" s="7">
        <v>0.68389999999999995</v>
      </c>
      <c r="M670" s="8">
        <v>92.506900000000002</v>
      </c>
      <c r="N670" s="8">
        <v>37.338500000000003</v>
      </c>
      <c r="O670" s="7">
        <v>21.099699999999999</v>
      </c>
      <c r="P670" s="7">
        <v>2192.6235000000001</v>
      </c>
      <c r="Q670" s="7">
        <v>1936.9465</v>
      </c>
      <c r="R670" s="7" t="str">
        <f t="shared" si="151"/>
        <v>Up</v>
      </c>
      <c r="S670" s="7" t="str">
        <f t="shared" si="152"/>
        <v>Sell</v>
      </c>
      <c r="T670" s="8">
        <f t="shared" si="153"/>
        <v>0.18226487025948085</v>
      </c>
      <c r="U670" s="18">
        <f t="shared" si="154"/>
        <v>2277256</v>
      </c>
      <c r="V670" s="7">
        <f t="shared" si="155"/>
        <v>5586.2002000000002</v>
      </c>
      <c r="W670" s="7">
        <f t="shared" si="156"/>
        <v>2146.1999999999998</v>
      </c>
      <c r="X670" s="7">
        <f t="shared" si="157"/>
        <v>2182.5</v>
      </c>
      <c r="Y670" s="7">
        <f t="shared" si="158"/>
        <v>204</v>
      </c>
      <c r="Z670" s="7">
        <f t="shared" si="159"/>
        <v>736359</v>
      </c>
      <c r="AA670" s="7" t="str">
        <f t="shared" si="160"/>
        <v>12-Mar-2024</v>
      </c>
      <c r="AB670" s="7">
        <f t="shared" si="161"/>
        <v>2182.5</v>
      </c>
      <c r="AC670" s="7">
        <f t="shared" si="165"/>
        <v>1</v>
      </c>
      <c r="AD670" s="7">
        <f t="shared" si="162"/>
        <v>2024</v>
      </c>
      <c r="AE670" s="19">
        <f t="shared" si="163"/>
        <v>7.0000000000000007E-2</v>
      </c>
      <c r="BA670" s="10">
        <f t="shared" si="164"/>
        <v>26.997800000000002</v>
      </c>
    </row>
    <row r="671" spans="1:53" x14ac:dyDescent="0.3">
      <c r="A671" s="17">
        <v>45364</v>
      </c>
      <c r="B671" s="8">
        <v>2175.3998999999999</v>
      </c>
      <c r="C671" s="7">
        <v>2175.3998999999999</v>
      </c>
      <c r="D671" s="7">
        <v>2162.5</v>
      </c>
      <c r="E671" s="7">
        <v>2162.5</v>
      </c>
      <c r="F671" s="18">
        <v>20</v>
      </c>
      <c r="G671" s="7">
        <v>2154.3856999999998</v>
      </c>
      <c r="H671" s="7">
        <v>2059.0567000000001</v>
      </c>
      <c r="I671" s="7">
        <v>2031.1867</v>
      </c>
      <c r="J671" s="8">
        <v>-0.91639999999999999</v>
      </c>
      <c r="K671" s="7">
        <v>0.78159999999999996</v>
      </c>
      <c r="L671" s="7">
        <v>0.71589999999999998</v>
      </c>
      <c r="M671" s="8">
        <v>82.900800000000004</v>
      </c>
      <c r="N671" s="8">
        <v>38.337299999999999</v>
      </c>
      <c r="O671" s="7">
        <v>24.5472</v>
      </c>
      <c r="P671" s="7">
        <v>2205.1561000000002</v>
      </c>
      <c r="Q671" s="7">
        <v>1938.1539</v>
      </c>
      <c r="R671" s="7" t="str">
        <f t="shared" si="151"/>
        <v>Down</v>
      </c>
      <c r="S671" s="7" t="str">
        <f t="shared" si="152"/>
        <v>Sell</v>
      </c>
      <c r="T671" s="8">
        <f t="shared" si="153"/>
        <v>0.18249179999999979</v>
      </c>
      <c r="U671" s="18">
        <f t="shared" si="154"/>
        <v>2276706</v>
      </c>
      <c r="V671" s="7">
        <f t="shared" si="155"/>
        <v>5586.2002000000002</v>
      </c>
      <c r="W671" s="7">
        <f t="shared" si="156"/>
        <v>2146.1999999999998</v>
      </c>
      <c r="X671" s="7">
        <f t="shared" si="157"/>
        <v>2162.5</v>
      </c>
      <c r="Y671" s="7">
        <f t="shared" si="158"/>
        <v>203</v>
      </c>
      <c r="Z671" s="7">
        <f t="shared" si="159"/>
        <v>735809</v>
      </c>
      <c r="AA671" s="7" t="str">
        <f t="shared" si="160"/>
        <v>13-Mar-2024</v>
      </c>
      <c r="AB671" s="7">
        <f t="shared" si="161"/>
        <v>2162.5</v>
      </c>
      <c r="AC671" s="7">
        <f t="shared" si="165"/>
        <v>1</v>
      </c>
      <c r="AD671" s="7">
        <f t="shared" si="162"/>
        <v>2024</v>
      </c>
      <c r="AE671" s="19">
        <f t="shared" si="163"/>
        <v>-0.92</v>
      </c>
      <c r="BA671" s="10">
        <f t="shared" si="164"/>
        <v>26.997800000000002</v>
      </c>
    </row>
    <row r="672" spans="1:53" x14ac:dyDescent="0.3">
      <c r="A672" s="17">
        <v>45365</v>
      </c>
      <c r="B672" s="8">
        <v>2163</v>
      </c>
      <c r="C672" s="7">
        <v>2163</v>
      </c>
      <c r="D672" s="7">
        <v>2162.3000000000002</v>
      </c>
      <c r="E672" s="7">
        <v>2163</v>
      </c>
      <c r="F672" s="18">
        <v>515</v>
      </c>
      <c r="G672" s="7">
        <v>2161.2570999999998</v>
      </c>
      <c r="H672" s="7">
        <v>2063.31</v>
      </c>
      <c r="I672" s="7">
        <v>2033.1188999999999</v>
      </c>
      <c r="J672" s="8">
        <v>2.3099999999999999E-2</v>
      </c>
      <c r="K672" s="7">
        <v>0.66830000000000001</v>
      </c>
      <c r="L672" s="7">
        <v>0.71660000000000001</v>
      </c>
      <c r="M672" s="8">
        <v>86.090599999999995</v>
      </c>
      <c r="N672" s="8">
        <v>38.722799999999999</v>
      </c>
      <c r="O672" s="7">
        <v>27.382300000000001</v>
      </c>
      <c r="P672" s="7">
        <v>2213.9755</v>
      </c>
      <c r="Q672" s="7">
        <v>1946.6044999999999</v>
      </c>
      <c r="R672" s="7" t="str">
        <f t="shared" si="151"/>
        <v>Down</v>
      </c>
      <c r="S672" s="7" t="str">
        <f t="shared" si="152"/>
        <v>Sell</v>
      </c>
      <c r="T672" s="8">
        <f t="shared" si="153"/>
        <v>0.18469398797595171</v>
      </c>
      <c r="U672" s="18">
        <f t="shared" si="154"/>
        <v>2276686</v>
      </c>
      <c r="V672" s="7">
        <f t="shared" si="155"/>
        <v>5586.2002000000002</v>
      </c>
      <c r="W672" s="7">
        <f t="shared" si="156"/>
        <v>2146.1999999999998</v>
      </c>
      <c r="X672" s="7">
        <f t="shared" si="157"/>
        <v>2163</v>
      </c>
      <c r="Y672" s="7">
        <f t="shared" si="158"/>
        <v>203</v>
      </c>
      <c r="Z672" s="7">
        <f t="shared" si="159"/>
        <v>735809</v>
      </c>
      <c r="AA672" s="7" t="str">
        <f t="shared" si="160"/>
        <v>14-Mar-2024</v>
      </c>
      <c r="AB672" s="7">
        <f t="shared" si="161"/>
        <v>2163</v>
      </c>
      <c r="AC672" s="7">
        <f t="shared" si="165"/>
        <v>1</v>
      </c>
      <c r="AD672" s="7">
        <f t="shared" si="162"/>
        <v>2024</v>
      </c>
      <c r="AE672" s="19">
        <f t="shared" si="163"/>
        <v>0.02</v>
      </c>
      <c r="BA672" s="10">
        <f t="shared" si="164"/>
        <v>26.997800000000002</v>
      </c>
    </row>
    <row r="673" spans="1:53" x14ac:dyDescent="0.3">
      <c r="A673" s="17">
        <v>45366</v>
      </c>
      <c r="B673" s="8">
        <v>2157.3000000000002</v>
      </c>
      <c r="C673" s="7">
        <v>2161.6999999999998</v>
      </c>
      <c r="D673" s="7">
        <v>2157.3000000000002</v>
      </c>
      <c r="E673" s="7">
        <v>2161.6999999999998</v>
      </c>
      <c r="F673" s="18">
        <v>100</v>
      </c>
      <c r="G673" s="7">
        <v>2166.4286000000002</v>
      </c>
      <c r="H673" s="7">
        <v>2067.36</v>
      </c>
      <c r="I673" s="7">
        <v>2035.0378000000001</v>
      </c>
      <c r="J673" s="8">
        <v>-6.0100000000000001E-2</v>
      </c>
      <c r="K673" s="7">
        <v>0.67700000000000005</v>
      </c>
      <c r="L673" s="7">
        <v>0.71819999999999995</v>
      </c>
      <c r="M673" s="8">
        <v>84.863399999999999</v>
      </c>
      <c r="N673" s="8">
        <v>38.479900000000001</v>
      </c>
      <c r="O673" s="7">
        <v>29.601800000000001</v>
      </c>
      <c r="P673" s="7">
        <v>2220.5567000000001</v>
      </c>
      <c r="Q673" s="7">
        <v>1956.8333</v>
      </c>
      <c r="R673" s="7" t="str">
        <f t="shared" si="151"/>
        <v>Up</v>
      </c>
      <c r="S673" s="7" t="str">
        <f t="shared" si="152"/>
        <v>Sell</v>
      </c>
      <c r="T673" s="8">
        <f t="shared" si="153"/>
        <v>0.18501847389558213</v>
      </c>
      <c r="U673" s="18">
        <f t="shared" si="154"/>
        <v>2276171</v>
      </c>
      <c r="V673" s="7">
        <f t="shared" si="155"/>
        <v>5586.2002000000002</v>
      </c>
      <c r="W673" s="7">
        <f t="shared" si="156"/>
        <v>2146.1999999999998</v>
      </c>
      <c r="X673" s="7">
        <f t="shared" si="157"/>
        <v>2161.6999999999998</v>
      </c>
      <c r="Y673" s="7">
        <f t="shared" si="158"/>
        <v>203</v>
      </c>
      <c r="Z673" s="7">
        <f t="shared" si="159"/>
        <v>735809</v>
      </c>
      <c r="AA673" s="7" t="str">
        <f t="shared" si="160"/>
        <v>15-Mar-2024</v>
      </c>
      <c r="AB673" s="7">
        <f t="shared" si="161"/>
        <v>2161.6999999999998</v>
      </c>
      <c r="AC673" s="7">
        <f t="shared" si="165"/>
        <v>1</v>
      </c>
      <c r="AD673" s="7">
        <f t="shared" si="162"/>
        <v>2024</v>
      </c>
      <c r="AE673" s="19">
        <f t="shared" si="163"/>
        <v>-0.06</v>
      </c>
      <c r="BA673" s="10">
        <f t="shared" si="164"/>
        <v>26.997800000000002</v>
      </c>
    </row>
    <row r="674" spans="1:53" x14ac:dyDescent="0.3">
      <c r="A674" s="17">
        <v>45369</v>
      </c>
      <c r="B674" s="8">
        <v>2160.6999999999998</v>
      </c>
      <c r="C674" s="7">
        <v>2160.6999999999998</v>
      </c>
      <c r="D674" s="7">
        <v>2146.1999999999998</v>
      </c>
      <c r="E674" s="7">
        <v>2146.1999999999998</v>
      </c>
      <c r="F674" s="18">
        <v>21</v>
      </c>
      <c r="G674" s="7">
        <v>2166.3143</v>
      </c>
      <c r="H674" s="7">
        <v>2070.4067</v>
      </c>
      <c r="I674" s="7">
        <v>2036.8667</v>
      </c>
      <c r="J674" s="8">
        <v>-0.71699999999999997</v>
      </c>
      <c r="K674" s="7">
        <v>0.66539999999999999</v>
      </c>
      <c r="L674" s="7">
        <v>0.73</v>
      </c>
      <c r="M674" s="8">
        <v>78.037599999999998</v>
      </c>
      <c r="N674" s="8">
        <v>36.6145</v>
      </c>
      <c r="O674" s="7">
        <v>31.0044</v>
      </c>
      <c r="P674" s="7">
        <v>2223.8139999999999</v>
      </c>
      <c r="Q674" s="7">
        <v>1967.6959999999999</v>
      </c>
      <c r="R674" s="7" t="str">
        <f t="shared" si="151"/>
        <v>Down</v>
      </c>
      <c r="S674" s="7" t="str">
        <f t="shared" si="152"/>
        <v>Sell</v>
      </c>
      <c r="T674" s="8">
        <f t="shared" si="153"/>
        <v>0.18551167002012053</v>
      </c>
      <c r="U674" s="18">
        <f t="shared" si="154"/>
        <v>2276071</v>
      </c>
      <c r="V674" s="7">
        <f t="shared" si="155"/>
        <v>5586.2002000000002</v>
      </c>
      <c r="W674" s="7">
        <f t="shared" si="156"/>
        <v>2146.1999999999998</v>
      </c>
      <c r="X674" s="7">
        <f t="shared" si="157"/>
        <v>2146.1999999999998</v>
      </c>
      <c r="Y674" s="7">
        <f t="shared" si="158"/>
        <v>202</v>
      </c>
      <c r="Z674" s="7">
        <f t="shared" si="159"/>
        <v>735709</v>
      </c>
      <c r="AA674" s="7" t="str">
        <f t="shared" si="160"/>
        <v>18-Mar-2024</v>
      </c>
      <c r="AB674" s="7">
        <f t="shared" si="161"/>
        <v>2146.1999999999998</v>
      </c>
      <c r="AC674" s="7">
        <f t="shared" si="165"/>
        <v>1</v>
      </c>
      <c r="AD674" s="7">
        <f t="shared" si="162"/>
        <v>2024</v>
      </c>
      <c r="AE674" s="19">
        <f t="shared" si="163"/>
        <v>-0.72</v>
      </c>
      <c r="BA674" s="10">
        <f t="shared" si="164"/>
        <v>26.997800000000002</v>
      </c>
    </row>
    <row r="675" spans="1:53" x14ac:dyDescent="0.3">
      <c r="A675" s="17">
        <v>45370</v>
      </c>
      <c r="B675" s="8">
        <v>2156.3000000000002</v>
      </c>
      <c r="C675" s="7">
        <v>2156.3000000000002</v>
      </c>
      <c r="D675" s="7">
        <v>2156.1001000000001</v>
      </c>
      <c r="E675" s="7">
        <v>2156.1001000000001</v>
      </c>
      <c r="F675" s="18">
        <v>12</v>
      </c>
      <c r="G675" s="7">
        <v>2164.7143000000001</v>
      </c>
      <c r="H675" s="7">
        <v>2074.3132999999998</v>
      </c>
      <c r="I675" s="7">
        <v>2038.9733000000001</v>
      </c>
      <c r="J675" s="8">
        <v>0.46129999999999999</v>
      </c>
      <c r="K675" s="7">
        <v>0.56840000000000002</v>
      </c>
      <c r="L675" s="7">
        <v>0.71079999999999999</v>
      </c>
      <c r="M675" s="8">
        <v>81.618399999999994</v>
      </c>
      <c r="N675" s="8">
        <v>35.525599999999997</v>
      </c>
      <c r="O675" s="7">
        <v>31.9086</v>
      </c>
      <c r="P675" s="7">
        <v>2227.7013999999999</v>
      </c>
      <c r="Q675" s="7">
        <v>1977.8586</v>
      </c>
      <c r="R675" s="7" t="str">
        <f t="shared" si="151"/>
        <v>Down</v>
      </c>
      <c r="S675" s="7" t="str">
        <f t="shared" si="152"/>
        <v>Sell</v>
      </c>
      <c r="T675" s="8">
        <f t="shared" si="153"/>
        <v>0.18733124999999978</v>
      </c>
      <c r="U675" s="18">
        <f t="shared" si="154"/>
        <v>2276050</v>
      </c>
      <c r="V675" s="7">
        <f t="shared" si="155"/>
        <v>5586.2002000000002</v>
      </c>
      <c r="W675" s="7">
        <f t="shared" si="156"/>
        <v>2150.8998999999999</v>
      </c>
      <c r="X675" s="7">
        <f t="shared" si="157"/>
        <v>2156.1001000000001</v>
      </c>
      <c r="Y675" s="7">
        <f t="shared" si="158"/>
        <v>202</v>
      </c>
      <c r="Z675" s="7">
        <f t="shared" si="159"/>
        <v>735709</v>
      </c>
      <c r="AA675" s="7" t="str">
        <f t="shared" si="160"/>
        <v>19-Mar-2024</v>
      </c>
      <c r="AB675" s="7">
        <f t="shared" si="161"/>
        <v>2156.1001000000001</v>
      </c>
      <c r="AC675" s="7">
        <f t="shared" si="165"/>
        <v>1</v>
      </c>
      <c r="AD675" s="7">
        <f t="shared" si="162"/>
        <v>2024</v>
      </c>
      <c r="AE675" s="19">
        <f t="shared" si="163"/>
        <v>0.46</v>
      </c>
      <c r="BA675" s="10">
        <f t="shared" si="164"/>
        <v>26.997800000000002</v>
      </c>
    </row>
    <row r="676" spans="1:53" x14ac:dyDescent="0.3">
      <c r="A676" s="17">
        <v>45371</v>
      </c>
      <c r="B676" s="8">
        <v>2157.8998999999999</v>
      </c>
      <c r="C676" s="7">
        <v>2185.8998999999999</v>
      </c>
      <c r="D676" s="7">
        <v>2150.8998999999999</v>
      </c>
      <c r="E676" s="7">
        <v>2157.3000000000002</v>
      </c>
      <c r="F676" s="18">
        <v>17</v>
      </c>
      <c r="G676" s="7">
        <v>2161.3285999999998</v>
      </c>
      <c r="H676" s="7">
        <v>2078.6932999999999</v>
      </c>
      <c r="I676" s="7">
        <v>2041.0789</v>
      </c>
      <c r="J676" s="8">
        <v>5.57E-2</v>
      </c>
      <c r="K676" s="7">
        <v>0.4849</v>
      </c>
      <c r="L676" s="7">
        <v>0.69410000000000005</v>
      </c>
      <c r="M676" s="8">
        <v>81.281800000000004</v>
      </c>
      <c r="N676" s="8">
        <v>34.363300000000002</v>
      </c>
      <c r="O676" s="7">
        <v>32.3996</v>
      </c>
      <c r="P676" s="7">
        <v>2231.2379000000001</v>
      </c>
      <c r="Q676" s="7">
        <v>1987.2320999999999</v>
      </c>
      <c r="R676" s="7" t="str">
        <f t="shared" si="151"/>
        <v>Down</v>
      </c>
      <c r="S676" s="7" t="str">
        <f t="shared" si="152"/>
        <v>Sell</v>
      </c>
      <c r="T676" s="8">
        <f t="shared" si="153"/>
        <v>0.18677777777777757</v>
      </c>
      <c r="U676" s="18">
        <f t="shared" si="154"/>
        <v>2276038</v>
      </c>
      <c r="V676" s="7">
        <f t="shared" si="155"/>
        <v>5586.2002000000002</v>
      </c>
      <c r="W676" s="7">
        <f t="shared" si="156"/>
        <v>2150.8998999999999</v>
      </c>
      <c r="X676" s="7">
        <f t="shared" si="157"/>
        <v>2157.3000000000002</v>
      </c>
      <c r="Y676" s="7">
        <f t="shared" si="158"/>
        <v>202</v>
      </c>
      <c r="Z676" s="7">
        <f t="shared" si="159"/>
        <v>735709</v>
      </c>
      <c r="AA676" s="7" t="str">
        <f t="shared" si="160"/>
        <v>20-Mar-2024</v>
      </c>
      <c r="AB676" s="7">
        <f t="shared" si="161"/>
        <v>2157.3000000000002</v>
      </c>
      <c r="AC676" s="7">
        <f t="shared" si="165"/>
        <v>1</v>
      </c>
      <c r="AD676" s="7">
        <f t="shared" si="162"/>
        <v>2024</v>
      </c>
      <c r="AE676" s="19">
        <f t="shared" si="163"/>
        <v>0.06</v>
      </c>
      <c r="BA676" s="10">
        <f t="shared" si="164"/>
        <v>26.997800000000002</v>
      </c>
    </row>
    <row r="677" spans="1:53" x14ac:dyDescent="0.3">
      <c r="A677" s="17">
        <v>45372</v>
      </c>
      <c r="B677" s="8">
        <v>2182.3998999999999</v>
      </c>
      <c r="C677" s="7">
        <v>2211.6001000000001</v>
      </c>
      <c r="D677" s="7">
        <v>2182.3998999999999</v>
      </c>
      <c r="E677" s="7">
        <v>2207</v>
      </c>
      <c r="F677" s="18">
        <v>63</v>
      </c>
      <c r="G677" s="7">
        <v>2164.8285999999998</v>
      </c>
      <c r="H677" s="7">
        <v>2084.5</v>
      </c>
      <c r="I677" s="7">
        <v>2043.9156</v>
      </c>
      <c r="J677" s="8">
        <v>2.3037999999999998</v>
      </c>
      <c r="K677" s="7">
        <v>1.0561</v>
      </c>
      <c r="L677" s="7">
        <v>0.79220000000000002</v>
      </c>
      <c r="M677" s="8">
        <v>84.505300000000005</v>
      </c>
      <c r="N677" s="8">
        <v>37.025799999999997</v>
      </c>
      <c r="O677" s="7">
        <v>33.324800000000003</v>
      </c>
      <c r="P677" s="7">
        <v>2241.8679000000002</v>
      </c>
      <c r="Q677" s="7">
        <v>1993.9821999999999</v>
      </c>
      <c r="R677" s="7" t="str">
        <f t="shared" si="151"/>
        <v>Up</v>
      </c>
      <c r="S677" s="7" t="str">
        <f t="shared" si="152"/>
        <v>Sell</v>
      </c>
      <c r="T677" s="8">
        <f t="shared" si="153"/>
        <v>0.18704311740890667</v>
      </c>
      <c r="U677" s="18">
        <f t="shared" si="154"/>
        <v>2276021</v>
      </c>
      <c r="V677" s="7">
        <f t="shared" si="155"/>
        <v>5586.2002000000002</v>
      </c>
      <c r="W677" s="7">
        <f t="shared" si="156"/>
        <v>2157.5</v>
      </c>
      <c r="X677" s="7">
        <f t="shared" si="157"/>
        <v>2207</v>
      </c>
      <c r="Y677" s="7">
        <f t="shared" si="158"/>
        <v>202</v>
      </c>
      <c r="Z677" s="7">
        <f t="shared" si="159"/>
        <v>735709</v>
      </c>
      <c r="AA677" s="7" t="str">
        <f t="shared" si="160"/>
        <v>21-Mar-2024</v>
      </c>
      <c r="AB677" s="7">
        <f t="shared" si="161"/>
        <v>2207</v>
      </c>
      <c r="AC677" s="7">
        <f t="shared" si="165"/>
        <v>1</v>
      </c>
      <c r="AD677" s="7">
        <f t="shared" si="162"/>
        <v>2024</v>
      </c>
      <c r="AE677" s="19">
        <f t="shared" si="163"/>
        <v>2.2999999999999998</v>
      </c>
      <c r="BA677" s="10">
        <f t="shared" si="164"/>
        <v>26.997800000000002</v>
      </c>
    </row>
    <row r="678" spans="1:53" x14ac:dyDescent="0.3">
      <c r="A678" s="17">
        <v>45373</v>
      </c>
      <c r="B678" s="8">
        <v>2158.1001000000001</v>
      </c>
      <c r="C678" s="7">
        <v>2179.6001000000001</v>
      </c>
      <c r="D678" s="7">
        <v>2157.5</v>
      </c>
      <c r="E678" s="7">
        <v>2179.1999999999998</v>
      </c>
      <c r="F678" s="18">
        <v>19</v>
      </c>
      <c r="G678" s="7">
        <v>2167.2143000000001</v>
      </c>
      <c r="H678" s="7">
        <v>2089.54</v>
      </c>
      <c r="I678" s="7">
        <v>2046.3556000000001</v>
      </c>
      <c r="J678" s="8">
        <v>-1.2596000000000001</v>
      </c>
      <c r="K678" s="7">
        <v>1.1207</v>
      </c>
      <c r="L678" s="7">
        <v>0.83589999999999998</v>
      </c>
      <c r="M678" s="8">
        <v>71.263300000000001</v>
      </c>
      <c r="N678" s="8">
        <v>36.472099999999998</v>
      </c>
      <c r="O678" s="7">
        <v>33.954300000000003</v>
      </c>
      <c r="P678" s="7">
        <v>2244.4387999999999</v>
      </c>
      <c r="Q678" s="7">
        <v>2006.7311999999999</v>
      </c>
      <c r="R678" s="7" t="str">
        <f t="shared" si="151"/>
        <v>Up</v>
      </c>
      <c r="S678" s="7" t="str">
        <f t="shared" si="152"/>
        <v>Sell</v>
      </c>
      <c r="T678" s="8">
        <f t="shared" si="153"/>
        <v>0.18274949290060832</v>
      </c>
      <c r="U678" s="18">
        <f t="shared" si="154"/>
        <v>2275958</v>
      </c>
      <c r="V678" s="7">
        <f t="shared" si="155"/>
        <v>5586.2002000000002</v>
      </c>
      <c r="W678" s="7">
        <f t="shared" si="156"/>
        <v>2157.5</v>
      </c>
      <c r="X678" s="7">
        <f t="shared" si="157"/>
        <v>2179.1999999999998</v>
      </c>
      <c r="Y678" s="7">
        <f t="shared" si="158"/>
        <v>201</v>
      </c>
      <c r="Z678" s="7">
        <f t="shared" si="159"/>
        <v>735646</v>
      </c>
      <c r="AA678" s="7" t="str">
        <f t="shared" si="160"/>
        <v>22-Mar-2024</v>
      </c>
      <c r="AB678" s="7">
        <f t="shared" si="161"/>
        <v>2179.1999999999998</v>
      </c>
      <c r="AC678" s="7">
        <f t="shared" si="165"/>
        <v>1</v>
      </c>
      <c r="AD678" s="7">
        <f t="shared" si="162"/>
        <v>2024</v>
      </c>
      <c r="AE678" s="19">
        <f t="shared" si="163"/>
        <v>-1.26</v>
      </c>
      <c r="BA678" s="10">
        <f t="shared" si="164"/>
        <v>26.997800000000002</v>
      </c>
    </row>
    <row r="679" spans="1:53" x14ac:dyDescent="0.3">
      <c r="A679" s="17">
        <v>45376</v>
      </c>
      <c r="B679" s="8">
        <v>2174.8000000000002</v>
      </c>
      <c r="C679" s="7">
        <v>2179.3998999999999</v>
      </c>
      <c r="D679" s="7">
        <v>2166.1999999999998</v>
      </c>
      <c r="E679" s="7">
        <v>2166.1999999999998</v>
      </c>
      <c r="F679" s="18">
        <v>79</v>
      </c>
      <c r="G679" s="7">
        <v>2167.6714000000002</v>
      </c>
      <c r="H679" s="7">
        <v>2094.0133000000001</v>
      </c>
      <c r="I679" s="7">
        <v>2048.87</v>
      </c>
      <c r="J679" s="8">
        <v>-0.59650000000000003</v>
      </c>
      <c r="K679" s="7">
        <v>1.1532</v>
      </c>
      <c r="L679" s="7">
        <v>0.84989999999999999</v>
      </c>
      <c r="M679" s="8">
        <v>62.421300000000002</v>
      </c>
      <c r="N679" s="8">
        <v>34.585700000000003</v>
      </c>
      <c r="O679" s="7">
        <v>34.080500000000001</v>
      </c>
      <c r="P679" s="7">
        <v>2244.1176999999998</v>
      </c>
      <c r="Q679" s="7">
        <v>2020.2623000000001</v>
      </c>
      <c r="R679" s="7" t="str">
        <f t="shared" si="151"/>
        <v>Down</v>
      </c>
      <c r="S679" s="7" t="str">
        <f t="shared" si="152"/>
        <v>Hold</v>
      </c>
      <c r="T679" s="8">
        <f t="shared" si="153"/>
        <v>0.18568109756097542</v>
      </c>
      <c r="U679" s="18">
        <f t="shared" si="154"/>
        <v>2275939</v>
      </c>
      <c r="V679" s="7">
        <f t="shared" si="155"/>
        <v>5586.2002000000002</v>
      </c>
      <c r="W679" s="7">
        <f t="shared" si="156"/>
        <v>2166.1999999999998</v>
      </c>
      <c r="X679" s="7">
        <f t="shared" si="157"/>
        <v>2166.1999999999998</v>
      </c>
      <c r="Y679" s="7">
        <f t="shared" si="158"/>
        <v>200</v>
      </c>
      <c r="Z679" s="7">
        <f t="shared" si="159"/>
        <v>735627</v>
      </c>
      <c r="AA679" s="7" t="str">
        <f t="shared" si="160"/>
        <v>25-Mar-2024</v>
      </c>
      <c r="AB679" s="7">
        <f t="shared" si="161"/>
        <v>2166.1999999999998</v>
      </c>
      <c r="AC679" s="7">
        <f t="shared" si="165"/>
        <v>1</v>
      </c>
      <c r="AD679" s="7">
        <f t="shared" si="162"/>
        <v>2024</v>
      </c>
      <c r="AE679" s="19">
        <f t="shared" si="163"/>
        <v>-0.6</v>
      </c>
      <c r="BA679" s="10">
        <f t="shared" si="164"/>
        <v>26.997800000000002</v>
      </c>
    </row>
    <row r="680" spans="1:53" x14ac:dyDescent="0.3">
      <c r="A680" s="17">
        <v>45377</v>
      </c>
      <c r="B680" s="8">
        <v>2175.6001000000001</v>
      </c>
      <c r="C680" s="7">
        <v>2182.6999999999998</v>
      </c>
      <c r="D680" s="7">
        <v>2175.6001000000001</v>
      </c>
      <c r="E680" s="7">
        <v>2182.6999999999998</v>
      </c>
      <c r="F680" s="18">
        <v>202373</v>
      </c>
      <c r="G680" s="7">
        <v>2170.6714000000002</v>
      </c>
      <c r="H680" s="7">
        <v>2099.2532999999999</v>
      </c>
      <c r="I680" s="7">
        <v>2051.2800000000002</v>
      </c>
      <c r="J680" s="8">
        <v>0.76170000000000004</v>
      </c>
      <c r="K680" s="7">
        <v>1.1842999999999999</v>
      </c>
      <c r="L680" s="7">
        <v>0.84930000000000005</v>
      </c>
      <c r="M680" s="8">
        <v>63.4651</v>
      </c>
      <c r="N680" s="8">
        <v>34.029800000000002</v>
      </c>
      <c r="O680" s="7">
        <v>34.070399999999999</v>
      </c>
      <c r="P680" s="7">
        <v>2243.8665999999998</v>
      </c>
      <c r="Q680" s="7">
        <v>2035.1934000000001</v>
      </c>
      <c r="R680" s="7" t="str">
        <f t="shared" si="151"/>
        <v>Up</v>
      </c>
      <c r="S680" s="7" t="str">
        <f t="shared" si="152"/>
        <v>Hold</v>
      </c>
      <c r="T680" s="8">
        <f t="shared" si="153"/>
        <v>0.18727413441955174</v>
      </c>
      <c r="U680" s="18">
        <f t="shared" si="154"/>
        <v>2275860</v>
      </c>
      <c r="V680" s="7">
        <f t="shared" si="155"/>
        <v>5586.2002000000002</v>
      </c>
      <c r="W680" s="7">
        <f t="shared" si="156"/>
        <v>2172.1001000000001</v>
      </c>
      <c r="X680" s="7">
        <f t="shared" si="157"/>
        <v>2182.6999999999998</v>
      </c>
      <c r="Y680" s="7">
        <f t="shared" si="158"/>
        <v>200</v>
      </c>
      <c r="Z680" s="7">
        <f t="shared" si="159"/>
        <v>735627</v>
      </c>
      <c r="AA680" s="7" t="str">
        <f t="shared" si="160"/>
        <v>26-Mar-2024</v>
      </c>
      <c r="AB680" s="7">
        <f t="shared" si="161"/>
        <v>2182.6999999999998</v>
      </c>
      <c r="AC680" s="7">
        <f t="shared" si="165"/>
        <v>1</v>
      </c>
      <c r="AD680" s="7">
        <f t="shared" si="162"/>
        <v>2024</v>
      </c>
      <c r="AE680" s="19">
        <f t="shared" si="163"/>
        <v>0.76</v>
      </c>
      <c r="BA680" s="10">
        <f t="shared" si="164"/>
        <v>26.997800000000002</v>
      </c>
    </row>
    <row r="681" spans="1:53" x14ac:dyDescent="0.3">
      <c r="A681" s="17">
        <v>45378</v>
      </c>
      <c r="B681" s="8">
        <v>2190.6001000000001</v>
      </c>
      <c r="C681" s="7">
        <v>2196.1999999999998</v>
      </c>
      <c r="D681" s="7">
        <v>2172.1001000000001</v>
      </c>
      <c r="E681" s="7">
        <v>2179.3998999999999</v>
      </c>
      <c r="F681" s="18">
        <v>31200</v>
      </c>
      <c r="G681" s="7">
        <v>2175.4142999999999</v>
      </c>
      <c r="H681" s="7">
        <v>2104.3966999999998</v>
      </c>
      <c r="I681" s="7">
        <v>2053.6867000000002</v>
      </c>
      <c r="J681" s="8">
        <v>-0.1512</v>
      </c>
      <c r="K681" s="7">
        <v>1.1338999999999999</v>
      </c>
      <c r="L681" s="7">
        <v>0.85109999999999997</v>
      </c>
      <c r="M681" s="8">
        <v>58.341900000000003</v>
      </c>
      <c r="N681" s="8">
        <v>32.943199999999997</v>
      </c>
      <c r="O681" s="7">
        <v>33.844900000000003</v>
      </c>
      <c r="P681" s="7">
        <v>2238.87</v>
      </c>
      <c r="Q681" s="7">
        <v>2055.1799999999998</v>
      </c>
      <c r="R681" s="7" t="str">
        <f t="shared" si="151"/>
        <v>Down</v>
      </c>
      <c r="S681" s="7" t="str">
        <f t="shared" si="152"/>
        <v>Hold</v>
      </c>
      <c r="T681" s="8">
        <f t="shared" si="153"/>
        <v>0.18610183673469369</v>
      </c>
      <c r="U681" s="18">
        <f t="shared" si="154"/>
        <v>2073487</v>
      </c>
      <c r="V681" s="7">
        <f t="shared" si="155"/>
        <v>5586.2002000000002</v>
      </c>
      <c r="W681" s="7">
        <f t="shared" si="156"/>
        <v>2172.1001000000001</v>
      </c>
      <c r="X681" s="7">
        <f t="shared" si="157"/>
        <v>2179.3998999999999</v>
      </c>
      <c r="Y681" s="7">
        <f t="shared" si="158"/>
        <v>199</v>
      </c>
      <c r="Z681" s="7">
        <f t="shared" si="159"/>
        <v>533254</v>
      </c>
      <c r="AA681" s="7" t="str">
        <f t="shared" si="160"/>
        <v>27-Mar-2024</v>
      </c>
      <c r="AB681" s="7">
        <f t="shared" si="161"/>
        <v>2179.3998999999999</v>
      </c>
      <c r="AC681" s="7">
        <f t="shared" si="165"/>
        <v>1</v>
      </c>
      <c r="AD681" s="7">
        <f t="shared" si="162"/>
        <v>2024</v>
      </c>
      <c r="AE681" s="19">
        <f t="shared" si="163"/>
        <v>-0.15</v>
      </c>
      <c r="BA681" s="10">
        <f t="shared" si="164"/>
        <v>26.997800000000002</v>
      </c>
    </row>
    <row r="682" spans="1:53" x14ac:dyDescent="0.3">
      <c r="A682" s="17">
        <v>45379</v>
      </c>
      <c r="B682" s="8">
        <v>2217.3998999999999</v>
      </c>
      <c r="C682" s="7">
        <v>2234.1001000000001</v>
      </c>
      <c r="D682" s="7">
        <v>2187.1001000000001</v>
      </c>
      <c r="E682" s="7">
        <v>2193.6001000000001</v>
      </c>
      <c r="F682" s="18">
        <v>2040</v>
      </c>
      <c r="G682" s="7">
        <v>2180.7714000000001</v>
      </c>
      <c r="H682" s="7">
        <v>2111.1732999999999</v>
      </c>
      <c r="I682" s="7">
        <v>2056.2233000000001</v>
      </c>
      <c r="J682" s="8">
        <v>0.65159999999999996</v>
      </c>
      <c r="K682" s="7">
        <v>1.1428</v>
      </c>
      <c r="L682" s="7">
        <v>0.76819999999999999</v>
      </c>
      <c r="M682" s="8">
        <v>56.991</v>
      </c>
      <c r="N682" s="8">
        <v>32.849200000000003</v>
      </c>
      <c r="O682" s="7">
        <v>33.645800000000001</v>
      </c>
      <c r="P682" s="7">
        <v>2232.1257000000001</v>
      </c>
      <c r="Q682" s="7">
        <v>2077.8543</v>
      </c>
      <c r="R682" s="7" t="str">
        <f t="shared" si="151"/>
        <v>Down</v>
      </c>
      <c r="S682" s="7" t="str">
        <f t="shared" si="152"/>
        <v>Hold</v>
      </c>
      <c r="T682" s="8">
        <f t="shared" si="153"/>
        <v>0.18679161554192208</v>
      </c>
      <c r="U682" s="18">
        <f t="shared" si="154"/>
        <v>2042287</v>
      </c>
      <c r="V682" s="7">
        <f t="shared" si="155"/>
        <v>5586.2002000000002</v>
      </c>
      <c r="W682" s="7">
        <f t="shared" si="156"/>
        <v>2187.1001000000001</v>
      </c>
      <c r="X682" s="7">
        <f t="shared" si="157"/>
        <v>2193.6001000000001</v>
      </c>
      <c r="Y682" s="7">
        <f t="shared" si="158"/>
        <v>199</v>
      </c>
      <c r="Z682" s="7">
        <f t="shared" si="159"/>
        <v>533254</v>
      </c>
      <c r="AA682" s="7" t="str">
        <f t="shared" si="160"/>
        <v>28-Mar-2024</v>
      </c>
      <c r="AB682" s="7">
        <f t="shared" si="161"/>
        <v>2193.6001000000001</v>
      </c>
      <c r="AC682" s="7">
        <f t="shared" si="165"/>
        <v>1</v>
      </c>
      <c r="AD682" s="7">
        <f t="shared" si="162"/>
        <v>2024</v>
      </c>
      <c r="AE682" s="19">
        <f t="shared" si="163"/>
        <v>0.65</v>
      </c>
      <c r="BA682" s="10">
        <f t="shared" si="164"/>
        <v>26.997800000000002</v>
      </c>
    </row>
    <row r="683" spans="1:53" x14ac:dyDescent="0.3">
      <c r="A683" s="17">
        <v>45383</v>
      </c>
      <c r="B683" s="8">
        <v>2236.5</v>
      </c>
      <c r="C683" s="7">
        <v>2264.1999999999998</v>
      </c>
      <c r="D683" s="7">
        <v>2230</v>
      </c>
      <c r="E683" s="7">
        <v>2235.6999999999998</v>
      </c>
      <c r="F683" s="18">
        <v>400</v>
      </c>
      <c r="G683" s="7">
        <v>2191.9713999999999</v>
      </c>
      <c r="H683" s="7">
        <v>2119.2433000000001</v>
      </c>
      <c r="I683" s="7">
        <v>2059.0367000000001</v>
      </c>
      <c r="J683" s="8">
        <v>1.9192</v>
      </c>
      <c r="K683" s="7">
        <v>1.2961</v>
      </c>
      <c r="L683" s="7">
        <v>0.82040000000000002</v>
      </c>
      <c r="M683" s="8">
        <v>62.632800000000003</v>
      </c>
      <c r="N683" s="8">
        <v>35.759700000000002</v>
      </c>
      <c r="O683" s="7">
        <v>34.068600000000004</v>
      </c>
      <c r="P683" s="7">
        <v>2230.1576</v>
      </c>
      <c r="Q683" s="7">
        <v>2099.0823999999998</v>
      </c>
      <c r="R683" s="7" t="str">
        <f t="shared" si="151"/>
        <v>Down</v>
      </c>
      <c r="S683" s="7" t="str">
        <f t="shared" si="152"/>
        <v>Hold</v>
      </c>
      <c r="T683" s="8">
        <f t="shared" si="153"/>
        <v>0.18583913934426208</v>
      </c>
      <c r="U683" s="18">
        <f t="shared" si="154"/>
        <v>2040247</v>
      </c>
      <c r="V683" s="7">
        <f t="shared" si="155"/>
        <v>5586.2002000000002</v>
      </c>
      <c r="W683" s="7">
        <f t="shared" si="156"/>
        <v>2230</v>
      </c>
      <c r="X683" s="7">
        <f t="shared" si="157"/>
        <v>2235.6999999999998</v>
      </c>
      <c r="Y683" s="7">
        <f t="shared" si="158"/>
        <v>199</v>
      </c>
      <c r="Z683" s="7">
        <f t="shared" si="159"/>
        <v>533254</v>
      </c>
      <c r="AA683" s="7" t="str">
        <f t="shared" si="160"/>
        <v>01-Apr-2024</v>
      </c>
      <c r="AB683" s="7">
        <f t="shared" si="161"/>
        <v>2235.6999999999998</v>
      </c>
      <c r="AC683" s="7">
        <f t="shared" si="165"/>
        <v>1</v>
      </c>
      <c r="AD683" s="7">
        <f t="shared" si="162"/>
        <v>2024</v>
      </c>
      <c r="AE683" s="19">
        <f t="shared" si="163"/>
        <v>1.92</v>
      </c>
      <c r="BA683" s="10">
        <f t="shared" si="164"/>
        <v>26.997800000000002</v>
      </c>
    </row>
    <row r="684" spans="1:53" x14ac:dyDescent="0.3">
      <c r="A684" s="17">
        <v>45384</v>
      </c>
      <c r="B684" s="8">
        <v>2261</v>
      </c>
      <c r="C684" s="7">
        <v>2279.1999999999998</v>
      </c>
      <c r="D684" s="7">
        <v>2247.6001000000001</v>
      </c>
      <c r="E684" s="7">
        <v>2252</v>
      </c>
      <c r="F684" s="18">
        <v>435</v>
      </c>
      <c r="G684" s="7">
        <v>2198.4</v>
      </c>
      <c r="H684" s="7">
        <v>2127.4767000000002</v>
      </c>
      <c r="I684" s="7">
        <v>2062.0733</v>
      </c>
      <c r="J684" s="8">
        <v>0.72909999999999997</v>
      </c>
      <c r="K684" s="7">
        <v>1.0474000000000001</v>
      </c>
      <c r="L684" s="7">
        <v>0.82210000000000005</v>
      </c>
      <c r="M684" s="8">
        <v>65.023799999999994</v>
      </c>
      <c r="N684" s="8">
        <v>38.932699999999997</v>
      </c>
      <c r="O684" s="7">
        <v>35.041400000000003</v>
      </c>
      <c r="P684" s="7">
        <v>2238.0180999999998</v>
      </c>
      <c r="Q684" s="7">
        <v>2108.0619000000002</v>
      </c>
      <c r="R684" s="7" t="str">
        <f t="shared" si="151"/>
        <v>Down</v>
      </c>
      <c r="S684" s="7" t="str">
        <f t="shared" si="152"/>
        <v>Hold</v>
      </c>
      <c r="T684" s="8">
        <f t="shared" si="153"/>
        <v>0.18227987679671451</v>
      </c>
      <c r="U684" s="18">
        <f t="shared" si="154"/>
        <v>2039847</v>
      </c>
      <c r="V684" s="7">
        <f t="shared" si="155"/>
        <v>5586.2002000000002</v>
      </c>
      <c r="W684" s="7">
        <f t="shared" si="156"/>
        <v>2247.6001000000001</v>
      </c>
      <c r="X684" s="7">
        <f t="shared" si="157"/>
        <v>2252</v>
      </c>
      <c r="Y684" s="7">
        <f t="shared" si="158"/>
        <v>199</v>
      </c>
      <c r="Z684" s="7">
        <f t="shared" si="159"/>
        <v>533254</v>
      </c>
      <c r="AA684" s="7" t="str">
        <f t="shared" si="160"/>
        <v>02-Apr-2024</v>
      </c>
      <c r="AB684" s="7">
        <f t="shared" si="161"/>
        <v>2252</v>
      </c>
      <c r="AC684" s="7">
        <f t="shared" si="165"/>
        <v>1</v>
      </c>
      <c r="AD684" s="7">
        <f t="shared" si="162"/>
        <v>2024</v>
      </c>
      <c r="AE684" s="19">
        <f t="shared" si="163"/>
        <v>0.73</v>
      </c>
      <c r="BA684" s="10">
        <f t="shared" si="164"/>
        <v>26.997800000000002</v>
      </c>
    </row>
    <row r="685" spans="1:53" x14ac:dyDescent="0.3">
      <c r="A685" s="17">
        <v>45385</v>
      </c>
      <c r="B685" s="8">
        <v>2294.3998999999999</v>
      </c>
      <c r="C685" s="7">
        <v>2298.8000000000002</v>
      </c>
      <c r="D685" s="7">
        <v>2267.8998999999999</v>
      </c>
      <c r="E685" s="7">
        <v>2281.6999999999998</v>
      </c>
      <c r="F685" s="18">
        <v>285</v>
      </c>
      <c r="G685" s="7">
        <v>2213.0428000000002</v>
      </c>
      <c r="H685" s="7">
        <v>2136.3467000000001</v>
      </c>
      <c r="I685" s="7">
        <v>2065.3067000000001</v>
      </c>
      <c r="J685" s="8">
        <v>1.3188</v>
      </c>
      <c r="K685" s="7">
        <v>0.84379999999999999</v>
      </c>
      <c r="L685" s="7">
        <v>0.83909999999999996</v>
      </c>
      <c r="M685" s="8">
        <v>74.7303</v>
      </c>
      <c r="N685" s="8">
        <v>43.344200000000001</v>
      </c>
      <c r="O685" s="7">
        <v>36.701999999999998</v>
      </c>
      <c r="P685" s="7">
        <v>2256.9004</v>
      </c>
      <c r="Q685" s="7">
        <v>2105.8595999999998</v>
      </c>
      <c r="R685" s="7" t="str">
        <f t="shared" si="151"/>
        <v>Down</v>
      </c>
      <c r="S685" s="7" t="str">
        <f t="shared" si="152"/>
        <v>Sell</v>
      </c>
      <c r="T685" s="8">
        <f t="shared" si="153"/>
        <v>0.18115473251028802</v>
      </c>
      <c r="U685" s="18">
        <f t="shared" si="154"/>
        <v>2039412</v>
      </c>
      <c r="V685" s="7">
        <f t="shared" si="155"/>
        <v>5586.2002000000002</v>
      </c>
      <c r="W685" s="7">
        <f t="shared" si="156"/>
        <v>2267.3998999999999</v>
      </c>
      <c r="X685" s="7">
        <f t="shared" si="157"/>
        <v>2281.6999999999998</v>
      </c>
      <c r="Y685" s="7">
        <f t="shared" si="158"/>
        <v>199</v>
      </c>
      <c r="Z685" s="7">
        <f t="shared" si="159"/>
        <v>533254</v>
      </c>
      <c r="AA685" s="7" t="str">
        <f t="shared" si="160"/>
        <v>03-Apr-2024</v>
      </c>
      <c r="AB685" s="7">
        <f t="shared" si="161"/>
        <v>2281.6999999999998</v>
      </c>
      <c r="AC685" s="7">
        <f t="shared" si="165"/>
        <v>1</v>
      </c>
      <c r="AD685" s="7">
        <f t="shared" si="162"/>
        <v>2024</v>
      </c>
      <c r="AE685" s="19">
        <f t="shared" si="163"/>
        <v>1.32</v>
      </c>
      <c r="BA685" s="10">
        <f t="shared" si="164"/>
        <v>26.997800000000002</v>
      </c>
    </row>
    <row r="686" spans="1:53" x14ac:dyDescent="0.3">
      <c r="A686" s="17">
        <v>45386</v>
      </c>
      <c r="B686" s="8">
        <v>2288.8000000000002</v>
      </c>
      <c r="C686" s="7">
        <v>2302.8998999999999</v>
      </c>
      <c r="D686" s="7">
        <v>2280</v>
      </c>
      <c r="E686" s="7">
        <v>2301.6999999999998</v>
      </c>
      <c r="F686" s="18">
        <v>251</v>
      </c>
      <c r="G686" s="7">
        <v>2232.4</v>
      </c>
      <c r="H686" s="7">
        <v>2145.4632999999999</v>
      </c>
      <c r="I686" s="7">
        <v>2068.6689000000001</v>
      </c>
      <c r="J686" s="8">
        <v>0.87649999999999995</v>
      </c>
      <c r="K686" s="7">
        <v>0.63570000000000004</v>
      </c>
      <c r="L686" s="7">
        <v>0.84250000000000003</v>
      </c>
      <c r="M686" s="8">
        <v>76.621799999999993</v>
      </c>
      <c r="N686" s="8">
        <v>47.902099999999997</v>
      </c>
      <c r="O686" s="7">
        <v>38.942</v>
      </c>
      <c r="P686" s="7">
        <v>2278.3200999999999</v>
      </c>
      <c r="Q686" s="7">
        <v>2102.0599000000002</v>
      </c>
      <c r="R686" s="7" t="str">
        <f t="shared" si="151"/>
        <v>Up</v>
      </c>
      <c r="S686" s="7" t="str">
        <f t="shared" si="152"/>
        <v>Sell</v>
      </c>
      <c r="T686" s="8">
        <f t="shared" si="153"/>
        <v>0.17880907216494837</v>
      </c>
      <c r="U686" s="18">
        <f t="shared" si="154"/>
        <v>2039127</v>
      </c>
      <c r="V686" s="7">
        <f t="shared" si="155"/>
        <v>5586.2002000000002</v>
      </c>
      <c r="W686" s="7">
        <f t="shared" si="156"/>
        <v>2267.3998999999999</v>
      </c>
      <c r="X686" s="7">
        <f t="shared" si="157"/>
        <v>2301.6999999999998</v>
      </c>
      <c r="Y686" s="7">
        <f t="shared" si="158"/>
        <v>199</v>
      </c>
      <c r="Z686" s="7">
        <f t="shared" si="159"/>
        <v>533254</v>
      </c>
      <c r="AA686" s="7" t="str">
        <f t="shared" si="160"/>
        <v>04-Apr-2024</v>
      </c>
      <c r="AB686" s="7">
        <f t="shared" si="161"/>
        <v>2301.6999999999998</v>
      </c>
      <c r="AC686" s="7">
        <f t="shared" si="165"/>
        <v>1</v>
      </c>
      <c r="AD686" s="7">
        <f t="shared" si="162"/>
        <v>2024</v>
      </c>
      <c r="AE686" s="19">
        <f t="shared" si="163"/>
        <v>0.88</v>
      </c>
      <c r="BA686" s="10">
        <f t="shared" si="164"/>
        <v>26.997800000000002</v>
      </c>
    </row>
    <row r="687" spans="1:53" x14ac:dyDescent="0.3">
      <c r="A687" s="17">
        <v>45387</v>
      </c>
      <c r="B687" s="8">
        <v>2325.6999999999998</v>
      </c>
      <c r="C687" s="7">
        <v>2328.3998999999999</v>
      </c>
      <c r="D687" s="7">
        <v>2267.3998999999999</v>
      </c>
      <c r="E687" s="7">
        <v>2289.1999999999998</v>
      </c>
      <c r="F687" s="18">
        <v>344</v>
      </c>
      <c r="G687" s="7">
        <v>2247.6143000000002</v>
      </c>
      <c r="H687" s="7">
        <v>2153.9967000000001</v>
      </c>
      <c r="I687" s="7">
        <v>2071.9722000000002</v>
      </c>
      <c r="J687" s="8">
        <v>-0.54310000000000003</v>
      </c>
      <c r="K687" s="7">
        <v>0.83389999999999997</v>
      </c>
      <c r="L687" s="7">
        <v>0.86050000000000004</v>
      </c>
      <c r="M687" s="8">
        <v>73.463399999999993</v>
      </c>
      <c r="N687" s="8">
        <v>49.93</v>
      </c>
      <c r="O687" s="7">
        <v>41.139600000000002</v>
      </c>
      <c r="P687" s="7">
        <v>2293.3476000000001</v>
      </c>
      <c r="Q687" s="7">
        <v>2101.2523999999999</v>
      </c>
      <c r="R687" s="7" t="str">
        <f t="shared" si="151"/>
        <v>Down</v>
      </c>
      <c r="S687" s="7" t="str">
        <f t="shared" si="152"/>
        <v>Sell</v>
      </c>
      <c r="T687" s="8">
        <f t="shared" si="153"/>
        <v>0.17736756198347101</v>
      </c>
      <c r="U687" s="18">
        <f t="shared" si="154"/>
        <v>2038876</v>
      </c>
      <c r="V687" s="7">
        <f t="shared" si="155"/>
        <v>5586.2002000000002</v>
      </c>
      <c r="W687" s="7">
        <f t="shared" si="156"/>
        <v>2267.3998999999999</v>
      </c>
      <c r="X687" s="7">
        <f t="shared" si="157"/>
        <v>2289.1999999999998</v>
      </c>
      <c r="Y687" s="7">
        <f t="shared" si="158"/>
        <v>198</v>
      </c>
      <c r="Z687" s="7">
        <f t="shared" si="159"/>
        <v>533003</v>
      </c>
      <c r="AA687" s="7" t="str">
        <f t="shared" si="160"/>
        <v>05-Apr-2024</v>
      </c>
      <c r="AB687" s="7">
        <f t="shared" si="161"/>
        <v>2289.1999999999998</v>
      </c>
      <c r="AC687" s="7">
        <f t="shared" si="165"/>
        <v>1</v>
      </c>
      <c r="AD687" s="7">
        <f t="shared" si="162"/>
        <v>2024</v>
      </c>
      <c r="AE687" s="19">
        <f t="shared" si="163"/>
        <v>-0.54</v>
      </c>
      <c r="BA687" s="10">
        <f t="shared" si="164"/>
        <v>26.997800000000002</v>
      </c>
    </row>
    <row r="688" spans="1:53" x14ac:dyDescent="0.3">
      <c r="A688" s="17">
        <v>45390</v>
      </c>
      <c r="B688" s="8">
        <v>2331.6999999999998</v>
      </c>
      <c r="C688" s="7">
        <v>2341.8000000000002</v>
      </c>
      <c r="D688" s="7">
        <v>2319</v>
      </c>
      <c r="E688" s="7">
        <v>2325.6001000000001</v>
      </c>
      <c r="F688" s="18">
        <v>202</v>
      </c>
      <c r="G688" s="7">
        <v>2268.5</v>
      </c>
      <c r="H688" s="7">
        <v>2163.9832999999999</v>
      </c>
      <c r="I688" s="7">
        <v>2075.46</v>
      </c>
      <c r="J688" s="8">
        <v>1.5901000000000001</v>
      </c>
      <c r="K688" s="7">
        <v>0.80169999999999997</v>
      </c>
      <c r="L688" s="7">
        <v>0.87480000000000002</v>
      </c>
      <c r="M688" s="8">
        <v>80.656199999999998</v>
      </c>
      <c r="N688" s="8">
        <v>53.853499999999997</v>
      </c>
      <c r="O688" s="7">
        <v>43.682400000000001</v>
      </c>
      <c r="P688" s="7">
        <v>2315.8375000000001</v>
      </c>
      <c r="Q688" s="7">
        <v>2094.5925000000002</v>
      </c>
      <c r="R688" s="7" t="str">
        <f t="shared" si="151"/>
        <v>Down</v>
      </c>
      <c r="S688" s="7" t="str">
        <f t="shared" si="152"/>
        <v>Sell</v>
      </c>
      <c r="T688" s="8">
        <f t="shared" si="153"/>
        <v>0.17885921325051757</v>
      </c>
      <c r="U688" s="18">
        <f t="shared" si="154"/>
        <v>2038532</v>
      </c>
      <c r="V688" s="7">
        <f t="shared" si="155"/>
        <v>5586.2002000000002</v>
      </c>
      <c r="W688" s="7">
        <f t="shared" si="156"/>
        <v>2277.6001000000001</v>
      </c>
      <c r="X688" s="7">
        <f t="shared" si="157"/>
        <v>2325.6001000000001</v>
      </c>
      <c r="Y688" s="7">
        <f t="shared" si="158"/>
        <v>198</v>
      </c>
      <c r="Z688" s="7">
        <f t="shared" si="159"/>
        <v>533003</v>
      </c>
      <c r="AA688" s="7" t="str">
        <f t="shared" si="160"/>
        <v>08-Apr-2024</v>
      </c>
      <c r="AB688" s="7">
        <f t="shared" si="161"/>
        <v>2325.6001000000001</v>
      </c>
      <c r="AC688" s="7">
        <f t="shared" si="165"/>
        <v>1</v>
      </c>
      <c r="AD688" s="7">
        <f t="shared" si="162"/>
        <v>2024</v>
      </c>
      <c r="AE688" s="19">
        <f t="shared" si="163"/>
        <v>1.59</v>
      </c>
      <c r="BA688" s="10">
        <f t="shared" si="164"/>
        <v>26.997800000000002</v>
      </c>
    </row>
    <row r="689" spans="1:53" x14ac:dyDescent="0.3">
      <c r="A689" s="17">
        <v>45391</v>
      </c>
      <c r="B689" s="8">
        <v>2343.5</v>
      </c>
      <c r="C689" s="7">
        <v>2364.6999999999998</v>
      </c>
      <c r="D689" s="7">
        <v>2337.8000000000002</v>
      </c>
      <c r="E689" s="7">
        <v>2337.8000000000002</v>
      </c>
      <c r="F689" s="18">
        <v>211</v>
      </c>
      <c r="G689" s="7">
        <v>2289.1</v>
      </c>
      <c r="H689" s="7">
        <v>2174.1066999999998</v>
      </c>
      <c r="I689" s="7">
        <v>2078.7622000000001</v>
      </c>
      <c r="J689" s="8">
        <v>0.52459999999999996</v>
      </c>
      <c r="K689" s="7">
        <v>0.8105</v>
      </c>
      <c r="L689" s="7">
        <v>0.87480000000000002</v>
      </c>
      <c r="M689" s="8">
        <v>80.807000000000002</v>
      </c>
      <c r="N689" s="8">
        <v>57.286999999999999</v>
      </c>
      <c r="O689" s="7">
        <v>46.403300000000002</v>
      </c>
      <c r="P689" s="7">
        <v>2337.7782999999999</v>
      </c>
      <c r="Q689" s="7">
        <v>2088.3317000000002</v>
      </c>
      <c r="R689" s="7" t="str">
        <f t="shared" si="151"/>
        <v>Down</v>
      </c>
      <c r="S689" s="7" t="str">
        <f t="shared" si="152"/>
        <v>Sell</v>
      </c>
      <c r="T689" s="8">
        <f t="shared" si="153"/>
        <v>0.17593132780082982</v>
      </c>
      <c r="U689" s="18">
        <f t="shared" si="154"/>
        <v>2038330</v>
      </c>
      <c r="V689" s="7">
        <f t="shared" si="155"/>
        <v>5586.2002000000002</v>
      </c>
      <c r="W689" s="7">
        <f t="shared" si="156"/>
        <v>2277.6001000000001</v>
      </c>
      <c r="X689" s="7">
        <f t="shared" si="157"/>
        <v>2337.8000000000002</v>
      </c>
      <c r="Y689" s="7">
        <f t="shared" si="158"/>
        <v>198</v>
      </c>
      <c r="Z689" s="7">
        <f t="shared" si="159"/>
        <v>533003</v>
      </c>
      <c r="AA689" s="7" t="str">
        <f t="shared" si="160"/>
        <v>09-Apr-2024</v>
      </c>
      <c r="AB689" s="7">
        <f t="shared" si="161"/>
        <v>2337.8000000000002</v>
      </c>
      <c r="AC689" s="7">
        <f t="shared" si="165"/>
        <v>1</v>
      </c>
      <c r="AD689" s="7">
        <f t="shared" si="162"/>
        <v>2024</v>
      </c>
      <c r="AE689" s="19">
        <f t="shared" si="163"/>
        <v>0.52</v>
      </c>
      <c r="BA689" s="10">
        <f t="shared" si="164"/>
        <v>26.997800000000002</v>
      </c>
    </row>
    <row r="690" spans="1:53" x14ac:dyDescent="0.3">
      <c r="A690" s="17">
        <v>45392</v>
      </c>
      <c r="B690" s="8">
        <v>2329.6001000000001</v>
      </c>
      <c r="C690" s="7">
        <v>2358.1001000000001</v>
      </c>
      <c r="D690" s="7">
        <v>2327.6999999999998</v>
      </c>
      <c r="E690" s="7">
        <v>2346.6001000000001</v>
      </c>
      <c r="F690" s="18">
        <v>377</v>
      </c>
      <c r="G690" s="7">
        <v>2304.9429</v>
      </c>
      <c r="H690" s="7">
        <v>2184.4632999999999</v>
      </c>
      <c r="I690" s="7">
        <v>2082.15</v>
      </c>
      <c r="J690" s="8">
        <v>0.37640000000000001</v>
      </c>
      <c r="K690" s="7">
        <v>0.69379999999999997</v>
      </c>
      <c r="L690" s="7">
        <v>0.87209999999999999</v>
      </c>
      <c r="M690" s="8">
        <v>81.289199999999994</v>
      </c>
      <c r="N690" s="8">
        <v>60.026200000000003</v>
      </c>
      <c r="O690" s="7">
        <v>49.127899999999997</v>
      </c>
      <c r="P690" s="7">
        <v>2358.4841999999999</v>
      </c>
      <c r="Q690" s="7">
        <v>2084.0358000000001</v>
      </c>
      <c r="R690" s="7" t="str">
        <f t="shared" si="151"/>
        <v>Up</v>
      </c>
      <c r="S690" s="7" t="str">
        <f t="shared" si="152"/>
        <v>Sell</v>
      </c>
      <c r="T690" s="8">
        <f t="shared" si="153"/>
        <v>0.17520644490644488</v>
      </c>
      <c r="U690" s="18">
        <f t="shared" si="154"/>
        <v>2038119</v>
      </c>
      <c r="V690" s="7">
        <f t="shared" si="155"/>
        <v>5586.2002000000002</v>
      </c>
      <c r="W690" s="7">
        <f t="shared" si="156"/>
        <v>2277.6001000000001</v>
      </c>
      <c r="X690" s="7">
        <f t="shared" si="157"/>
        <v>2346.6001000000001</v>
      </c>
      <c r="Y690" s="7">
        <f t="shared" si="158"/>
        <v>198</v>
      </c>
      <c r="Z690" s="7">
        <f t="shared" si="159"/>
        <v>533003</v>
      </c>
      <c r="AA690" s="7" t="str">
        <f t="shared" si="160"/>
        <v>10-Apr-2024</v>
      </c>
      <c r="AB690" s="7">
        <f t="shared" si="161"/>
        <v>2346.6001000000001</v>
      </c>
      <c r="AC690" s="7">
        <f t="shared" si="165"/>
        <v>1</v>
      </c>
      <c r="AD690" s="7">
        <f t="shared" si="162"/>
        <v>2024</v>
      </c>
      <c r="AE690" s="19">
        <f t="shared" si="163"/>
        <v>0.38</v>
      </c>
      <c r="BA690" s="10">
        <f t="shared" si="164"/>
        <v>26.997800000000002</v>
      </c>
    </row>
    <row r="691" spans="1:53" x14ac:dyDescent="0.3">
      <c r="A691" s="17">
        <v>45393</v>
      </c>
      <c r="B691" s="8">
        <v>2354.8000000000002</v>
      </c>
      <c r="C691" s="7">
        <v>2376.3000000000002</v>
      </c>
      <c r="D691" s="7">
        <v>2330.6001000000001</v>
      </c>
      <c r="E691" s="7">
        <v>2341.5</v>
      </c>
      <c r="F691" s="18">
        <v>283</v>
      </c>
      <c r="G691" s="7">
        <v>2317.7285999999999</v>
      </c>
      <c r="H691" s="7">
        <v>2194.8633</v>
      </c>
      <c r="I691" s="7">
        <v>2085.4322000000002</v>
      </c>
      <c r="J691" s="8">
        <v>-0.21729999999999999</v>
      </c>
      <c r="K691" s="7">
        <v>0.77390000000000003</v>
      </c>
      <c r="L691" s="7">
        <v>0.86919999999999997</v>
      </c>
      <c r="M691" s="8">
        <v>76.075999999999993</v>
      </c>
      <c r="N691" s="8">
        <v>61.081400000000002</v>
      </c>
      <c r="O691" s="7">
        <v>51.518599999999999</v>
      </c>
      <c r="P691" s="7">
        <v>2374.4668000000001</v>
      </c>
      <c r="Q691" s="7">
        <v>2085.9531999999999</v>
      </c>
      <c r="R691" s="7" t="str">
        <f t="shared" si="151"/>
        <v>Down</v>
      </c>
      <c r="S691" s="7" t="str">
        <f t="shared" si="152"/>
        <v>Sell</v>
      </c>
      <c r="T691" s="8">
        <f t="shared" si="153"/>
        <v>0.17478729166666665</v>
      </c>
      <c r="U691" s="18">
        <f t="shared" si="154"/>
        <v>2037742</v>
      </c>
      <c r="V691" s="7">
        <f t="shared" si="155"/>
        <v>5586.2002000000002</v>
      </c>
      <c r="W691" s="7">
        <f t="shared" si="156"/>
        <v>2277.6001000000001</v>
      </c>
      <c r="X691" s="7">
        <f t="shared" si="157"/>
        <v>2341.5</v>
      </c>
      <c r="Y691" s="7">
        <f t="shared" si="158"/>
        <v>197</v>
      </c>
      <c r="Z691" s="7">
        <f t="shared" si="159"/>
        <v>532626</v>
      </c>
      <c r="AA691" s="7" t="str">
        <f t="shared" si="160"/>
        <v>11-Apr-2024</v>
      </c>
      <c r="AB691" s="7">
        <f t="shared" si="161"/>
        <v>2341.5</v>
      </c>
      <c r="AC691" s="7">
        <f t="shared" si="165"/>
        <v>1</v>
      </c>
      <c r="AD691" s="7">
        <f t="shared" si="162"/>
        <v>2024</v>
      </c>
      <c r="AE691" s="19">
        <f t="shared" si="163"/>
        <v>-0.22</v>
      </c>
      <c r="BA691" s="10">
        <f t="shared" si="164"/>
        <v>26.997800000000002</v>
      </c>
    </row>
    <row r="692" spans="1:53" x14ac:dyDescent="0.3">
      <c r="A692" s="17">
        <v>45394</v>
      </c>
      <c r="B692" s="8">
        <v>2356.1999999999998</v>
      </c>
      <c r="C692" s="7">
        <v>2429</v>
      </c>
      <c r="D692" s="7">
        <v>2334.3000000000002</v>
      </c>
      <c r="E692" s="7">
        <v>2377.3000000000002</v>
      </c>
      <c r="F692" s="18">
        <v>584</v>
      </c>
      <c r="G692" s="7">
        <v>2331.3856999999998</v>
      </c>
      <c r="H692" s="7">
        <v>2206.2966999999999</v>
      </c>
      <c r="I692" s="7">
        <v>2089.1988999999999</v>
      </c>
      <c r="J692" s="8">
        <v>1.5288999999999999</v>
      </c>
      <c r="K692" s="7">
        <v>0.81130000000000002</v>
      </c>
      <c r="L692" s="7">
        <v>0.88849999999999996</v>
      </c>
      <c r="M692" s="8">
        <v>87.250799999999998</v>
      </c>
      <c r="N692" s="8">
        <v>64.067899999999995</v>
      </c>
      <c r="O692" s="7">
        <v>54.028399999999998</v>
      </c>
      <c r="P692" s="7">
        <v>2395.6197000000002</v>
      </c>
      <c r="Q692" s="7">
        <v>2086.2303000000002</v>
      </c>
      <c r="R692" s="7" t="str">
        <f t="shared" si="151"/>
        <v>Up</v>
      </c>
      <c r="S692" s="7" t="str">
        <f t="shared" si="152"/>
        <v>Sell</v>
      </c>
      <c r="T692" s="8">
        <f t="shared" si="153"/>
        <v>0.17560584551148223</v>
      </c>
      <c r="U692" s="18">
        <f t="shared" si="154"/>
        <v>2037459</v>
      </c>
      <c r="V692" s="7">
        <f t="shared" si="155"/>
        <v>5586.2002000000002</v>
      </c>
      <c r="W692" s="7">
        <f t="shared" si="156"/>
        <v>2277.6001000000001</v>
      </c>
      <c r="X692" s="7">
        <f t="shared" si="157"/>
        <v>2377.3000000000002</v>
      </c>
      <c r="Y692" s="7">
        <f t="shared" si="158"/>
        <v>197</v>
      </c>
      <c r="Z692" s="7">
        <f t="shared" si="159"/>
        <v>532626</v>
      </c>
      <c r="AA692" s="7" t="str">
        <f t="shared" si="160"/>
        <v>12-Apr-2024</v>
      </c>
      <c r="AB692" s="7">
        <f t="shared" si="161"/>
        <v>2377.3000000000002</v>
      </c>
      <c r="AC692" s="7">
        <f t="shared" si="165"/>
        <v>1</v>
      </c>
      <c r="AD692" s="7">
        <f t="shared" si="162"/>
        <v>2024</v>
      </c>
      <c r="AE692" s="19">
        <f t="shared" si="163"/>
        <v>1.53</v>
      </c>
      <c r="BA692" s="10">
        <f t="shared" si="164"/>
        <v>26.997800000000002</v>
      </c>
    </row>
    <row r="693" spans="1:53" x14ac:dyDescent="0.3">
      <c r="A693" s="17">
        <v>45397</v>
      </c>
      <c r="B693" s="8">
        <v>2365.8000000000002</v>
      </c>
      <c r="C693" s="7">
        <v>2384.6999999999998</v>
      </c>
      <c r="D693" s="7">
        <v>2326</v>
      </c>
      <c r="E693" s="7">
        <v>2362.1001000000001</v>
      </c>
      <c r="F693" s="18">
        <v>1801</v>
      </c>
      <c r="G693" s="7">
        <v>2340.0142999999998</v>
      </c>
      <c r="H693" s="7">
        <v>2216.9299999999998</v>
      </c>
      <c r="I693" s="7">
        <v>2092.3856000000001</v>
      </c>
      <c r="J693" s="8">
        <v>-0.63939999999999997</v>
      </c>
      <c r="K693" s="7">
        <v>0.91769999999999996</v>
      </c>
      <c r="L693" s="7">
        <v>0.91349999999999998</v>
      </c>
      <c r="M693" s="8">
        <v>86.534899999999993</v>
      </c>
      <c r="N693" s="8">
        <v>64.465100000000007</v>
      </c>
      <c r="O693" s="7">
        <v>56.1158</v>
      </c>
      <c r="P693" s="7">
        <v>2409.9342000000001</v>
      </c>
      <c r="Q693" s="7">
        <v>2091.9558000000002</v>
      </c>
      <c r="R693" s="7" t="str">
        <f t="shared" si="151"/>
        <v>Down</v>
      </c>
      <c r="S693" s="7" t="str">
        <f t="shared" si="152"/>
        <v>Sell</v>
      </c>
      <c r="T693" s="8">
        <f t="shared" si="153"/>
        <v>0.17277468619246861</v>
      </c>
      <c r="U693" s="18">
        <f t="shared" si="154"/>
        <v>2036875</v>
      </c>
      <c r="V693" s="7">
        <f t="shared" si="155"/>
        <v>5586.2002000000002</v>
      </c>
      <c r="W693" s="7">
        <f t="shared" si="156"/>
        <v>2277.6001000000001</v>
      </c>
      <c r="X693" s="7">
        <f t="shared" si="157"/>
        <v>2362.1001000000001</v>
      </c>
      <c r="Y693" s="7">
        <f t="shared" si="158"/>
        <v>196</v>
      </c>
      <c r="Z693" s="7">
        <f t="shared" si="159"/>
        <v>532042</v>
      </c>
      <c r="AA693" s="7" t="str">
        <f t="shared" si="160"/>
        <v>15-Apr-2024</v>
      </c>
      <c r="AB693" s="7">
        <f t="shared" si="161"/>
        <v>2362.1001000000001</v>
      </c>
      <c r="AC693" s="7">
        <f t="shared" si="165"/>
        <v>1</v>
      </c>
      <c r="AD693" s="7">
        <f t="shared" si="162"/>
        <v>2024</v>
      </c>
      <c r="AE693" s="19">
        <f t="shared" si="163"/>
        <v>-0.64</v>
      </c>
      <c r="BA693" s="10">
        <f t="shared" si="164"/>
        <v>26.997800000000002</v>
      </c>
    </row>
    <row r="694" spans="1:53" x14ac:dyDescent="0.3">
      <c r="A694" s="17">
        <v>45398</v>
      </c>
      <c r="B694" s="8">
        <v>2390.8000000000002</v>
      </c>
      <c r="C694" s="7">
        <v>2390.8000000000002</v>
      </c>
      <c r="D694" s="7">
        <v>2371.3998999999999</v>
      </c>
      <c r="E694" s="7">
        <v>2384</v>
      </c>
      <c r="F694" s="18">
        <v>41</v>
      </c>
      <c r="G694" s="7">
        <v>2353.5572000000002</v>
      </c>
      <c r="H694" s="7">
        <v>2226.9432999999999</v>
      </c>
      <c r="I694" s="7">
        <v>2096.2622000000001</v>
      </c>
      <c r="J694" s="8">
        <v>0.92710000000000004</v>
      </c>
      <c r="K694" s="7">
        <v>0.83750000000000002</v>
      </c>
      <c r="L694" s="7">
        <v>0.87339999999999995</v>
      </c>
      <c r="M694" s="8">
        <v>86.800700000000006</v>
      </c>
      <c r="N694" s="8">
        <v>65.788600000000002</v>
      </c>
      <c r="O694" s="7">
        <v>58.0503</v>
      </c>
      <c r="P694" s="7">
        <v>2424.3887</v>
      </c>
      <c r="Q694" s="7">
        <v>2101.2813000000001</v>
      </c>
      <c r="R694" s="7" t="str">
        <f t="shared" si="151"/>
        <v>Down</v>
      </c>
      <c r="S694" s="7" t="str">
        <f t="shared" si="152"/>
        <v>Sell</v>
      </c>
      <c r="T694" s="8">
        <f t="shared" si="153"/>
        <v>0.17447735849056609</v>
      </c>
      <c r="U694" s="18">
        <f t="shared" si="154"/>
        <v>2035074</v>
      </c>
      <c r="V694" s="7">
        <f t="shared" si="155"/>
        <v>5586.2002000000002</v>
      </c>
      <c r="W694" s="7">
        <f t="shared" si="156"/>
        <v>2277.6001000000001</v>
      </c>
      <c r="X694" s="7">
        <f t="shared" si="157"/>
        <v>2384</v>
      </c>
      <c r="Y694" s="7">
        <f t="shared" si="158"/>
        <v>196</v>
      </c>
      <c r="Z694" s="7">
        <f t="shared" si="159"/>
        <v>532042</v>
      </c>
      <c r="AA694" s="7" t="str">
        <f t="shared" si="160"/>
        <v>16-Apr-2024</v>
      </c>
      <c r="AB694" s="7">
        <f t="shared" si="161"/>
        <v>2384</v>
      </c>
      <c r="AC694" s="7">
        <f t="shared" si="165"/>
        <v>1</v>
      </c>
      <c r="AD694" s="7">
        <f t="shared" si="162"/>
        <v>2024</v>
      </c>
      <c r="AE694" s="19">
        <f t="shared" si="163"/>
        <v>0.93</v>
      </c>
      <c r="BA694" s="10">
        <f t="shared" si="164"/>
        <v>26.997800000000002</v>
      </c>
    </row>
    <row r="695" spans="1:53" x14ac:dyDescent="0.3">
      <c r="A695" s="17">
        <v>45399</v>
      </c>
      <c r="B695" s="8">
        <v>2371.6999999999998</v>
      </c>
      <c r="C695" s="7">
        <v>2391.3998999999999</v>
      </c>
      <c r="D695" s="7">
        <v>2369.3000000000002</v>
      </c>
      <c r="E695" s="7">
        <v>2384.1999999999998</v>
      </c>
      <c r="F695" s="18">
        <v>37</v>
      </c>
      <c r="G695" s="7">
        <v>2361.9286000000002</v>
      </c>
      <c r="H695" s="7">
        <v>2235.92</v>
      </c>
      <c r="I695" s="7">
        <v>2100.31</v>
      </c>
      <c r="J695" s="8">
        <v>8.3999999999999995E-3</v>
      </c>
      <c r="K695" s="7">
        <v>0.72699999999999998</v>
      </c>
      <c r="L695" s="7">
        <v>0.85399999999999998</v>
      </c>
      <c r="M695" s="8">
        <v>87.869799999999998</v>
      </c>
      <c r="N695" s="8">
        <v>66.091800000000006</v>
      </c>
      <c r="O695" s="7">
        <v>59.6586</v>
      </c>
      <c r="P695" s="7">
        <v>2436.2723000000001</v>
      </c>
      <c r="Q695" s="7">
        <v>2112.2076999999999</v>
      </c>
      <c r="R695" s="7" t="str">
        <f t="shared" si="151"/>
        <v>Up</v>
      </c>
      <c r="S695" s="7" t="str">
        <f t="shared" si="152"/>
        <v>Sell</v>
      </c>
      <c r="T695" s="8">
        <f t="shared" si="153"/>
        <v>0.172896218487395</v>
      </c>
      <c r="U695" s="18">
        <f t="shared" si="154"/>
        <v>2035033</v>
      </c>
      <c r="V695" s="7">
        <f t="shared" si="155"/>
        <v>5586.2002000000002</v>
      </c>
      <c r="W695" s="7">
        <f t="shared" si="156"/>
        <v>2277.6001000000001</v>
      </c>
      <c r="X695" s="7">
        <f t="shared" si="157"/>
        <v>2384.1999999999998</v>
      </c>
      <c r="Y695" s="7">
        <f t="shared" si="158"/>
        <v>196</v>
      </c>
      <c r="Z695" s="7">
        <f t="shared" si="159"/>
        <v>532042</v>
      </c>
      <c r="AA695" s="7" t="str">
        <f t="shared" si="160"/>
        <v>17-Apr-2024</v>
      </c>
      <c r="AB695" s="7">
        <f t="shared" si="161"/>
        <v>2384.1999999999998</v>
      </c>
      <c r="AC695" s="7">
        <f t="shared" si="165"/>
        <v>1</v>
      </c>
      <c r="AD695" s="7">
        <f t="shared" si="162"/>
        <v>2024</v>
      </c>
      <c r="AE695" s="19">
        <f t="shared" si="163"/>
        <v>0.01</v>
      </c>
      <c r="BA695" s="10">
        <f t="shared" si="164"/>
        <v>26.997800000000002</v>
      </c>
    </row>
    <row r="696" spans="1:53" x14ac:dyDescent="0.3">
      <c r="A696" s="17">
        <v>45400</v>
      </c>
      <c r="B696" s="8">
        <v>2382.3000000000002</v>
      </c>
      <c r="C696" s="7">
        <v>2384.3998999999999</v>
      </c>
      <c r="D696" s="7">
        <v>2368.3998999999999</v>
      </c>
      <c r="E696" s="7">
        <v>2368.3998999999999</v>
      </c>
      <c r="F696" s="18">
        <v>128</v>
      </c>
      <c r="G696" s="7">
        <v>2366.3000000000002</v>
      </c>
      <c r="H696" s="7">
        <v>2244.0167000000001</v>
      </c>
      <c r="I696" s="7">
        <v>2104.0789</v>
      </c>
      <c r="J696" s="8">
        <v>-0.66269999999999996</v>
      </c>
      <c r="K696" s="7">
        <v>0.81489999999999996</v>
      </c>
      <c r="L696" s="7">
        <v>0.87549999999999994</v>
      </c>
      <c r="M696" s="8">
        <v>82.132300000000001</v>
      </c>
      <c r="N696" s="8">
        <v>64.315700000000007</v>
      </c>
      <c r="O696" s="7">
        <v>60.59</v>
      </c>
      <c r="P696" s="7">
        <v>2442.1894000000002</v>
      </c>
      <c r="Q696" s="7">
        <v>2127.4005999999999</v>
      </c>
      <c r="R696" s="7" t="str">
        <f t="shared" si="151"/>
        <v>Down</v>
      </c>
      <c r="S696" s="7" t="str">
        <f t="shared" si="152"/>
        <v>Sell</v>
      </c>
      <c r="T696" s="8">
        <f t="shared" si="153"/>
        <v>0.17324252631578954</v>
      </c>
      <c r="U696" s="18">
        <f t="shared" si="154"/>
        <v>2034996</v>
      </c>
      <c r="V696" s="7">
        <f t="shared" si="155"/>
        <v>5586.2002000000002</v>
      </c>
      <c r="W696" s="7">
        <f t="shared" si="156"/>
        <v>2277.6001000000001</v>
      </c>
      <c r="X696" s="7">
        <f t="shared" si="157"/>
        <v>2368.3998999999999</v>
      </c>
      <c r="Y696" s="7">
        <f t="shared" si="158"/>
        <v>195</v>
      </c>
      <c r="Z696" s="7">
        <f t="shared" si="159"/>
        <v>532005</v>
      </c>
      <c r="AA696" s="7" t="str">
        <f t="shared" si="160"/>
        <v>18-Apr-2024</v>
      </c>
      <c r="AB696" s="7">
        <f t="shared" si="161"/>
        <v>2368.3998999999999</v>
      </c>
      <c r="AC696" s="7">
        <f t="shared" si="165"/>
        <v>1</v>
      </c>
      <c r="AD696" s="7">
        <f t="shared" si="162"/>
        <v>2024</v>
      </c>
      <c r="AE696" s="19">
        <f t="shared" si="163"/>
        <v>-0.66</v>
      </c>
      <c r="BA696" s="10">
        <f t="shared" si="164"/>
        <v>26.997800000000002</v>
      </c>
    </row>
    <row r="697" spans="1:53" x14ac:dyDescent="0.3">
      <c r="A697" s="17">
        <v>45401</v>
      </c>
      <c r="B697" s="8">
        <v>2398.3998999999999</v>
      </c>
      <c r="C697" s="7">
        <v>2399.8000000000002</v>
      </c>
      <c r="D697" s="7">
        <v>2377.3000000000002</v>
      </c>
      <c r="E697" s="7">
        <v>2379.3000000000002</v>
      </c>
      <c r="F697" s="18">
        <v>160</v>
      </c>
      <c r="G697" s="7">
        <v>2370.9713999999999</v>
      </c>
      <c r="H697" s="7">
        <v>2251.7600000000002</v>
      </c>
      <c r="I697" s="7">
        <v>2107.9411</v>
      </c>
      <c r="J697" s="8">
        <v>0.4602</v>
      </c>
      <c r="K697" s="7">
        <v>0.81879999999999997</v>
      </c>
      <c r="L697" s="7">
        <v>0.86729999999999996</v>
      </c>
      <c r="M697" s="8">
        <v>79.817300000000003</v>
      </c>
      <c r="N697" s="8">
        <v>63.0608</v>
      </c>
      <c r="O697" s="7">
        <v>61.084200000000003</v>
      </c>
      <c r="P697" s="7">
        <v>2451.7345</v>
      </c>
      <c r="Q697" s="7">
        <v>2135.0855000000001</v>
      </c>
      <c r="R697" s="7" t="str">
        <f t="shared" si="151"/>
        <v>Down</v>
      </c>
      <c r="S697" s="7" t="str">
        <f t="shared" si="152"/>
        <v>Sell</v>
      </c>
      <c r="T697" s="8">
        <f t="shared" si="153"/>
        <v>0.17500611814345993</v>
      </c>
      <c r="U697" s="18">
        <f t="shared" si="154"/>
        <v>2034868</v>
      </c>
      <c r="V697" s="7">
        <f t="shared" si="155"/>
        <v>5586.2002000000002</v>
      </c>
      <c r="W697" s="7">
        <f t="shared" si="156"/>
        <v>2277.6001000000001</v>
      </c>
      <c r="X697" s="7">
        <f t="shared" si="157"/>
        <v>2379.3000000000002</v>
      </c>
      <c r="Y697" s="7">
        <f t="shared" si="158"/>
        <v>195</v>
      </c>
      <c r="Z697" s="7">
        <f t="shared" si="159"/>
        <v>532005</v>
      </c>
      <c r="AA697" s="7" t="str">
        <f t="shared" si="160"/>
        <v>19-Apr-2024</v>
      </c>
      <c r="AB697" s="7">
        <f t="shared" si="161"/>
        <v>2379.3000000000002</v>
      </c>
      <c r="AC697" s="7">
        <f t="shared" si="165"/>
        <v>1</v>
      </c>
      <c r="AD697" s="7">
        <f t="shared" si="162"/>
        <v>2024</v>
      </c>
      <c r="AE697" s="19">
        <f t="shared" si="163"/>
        <v>0.46</v>
      </c>
      <c r="BA697" s="10">
        <f t="shared" si="164"/>
        <v>26.997800000000002</v>
      </c>
    </row>
    <row r="698" spans="1:53" x14ac:dyDescent="0.3">
      <c r="A698" s="17">
        <v>45404</v>
      </c>
      <c r="B698" s="8">
        <v>2332.1999999999998</v>
      </c>
      <c r="C698" s="7">
        <v>2383.3000000000002</v>
      </c>
      <c r="D698" s="7">
        <v>2326.8998999999999</v>
      </c>
      <c r="E698" s="7">
        <v>2383.3000000000002</v>
      </c>
      <c r="F698" s="18">
        <v>53</v>
      </c>
      <c r="G698" s="7">
        <v>2376.9429</v>
      </c>
      <c r="H698" s="7">
        <v>2258.96</v>
      </c>
      <c r="I698" s="7">
        <v>2112.1543999999999</v>
      </c>
      <c r="J698" s="8">
        <v>0.1681</v>
      </c>
      <c r="K698" s="7">
        <v>0.79869999999999997</v>
      </c>
      <c r="L698" s="7">
        <v>0.86029999999999995</v>
      </c>
      <c r="M698" s="8">
        <v>78.730800000000002</v>
      </c>
      <c r="N698" s="8">
        <v>61.678100000000001</v>
      </c>
      <c r="O698" s="7">
        <v>61.203000000000003</v>
      </c>
      <c r="P698" s="7">
        <v>2457.1831000000002</v>
      </c>
      <c r="Q698" s="7">
        <v>2150.0468999999998</v>
      </c>
      <c r="R698" s="7" t="str">
        <f t="shared" si="151"/>
        <v>Up</v>
      </c>
      <c r="S698" s="7" t="str">
        <f t="shared" si="152"/>
        <v>Sell</v>
      </c>
      <c r="T698" s="8">
        <f t="shared" si="153"/>
        <v>0.17440317124735732</v>
      </c>
      <c r="U698" s="18">
        <f t="shared" si="154"/>
        <v>2034708</v>
      </c>
      <c r="V698" s="7">
        <f t="shared" si="155"/>
        <v>5586.2002000000002</v>
      </c>
      <c r="W698" s="7">
        <f t="shared" si="156"/>
        <v>2277.6001000000001</v>
      </c>
      <c r="X698" s="7">
        <f t="shared" si="157"/>
        <v>2383.3000000000002</v>
      </c>
      <c r="Y698" s="7">
        <f t="shared" si="158"/>
        <v>195</v>
      </c>
      <c r="Z698" s="7">
        <f t="shared" si="159"/>
        <v>532005</v>
      </c>
      <c r="AA698" s="7" t="str">
        <f t="shared" si="160"/>
        <v>22-Apr-2024</v>
      </c>
      <c r="AB698" s="7">
        <f t="shared" si="161"/>
        <v>2383.3000000000002</v>
      </c>
      <c r="AC698" s="7">
        <f t="shared" si="165"/>
        <v>1</v>
      </c>
      <c r="AD698" s="7">
        <f t="shared" si="162"/>
        <v>2024</v>
      </c>
      <c r="AE698" s="19">
        <f t="shared" si="163"/>
        <v>0.17</v>
      </c>
      <c r="BA698" s="10">
        <f t="shared" si="164"/>
        <v>26.997800000000002</v>
      </c>
    </row>
    <row r="699" spans="1:53" x14ac:dyDescent="0.3">
      <c r="A699" s="17">
        <v>45405</v>
      </c>
      <c r="B699" s="8">
        <v>2327.6999999999998</v>
      </c>
      <c r="C699" s="7">
        <v>2330.8000000000002</v>
      </c>
      <c r="D699" s="7">
        <v>2294.1999999999998</v>
      </c>
      <c r="E699" s="7">
        <v>2327.6999999999998</v>
      </c>
      <c r="F699" s="18">
        <v>171</v>
      </c>
      <c r="G699" s="7">
        <v>2369.8571000000002</v>
      </c>
      <c r="H699" s="7">
        <v>2263.85</v>
      </c>
      <c r="I699" s="7">
        <v>2115.9711000000002</v>
      </c>
      <c r="J699" s="8">
        <v>-2.3329</v>
      </c>
      <c r="K699" s="7">
        <v>1.0628</v>
      </c>
      <c r="L699" s="7">
        <v>0.98470000000000002</v>
      </c>
      <c r="M699" s="8">
        <v>59.040900000000001</v>
      </c>
      <c r="N699" s="8">
        <v>55.456499999999998</v>
      </c>
      <c r="O699" s="7">
        <v>60.053699999999999</v>
      </c>
      <c r="P699" s="7">
        <v>2451.1725000000001</v>
      </c>
      <c r="Q699" s="7">
        <v>2172.2075</v>
      </c>
      <c r="R699" s="7" t="str">
        <f t="shared" si="151"/>
        <v>Down</v>
      </c>
      <c r="S699" s="7" t="str">
        <f t="shared" si="152"/>
        <v>Hold</v>
      </c>
      <c r="T699" s="8">
        <f t="shared" si="153"/>
        <v>0.17441652542372887</v>
      </c>
      <c r="U699" s="18">
        <f t="shared" si="154"/>
        <v>2034655</v>
      </c>
      <c r="V699" s="7">
        <f t="shared" si="155"/>
        <v>5586.2002000000002</v>
      </c>
      <c r="W699" s="7">
        <f t="shared" si="156"/>
        <v>2277.6001000000001</v>
      </c>
      <c r="X699" s="7">
        <f t="shared" si="157"/>
        <v>2327.6999999999998</v>
      </c>
      <c r="Y699" s="7">
        <f t="shared" si="158"/>
        <v>194</v>
      </c>
      <c r="Z699" s="7">
        <f t="shared" si="159"/>
        <v>531952</v>
      </c>
      <c r="AA699" s="7" t="str">
        <f t="shared" si="160"/>
        <v>23-Apr-2024</v>
      </c>
      <c r="AB699" s="7">
        <f t="shared" si="161"/>
        <v>2327.6999999999998</v>
      </c>
      <c r="AC699" s="7">
        <f t="shared" si="165"/>
        <v>1</v>
      </c>
      <c r="AD699" s="7">
        <f t="shared" si="162"/>
        <v>2024</v>
      </c>
      <c r="AE699" s="19">
        <f t="shared" si="163"/>
        <v>-2.33</v>
      </c>
      <c r="BA699" s="10">
        <f t="shared" si="164"/>
        <v>26.997800000000002</v>
      </c>
    </row>
    <row r="700" spans="1:53" x14ac:dyDescent="0.3">
      <c r="A700" s="17">
        <v>45406</v>
      </c>
      <c r="B700" s="8">
        <v>2324.5</v>
      </c>
      <c r="C700" s="7">
        <v>2328.6999999999998</v>
      </c>
      <c r="D700" s="7">
        <v>2314.6001000000001</v>
      </c>
      <c r="E700" s="7">
        <v>2321.3000000000002</v>
      </c>
      <c r="F700" s="18">
        <v>95</v>
      </c>
      <c r="G700" s="7">
        <v>2364.0286000000001</v>
      </c>
      <c r="H700" s="7">
        <v>2268.4767000000002</v>
      </c>
      <c r="I700" s="7">
        <v>2119.7800000000002</v>
      </c>
      <c r="J700" s="8">
        <v>-0.27489999999999998</v>
      </c>
      <c r="K700" s="7">
        <v>1.052</v>
      </c>
      <c r="L700" s="7">
        <v>0.98850000000000005</v>
      </c>
      <c r="M700" s="8">
        <v>54.069800000000001</v>
      </c>
      <c r="N700" s="8">
        <v>49.439599999999999</v>
      </c>
      <c r="O700" s="7">
        <v>57.930900000000001</v>
      </c>
      <c r="P700" s="7">
        <v>2444.1977999999999</v>
      </c>
      <c r="Q700" s="7">
        <v>2193.0421999999999</v>
      </c>
      <c r="R700" s="7" t="str">
        <f t="shared" si="151"/>
        <v>Down</v>
      </c>
      <c r="S700" s="7" t="str">
        <f t="shared" si="152"/>
        <v>Hold</v>
      </c>
      <c r="T700" s="8">
        <f t="shared" si="153"/>
        <v>0.17973991507430992</v>
      </c>
      <c r="U700" s="18">
        <f t="shared" si="154"/>
        <v>2034484</v>
      </c>
      <c r="V700" s="7">
        <f t="shared" si="155"/>
        <v>5586.2002000000002</v>
      </c>
      <c r="W700" s="7">
        <f t="shared" si="156"/>
        <v>2277.6001000000001</v>
      </c>
      <c r="X700" s="7">
        <f t="shared" si="157"/>
        <v>2321.3000000000002</v>
      </c>
      <c r="Y700" s="7">
        <f t="shared" si="158"/>
        <v>194</v>
      </c>
      <c r="Z700" s="7">
        <f t="shared" si="159"/>
        <v>531952</v>
      </c>
      <c r="AA700" s="7" t="str">
        <f t="shared" si="160"/>
        <v>24-Apr-2024</v>
      </c>
      <c r="AB700" s="7">
        <f t="shared" si="161"/>
        <v>2321.3000000000002</v>
      </c>
      <c r="AC700" s="7">
        <f t="shared" si="165"/>
        <v>1</v>
      </c>
      <c r="AD700" s="7">
        <f t="shared" si="162"/>
        <v>2024</v>
      </c>
      <c r="AE700" s="19">
        <f t="shared" si="163"/>
        <v>-0.27</v>
      </c>
      <c r="BA700" s="10">
        <f t="shared" si="164"/>
        <v>26.997800000000002</v>
      </c>
    </row>
    <row r="701" spans="1:53" x14ac:dyDescent="0.3">
      <c r="A701" s="17">
        <v>45407</v>
      </c>
      <c r="B701" s="8">
        <v>2329.8000000000002</v>
      </c>
      <c r="C701" s="7">
        <v>2329.8000000000002</v>
      </c>
      <c r="D701" s="7">
        <v>2305</v>
      </c>
      <c r="E701" s="7">
        <v>2315</v>
      </c>
      <c r="F701" s="18">
        <v>1024</v>
      </c>
      <c r="G701" s="7">
        <v>2354.1714000000002</v>
      </c>
      <c r="H701" s="7">
        <v>2273.56</v>
      </c>
      <c r="I701" s="7">
        <v>2123.0056</v>
      </c>
      <c r="J701" s="8">
        <v>-0.27139999999999997</v>
      </c>
      <c r="K701" s="7">
        <v>0.91879999999999995</v>
      </c>
      <c r="L701" s="7">
        <v>0.97</v>
      </c>
      <c r="M701" s="8">
        <v>55.498699999999999</v>
      </c>
      <c r="N701" s="8">
        <v>43.659399999999998</v>
      </c>
      <c r="O701" s="7">
        <v>55.076599999999999</v>
      </c>
      <c r="P701" s="7">
        <v>2432.6311000000001</v>
      </c>
      <c r="Q701" s="7">
        <v>2218.1689000000001</v>
      </c>
      <c r="R701" s="7" t="str">
        <f t="shared" si="151"/>
        <v>Down</v>
      </c>
      <c r="S701" s="7" t="str">
        <f t="shared" si="152"/>
        <v>Hold</v>
      </c>
      <c r="T701" s="8">
        <f t="shared" si="153"/>
        <v>0.18070723404255312</v>
      </c>
      <c r="U701" s="18">
        <f t="shared" si="154"/>
        <v>2034389</v>
      </c>
      <c r="V701" s="7">
        <f t="shared" si="155"/>
        <v>5586.2002000000002</v>
      </c>
      <c r="W701" s="7">
        <f t="shared" si="156"/>
        <v>2277.6001000000001</v>
      </c>
      <c r="X701" s="7">
        <f t="shared" si="157"/>
        <v>2315</v>
      </c>
      <c r="Y701" s="7">
        <f t="shared" si="158"/>
        <v>194</v>
      </c>
      <c r="Z701" s="7">
        <f t="shared" si="159"/>
        <v>531952</v>
      </c>
      <c r="AA701" s="7" t="str">
        <f t="shared" si="160"/>
        <v>25-Apr-2024</v>
      </c>
      <c r="AB701" s="7">
        <f t="shared" si="161"/>
        <v>2315</v>
      </c>
      <c r="AC701" s="7">
        <f t="shared" si="165"/>
        <v>1</v>
      </c>
      <c r="AD701" s="7">
        <f t="shared" si="162"/>
        <v>2024</v>
      </c>
      <c r="AE701" s="19">
        <f t="shared" si="163"/>
        <v>-0.27</v>
      </c>
      <c r="BA701" s="10">
        <f t="shared" si="164"/>
        <v>26.997800000000002</v>
      </c>
    </row>
    <row r="702" spans="1:53" x14ac:dyDescent="0.3">
      <c r="A702" s="17">
        <v>45408</v>
      </c>
      <c r="B702" s="8">
        <v>2334.8000000000002</v>
      </c>
      <c r="C702" s="7">
        <v>2347.8998999999999</v>
      </c>
      <c r="D702" s="7">
        <v>2332.8000000000002</v>
      </c>
      <c r="E702" s="7">
        <v>2347.8998999999999</v>
      </c>
      <c r="F702" s="18">
        <v>717</v>
      </c>
      <c r="G702" s="7">
        <v>2348.9857000000002</v>
      </c>
      <c r="H702" s="7">
        <v>2279.7233000000001</v>
      </c>
      <c r="I702" s="7">
        <v>2126.5088999999998</v>
      </c>
      <c r="J702" s="8">
        <v>1.4212</v>
      </c>
      <c r="K702" s="7">
        <v>1.1527000000000001</v>
      </c>
      <c r="L702" s="7">
        <v>0.9929</v>
      </c>
      <c r="M702" s="8">
        <v>54.8247</v>
      </c>
      <c r="N702" s="8">
        <v>41.257800000000003</v>
      </c>
      <c r="O702" s="7">
        <v>52.312800000000003</v>
      </c>
      <c r="P702" s="7">
        <v>2420.8497000000002</v>
      </c>
      <c r="Q702" s="7">
        <v>2245.3802999999998</v>
      </c>
      <c r="R702" s="7" t="str">
        <f t="shared" si="151"/>
        <v>Up</v>
      </c>
      <c r="S702" s="7" t="str">
        <f t="shared" si="152"/>
        <v>Hold</v>
      </c>
      <c r="T702" s="8">
        <f t="shared" si="153"/>
        <v>0.1816712153518123</v>
      </c>
      <c r="U702" s="18">
        <f t="shared" si="154"/>
        <v>2033365</v>
      </c>
      <c r="V702" s="7">
        <f t="shared" si="155"/>
        <v>5586.2002000000002</v>
      </c>
      <c r="W702" s="7">
        <f t="shared" si="156"/>
        <v>2277.6001000000001</v>
      </c>
      <c r="X702" s="7">
        <f t="shared" si="157"/>
        <v>2347.8998999999999</v>
      </c>
      <c r="Y702" s="7">
        <f t="shared" si="158"/>
        <v>194</v>
      </c>
      <c r="Z702" s="7">
        <f t="shared" si="159"/>
        <v>531952</v>
      </c>
      <c r="AA702" s="7" t="str">
        <f t="shared" si="160"/>
        <v>26-Apr-2024</v>
      </c>
      <c r="AB702" s="7">
        <f t="shared" si="161"/>
        <v>2347.8998999999999</v>
      </c>
      <c r="AC702" s="7">
        <f t="shared" si="165"/>
        <v>1</v>
      </c>
      <c r="AD702" s="7">
        <f t="shared" si="162"/>
        <v>2024</v>
      </c>
      <c r="AE702" s="19">
        <f t="shared" si="163"/>
        <v>1.42</v>
      </c>
      <c r="BA702" s="10">
        <f t="shared" si="164"/>
        <v>26.997800000000002</v>
      </c>
    </row>
    <row r="703" spans="1:53" x14ac:dyDescent="0.3">
      <c r="A703" s="17">
        <v>45411</v>
      </c>
      <c r="B703" s="8">
        <v>2345.3998999999999</v>
      </c>
      <c r="C703" s="7">
        <v>2345.5</v>
      </c>
      <c r="D703" s="7">
        <v>2327.8998999999999</v>
      </c>
      <c r="E703" s="7">
        <v>2334.8000000000002</v>
      </c>
      <c r="F703" s="18">
        <v>405</v>
      </c>
      <c r="G703" s="7">
        <v>2344.1857</v>
      </c>
      <c r="H703" s="7">
        <v>2285.4933000000001</v>
      </c>
      <c r="I703" s="7">
        <v>2129.9589000000001</v>
      </c>
      <c r="J703" s="8">
        <v>-0.55789999999999995</v>
      </c>
      <c r="K703" s="7">
        <v>1.1466000000000001</v>
      </c>
      <c r="L703" s="7">
        <v>1.0028999999999999</v>
      </c>
      <c r="M703" s="8">
        <v>49.353400000000001</v>
      </c>
      <c r="N703" s="8">
        <v>37.860999999999997</v>
      </c>
      <c r="O703" s="7">
        <v>49.422499999999999</v>
      </c>
      <c r="P703" s="7">
        <v>2412.8816000000002</v>
      </c>
      <c r="Q703" s="7">
        <v>2263.2584000000002</v>
      </c>
      <c r="R703" s="7" t="str">
        <f t="shared" si="151"/>
        <v>Down</v>
      </c>
      <c r="S703" s="7" t="str">
        <f t="shared" si="152"/>
        <v>Hold</v>
      </c>
      <c r="T703" s="8">
        <f t="shared" si="153"/>
        <v>0.17902264957264952</v>
      </c>
      <c r="U703" s="18">
        <f t="shared" si="154"/>
        <v>2032648</v>
      </c>
      <c r="V703" s="7">
        <f t="shared" si="155"/>
        <v>5586.2002000000002</v>
      </c>
      <c r="W703" s="7">
        <f t="shared" si="156"/>
        <v>2277.6001000000001</v>
      </c>
      <c r="X703" s="7">
        <f t="shared" si="157"/>
        <v>2334.8000000000002</v>
      </c>
      <c r="Y703" s="7">
        <f t="shared" si="158"/>
        <v>193</v>
      </c>
      <c r="Z703" s="7">
        <f t="shared" si="159"/>
        <v>531235</v>
      </c>
      <c r="AA703" s="7" t="str">
        <f t="shared" si="160"/>
        <v>29-Apr-2024</v>
      </c>
      <c r="AB703" s="7">
        <f t="shared" si="161"/>
        <v>2334.8000000000002</v>
      </c>
      <c r="AC703" s="7">
        <f t="shared" si="165"/>
        <v>1</v>
      </c>
      <c r="AD703" s="7">
        <f t="shared" si="162"/>
        <v>2024</v>
      </c>
      <c r="AE703" s="19">
        <f t="shared" si="163"/>
        <v>-0.56000000000000005</v>
      </c>
      <c r="BA703" s="10">
        <f t="shared" si="164"/>
        <v>26.997800000000002</v>
      </c>
    </row>
    <row r="704" spans="1:53" x14ac:dyDescent="0.3">
      <c r="A704" s="17">
        <v>45412</v>
      </c>
      <c r="B704" s="8">
        <v>2291.3998999999999</v>
      </c>
      <c r="C704" s="7">
        <v>2322.5</v>
      </c>
      <c r="D704" s="7">
        <v>2291.3998999999999</v>
      </c>
      <c r="E704" s="7">
        <v>2322.5</v>
      </c>
      <c r="F704" s="18">
        <v>113</v>
      </c>
      <c r="G704" s="7">
        <v>2336.0713999999998</v>
      </c>
      <c r="H704" s="7">
        <v>2291.37</v>
      </c>
      <c r="I704" s="7">
        <v>2133.2622000000001</v>
      </c>
      <c r="J704" s="8">
        <v>-0.52680000000000005</v>
      </c>
      <c r="K704" s="7">
        <v>1.1123000000000001</v>
      </c>
      <c r="L704" s="7">
        <v>0.99709999999999999</v>
      </c>
      <c r="M704" s="8">
        <v>44.883200000000002</v>
      </c>
      <c r="N704" s="8">
        <v>33.786999999999999</v>
      </c>
      <c r="O704" s="7">
        <v>46.295400000000001</v>
      </c>
      <c r="P704" s="7">
        <v>2405.1237000000001</v>
      </c>
      <c r="Q704" s="7">
        <v>2278.0663</v>
      </c>
      <c r="R704" s="7" t="str">
        <f t="shared" si="151"/>
        <v>Up</v>
      </c>
      <c r="S704" s="7" t="str">
        <f t="shared" si="152"/>
        <v>Hold</v>
      </c>
      <c r="T704" s="8">
        <f t="shared" si="153"/>
        <v>0.18060064239828685</v>
      </c>
      <c r="U704" s="18">
        <f t="shared" si="154"/>
        <v>2032243</v>
      </c>
      <c r="V704" s="7">
        <f t="shared" si="155"/>
        <v>5586.2002000000002</v>
      </c>
      <c r="W704" s="7">
        <f t="shared" si="156"/>
        <v>2277.6001000000001</v>
      </c>
      <c r="X704" s="7">
        <f t="shared" si="157"/>
        <v>2322.5</v>
      </c>
      <c r="Y704" s="7">
        <f t="shared" si="158"/>
        <v>193</v>
      </c>
      <c r="Z704" s="7">
        <f t="shared" si="159"/>
        <v>531235</v>
      </c>
      <c r="AA704" s="7" t="str">
        <f t="shared" si="160"/>
        <v>30-Apr-2024</v>
      </c>
      <c r="AB704" s="7">
        <f t="shared" si="161"/>
        <v>2322.5</v>
      </c>
      <c r="AC704" s="7">
        <f t="shared" si="165"/>
        <v>1</v>
      </c>
      <c r="AD704" s="7">
        <f t="shared" si="162"/>
        <v>2024</v>
      </c>
      <c r="AE704" s="19">
        <f t="shared" si="163"/>
        <v>-0.53</v>
      </c>
      <c r="BA704" s="10">
        <f t="shared" si="164"/>
        <v>26.997800000000002</v>
      </c>
    </row>
    <row r="705" spans="1:53" x14ac:dyDescent="0.3">
      <c r="A705" s="17">
        <v>45413</v>
      </c>
      <c r="B705" s="8">
        <v>2299.8998999999999</v>
      </c>
      <c r="C705" s="7">
        <v>2327.3000000000002</v>
      </c>
      <c r="D705" s="7">
        <v>2283.8000000000002</v>
      </c>
      <c r="E705" s="7">
        <v>2287.6999999999998</v>
      </c>
      <c r="F705" s="18">
        <v>42</v>
      </c>
      <c r="G705" s="7">
        <v>2322.4142999999999</v>
      </c>
      <c r="H705" s="7">
        <v>2295.7566999999999</v>
      </c>
      <c r="I705" s="7">
        <v>2136.0466999999999</v>
      </c>
      <c r="J705" s="8">
        <v>-1.4984</v>
      </c>
      <c r="K705" s="7">
        <v>1.1628000000000001</v>
      </c>
      <c r="L705" s="7">
        <v>1.0468999999999999</v>
      </c>
      <c r="M705" s="8">
        <v>39.856699999999996</v>
      </c>
      <c r="N705" s="8">
        <v>27.434100000000001</v>
      </c>
      <c r="O705" s="7">
        <v>42.523099999999999</v>
      </c>
      <c r="P705" s="7">
        <v>2404.2791999999999</v>
      </c>
      <c r="Q705" s="7">
        <v>2279.5108</v>
      </c>
      <c r="R705" s="7" t="str">
        <f t="shared" si="151"/>
        <v>Down</v>
      </c>
      <c r="S705" s="7" t="str">
        <f t="shared" si="152"/>
        <v>Hold</v>
      </c>
      <c r="T705" s="8">
        <f t="shared" si="153"/>
        <v>0.18211866952789693</v>
      </c>
      <c r="U705" s="18">
        <f t="shared" si="154"/>
        <v>2032130</v>
      </c>
      <c r="V705" s="7">
        <f t="shared" si="155"/>
        <v>5586.2002000000002</v>
      </c>
      <c r="W705" s="7">
        <f t="shared" si="156"/>
        <v>2277.6001000000001</v>
      </c>
      <c r="X705" s="7">
        <f t="shared" si="157"/>
        <v>2287.6999999999998</v>
      </c>
      <c r="Y705" s="7">
        <f t="shared" si="158"/>
        <v>192</v>
      </c>
      <c r="Z705" s="7">
        <f t="shared" si="159"/>
        <v>531122</v>
      </c>
      <c r="AA705" s="7" t="str">
        <f t="shared" si="160"/>
        <v>01-May-2024</v>
      </c>
      <c r="AB705" s="7">
        <f t="shared" si="161"/>
        <v>2287.6999999999998</v>
      </c>
      <c r="AC705" s="7">
        <f t="shared" si="165"/>
        <v>1</v>
      </c>
      <c r="AD705" s="7">
        <f t="shared" si="162"/>
        <v>2024</v>
      </c>
      <c r="AE705" s="19">
        <f t="shared" si="163"/>
        <v>-1.5</v>
      </c>
      <c r="BA705" s="10">
        <f t="shared" si="164"/>
        <v>26.997800000000002</v>
      </c>
    </row>
    <row r="706" spans="1:53" x14ac:dyDescent="0.3">
      <c r="A706" s="17">
        <v>45414</v>
      </c>
      <c r="B706" s="8">
        <v>2299.1999999999998</v>
      </c>
      <c r="C706" s="7">
        <v>2324.6999999999998</v>
      </c>
      <c r="D706" s="7">
        <v>2292.3000000000002</v>
      </c>
      <c r="E706" s="7">
        <v>2321.6999999999998</v>
      </c>
      <c r="F706" s="18">
        <v>56</v>
      </c>
      <c r="G706" s="7">
        <v>2321.5571</v>
      </c>
      <c r="H706" s="7">
        <v>2301.2366999999999</v>
      </c>
      <c r="I706" s="7">
        <v>2139.2233000000001</v>
      </c>
      <c r="J706" s="8">
        <v>1.4862</v>
      </c>
      <c r="K706" s="7">
        <v>1.0958000000000001</v>
      </c>
      <c r="L706" s="7">
        <v>1.0723</v>
      </c>
      <c r="M706" s="8">
        <v>39.445700000000002</v>
      </c>
      <c r="N706" s="8">
        <v>24.856300000000001</v>
      </c>
      <c r="O706" s="7">
        <v>38.989699999999999</v>
      </c>
      <c r="P706" s="7">
        <v>2403.1718999999998</v>
      </c>
      <c r="Q706" s="7">
        <v>2282.6181000000001</v>
      </c>
      <c r="R706" s="7" t="str">
        <f t="shared" si="151"/>
        <v>Up</v>
      </c>
      <c r="S706" s="7" t="str">
        <f t="shared" si="152"/>
        <v>Hold</v>
      </c>
      <c r="T706" s="8">
        <f t="shared" si="153"/>
        <v>0.18573268817204297</v>
      </c>
      <c r="U706" s="18">
        <f t="shared" si="154"/>
        <v>2032088</v>
      </c>
      <c r="V706" s="7">
        <f t="shared" si="155"/>
        <v>5586.2002000000002</v>
      </c>
      <c r="W706" s="7">
        <f t="shared" si="156"/>
        <v>2277.6001000000001</v>
      </c>
      <c r="X706" s="7">
        <f t="shared" si="157"/>
        <v>2321.6999999999998</v>
      </c>
      <c r="Y706" s="7">
        <f t="shared" si="158"/>
        <v>192</v>
      </c>
      <c r="Z706" s="7">
        <f t="shared" si="159"/>
        <v>531122</v>
      </c>
      <c r="AA706" s="7" t="str">
        <f t="shared" si="160"/>
        <v>02-May-2024</v>
      </c>
      <c r="AB706" s="7">
        <f t="shared" si="161"/>
        <v>2321.6999999999998</v>
      </c>
      <c r="AC706" s="7">
        <f t="shared" si="165"/>
        <v>1</v>
      </c>
      <c r="AD706" s="7">
        <f t="shared" si="162"/>
        <v>2024</v>
      </c>
      <c r="AE706" s="19">
        <f t="shared" si="163"/>
        <v>1.49</v>
      </c>
      <c r="BA706" s="10">
        <f t="shared" si="164"/>
        <v>26.997800000000002</v>
      </c>
    </row>
    <row r="707" spans="1:53" x14ac:dyDescent="0.3">
      <c r="A707" s="17">
        <v>45415</v>
      </c>
      <c r="B707" s="8">
        <v>2299</v>
      </c>
      <c r="C707" s="7">
        <v>2301</v>
      </c>
      <c r="D707" s="7">
        <v>2277.6001000000001</v>
      </c>
      <c r="E707" s="7">
        <v>2300</v>
      </c>
      <c r="F707" s="18">
        <v>194</v>
      </c>
      <c r="G707" s="7">
        <v>2318.5142999999998</v>
      </c>
      <c r="H707" s="7">
        <v>2304.3366999999998</v>
      </c>
      <c r="I707" s="7">
        <v>2141.9378000000002</v>
      </c>
      <c r="J707" s="8">
        <v>-0.93469999999999998</v>
      </c>
      <c r="K707" s="7">
        <v>1.1474</v>
      </c>
      <c r="L707" s="7">
        <v>1.0202</v>
      </c>
      <c r="M707" s="8">
        <v>38.495699999999999</v>
      </c>
      <c r="N707" s="8">
        <v>20.822299999999998</v>
      </c>
      <c r="O707" s="7">
        <v>35.356299999999997</v>
      </c>
      <c r="P707" s="7">
        <v>2401.8512999999998</v>
      </c>
      <c r="Q707" s="7">
        <v>2285.0187999999998</v>
      </c>
      <c r="R707" s="7" t="str">
        <f t="shared" ref="R707:R770" si="166">IF(E707&gt;B707,"Up","Down")</f>
        <v>Up</v>
      </c>
      <c r="S707" s="7" t="str">
        <f t="shared" ref="S707:S770" si="167">IF(M707&gt;70,"Sell",IF(M707&lt;30,"Buy","Hold"))</f>
        <v>Hold</v>
      </c>
      <c r="T707" s="8">
        <f t="shared" ref="T707:T770" si="168">AVERAGE(J707:J1875)</f>
        <v>0.18292995689655167</v>
      </c>
      <c r="U707" s="18">
        <f t="shared" ref="U707:U770" si="169">SUM(F707:F1875)</f>
        <v>2032032</v>
      </c>
      <c r="V707" s="7">
        <f t="shared" ref="V707:V770" si="170">MAX(C707:C1875)</f>
        <v>5586.2002000000002</v>
      </c>
      <c r="W707" s="7">
        <f t="shared" ref="W707:W770" si="171">MIN(D707:D1875)</f>
        <v>2277.6001000000001</v>
      </c>
      <c r="X707" s="7">
        <f t="shared" ref="X707:X770" si="172">INDEX(E707:E1875,MATCH(A707,A707:A1875,0))</f>
        <v>2300</v>
      </c>
      <c r="Y707" s="7">
        <f t="shared" ref="Y707:Y770" si="173">COUNTIF(R707:R1875,"Up")</f>
        <v>191</v>
      </c>
      <c r="Z707" s="7">
        <f t="shared" ref="Z707:Z770" si="174">SUMIF(R707:R1875,"Up",F707:F1875)</f>
        <v>531066</v>
      </c>
      <c r="AA707" s="7" t="str">
        <f t="shared" ref="AA707:AA770" si="175">TEXT(A707,"DD-MMM-YYYY")</f>
        <v>03-May-2024</v>
      </c>
      <c r="AB707" s="7">
        <f t="shared" ref="AB707:AB770" si="176">_xlfn.XLOOKUP(A707,A707:A1875,E707:E1875)</f>
        <v>2300</v>
      </c>
      <c r="AC707" s="7">
        <f t="shared" si="165"/>
        <v>1</v>
      </c>
      <c r="AD707" s="7">
        <f t="shared" ref="AD707:AD770" si="177">YEAR(A707)</f>
        <v>2024</v>
      </c>
      <c r="AE707" s="19">
        <f t="shared" ref="AE707:AE770" si="178">ROUND(J707,2)</f>
        <v>-0.93</v>
      </c>
      <c r="BA707" s="10">
        <f t="shared" ref="BA707:BA770" si="179">MODE(M707:M1875)</f>
        <v>26.997800000000002</v>
      </c>
    </row>
    <row r="708" spans="1:53" x14ac:dyDescent="0.3">
      <c r="A708" s="17">
        <v>45418</v>
      </c>
      <c r="B708" s="8">
        <v>2321.6001000000001</v>
      </c>
      <c r="C708" s="7">
        <v>2325.5</v>
      </c>
      <c r="D708" s="7">
        <v>2314.1999999999998</v>
      </c>
      <c r="E708" s="7">
        <v>2322.8000000000002</v>
      </c>
      <c r="F708" s="18">
        <v>9</v>
      </c>
      <c r="G708" s="7">
        <v>2319.6286</v>
      </c>
      <c r="H708" s="7">
        <v>2309.1233000000002</v>
      </c>
      <c r="I708" s="7">
        <v>2144.8578000000002</v>
      </c>
      <c r="J708" s="8">
        <v>0.99129999999999996</v>
      </c>
      <c r="K708" s="7">
        <v>1.2178</v>
      </c>
      <c r="L708" s="7">
        <v>0.996</v>
      </c>
      <c r="M708" s="8">
        <v>38.700200000000002</v>
      </c>
      <c r="N708" s="8">
        <v>19.243300000000001</v>
      </c>
      <c r="O708" s="7">
        <v>32.133699999999997</v>
      </c>
      <c r="P708" s="7">
        <v>2401.9043000000001</v>
      </c>
      <c r="Q708" s="7">
        <v>2284.6857</v>
      </c>
      <c r="R708" s="7" t="str">
        <f t="shared" si="166"/>
        <v>Up</v>
      </c>
      <c r="S708" s="7" t="str">
        <f t="shared" si="167"/>
        <v>Hold</v>
      </c>
      <c r="T708" s="8">
        <f t="shared" si="168"/>
        <v>0.18534384449244054</v>
      </c>
      <c r="U708" s="18">
        <f t="shared" si="169"/>
        <v>2031838</v>
      </c>
      <c r="V708" s="7">
        <f t="shared" si="170"/>
        <v>5586.2002000000002</v>
      </c>
      <c r="W708" s="7">
        <f t="shared" si="171"/>
        <v>2285.3998999999999</v>
      </c>
      <c r="X708" s="7">
        <f t="shared" si="172"/>
        <v>2322.8000000000002</v>
      </c>
      <c r="Y708" s="7">
        <f t="shared" si="173"/>
        <v>190</v>
      </c>
      <c r="Z708" s="7">
        <f t="shared" si="174"/>
        <v>530872</v>
      </c>
      <c r="AA708" s="7" t="str">
        <f t="shared" si="175"/>
        <v>06-May-2024</v>
      </c>
      <c r="AB708" s="7">
        <f t="shared" si="176"/>
        <v>2322.8000000000002</v>
      </c>
      <c r="AC708" s="7">
        <f t="shared" si="165"/>
        <v>1</v>
      </c>
      <c r="AD708" s="7">
        <f t="shared" si="177"/>
        <v>2024</v>
      </c>
      <c r="AE708" s="19">
        <f t="shared" si="178"/>
        <v>0.99</v>
      </c>
      <c r="BA708" s="10">
        <f t="shared" si="179"/>
        <v>26.997800000000002</v>
      </c>
    </row>
    <row r="709" spans="1:53" x14ac:dyDescent="0.3">
      <c r="A709" s="17">
        <v>45419</v>
      </c>
      <c r="B709" s="8">
        <v>2315.1999999999998</v>
      </c>
      <c r="C709" s="7">
        <v>2324.3000000000002</v>
      </c>
      <c r="D709" s="7">
        <v>2315.1999999999998</v>
      </c>
      <c r="E709" s="7">
        <v>2324.3000000000002</v>
      </c>
      <c r="F709" s="18">
        <v>25</v>
      </c>
      <c r="G709" s="7">
        <v>2316.2570999999998</v>
      </c>
      <c r="H709" s="7">
        <v>2314.3933000000002</v>
      </c>
      <c r="I709" s="7">
        <v>2147.7132999999999</v>
      </c>
      <c r="J709" s="8">
        <v>6.4600000000000005E-2</v>
      </c>
      <c r="K709" s="7">
        <v>1.0620000000000001</v>
      </c>
      <c r="L709" s="7">
        <v>0.98460000000000003</v>
      </c>
      <c r="M709" s="8">
        <v>38.993000000000002</v>
      </c>
      <c r="N709" s="8">
        <v>17.906600000000001</v>
      </c>
      <c r="O709" s="7">
        <v>29.2883</v>
      </c>
      <c r="P709" s="7">
        <v>2401.8038999999999</v>
      </c>
      <c r="Q709" s="7">
        <v>2283.4360999999999</v>
      </c>
      <c r="R709" s="7" t="str">
        <f t="shared" si="166"/>
        <v>Up</v>
      </c>
      <c r="S709" s="7" t="str">
        <f t="shared" si="167"/>
        <v>Hold</v>
      </c>
      <c r="T709" s="8">
        <f t="shared" si="168"/>
        <v>0.1835993506493506</v>
      </c>
      <c r="U709" s="18">
        <f t="shared" si="169"/>
        <v>2031829</v>
      </c>
      <c r="V709" s="7">
        <f t="shared" si="170"/>
        <v>5586.2002000000002</v>
      </c>
      <c r="W709" s="7">
        <f t="shared" si="171"/>
        <v>2285.3998999999999</v>
      </c>
      <c r="X709" s="7">
        <f t="shared" si="172"/>
        <v>2324.3000000000002</v>
      </c>
      <c r="Y709" s="7">
        <f t="shared" si="173"/>
        <v>189</v>
      </c>
      <c r="Z709" s="7">
        <f t="shared" si="174"/>
        <v>530863</v>
      </c>
      <c r="AA709" s="7" t="str">
        <f t="shared" si="175"/>
        <v>07-May-2024</v>
      </c>
      <c r="AB709" s="7">
        <f t="shared" si="176"/>
        <v>2324.3000000000002</v>
      </c>
      <c r="AC709" s="7">
        <f t="shared" ref="AC709:AC772" si="180">_xlfn.XMATCH(A709,A709:A1877)</f>
        <v>1</v>
      </c>
      <c r="AD709" s="7">
        <f t="shared" si="177"/>
        <v>2024</v>
      </c>
      <c r="AE709" s="19">
        <f t="shared" si="178"/>
        <v>0.06</v>
      </c>
      <c r="BA709" s="10">
        <f t="shared" si="179"/>
        <v>26.997800000000002</v>
      </c>
    </row>
    <row r="710" spans="1:53" x14ac:dyDescent="0.3">
      <c r="A710" s="17">
        <v>45420</v>
      </c>
      <c r="B710" s="8">
        <v>2313.6001000000001</v>
      </c>
      <c r="C710" s="7">
        <v>2313.6001000000001</v>
      </c>
      <c r="D710" s="7">
        <v>2313.6001000000001</v>
      </c>
      <c r="E710" s="7">
        <v>2313.6001000000001</v>
      </c>
      <c r="F710" s="18">
        <v>4</v>
      </c>
      <c r="G710" s="7">
        <v>2313.2285999999999</v>
      </c>
      <c r="H710" s="7">
        <v>2318.7566999999999</v>
      </c>
      <c r="I710" s="7">
        <v>2150.2910999999999</v>
      </c>
      <c r="J710" s="8">
        <v>-0.46039999999999998</v>
      </c>
      <c r="K710" s="7">
        <v>1.0562</v>
      </c>
      <c r="L710" s="7">
        <v>0.98750000000000004</v>
      </c>
      <c r="M710" s="8">
        <v>39.737900000000003</v>
      </c>
      <c r="N710" s="8">
        <v>15.8017</v>
      </c>
      <c r="O710" s="7">
        <v>26.590900000000001</v>
      </c>
      <c r="P710" s="7">
        <v>2401.5111999999999</v>
      </c>
      <c r="Q710" s="7">
        <v>2280.4288000000001</v>
      </c>
      <c r="R710" s="7" t="str">
        <f t="shared" si="166"/>
        <v>Down</v>
      </c>
      <c r="S710" s="7" t="str">
        <f t="shared" si="167"/>
        <v>Hold</v>
      </c>
      <c r="T710" s="8">
        <f t="shared" si="168"/>
        <v>0.18385748373101946</v>
      </c>
      <c r="U710" s="18">
        <f t="shared" si="169"/>
        <v>2031804</v>
      </c>
      <c r="V710" s="7">
        <f t="shared" si="170"/>
        <v>5586.2002000000002</v>
      </c>
      <c r="W710" s="7">
        <f t="shared" si="171"/>
        <v>2285.3998999999999</v>
      </c>
      <c r="X710" s="7">
        <f t="shared" si="172"/>
        <v>2313.6001000000001</v>
      </c>
      <c r="Y710" s="7">
        <f t="shared" si="173"/>
        <v>188</v>
      </c>
      <c r="Z710" s="7">
        <f t="shared" si="174"/>
        <v>530838</v>
      </c>
      <c r="AA710" s="7" t="str">
        <f t="shared" si="175"/>
        <v>08-May-2024</v>
      </c>
      <c r="AB710" s="7">
        <f t="shared" si="176"/>
        <v>2313.6001000000001</v>
      </c>
      <c r="AC710" s="7">
        <f t="shared" si="180"/>
        <v>1</v>
      </c>
      <c r="AD710" s="7">
        <f t="shared" si="177"/>
        <v>2024</v>
      </c>
      <c r="AE710" s="19">
        <f t="shared" si="178"/>
        <v>-0.46</v>
      </c>
      <c r="BA710" s="10">
        <f t="shared" si="179"/>
        <v>26.997800000000002</v>
      </c>
    </row>
    <row r="711" spans="1:53" x14ac:dyDescent="0.3">
      <c r="A711" s="17">
        <v>45421</v>
      </c>
      <c r="B711" s="8">
        <v>2332.1001000000001</v>
      </c>
      <c r="C711" s="7">
        <v>2339.5</v>
      </c>
      <c r="D711" s="7">
        <v>2310.6999999999998</v>
      </c>
      <c r="E711" s="7">
        <v>2310.6999999999998</v>
      </c>
      <c r="F711" s="18">
        <v>5</v>
      </c>
      <c r="G711" s="7">
        <v>2311.5428999999999</v>
      </c>
      <c r="H711" s="7">
        <v>2323.1333</v>
      </c>
      <c r="I711" s="7">
        <v>2152.9877999999999</v>
      </c>
      <c r="J711" s="8">
        <v>-0.12540000000000001</v>
      </c>
      <c r="K711" s="7">
        <v>1.0416000000000001</v>
      </c>
      <c r="L711" s="7">
        <v>0.98719999999999997</v>
      </c>
      <c r="M711" s="8">
        <v>36.756700000000002</v>
      </c>
      <c r="N711" s="8">
        <v>13.741099999999999</v>
      </c>
      <c r="O711" s="7">
        <v>24.021000000000001</v>
      </c>
      <c r="P711" s="7">
        <v>2401.4630000000002</v>
      </c>
      <c r="Q711" s="7">
        <v>2277.3969999999999</v>
      </c>
      <c r="R711" s="7" t="str">
        <f t="shared" si="166"/>
        <v>Down</v>
      </c>
      <c r="S711" s="7" t="str">
        <f t="shared" si="167"/>
        <v>Hold</v>
      </c>
      <c r="T711" s="8">
        <f t="shared" si="168"/>
        <v>0.18525804347826083</v>
      </c>
      <c r="U711" s="18">
        <f t="shared" si="169"/>
        <v>2031800</v>
      </c>
      <c r="V711" s="7">
        <f t="shared" si="170"/>
        <v>5586.2002000000002</v>
      </c>
      <c r="W711" s="7">
        <f t="shared" si="171"/>
        <v>2285.3998999999999</v>
      </c>
      <c r="X711" s="7">
        <f t="shared" si="172"/>
        <v>2310.6999999999998</v>
      </c>
      <c r="Y711" s="7">
        <f t="shared" si="173"/>
        <v>188</v>
      </c>
      <c r="Z711" s="7">
        <f t="shared" si="174"/>
        <v>530838</v>
      </c>
      <c r="AA711" s="7" t="str">
        <f t="shared" si="175"/>
        <v>09-May-2024</v>
      </c>
      <c r="AB711" s="7">
        <f t="shared" si="176"/>
        <v>2310.6999999999998</v>
      </c>
      <c r="AC711" s="7">
        <f t="shared" si="180"/>
        <v>1</v>
      </c>
      <c r="AD711" s="7">
        <f t="shared" si="177"/>
        <v>2024</v>
      </c>
      <c r="AE711" s="19">
        <f t="shared" si="178"/>
        <v>-0.13</v>
      </c>
      <c r="BA711" s="10">
        <f t="shared" si="179"/>
        <v>26.997800000000002</v>
      </c>
    </row>
    <row r="712" spans="1:53" x14ac:dyDescent="0.3">
      <c r="A712" s="17">
        <v>45422</v>
      </c>
      <c r="B712" s="8">
        <v>2367.3000000000002</v>
      </c>
      <c r="C712" s="7">
        <v>2367.3000000000002</v>
      </c>
      <c r="D712" s="7">
        <v>2367.3000000000002</v>
      </c>
      <c r="E712" s="7">
        <v>2367.3000000000002</v>
      </c>
      <c r="F712" s="18">
        <v>126</v>
      </c>
      <c r="G712" s="7">
        <v>2322.9142999999999</v>
      </c>
      <c r="H712" s="7">
        <v>2328.9232999999999</v>
      </c>
      <c r="I712" s="7">
        <v>2156.3633</v>
      </c>
      <c r="J712" s="8">
        <v>2.4495</v>
      </c>
      <c r="K712" s="7">
        <v>1.1955</v>
      </c>
      <c r="L712" s="7">
        <v>1.0669</v>
      </c>
      <c r="M712" s="8">
        <v>47.432600000000001</v>
      </c>
      <c r="N712" s="8">
        <v>16.485199999999999</v>
      </c>
      <c r="O712" s="7">
        <v>22.5138</v>
      </c>
      <c r="P712" s="7">
        <v>2399.8285999999998</v>
      </c>
      <c r="Q712" s="7">
        <v>2278.0313999999998</v>
      </c>
      <c r="R712" s="7" t="str">
        <f t="shared" si="166"/>
        <v>Down</v>
      </c>
      <c r="S712" s="7" t="str">
        <f t="shared" si="167"/>
        <v>Hold</v>
      </c>
      <c r="T712" s="8">
        <f t="shared" si="168"/>
        <v>0.1859348583877995</v>
      </c>
      <c r="U712" s="18">
        <f t="shared" si="169"/>
        <v>2031795</v>
      </c>
      <c r="V712" s="7">
        <f t="shared" si="170"/>
        <v>5586.2002000000002</v>
      </c>
      <c r="W712" s="7">
        <f t="shared" si="171"/>
        <v>2285.3998999999999</v>
      </c>
      <c r="X712" s="7">
        <f t="shared" si="172"/>
        <v>2367.3000000000002</v>
      </c>
      <c r="Y712" s="7">
        <f t="shared" si="173"/>
        <v>188</v>
      </c>
      <c r="Z712" s="7">
        <f t="shared" si="174"/>
        <v>530838</v>
      </c>
      <c r="AA712" s="7" t="str">
        <f t="shared" si="175"/>
        <v>10-May-2024</v>
      </c>
      <c r="AB712" s="7">
        <f t="shared" si="176"/>
        <v>2367.3000000000002</v>
      </c>
      <c r="AC712" s="7">
        <f t="shared" si="180"/>
        <v>1</v>
      </c>
      <c r="AD712" s="7">
        <f t="shared" si="177"/>
        <v>2024</v>
      </c>
      <c r="AE712" s="19">
        <f t="shared" si="178"/>
        <v>2.4500000000000002</v>
      </c>
      <c r="BA712" s="10">
        <f t="shared" si="179"/>
        <v>26.997800000000002</v>
      </c>
    </row>
    <row r="713" spans="1:53" x14ac:dyDescent="0.3">
      <c r="A713" s="17">
        <v>45425</v>
      </c>
      <c r="B713" s="8">
        <v>2336.1001000000001</v>
      </c>
      <c r="C713" s="7">
        <v>2358.3000000000002</v>
      </c>
      <c r="D713" s="7">
        <v>2336.1001000000001</v>
      </c>
      <c r="E713" s="7">
        <v>2358.3000000000002</v>
      </c>
      <c r="F713" s="18">
        <v>14</v>
      </c>
      <c r="G713" s="7">
        <v>2328.1428999999998</v>
      </c>
      <c r="H713" s="7">
        <v>2333.0100000000002</v>
      </c>
      <c r="I713" s="7">
        <v>2159.9643999999998</v>
      </c>
      <c r="J713" s="8">
        <v>-0.38019999999999998</v>
      </c>
      <c r="K713" s="7">
        <v>1.1449</v>
      </c>
      <c r="L713" s="7">
        <v>1.0254000000000001</v>
      </c>
      <c r="M713" s="8">
        <v>55.773600000000002</v>
      </c>
      <c r="N713" s="8">
        <v>17.729299999999999</v>
      </c>
      <c r="O713" s="7">
        <v>21.556899999999999</v>
      </c>
      <c r="P713" s="7">
        <v>2399.3573000000001</v>
      </c>
      <c r="Q713" s="7">
        <v>2278.1226999999999</v>
      </c>
      <c r="R713" s="7" t="str">
        <f t="shared" si="166"/>
        <v>Up</v>
      </c>
      <c r="S713" s="7" t="str">
        <f t="shared" si="167"/>
        <v>Hold</v>
      </c>
      <c r="T713" s="8">
        <f t="shared" si="168"/>
        <v>0.18099257641921396</v>
      </c>
      <c r="U713" s="18">
        <f t="shared" si="169"/>
        <v>2031669</v>
      </c>
      <c r="V713" s="7">
        <f t="shared" si="170"/>
        <v>5586.2002000000002</v>
      </c>
      <c r="W713" s="7">
        <f t="shared" si="171"/>
        <v>2285.3998999999999</v>
      </c>
      <c r="X713" s="7">
        <f t="shared" si="172"/>
        <v>2358.3000000000002</v>
      </c>
      <c r="Y713" s="7">
        <f t="shared" si="173"/>
        <v>188</v>
      </c>
      <c r="Z713" s="7">
        <f t="shared" si="174"/>
        <v>530838</v>
      </c>
      <c r="AA713" s="7" t="str">
        <f t="shared" si="175"/>
        <v>13-May-2024</v>
      </c>
      <c r="AB713" s="7">
        <f t="shared" si="176"/>
        <v>2358.3000000000002</v>
      </c>
      <c r="AC713" s="7">
        <f t="shared" si="180"/>
        <v>1</v>
      </c>
      <c r="AD713" s="7">
        <f t="shared" si="177"/>
        <v>2024</v>
      </c>
      <c r="AE713" s="19">
        <f t="shared" si="178"/>
        <v>-0.38</v>
      </c>
      <c r="BA713" s="10">
        <f t="shared" si="179"/>
        <v>26.997800000000002</v>
      </c>
    </row>
    <row r="714" spans="1:53" x14ac:dyDescent="0.3">
      <c r="A714" s="17">
        <v>45426</v>
      </c>
      <c r="B714" s="8">
        <v>2353.3998999999999</v>
      </c>
      <c r="C714" s="7">
        <v>2358</v>
      </c>
      <c r="D714" s="7">
        <v>2336</v>
      </c>
      <c r="E714" s="7">
        <v>2336</v>
      </c>
      <c r="F714" s="18">
        <v>6</v>
      </c>
      <c r="G714" s="7">
        <v>2333.2856999999999</v>
      </c>
      <c r="H714" s="7">
        <v>2335.81</v>
      </c>
      <c r="I714" s="7">
        <v>2163.2356</v>
      </c>
      <c r="J714" s="8">
        <v>-0.9456</v>
      </c>
      <c r="K714" s="7">
        <v>1.1467000000000001</v>
      </c>
      <c r="L714" s="7">
        <v>1.0401</v>
      </c>
      <c r="M714" s="8">
        <v>52.616599999999998</v>
      </c>
      <c r="N714" s="8">
        <v>16.723099999999999</v>
      </c>
      <c r="O714" s="7">
        <v>20.590199999999999</v>
      </c>
      <c r="P714" s="7">
        <v>2393.0897</v>
      </c>
      <c r="Q714" s="7">
        <v>2279.5902999999998</v>
      </c>
      <c r="R714" s="7" t="str">
        <f t="shared" si="166"/>
        <v>Down</v>
      </c>
      <c r="S714" s="7" t="str">
        <f t="shared" si="167"/>
        <v>Hold</v>
      </c>
      <c r="T714" s="8">
        <f t="shared" si="168"/>
        <v>0.18222056892778993</v>
      </c>
      <c r="U714" s="18">
        <f t="shared" si="169"/>
        <v>2031655</v>
      </c>
      <c r="V714" s="7">
        <f t="shared" si="170"/>
        <v>5586.2002000000002</v>
      </c>
      <c r="W714" s="7">
        <f t="shared" si="171"/>
        <v>2285.3998999999999</v>
      </c>
      <c r="X714" s="7">
        <f t="shared" si="172"/>
        <v>2336</v>
      </c>
      <c r="Y714" s="7">
        <f t="shared" si="173"/>
        <v>187</v>
      </c>
      <c r="Z714" s="7">
        <f t="shared" si="174"/>
        <v>530824</v>
      </c>
      <c r="AA714" s="7" t="str">
        <f t="shared" si="175"/>
        <v>14-May-2024</v>
      </c>
      <c r="AB714" s="7">
        <f t="shared" si="176"/>
        <v>2336</v>
      </c>
      <c r="AC714" s="7">
        <f t="shared" si="180"/>
        <v>1</v>
      </c>
      <c r="AD714" s="7">
        <f t="shared" si="177"/>
        <v>2024</v>
      </c>
      <c r="AE714" s="19">
        <f t="shared" si="178"/>
        <v>-0.95</v>
      </c>
      <c r="BA714" s="10">
        <f t="shared" si="179"/>
        <v>26.997800000000002</v>
      </c>
    </row>
    <row r="715" spans="1:53" x14ac:dyDescent="0.3">
      <c r="A715" s="17">
        <v>45427</v>
      </c>
      <c r="B715" s="8">
        <v>2388.6999999999998</v>
      </c>
      <c r="C715" s="7">
        <v>2388.6999999999998</v>
      </c>
      <c r="D715" s="7">
        <v>2356</v>
      </c>
      <c r="E715" s="7">
        <v>2361.6001000000001</v>
      </c>
      <c r="F715" s="18">
        <v>29</v>
      </c>
      <c r="G715" s="7">
        <v>2338.8285999999998</v>
      </c>
      <c r="H715" s="7">
        <v>2338.4733000000001</v>
      </c>
      <c r="I715" s="7">
        <v>2166.7588999999998</v>
      </c>
      <c r="J715" s="8">
        <v>1.0959000000000001</v>
      </c>
      <c r="K715" s="7">
        <v>1.159</v>
      </c>
      <c r="L715" s="7">
        <v>1.0321</v>
      </c>
      <c r="M715" s="8">
        <v>57.761499999999998</v>
      </c>
      <c r="N715" s="8">
        <v>17.786300000000001</v>
      </c>
      <c r="O715" s="7">
        <v>20.029399999999999</v>
      </c>
      <c r="P715" s="7">
        <v>2388.7566999999999</v>
      </c>
      <c r="Q715" s="7">
        <v>2281.6633000000002</v>
      </c>
      <c r="R715" s="7" t="str">
        <f t="shared" si="166"/>
        <v>Down</v>
      </c>
      <c r="S715" s="7" t="str">
        <f t="shared" si="167"/>
        <v>Hold</v>
      </c>
      <c r="T715" s="8">
        <f t="shared" si="168"/>
        <v>0.18469385964912277</v>
      </c>
      <c r="U715" s="18">
        <f t="shared" si="169"/>
        <v>2031649</v>
      </c>
      <c r="V715" s="7">
        <f t="shared" si="170"/>
        <v>5586.2002000000002</v>
      </c>
      <c r="W715" s="7">
        <f t="shared" si="171"/>
        <v>2285.3998999999999</v>
      </c>
      <c r="X715" s="7">
        <f t="shared" si="172"/>
        <v>2361.6001000000001</v>
      </c>
      <c r="Y715" s="7">
        <f t="shared" si="173"/>
        <v>187</v>
      </c>
      <c r="Z715" s="7">
        <f t="shared" si="174"/>
        <v>530824</v>
      </c>
      <c r="AA715" s="7" t="str">
        <f t="shared" si="175"/>
        <v>15-May-2024</v>
      </c>
      <c r="AB715" s="7">
        <f t="shared" si="176"/>
        <v>2361.6001000000001</v>
      </c>
      <c r="AC715" s="7">
        <f t="shared" si="180"/>
        <v>1</v>
      </c>
      <c r="AD715" s="7">
        <f t="shared" si="177"/>
        <v>2024</v>
      </c>
      <c r="AE715" s="19">
        <f t="shared" si="178"/>
        <v>1.1000000000000001</v>
      </c>
      <c r="BA715" s="10">
        <f t="shared" si="179"/>
        <v>26.997800000000002</v>
      </c>
    </row>
    <row r="716" spans="1:53" x14ac:dyDescent="0.3">
      <c r="A716" s="17">
        <v>45428</v>
      </c>
      <c r="B716" s="8">
        <v>2380</v>
      </c>
      <c r="C716" s="7">
        <v>2392.1999999999998</v>
      </c>
      <c r="D716" s="7">
        <v>2380</v>
      </c>
      <c r="E716" s="7">
        <v>2389.5</v>
      </c>
      <c r="F716" s="18">
        <v>7</v>
      </c>
      <c r="G716" s="7">
        <v>2348.1428999999998</v>
      </c>
      <c r="H716" s="7">
        <v>2341.4</v>
      </c>
      <c r="I716" s="7">
        <v>2170.8744000000002</v>
      </c>
      <c r="J716" s="8">
        <v>1.1814</v>
      </c>
      <c r="K716" s="7">
        <v>1.2062999999999999</v>
      </c>
      <c r="L716" s="7">
        <v>1.0412999999999999</v>
      </c>
      <c r="M716" s="8">
        <v>57.046100000000003</v>
      </c>
      <c r="N716" s="8">
        <v>20.642299999999999</v>
      </c>
      <c r="O716" s="7">
        <v>20.152000000000001</v>
      </c>
      <c r="P716" s="7">
        <v>2393.2840000000001</v>
      </c>
      <c r="Q716" s="7">
        <v>2279.2460000000001</v>
      </c>
      <c r="R716" s="7" t="str">
        <f t="shared" si="166"/>
        <v>Up</v>
      </c>
      <c r="S716" s="7" t="str">
        <f t="shared" si="167"/>
        <v>Hold</v>
      </c>
      <c r="T716" s="8">
        <f t="shared" si="168"/>
        <v>0.18269120879120881</v>
      </c>
      <c r="U716" s="18">
        <f t="shared" si="169"/>
        <v>2031620</v>
      </c>
      <c r="V716" s="7">
        <f t="shared" si="170"/>
        <v>5586.2002000000002</v>
      </c>
      <c r="W716" s="7">
        <f t="shared" si="171"/>
        <v>2285.3998999999999</v>
      </c>
      <c r="X716" s="7">
        <f t="shared" si="172"/>
        <v>2389.5</v>
      </c>
      <c r="Y716" s="7">
        <f t="shared" si="173"/>
        <v>187</v>
      </c>
      <c r="Z716" s="7">
        <f t="shared" si="174"/>
        <v>530824</v>
      </c>
      <c r="AA716" s="7" t="str">
        <f t="shared" si="175"/>
        <v>16-May-2024</v>
      </c>
      <c r="AB716" s="7">
        <f t="shared" si="176"/>
        <v>2389.5</v>
      </c>
      <c r="AC716" s="7">
        <f t="shared" si="180"/>
        <v>1</v>
      </c>
      <c r="AD716" s="7">
        <f t="shared" si="177"/>
        <v>2024</v>
      </c>
      <c r="AE716" s="19">
        <f t="shared" si="178"/>
        <v>1.18</v>
      </c>
      <c r="BA716" s="10">
        <f t="shared" si="179"/>
        <v>26.997800000000002</v>
      </c>
    </row>
    <row r="717" spans="1:53" x14ac:dyDescent="0.3">
      <c r="A717" s="17">
        <v>45429</v>
      </c>
      <c r="B717" s="8">
        <v>2412.1999999999998</v>
      </c>
      <c r="C717" s="7">
        <v>2415.8000000000002</v>
      </c>
      <c r="D717" s="7">
        <v>2380.6999999999998</v>
      </c>
      <c r="E717" s="7">
        <v>2380.6999999999998</v>
      </c>
      <c r="F717" s="18">
        <v>213</v>
      </c>
      <c r="G717" s="7">
        <v>2357.7285999999999</v>
      </c>
      <c r="H717" s="7">
        <v>2344.4499999999998</v>
      </c>
      <c r="I717" s="7">
        <v>2174.7067000000002</v>
      </c>
      <c r="J717" s="8">
        <v>-0.36830000000000002</v>
      </c>
      <c r="K717" s="7">
        <v>1.1958</v>
      </c>
      <c r="L717" s="7">
        <v>1.0378000000000001</v>
      </c>
      <c r="M717" s="8">
        <v>57.889299999999999</v>
      </c>
      <c r="N717" s="8">
        <v>21.942599999999999</v>
      </c>
      <c r="O717" s="7">
        <v>20.510100000000001</v>
      </c>
      <c r="P717" s="7">
        <v>2393.5794000000001</v>
      </c>
      <c r="Q717" s="7">
        <v>2279.0906</v>
      </c>
      <c r="R717" s="7" t="str">
        <f t="shared" si="166"/>
        <v>Down</v>
      </c>
      <c r="S717" s="7" t="str">
        <f t="shared" si="167"/>
        <v>Hold</v>
      </c>
      <c r="T717" s="8">
        <f t="shared" si="168"/>
        <v>0.18049140969163005</v>
      </c>
      <c r="U717" s="18">
        <f t="shared" si="169"/>
        <v>2031613</v>
      </c>
      <c r="V717" s="7">
        <f t="shared" si="170"/>
        <v>5586.2002000000002</v>
      </c>
      <c r="W717" s="7">
        <f t="shared" si="171"/>
        <v>2285.3998999999999</v>
      </c>
      <c r="X717" s="7">
        <f t="shared" si="172"/>
        <v>2380.6999999999998</v>
      </c>
      <c r="Y717" s="7">
        <f t="shared" si="173"/>
        <v>186</v>
      </c>
      <c r="Z717" s="7">
        <f t="shared" si="174"/>
        <v>530817</v>
      </c>
      <c r="AA717" s="7" t="str">
        <f t="shared" si="175"/>
        <v>17-May-2024</v>
      </c>
      <c r="AB717" s="7">
        <f t="shared" si="176"/>
        <v>2380.6999999999998</v>
      </c>
      <c r="AC717" s="7">
        <f t="shared" si="180"/>
        <v>1</v>
      </c>
      <c r="AD717" s="7">
        <f t="shared" si="177"/>
        <v>2024</v>
      </c>
      <c r="AE717" s="19">
        <f t="shared" si="178"/>
        <v>-0.37</v>
      </c>
      <c r="BA717" s="10">
        <f t="shared" si="179"/>
        <v>26.997800000000002</v>
      </c>
    </row>
    <row r="718" spans="1:53" x14ac:dyDescent="0.3">
      <c r="A718" s="17">
        <v>45432</v>
      </c>
      <c r="B718" s="8">
        <v>2433.8998999999999</v>
      </c>
      <c r="C718" s="7">
        <v>2435.8000000000002</v>
      </c>
      <c r="D718" s="7">
        <v>2409.6999999999998</v>
      </c>
      <c r="E718" s="7">
        <v>2415.8000000000002</v>
      </c>
      <c r="F718" s="18">
        <v>40</v>
      </c>
      <c r="G718" s="7">
        <v>2372.7429000000002</v>
      </c>
      <c r="H718" s="7">
        <v>2347.4567000000002</v>
      </c>
      <c r="I718" s="7">
        <v>2179.0043999999998</v>
      </c>
      <c r="J718" s="8">
        <v>1.4743999999999999</v>
      </c>
      <c r="K718" s="7">
        <v>1.2276</v>
      </c>
      <c r="L718" s="7">
        <v>1.0325</v>
      </c>
      <c r="M718" s="8">
        <v>64.870900000000006</v>
      </c>
      <c r="N718" s="8">
        <v>25.511399999999998</v>
      </c>
      <c r="O718" s="7">
        <v>21.510400000000001</v>
      </c>
      <c r="P718" s="7">
        <v>2402.2316999999998</v>
      </c>
      <c r="Q718" s="7">
        <v>2273.6882999999998</v>
      </c>
      <c r="R718" s="7" t="str">
        <f t="shared" si="166"/>
        <v>Down</v>
      </c>
      <c r="S718" s="7" t="str">
        <f t="shared" si="167"/>
        <v>Hold</v>
      </c>
      <c r="T718" s="8">
        <f t="shared" si="168"/>
        <v>0.18170286975717445</v>
      </c>
      <c r="U718" s="18">
        <f t="shared" si="169"/>
        <v>2031400</v>
      </c>
      <c r="V718" s="7">
        <f t="shared" si="170"/>
        <v>5586.2002000000002</v>
      </c>
      <c r="W718" s="7">
        <f t="shared" si="171"/>
        <v>2285.3998999999999</v>
      </c>
      <c r="X718" s="7">
        <f t="shared" si="172"/>
        <v>2415.8000000000002</v>
      </c>
      <c r="Y718" s="7">
        <f t="shared" si="173"/>
        <v>186</v>
      </c>
      <c r="Z718" s="7">
        <f t="shared" si="174"/>
        <v>530817</v>
      </c>
      <c r="AA718" s="7" t="str">
        <f t="shared" si="175"/>
        <v>20-May-2024</v>
      </c>
      <c r="AB718" s="7">
        <f t="shared" si="176"/>
        <v>2415.8000000000002</v>
      </c>
      <c r="AC718" s="7">
        <f t="shared" si="180"/>
        <v>1</v>
      </c>
      <c r="AD718" s="7">
        <f t="shared" si="177"/>
        <v>2024</v>
      </c>
      <c r="AE718" s="19">
        <f t="shared" si="178"/>
        <v>1.47</v>
      </c>
      <c r="BA718" s="10">
        <f t="shared" si="179"/>
        <v>26.997800000000002</v>
      </c>
    </row>
    <row r="719" spans="1:53" x14ac:dyDescent="0.3">
      <c r="A719" s="17">
        <v>45433</v>
      </c>
      <c r="B719" s="8">
        <v>2421.6999999999998</v>
      </c>
      <c r="C719" s="7">
        <v>2429.5</v>
      </c>
      <c r="D719" s="7">
        <v>2421</v>
      </c>
      <c r="E719" s="7">
        <v>2429.5</v>
      </c>
      <c r="F719" s="18">
        <v>6</v>
      </c>
      <c r="G719" s="7">
        <v>2381.6286</v>
      </c>
      <c r="H719" s="7">
        <v>2350.5133000000001</v>
      </c>
      <c r="I719" s="7">
        <v>2183.4978000000001</v>
      </c>
      <c r="J719" s="8">
        <v>0.56710000000000005</v>
      </c>
      <c r="K719" s="7">
        <v>0.93830000000000002</v>
      </c>
      <c r="L719" s="7">
        <v>1.0329999999999999</v>
      </c>
      <c r="M719" s="8">
        <v>74.230999999999995</v>
      </c>
      <c r="N719" s="8">
        <v>29.109500000000001</v>
      </c>
      <c r="O719" s="7">
        <v>23.030200000000001</v>
      </c>
      <c r="P719" s="7">
        <v>2418.9692</v>
      </c>
      <c r="Q719" s="7">
        <v>2267.1307999999999</v>
      </c>
      <c r="R719" s="7" t="str">
        <f t="shared" si="166"/>
        <v>Up</v>
      </c>
      <c r="S719" s="7" t="str">
        <f t="shared" si="167"/>
        <v>Sell</v>
      </c>
      <c r="T719" s="8">
        <f t="shared" si="168"/>
        <v>0.17884292035398233</v>
      </c>
      <c r="U719" s="18">
        <f t="shared" si="169"/>
        <v>2031360</v>
      </c>
      <c r="V719" s="7">
        <f t="shared" si="170"/>
        <v>5586.2002000000002</v>
      </c>
      <c r="W719" s="7">
        <f t="shared" si="171"/>
        <v>2285.3998999999999</v>
      </c>
      <c r="X719" s="7">
        <f t="shared" si="172"/>
        <v>2429.5</v>
      </c>
      <c r="Y719" s="7">
        <f t="shared" si="173"/>
        <v>186</v>
      </c>
      <c r="Z719" s="7">
        <f t="shared" si="174"/>
        <v>530817</v>
      </c>
      <c r="AA719" s="7" t="str">
        <f t="shared" si="175"/>
        <v>21-May-2024</v>
      </c>
      <c r="AB719" s="7">
        <f t="shared" si="176"/>
        <v>2429.5</v>
      </c>
      <c r="AC719" s="7">
        <f t="shared" si="180"/>
        <v>1</v>
      </c>
      <c r="AD719" s="7">
        <f t="shared" si="177"/>
        <v>2024</v>
      </c>
      <c r="AE719" s="19">
        <f t="shared" si="178"/>
        <v>0.56999999999999995</v>
      </c>
      <c r="BA719" s="10">
        <f t="shared" si="179"/>
        <v>26.997800000000002</v>
      </c>
    </row>
    <row r="720" spans="1:53" x14ac:dyDescent="0.3">
      <c r="A720" s="17">
        <v>45434</v>
      </c>
      <c r="B720" s="8">
        <v>2389.1999999999998</v>
      </c>
      <c r="C720" s="7">
        <v>2417.6001000000001</v>
      </c>
      <c r="D720" s="7">
        <v>2375.8000000000002</v>
      </c>
      <c r="E720" s="7">
        <v>2417.5</v>
      </c>
      <c r="F720" s="18">
        <v>180</v>
      </c>
      <c r="G720" s="7">
        <v>2390.0857000000001</v>
      </c>
      <c r="H720" s="7">
        <v>2352.8766999999998</v>
      </c>
      <c r="I720" s="7">
        <v>2187.7910999999999</v>
      </c>
      <c r="J720" s="8">
        <v>-0.49390000000000001</v>
      </c>
      <c r="K720" s="7">
        <v>0.95440000000000003</v>
      </c>
      <c r="L720" s="7">
        <v>1.0382</v>
      </c>
      <c r="M720" s="8">
        <v>67.701400000000007</v>
      </c>
      <c r="N720" s="8">
        <v>30.639600000000002</v>
      </c>
      <c r="O720" s="7">
        <v>24.552099999999999</v>
      </c>
      <c r="P720" s="7">
        <v>2429.9186</v>
      </c>
      <c r="Q720" s="7">
        <v>2265.8013999999998</v>
      </c>
      <c r="R720" s="7" t="str">
        <f t="shared" si="166"/>
        <v>Up</v>
      </c>
      <c r="S720" s="7" t="str">
        <f t="shared" si="167"/>
        <v>Hold</v>
      </c>
      <c r="T720" s="8">
        <f t="shared" si="168"/>
        <v>0.17798203991130823</v>
      </c>
      <c r="U720" s="18">
        <f t="shared" si="169"/>
        <v>2031354</v>
      </c>
      <c r="V720" s="7">
        <f t="shared" si="170"/>
        <v>5586.2002000000002</v>
      </c>
      <c r="W720" s="7">
        <f t="shared" si="171"/>
        <v>2285.3998999999999</v>
      </c>
      <c r="X720" s="7">
        <f t="shared" si="172"/>
        <v>2417.5</v>
      </c>
      <c r="Y720" s="7">
        <f t="shared" si="173"/>
        <v>185</v>
      </c>
      <c r="Z720" s="7">
        <f t="shared" si="174"/>
        <v>530811</v>
      </c>
      <c r="AA720" s="7" t="str">
        <f t="shared" si="175"/>
        <v>22-May-2024</v>
      </c>
      <c r="AB720" s="7">
        <f t="shared" si="176"/>
        <v>2417.5</v>
      </c>
      <c r="AC720" s="7">
        <f t="shared" si="180"/>
        <v>1</v>
      </c>
      <c r="AD720" s="7">
        <f t="shared" si="177"/>
        <v>2024</v>
      </c>
      <c r="AE720" s="19">
        <f t="shared" si="178"/>
        <v>-0.49</v>
      </c>
      <c r="BA720" s="10">
        <f t="shared" si="179"/>
        <v>26.997800000000002</v>
      </c>
    </row>
    <row r="721" spans="1:53" x14ac:dyDescent="0.3">
      <c r="A721" s="17">
        <v>45435</v>
      </c>
      <c r="B721" s="8">
        <v>2335</v>
      </c>
      <c r="C721" s="7">
        <v>2371.1999999999998</v>
      </c>
      <c r="D721" s="7">
        <v>2335</v>
      </c>
      <c r="E721" s="7">
        <v>2371.1999999999998</v>
      </c>
      <c r="F721" s="18">
        <v>365</v>
      </c>
      <c r="G721" s="7">
        <v>2395.1143000000002</v>
      </c>
      <c r="H721" s="7">
        <v>2353.8667</v>
      </c>
      <c r="I721" s="7">
        <v>2191.3411000000001</v>
      </c>
      <c r="J721" s="8">
        <v>-1.9152</v>
      </c>
      <c r="K721" s="7">
        <v>1.2111000000000001</v>
      </c>
      <c r="L721" s="7">
        <v>1.1007</v>
      </c>
      <c r="M721" s="8">
        <v>62.059600000000003</v>
      </c>
      <c r="N721" s="8">
        <v>27.7958</v>
      </c>
      <c r="O721" s="7">
        <v>25.200800000000001</v>
      </c>
      <c r="P721" s="7">
        <v>2431.8348999999998</v>
      </c>
      <c r="Q721" s="7">
        <v>2269.5050999999999</v>
      </c>
      <c r="R721" s="7" t="str">
        <f t="shared" si="166"/>
        <v>Up</v>
      </c>
      <c r="S721" s="7" t="str">
        <f t="shared" si="167"/>
        <v>Hold</v>
      </c>
      <c r="T721" s="8">
        <f t="shared" si="168"/>
        <v>0.17947511111111117</v>
      </c>
      <c r="U721" s="18">
        <f t="shared" si="169"/>
        <v>2031174</v>
      </c>
      <c r="V721" s="7">
        <f t="shared" si="170"/>
        <v>5586.2002000000002</v>
      </c>
      <c r="W721" s="7">
        <f t="shared" si="171"/>
        <v>2285.3998999999999</v>
      </c>
      <c r="X721" s="7">
        <f t="shared" si="172"/>
        <v>2371.1999999999998</v>
      </c>
      <c r="Y721" s="7">
        <f t="shared" si="173"/>
        <v>184</v>
      </c>
      <c r="Z721" s="7">
        <f t="shared" si="174"/>
        <v>530631</v>
      </c>
      <c r="AA721" s="7" t="str">
        <f t="shared" si="175"/>
        <v>23-May-2024</v>
      </c>
      <c r="AB721" s="7">
        <f t="shared" si="176"/>
        <v>2371.1999999999998</v>
      </c>
      <c r="AC721" s="7">
        <f t="shared" si="180"/>
        <v>1</v>
      </c>
      <c r="AD721" s="7">
        <f t="shared" si="177"/>
        <v>2024</v>
      </c>
      <c r="AE721" s="19">
        <f t="shared" si="178"/>
        <v>-1.92</v>
      </c>
      <c r="BA721" s="10">
        <f t="shared" si="179"/>
        <v>26.997800000000002</v>
      </c>
    </row>
    <row r="722" spans="1:53" x14ac:dyDescent="0.3">
      <c r="A722" s="17">
        <v>45436</v>
      </c>
      <c r="B722" s="8">
        <v>2332.5</v>
      </c>
      <c r="C722" s="7">
        <v>2345.3998999999999</v>
      </c>
      <c r="D722" s="7">
        <v>2332.5</v>
      </c>
      <c r="E722" s="7">
        <v>2342.6001000000001</v>
      </c>
      <c r="F722" s="18">
        <v>25</v>
      </c>
      <c r="G722" s="7">
        <v>2392.4</v>
      </c>
      <c r="H722" s="7">
        <v>2352.71</v>
      </c>
      <c r="I722" s="7">
        <v>2194.8533000000002</v>
      </c>
      <c r="J722" s="8">
        <v>-1.2060999999999999</v>
      </c>
      <c r="K722" s="7">
        <v>1.2457</v>
      </c>
      <c r="L722" s="7">
        <v>1.087</v>
      </c>
      <c r="M722" s="8">
        <v>53.289000000000001</v>
      </c>
      <c r="N722" s="8">
        <v>22.9695</v>
      </c>
      <c r="O722" s="7">
        <v>24.7545</v>
      </c>
      <c r="P722" s="7">
        <v>2431.6424999999999</v>
      </c>
      <c r="Q722" s="7">
        <v>2269.1675</v>
      </c>
      <c r="R722" s="7" t="str">
        <f t="shared" si="166"/>
        <v>Up</v>
      </c>
      <c r="S722" s="7" t="str">
        <f t="shared" si="167"/>
        <v>Hold</v>
      </c>
      <c r="T722" s="8">
        <f t="shared" si="168"/>
        <v>0.18414031180400892</v>
      </c>
      <c r="U722" s="18">
        <f t="shared" si="169"/>
        <v>2030809</v>
      </c>
      <c r="V722" s="7">
        <f t="shared" si="170"/>
        <v>5586.2002000000002</v>
      </c>
      <c r="W722" s="7">
        <f t="shared" si="171"/>
        <v>2285.3998999999999</v>
      </c>
      <c r="X722" s="7">
        <f t="shared" si="172"/>
        <v>2342.6001000000001</v>
      </c>
      <c r="Y722" s="7">
        <f t="shared" si="173"/>
        <v>183</v>
      </c>
      <c r="Z722" s="7">
        <f t="shared" si="174"/>
        <v>530266</v>
      </c>
      <c r="AA722" s="7" t="str">
        <f t="shared" si="175"/>
        <v>24-May-2024</v>
      </c>
      <c r="AB722" s="7">
        <f t="shared" si="176"/>
        <v>2342.6001000000001</v>
      </c>
      <c r="AC722" s="7">
        <f t="shared" si="180"/>
        <v>1</v>
      </c>
      <c r="AD722" s="7">
        <f t="shared" si="177"/>
        <v>2024</v>
      </c>
      <c r="AE722" s="19">
        <f t="shared" si="178"/>
        <v>-1.21</v>
      </c>
      <c r="BA722" s="10">
        <f t="shared" si="179"/>
        <v>26.997800000000002</v>
      </c>
    </row>
    <row r="723" spans="1:53" x14ac:dyDescent="0.3">
      <c r="A723" s="17">
        <v>45440</v>
      </c>
      <c r="B723" s="8">
        <v>2355.1999999999998</v>
      </c>
      <c r="C723" s="7">
        <v>2359.6999999999998</v>
      </c>
      <c r="D723" s="7">
        <v>2336.8998999999999</v>
      </c>
      <c r="E723" s="7">
        <v>2336.8998999999999</v>
      </c>
      <c r="F723" s="18">
        <v>26</v>
      </c>
      <c r="G723" s="7">
        <v>2384.8856999999998</v>
      </c>
      <c r="H723" s="7">
        <v>2351.87</v>
      </c>
      <c r="I723" s="7">
        <v>2198.4544000000001</v>
      </c>
      <c r="J723" s="8">
        <v>-0.24329999999999999</v>
      </c>
      <c r="K723" s="7">
        <v>1.1086</v>
      </c>
      <c r="L723" s="7">
        <v>1.0819000000000001</v>
      </c>
      <c r="M723" s="8">
        <v>52.0642</v>
      </c>
      <c r="N723" s="8">
        <v>18.471699999999998</v>
      </c>
      <c r="O723" s="7">
        <v>23.498000000000001</v>
      </c>
      <c r="P723" s="7">
        <v>2431.6680000000001</v>
      </c>
      <c r="Q723" s="7">
        <v>2269.3519999999999</v>
      </c>
      <c r="R723" s="7" t="str">
        <f t="shared" si="166"/>
        <v>Down</v>
      </c>
      <c r="S723" s="7" t="str">
        <f t="shared" si="167"/>
        <v>Hold</v>
      </c>
      <c r="T723" s="8">
        <f t="shared" si="168"/>
        <v>0.18724352678571426</v>
      </c>
      <c r="U723" s="18">
        <f t="shared" si="169"/>
        <v>2030784</v>
      </c>
      <c r="V723" s="7">
        <f t="shared" si="170"/>
        <v>5586.2002000000002</v>
      </c>
      <c r="W723" s="7">
        <f t="shared" si="171"/>
        <v>2285.3998999999999</v>
      </c>
      <c r="X723" s="7">
        <f t="shared" si="172"/>
        <v>2336.8998999999999</v>
      </c>
      <c r="Y723" s="7">
        <f t="shared" si="173"/>
        <v>182</v>
      </c>
      <c r="Z723" s="7">
        <f t="shared" si="174"/>
        <v>530241</v>
      </c>
      <c r="AA723" s="7" t="str">
        <f t="shared" si="175"/>
        <v>28-May-2024</v>
      </c>
      <c r="AB723" s="7">
        <f t="shared" si="176"/>
        <v>2336.8998999999999</v>
      </c>
      <c r="AC723" s="7">
        <f t="shared" si="180"/>
        <v>1</v>
      </c>
      <c r="AD723" s="7">
        <f t="shared" si="177"/>
        <v>2024</v>
      </c>
      <c r="AE723" s="19">
        <f t="shared" si="178"/>
        <v>-0.24</v>
      </c>
      <c r="BA723" s="10">
        <f t="shared" si="179"/>
        <v>26.997800000000002</v>
      </c>
    </row>
    <row r="724" spans="1:53" x14ac:dyDescent="0.3">
      <c r="A724" s="17">
        <v>45441</v>
      </c>
      <c r="B724" s="8">
        <v>2340.3000000000002</v>
      </c>
      <c r="C724" s="7">
        <v>2340.3000000000002</v>
      </c>
      <c r="D724" s="7">
        <v>2340.3000000000002</v>
      </c>
      <c r="E724" s="7">
        <v>2340.3000000000002</v>
      </c>
      <c r="F724" s="18">
        <v>119317</v>
      </c>
      <c r="G724" s="7">
        <v>2379.1143000000002</v>
      </c>
      <c r="H724" s="7">
        <v>2350.4133000000002</v>
      </c>
      <c r="I724" s="7">
        <v>2201.9778000000001</v>
      </c>
      <c r="J724" s="8">
        <v>0.14549999999999999</v>
      </c>
      <c r="K724" s="7">
        <v>1.1213</v>
      </c>
      <c r="L724" s="7">
        <v>1.0673999999999999</v>
      </c>
      <c r="M724" s="8">
        <v>54.481400000000001</v>
      </c>
      <c r="N724" s="8">
        <v>15.0085</v>
      </c>
      <c r="O724" s="7">
        <v>21.8001</v>
      </c>
      <c r="P724" s="7">
        <v>2431.65</v>
      </c>
      <c r="Q724" s="7">
        <v>2271.15</v>
      </c>
      <c r="R724" s="7" t="str">
        <f t="shared" si="166"/>
        <v>Down</v>
      </c>
      <c r="S724" s="7" t="str">
        <f t="shared" si="167"/>
        <v>Hold</v>
      </c>
      <c r="T724" s="8">
        <f t="shared" si="168"/>
        <v>0.1882067114093959</v>
      </c>
      <c r="U724" s="18">
        <f t="shared" si="169"/>
        <v>2030758</v>
      </c>
      <c r="V724" s="7">
        <f t="shared" si="170"/>
        <v>5586.2002000000002</v>
      </c>
      <c r="W724" s="7">
        <f t="shared" si="171"/>
        <v>2285.3998999999999</v>
      </c>
      <c r="X724" s="7">
        <f t="shared" si="172"/>
        <v>2340.3000000000002</v>
      </c>
      <c r="Y724" s="7">
        <f t="shared" si="173"/>
        <v>182</v>
      </c>
      <c r="Z724" s="7">
        <f t="shared" si="174"/>
        <v>530241</v>
      </c>
      <c r="AA724" s="7" t="str">
        <f t="shared" si="175"/>
        <v>29-May-2024</v>
      </c>
      <c r="AB724" s="7">
        <f t="shared" si="176"/>
        <v>2340.3000000000002</v>
      </c>
      <c r="AC724" s="7">
        <f t="shared" si="180"/>
        <v>1</v>
      </c>
      <c r="AD724" s="7">
        <f t="shared" si="177"/>
        <v>2024</v>
      </c>
      <c r="AE724" s="19">
        <f t="shared" si="178"/>
        <v>0.15</v>
      </c>
      <c r="BA724" s="10">
        <f t="shared" si="179"/>
        <v>26.997800000000002</v>
      </c>
    </row>
    <row r="725" spans="1:53" x14ac:dyDescent="0.3">
      <c r="A725" s="17">
        <v>45442</v>
      </c>
      <c r="B725" s="8">
        <v>2342.8998999999999</v>
      </c>
      <c r="C725" s="7">
        <v>2349.5</v>
      </c>
      <c r="D725" s="7">
        <v>2320.8000000000002</v>
      </c>
      <c r="E725" s="7">
        <v>2336.8998999999999</v>
      </c>
      <c r="F725" s="18">
        <v>32587</v>
      </c>
      <c r="G725" s="7">
        <v>2367.8427999999999</v>
      </c>
      <c r="H725" s="7">
        <v>2348.8366999999998</v>
      </c>
      <c r="I725" s="7">
        <v>2205.4843999999998</v>
      </c>
      <c r="J725" s="8">
        <v>-0.14530000000000001</v>
      </c>
      <c r="K725" s="7">
        <v>0.84089999999999998</v>
      </c>
      <c r="L725" s="7">
        <v>1.0673999999999999</v>
      </c>
      <c r="M725" s="8">
        <v>54.390099999999997</v>
      </c>
      <c r="N725" s="8">
        <v>11.8529</v>
      </c>
      <c r="O725" s="7">
        <v>19.810700000000001</v>
      </c>
      <c r="P725" s="7">
        <v>2428.7238000000002</v>
      </c>
      <c r="Q725" s="7">
        <v>2278.9962</v>
      </c>
      <c r="R725" s="7" t="str">
        <f t="shared" si="166"/>
        <v>Down</v>
      </c>
      <c r="S725" s="7" t="str">
        <f t="shared" si="167"/>
        <v>Hold</v>
      </c>
      <c r="T725" s="8">
        <f t="shared" si="168"/>
        <v>0.18830246636771295</v>
      </c>
      <c r="U725" s="18">
        <f t="shared" si="169"/>
        <v>1911441</v>
      </c>
      <c r="V725" s="7">
        <f t="shared" si="170"/>
        <v>5586.2002000000002</v>
      </c>
      <c r="W725" s="7">
        <f t="shared" si="171"/>
        <v>2285.3998999999999</v>
      </c>
      <c r="X725" s="7">
        <f t="shared" si="172"/>
        <v>2336.8998999999999</v>
      </c>
      <c r="Y725" s="7">
        <f t="shared" si="173"/>
        <v>182</v>
      </c>
      <c r="Z725" s="7">
        <f t="shared" si="174"/>
        <v>530241</v>
      </c>
      <c r="AA725" s="7" t="str">
        <f t="shared" si="175"/>
        <v>30-May-2024</v>
      </c>
      <c r="AB725" s="7">
        <f t="shared" si="176"/>
        <v>2336.8998999999999</v>
      </c>
      <c r="AC725" s="7">
        <f t="shared" si="180"/>
        <v>1</v>
      </c>
      <c r="AD725" s="7">
        <f t="shared" si="177"/>
        <v>2024</v>
      </c>
      <c r="AE725" s="19">
        <f t="shared" si="178"/>
        <v>-0.15</v>
      </c>
      <c r="BA725" s="10">
        <f t="shared" si="179"/>
        <v>26.997800000000002</v>
      </c>
    </row>
    <row r="726" spans="1:53" x14ac:dyDescent="0.3">
      <c r="A726" s="17">
        <v>45443</v>
      </c>
      <c r="B726" s="8">
        <v>2322.8998999999999</v>
      </c>
      <c r="C726" s="7">
        <v>2354</v>
      </c>
      <c r="D726" s="7">
        <v>2319</v>
      </c>
      <c r="E726" s="7">
        <v>2344.1001000000001</v>
      </c>
      <c r="F726" s="18">
        <v>941</v>
      </c>
      <c r="G726" s="7">
        <v>2355.6428999999998</v>
      </c>
      <c r="H726" s="7">
        <v>2348.0266999999999</v>
      </c>
      <c r="I726" s="7">
        <v>2208.9711000000002</v>
      </c>
      <c r="J726" s="8">
        <v>0.30809999999999998</v>
      </c>
      <c r="K726" s="7">
        <v>0.79190000000000005</v>
      </c>
      <c r="L726" s="7">
        <v>1.0632999999999999</v>
      </c>
      <c r="M726" s="8">
        <v>45.3414</v>
      </c>
      <c r="N726" s="8">
        <v>9.8199000000000005</v>
      </c>
      <c r="O726" s="7">
        <v>17.8125</v>
      </c>
      <c r="P726" s="7">
        <v>2428.4757</v>
      </c>
      <c r="Q726" s="7">
        <v>2281.4843000000001</v>
      </c>
      <c r="R726" s="7" t="str">
        <f t="shared" si="166"/>
        <v>Up</v>
      </c>
      <c r="S726" s="7" t="str">
        <f t="shared" si="167"/>
        <v>Hold</v>
      </c>
      <c r="T726" s="8">
        <f t="shared" si="168"/>
        <v>0.18905213483146066</v>
      </c>
      <c r="U726" s="18">
        <f t="shared" si="169"/>
        <v>1878854</v>
      </c>
      <c r="V726" s="7">
        <f t="shared" si="170"/>
        <v>5586.2002000000002</v>
      </c>
      <c r="W726" s="7">
        <f t="shared" si="171"/>
        <v>2285.3998999999999</v>
      </c>
      <c r="X726" s="7">
        <f t="shared" si="172"/>
        <v>2344.1001000000001</v>
      </c>
      <c r="Y726" s="7">
        <f t="shared" si="173"/>
        <v>182</v>
      </c>
      <c r="Z726" s="7">
        <f t="shared" si="174"/>
        <v>530241</v>
      </c>
      <c r="AA726" s="7" t="str">
        <f t="shared" si="175"/>
        <v>31-May-2024</v>
      </c>
      <c r="AB726" s="7">
        <f t="shared" si="176"/>
        <v>2344.1001000000001</v>
      </c>
      <c r="AC726" s="7">
        <f t="shared" si="180"/>
        <v>1</v>
      </c>
      <c r="AD726" s="7">
        <f t="shared" si="177"/>
        <v>2024</v>
      </c>
      <c r="AE726" s="19">
        <f t="shared" si="178"/>
        <v>0.31</v>
      </c>
      <c r="BA726" s="10">
        <f t="shared" si="179"/>
        <v>26.997800000000002</v>
      </c>
    </row>
    <row r="727" spans="1:53" x14ac:dyDescent="0.3">
      <c r="A727" s="17">
        <v>45446</v>
      </c>
      <c r="B727" s="8">
        <v>2346.6001000000001</v>
      </c>
      <c r="C727" s="7">
        <v>2347.5</v>
      </c>
      <c r="D727" s="7">
        <v>2312</v>
      </c>
      <c r="E727" s="7">
        <v>2322.6001000000001</v>
      </c>
      <c r="F727" s="18">
        <v>781</v>
      </c>
      <c r="G727" s="7">
        <v>2342.0857000000001</v>
      </c>
      <c r="H727" s="7">
        <v>2346.1367</v>
      </c>
      <c r="I727" s="7">
        <v>2212.2977999999998</v>
      </c>
      <c r="J727" s="8">
        <v>-0.91720000000000002</v>
      </c>
      <c r="K727" s="7">
        <v>0.80669999999999997</v>
      </c>
      <c r="L727" s="7">
        <v>1.0710999999999999</v>
      </c>
      <c r="M727" s="8">
        <v>43.173999999999999</v>
      </c>
      <c r="N727" s="8">
        <v>6.4001000000000001</v>
      </c>
      <c r="O727" s="7">
        <v>15.53</v>
      </c>
      <c r="P727" s="7">
        <v>2426.6833999999999</v>
      </c>
      <c r="Q727" s="7">
        <v>2285.5367000000001</v>
      </c>
      <c r="R727" s="7" t="str">
        <f t="shared" si="166"/>
        <v>Down</v>
      </c>
      <c r="S727" s="7" t="str">
        <f t="shared" si="167"/>
        <v>Hold</v>
      </c>
      <c r="T727" s="8">
        <f t="shared" si="168"/>
        <v>0.18878400900900894</v>
      </c>
      <c r="U727" s="18">
        <f t="shared" si="169"/>
        <v>1877913</v>
      </c>
      <c r="V727" s="7">
        <f t="shared" si="170"/>
        <v>5586.2002000000002</v>
      </c>
      <c r="W727" s="7">
        <f t="shared" si="171"/>
        <v>2285.3998999999999</v>
      </c>
      <c r="X727" s="7">
        <f t="shared" si="172"/>
        <v>2322.6001000000001</v>
      </c>
      <c r="Y727" s="7">
        <f t="shared" si="173"/>
        <v>181</v>
      </c>
      <c r="Z727" s="7">
        <f t="shared" si="174"/>
        <v>529300</v>
      </c>
      <c r="AA727" s="7" t="str">
        <f t="shared" si="175"/>
        <v>03-Jun-2024</v>
      </c>
      <c r="AB727" s="7">
        <f t="shared" si="176"/>
        <v>2322.6001000000001</v>
      </c>
      <c r="AC727" s="7">
        <f t="shared" si="180"/>
        <v>1</v>
      </c>
      <c r="AD727" s="7">
        <f t="shared" si="177"/>
        <v>2024</v>
      </c>
      <c r="AE727" s="19">
        <f t="shared" si="178"/>
        <v>-0.92</v>
      </c>
      <c r="BA727" s="10">
        <f t="shared" si="179"/>
        <v>26.997800000000002</v>
      </c>
    </row>
    <row r="728" spans="1:53" x14ac:dyDescent="0.3">
      <c r="A728" s="17">
        <v>45447</v>
      </c>
      <c r="B728" s="8">
        <v>2325.5</v>
      </c>
      <c r="C728" s="7">
        <v>2347.6999999999998</v>
      </c>
      <c r="D728" s="7">
        <v>2313.8998999999999</v>
      </c>
      <c r="E728" s="7">
        <v>2347.5</v>
      </c>
      <c r="F728" s="18">
        <v>890</v>
      </c>
      <c r="G728" s="7">
        <v>2338.6999999999998</v>
      </c>
      <c r="H728" s="7">
        <v>2344.9432999999999</v>
      </c>
      <c r="I728" s="7">
        <v>2216.0243999999998</v>
      </c>
      <c r="J728" s="8">
        <v>1.0721000000000001</v>
      </c>
      <c r="K728" s="7">
        <v>0.7641</v>
      </c>
      <c r="L728" s="7">
        <v>1.0908</v>
      </c>
      <c r="M728" s="8">
        <v>52.177199999999999</v>
      </c>
      <c r="N728" s="8">
        <v>5.6341000000000001</v>
      </c>
      <c r="O728" s="7">
        <v>13.550800000000001</v>
      </c>
      <c r="P728" s="7">
        <v>2426.3101999999999</v>
      </c>
      <c r="Q728" s="7">
        <v>2288.3798999999999</v>
      </c>
      <c r="R728" s="7" t="str">
        <f t="shared" si="166"/>
        <v>Up</v>
      </c>
      <c r="S728" s="7" t="str">
        <f t="shared" si="167"/>
        <v>Hold</v>
      </c>
      <c r="T728" s="8">
        <f t="shared" si="168"/>
        <v>0.19128058690744909</v>
      </c>
      <c r="U728" s="18">
        <f t="shared" si="169"/>
        <v>1877132</v>
      </c>
      <c r="V728" s="7">
        <f t="shared" si="170"/>
        <v>5586.2002000000002</v>
      </c>
      <c r="W728" s="7">
        <f t="shared" si="171"/>
        <v>2285.3998999999999</v>
      </c>
      <c r="X728" s="7">
        <f t="shared" si="172"/>
        <v>2347.5</v>
      </c>
      <c r="Y728" s="7">
        <f t="shared" si="173"/>
        <v>181</v>
      </c>
      <c r="Z728" s="7">
        <f t="shared" si="174"/>
        <v>529300</v>
      </c>
      <c r="AA728" s="7" t="str">
        <f t="shared" si="175"/>
        <v>04-Jun-2024</v>
      </c>
      <c r="AB728" s="7">
        <f t="shared" si="176"/>
        <v>2347.5</v>
      </c>
      <c r="AC728" s="7">
        <f t="shared" si="180"/>
        <v>1</v>
      </c>
      <c r="AD728" s="7">
        <f t="shared" si="177"/>
        <v>2024</v>
      </c>
      <c r="AE728" s="19">
        <f t="shared" si="178"/>
        <v>1.07</v>
      </c>
      <c r="BA728" s="10">
        <f t="shared" si="179"/>
        <v>26.997800000000002</v>
      </c>
    </row>
    <row r="729" spans="1:53" x14ac:dyDescent="0.3">
      <c r="A729" s="17">
        <v>45448</v>
      </c>
      <c r="B729" s="8">
        <v>2354.1001000000001</v>
      </c>
      <c r="C729" s="7">
        <v>2354.3000000000002</v>
      </c>
      <c r="D729" s="7">
        <v>2326.1999999999998</v>
      </c>
      <c r="E729" s="7">
        <v>2326.3998999999999</v>
      </c>
      <c r="F729" s="18">
        <v>295</v>
      </c>
      <c r="G729" s="7">
        <v>2336.3856999999998</v>
      </c>
      <c r="H729" s="7">
        <v>2344.9</v>
      </c>
      <c r="I729" s="7">
        <v>2219.41</v>
      </c>
      <c r="J729" s="8">
        <v>-0.89880000000000004</v>
      </c>
      <c r="K729" s="7">
        <v>0.69869999999999999</v>
      </c>
      <c r="L729" s="7">
        <v>1.0159</v>
      </c>
      <c r="M729" s="8">
        <v>43.220300000000002</v>
      </c>
      <c r="N729" s="8">
        <v>3.2866</v>
      </c>
      <c r="O729" s="7">
        <v>11.497999999999999</v>
      </c>
      <c r="P729" s="7">
        <v>2426.2094000000002</v>
      </c>
      <c r="Q729" s="7">
        <v>2288.6905999999999</v>
      </c>
      <c r="R729" s="7" t="str">
        <f t="shared" si="166"/>
        <v>Down</v>
      </c>
      <c r="S729" s="7" t="str">
        <f t="shared" si="167"/>
        <v>Hold</v>
      </c>
      <c r="T729" s="8">
        <f t="shared" si="168"/>
        <v>0.18928778280542979</v>
      </c>
      <c r="U729" s="18">
        <f t="shared" si="169"/>
        <v>1876242</v>
      </c>
      <c r="V729" s="7">
        <f t="shared" si="170"/>
        <v>5586.2002000000002</v>
      </c>
      <c r="W729" s="7">
        <f t="shared" si="171"/>
        <v>2285.3998999999999</v>
      </c>
      <c r="X729" s="7">
        <f t="shared" si="172"/>
        <v>2326.3998999999999</v>
      </c>
      <c r="Y729" s="7">
        <f t="shared" si="173"/>
        <v>180</v>
      </c>
      <c r="Z729" s="7">
        <f t="shared" si="174"/>
        <v>528410</v>
      </c>
      <c r="AA729" s="7" t="str">
        <f t="shared" si="175"/>
        <v>05-Jun-2024</v>
      </c>
      <c r="AB729" s="7">
        <f t="shared" si="176"/>
        <v>2326.3998999999999</v>
      </c>
      <c r="AC729" s="7">
        <f t="shared" si="180"/>
        <v>1</v>
      </c>
      <c r="AD729" s="7">
        <f t="shared" si="177"/>
        <v>2024</v>
      </c>
      <c r="AE729" s="19">
        <f t="shared" si="178"/>
        <v>-0.9</v>
      </c>
      <c r="BA729" s="10">
        <f t="shared" si="179"/>
        <v>26.997800000000002</v>
      </c>
    </row>
    <row r="730" spans="1:53" x14ac:dyDescent="0.3">
      <c r="A730" s="17">
        <v>45449</v>
      </c>
      <c r="B730" s="8">
        <v>2370.3000000000002</v>
      </c>
      <c r="C730" s="7">
        <v>2375.8000000000002</v>
      </c>
      <c r="D730" s="7">
        <v>2355</v>
      </c>
      <c r="E730" s="7">
        <v>2355</v>
      </c>
      <c r="F730" s="18">
        <v>179</v>
      </c>
      <c r="G730" s="7">
        <v>2338.9713999999999</v>
      </c>
      <c r="H730" s="7">
        <v>2346.0232999999998</v>
      </c>
      <c r="I730" s="7">
        <v>2223.0744</v>
      </c>
      <c r="J730" s="8">
        <v>1.2294</v>
      </c>
      <c r="K730" s="7">
        <v>0.85219999999999996</v>
      </c>
      <c r="L730" s="7">
        <v>1.0385</v>
      </c>
      <c r="M730" s="8">
        <v>43.373100000000001</v>
      </c>
      <c r="N730" s="8">
        <v>3.6913999999999998</v>
      </c>
      <c r="O730" s="7">
        <v>9.9367000000000001</v>
      </c>
      <c r="P730" s="7">
        <v>2425.1421999999998</v>
      </c>
      <c r="Q730" s="7">
        <v>2293.8978000000002</v>
      </c>
      <c r="R730" s="7" t="str">
        <f t="shared" si="166"/>
        <v>Down</v>
      </c>
      <c r="S730" s="7" t="str">
        <f t="shared" si="167"/>
        <v>Hold</v>
      </c>
      <c r="T730" s="8">
        <f t="shared" si="168"/>
        <v>0.19175510204081625</v>
      </c>
      <c r="U730" s="18">
        <f t="shared" si="169"/>
        <v>1875947</v>
      </c>
      <c r="V730" s="7">
        <f t="shared" si="170"/>
        <v>5586.2002000000002</v>
      </c>
      <c r="W730" s="7">
        <f t="shared" si="171"/>
        <v>2285.3998999999999</v>
      </c>
      <c r="X730" s="7">
        <f t="shared" si="172"/>
        <v>2355</v>
      </c>
      <c r="Y730" s="7">
        <f t="shared" si="173"/>
        <v>180</v>
      </c>
      <c r="Z730" s="7">
        <f t="shared" si="174"/>
        <v>528410</v>
      </c>
      <c r="AA730" s="7" t="str">
        <f t="shared" si="175"/>
        <v>06-Jun-2024</v>
      </c>
      <c r="AB730" s="7">
        <f t="shared" si="176"/>
        <v>2355</v>
      </c>
      <c r="AC730" s="7">
        <f t="shared" si="180"/>
        <v>1</v>
      </c>
      <c r="AD730" s="7">
        <f t="shared" si="177"/>
        <v>2024</v>
      </c>
      <c r="AE730" s="19">
        <f t="shared" si="178"/>
        <v>1.23</v>
      </c>
      <c r="BA730" s="10">
        <f t="shared" si="179"/>
        <v>26.997800000000002</v>
      </c>
    </row>
    <row r="731" spans="1:53" x14ac:dyDescent="0.3">
      <c r="A731" s="17">
        <v>45450</v>
      </c>
      <c r="B731" s="8">
        <v>2305.1999999999998</v>
      </c>
      <c r="C731" s="7">
        <v>2385.1001000000001</v>
      </c>
      <c r="D731" s="7">
        <v>2285.3998999999999</v>
      </c>
      <c r="E731" s="7">
        <v>2379.8998999999999</v>
      </c>
      <c r="F731" s="18">
        <v>269</v>
      </c>
      <c r="G731" s="7">
        <v>2344.6286</v>
      </c>
      <c r="H731" s="7">
        <v>2348.1867000000002</v>
      </c>
      <c r="I731" s="7">
        <v>2226.9344000000001</v>
      </c>
      <c r="J731" s="8">
        <v>1.0572999999999999</v>
      </c>
      <c r="K731" s="7">
        <v>0.92449999999999999</v>
      </c>
      <c r="L731" s="7">
        <v>1.0525</v>
      </c>
      <c r="M731" s="8">
        <v>49.8553</v>
      </c>
      <c r="N731" s="8">
        <v>5.9527999999999999</v>
      </c>
      <c r="O731" s="7">
        <v>9.1399000000000008</v>
      </c>
      <c r="P731" s="7">
        <v>2424.9602</v>
      </c>
      <c r="Q731" s="7">
        <v>2300.9998999999998</v>
      </c>
      <c r="R731" s="7" t="str">
        <f t="shared" si="166"/>
        <v>Up</v>
      </c>
      <c r="S731" s="7" t="str">
        <f t="shared" si="167"/>
        <v>Hold</v>
      </c>
      <c r="T731" s="8">
        <f t="shared" si="168"/>
        <v>0.18939681818181817</v>
      </c>
      <c r="U731" s="18">
        <f t="shared" si="169"/>
        <v>1875768</v>
      </c>
      <c r="V731" s="7">
        <f t="shared" si="170"/>
        <v>5586.2002000000002</v>
      </c>
      <c r="W731" s="7">
        <f t="shared" si="171"/>
        <v>2285.3998999999999</v>
      </c>
      <c r="X731" s="7">
        <f t="shared" si="172"/>
        <v>2379.8998999999999</v>
      </c>
      <c r="Y731" s="7">
        <f t="shared" si="173"/>
        <v>180</v>
      </c>
      <c r="Z731" s="7">
        <f t="shared" si="174"/>
        <v>528410</v>
      </c>
      <c r="AA731" s="7" t="str">
        <f t="shared" si="175"/>
        <v>07-Jun-2024</v>
      </c>
      <c r="AB731" s="7">
        <f t="shared" si="176"/>
        <v>2379.8998999999999</v>
      </c>
      <c r="AC731" s="7">
        <f t="shared" si="180"/>
        <v>1</v>
      </c>
      <c r="AD731" s="7">
        <f t="shared" si="177"/>
        <v>2024</v>
      </c>
      <c r="AE731" s="19">
        <f t="shared" si="178"/>
        <v>1.06</v>
      </c>
      <c r="BA731" s="10">
        <f t="shared" si="179"/>
        <v>26.997800000000002</v>
      </c>
    </row>
    <row r="732" spans="1:53" x14ac:dyDescent="0.3">
      <c r="A732" s="17">
        <v>45453</v>
      </c>
      <c r="B732" s="8">
        <v>2307.6999999999998</v>
      </c>
      <c r="C732" s="7">
        <v>2309.3000000000002</v>
      </c>
      <c r="D732" s="7">
        <v>2290.5</v>
      </c>
      <c r="E732" s="7">
        <v>2290.6001000000001</v>
      </c>
      <c r="F732" s="18">
        <v>69</v>
      </c>
      <c r="G732" s="7">
        <v>2338.0142999999998</v>
      </c>
      <c r="H732" s="7">
        <v>2346.2766999999999</v>
      </c>
      <c r="I732" s="7">
        <v>2229.77</v>
      </c>
      <c r="J732" s="8">
        <v>-3.7523</v>
      </c>
      <c r="K732" s="7">
        <v>1.7835000000000001</v>
      </c>
      <c r="L732" s="7">
        <v>1.2359</v>
      </c>
      <c r="M732" s="8">
        <v>31.064800000000002</v>
      </c>
      <c r="N732" s="8">
        <v>0.53310000000000002</v>
      </c>
      <c r="O732" s="7">
        <v>7.4184999999999999</v>
      </c>
      <c r="P732" s="7">
        <v>2428.9920000000002</v>
      </c>
      <c r="Q732" s="7">
        <v>2289.2979999999998</v>
      </c>
      <c r="R732" s="7" t="str">
        <f t="shared" si="166"/>
        <v>Down</v>
      </c>
      <c r="S732" s="7" t="str">
        <f t="shared" si="167"/>
        <v>Hold</v>
      </c>
      <c r="T732" s="8">
        <f t="shared" si="168"/>
        <v>0.18741981776765382</v>
      </c>
      <c r="U732" s="18">
        <f t="shared" si="169"/>
        <v>1875499</v>
      </c>
      <c r="V732" s="7">
        <f t="shared" si="170"/>
        <v>5586.2002000000002</v>
      </c>
      <c r="W732" s="7">
        <f t="shared" si="171"/>
        <v>2290.5</v>
      </c>
      <c r="X732" s="7">
        <f t="shared" si="172"/>
        <v>2290.6001000000001</v>
      </c>
      <c r="Y732" s="7">
        <f t="shared" si="173"/>
        <v>179</v>
      </c>
      <c r="Z732" s="7">
        <f t="shared" si="174"/>
        <v>528141</v>
      </c>
      <c r="AA732" s="7" t="str">
        <f t="shared" si="175"/>
        <v>10-Jun-2024</v>
      </c>
      <c r="AB732" s="7">
        <f t="shared" si="176"/>
        <v>2290.6001000000001</v>
      </c>
      <c r="AC732" s="7">
        <f t="shared" si="180"/>
        <v>1</v>
      </c>
      <c r="AD732" s="7">
        <f t="shared" si="177"/>
        <v>2024</v>
      </c>
      <c r="AE732" s="19">
        <f t="shared" si="178"/>
        <v>-3.75</v>
      </c>
      <c r="BA732" s="10">
        <f t="shared" si="179"/>
        <v>26.997800000000002</v>
      </c>
    </row>
    <row r="733" spans="1:53" x14ac:dyDescent="0.3">
      <c r="A733" s="17">
        <v>45454</v>
      </c>
      <c r="B733" s="8">
        <v>2307.5</v>
      </c>
      <c r="C733" s="7">
        <v>2314.1001000000001</v>
      </c>
      <c r="D733" s="7">
        <v>2300</v>
      </c>
      <c r="E733" s="7">
        <v>2300</v>
      </c>
      <c r="F733" s="18">
        <v>871</v>
      </c>
      <c r="G733" s="7">
        <v>2331.7143000000001</v>
      </c>
      <c r="H733" s="7">
        <v>2345.1167</v>
      </c>
      <c r="I733" s="7">
        <v>2232.6567</v>
      </c>
      <c r="J733" s="8">
        <v>0.41039999999999999</v>
      </c>
      <c r="K733" s="7">
        <v>1.7895000000000001</v>
      </c>
      <c r="L733" s="7">
        <v>1.2355</v>
      </c>
      <c r="M733" s="8">
        <v>30.156300000000002</v>
      </c>
      <c r="N733" s="8">
        <v>-2.9693999999999998</v>
      </c>
      <c r="O733" s="7">
        <v>5.3410000000000002</v>
      </c>
      <c r="P733" s="7">
        <v>2430.9234999999999</v>
      </c>
      <c r="Q733" s="7">
        <v>2281.5365000000002</v>
      </c>
      <c r="R733" s="7" t="str">
        <f t="shared" si="166"/>
        <v>Down</v>
      </c>
      <c r="S733" s="7" t="str">
        <f t="shared" si="167"/>
        <v>Hold</v>
      </c>
      <c r="T733" s="8">
        <f t="shared" si="168"/>
        <v>0.19641461187214604</v>
      </c>
      <c r="U733" s="18">
        <f t="shared" si="169"/>
        <v>1875430</v>
      </c>
      <c r="V733" s="7">
        <f t="shared" si="170"/>
        <v>5586.2002000000002</v>
      </c>
      <c r="W733" s="7">
        <f t="shared" si="171"/>
        <v>2295</v>
      </c>
      <c r="X733" s="7">
        <f t="shared" si="172"/>
        <v>2300</v>
      </c>
      <c r="Y733" s="7">
        <f t="shared" si="173"/>
        <v>179</v>
      </c>
      <c r="Z733" s="7">
        <f t="shared" si="174"/>
        <v>528141</v>
      </c>
      <c r="AA733" s="7" t="str">
        <f t="shared" si="175"/>
        <v>11-Jun-2024</v>
      </c>
      <c r="AB733" s="7">
        <f t="shared" si="176"/>
        <v>2300</v>
      </c>
      <c r="AC733" s="7">
        <f t="shared" si="180"/>
        <v>1</v>
      </c>
      <c r="AD733" s="7">
        <f t="shared" si="177"/>
        <v>2024</v>
      </c>
      <c r="AE733" s="19">
        <f t="shared" si="178"/>
        <v>0.41</v>
      </c>
      <c r="BA733" s="10">
        <f t="shared" si="179"/>
        <v>26.997800000000002</v>
      </c>
    </row>
    <row r="734" spans="1:53" x14ac:dyDescent="0.3">
      <c r="A734" s="17">
        <v>45455</v>
      </c>
      <c r="B734" s="8">
        <v>2336</v>
      </c>
      <c r="C734" s="7">
        <v>2338.6999999999998</v>
      </c>
      <c r="D734" s="7">
        <v>2310.3000000000002</v>
      </c>
      <c r="E734" s="7">
        <v>2314.8998999999999</v>
      </c>
      <c r="F734" s="18">
        <v>132</v>
      </c>
      <c r="G734" s="7">
        <v>2330.6143000000002</v>
      </c>
      <c r="H734" s="7">
        <v>2344.8633</v>
      </c>
      <c r="I734" s="7">
        <v>2235.5466999999999</v>
      </c>
      <c r="J734" s="8">
        <v>0.64780000000000004</v>
      </c>
      <c r="K734" s="7">
        <v>1.7909999999999999</v>
      </c>
      <c r="L734" s="7">
        <v>1.2383</v>
      </c>
      <c r="M734" s="8">
        <v>34.416800000000002</v>
      </c>
      <c r="N734" s="8">
        <v>-4.4909999999999997</v>
      </c>
      <c r="O734" s="7">
        <v>3.3746</v>
      </c>
      <c r="P734" s="7">
        <v>2431.6464999999998</v>
      </c>
      <c r="Q734" s="7">
        <v>2278.7035000000001</v>
      </c>
      <c r="R734" s="7" t="str">
        <f t="shared" si="166"/>
        <v>Down</v>
      </c>
      <c r="S734" s="7" t="str">
        <f t="shared" si="167"/>
        <v>Hold</v>
      </c>
      <c r="T734" s="8">
        <f t="shared" si="168"/>
        <v>0.19592494279176195</v>
      </c>
      <c r="U734" s="18">
        <f t="shared" si="169"/>
        <v>1874559</v>
      </c>
      <c r="V734" s="7">
        <f t="shared" si="170"/>
        <v>5586.2002000000002</v>
      </c>
      <c r="W734" s="7">
        <f t="shared" si="171"/>
        <v>2295</v>
      </c>
      <c r="X734" s="7">
        <f t="shared" si="172"/>
        <v>2314.8998999999999</v>
      </c>
      <c r="Y734" s="7">
        <f t="shared" si="173"/>
        <v>179</v>
      </c>
      <c r="Z734" s="7">
        <f t="shared" si="174"/>
        <v>528141</v>
      </c>
      <c r="AA734" s="7" t="str">
        <f t="shared" si="175"/>
        <v>12-Jun-2024</v>
      </c>
      <c r="AB734" s="7">
        <f t="shared" si="176"/>
        <v>2314.8998999999999</v>
      </c>
      <c r="AC734" s="7">
        <f t="shared" si="180"/>
        <v>1</v>
      </c>
      <c r="AD734" s="7">
        <f t="shared" si="177"/>
        <v>2024</v>
      </c>
      <c r="AE734" s="19">
        <f t="shared" si="178"/>
        <v>0.65</v>
      </c>
      <c r="BA734" s="10">
        <f t="shared" si="179"/>
        <v>26.997800000000002</v>
      </c>
    </row>
    <row r="735" spans="1:53" x14ac:dyDescent="0.3">
      <c r="A735" s="17">
        <v>45456</v>
      </c>
      <c r="B735" s="8">
        <v>2300.1999999999998</v>
      </c>
      <c r="C735" s="7">
        <v>2317.6999999999998</v>
      </c>
      <c r="D735" s="7">
        <v>2296.1999999999998</v>
      </c>
      <c r="E735" s="7">
        <v>2309.3998999999999</v>
      </c>
      <c r="F735" s="18">
        <v>298</v>
      </c>
      <c r="G735" s="7">
        <v>2325.1714000000002</v>
      </c>
      <c r="H735" s="7">
        <v>2345.5866999999998</v>
      </c>
      <c r="I735" s="7">
        <v>2238.5522000000001</v>
      </c>
      <c r="J735" s="8">
        <v>-0.23760000000000001</v>
      </c>
      <c r="K735" s="7">
        <v>1.7234</v>
      </c>
      <c r="L735" s="7">
        <v>1.2068000000000001</v>
      </c>
      <c r="M735" s="8">
        <v>39.285699999999999</v>
      </c>
      <c r="N735" s="8">
        <v>-6.0707000000000004</v>
      </c>
      <c r="O735" s="7">
        <v>1.4855</v>
      </c>
      <c r="P735" s="7">
        <v>2431.6324</v>
      </c>
      <c r="Q735" s="7">
        <v>2273.4976000000001</v>
      </c>
      <c r="R735" s="7" t="str">
        <f t="shared" si="166"/>
        <v>Up</v>
      </c>
      <c r="S735" s="7" t="str">
        <f t="shared" si="167"/>
        <v>Hold</v>
      </c>
      <c r="T735" s="8">
        <f t="shared" si="168"/>
        <v>0.19488853211009166</v>
      </c>
      <c r="U735" s="18">
        <f t="shared" si="169"/>
        <v>1874427</v>
      </c>
      <c r="V735" s="7">
        <f t="shared" si="170"/>
        <v>5586.2002000000002</v>
      </c>
      <c r="W735" s="7">
        <f t="shared" si="171"/>
        <v>2295</v>
      </c>
      <c r="X735" s="7">
        <f t="shared" si="172"/>
        <v>2309.3998999999999</v>
      </c>
      <c r="Y735" s="7">
        <f t="shared" si="173"/>
        <v>179</v>
      </c>
      <c r="Z735" s="7">
        <f t="shared" si="174"/>
        <v>528141</v>
      </c>
      <c r="AA735" s="7" t="str">
        <f t="shared" si="175"/>
        <v>13-Jun-2024</v>
      </c>
      <c r="AB735" s="7">
        <f t="shared" si="176"/>
        <v>2309.3998999999999</v>
      </c>
      <c r="AC735" s="7">
        <f t="shared" si="180"/>
        <v>1</v>
      </c>
      <c r="AD735" s="7">
        <f t="shared" si="177"/>
        <v>2024</v>
      </c>
      <c r="AE735" s="19">
        <f t="shared" si="178"/>
        <v>-0.24</v>
      </c>
      <c r="BA735" s="10">
        <f t="shared" si="179"/>
        <v>26.997800000000002</v>
      </c>
    </row>
    <row r="736" spans="1:53" x14ac:dyDescent="0.3">
      <c r="A736" s="17">
        <v>45457</v>
      </c>
      <c r="B736" s="8">
        <v>2331.3998999999999</v>
      </c>
      <c r="C736" s="7">
        <v>2331.3998999999999</v>
      </c>
      <c r="D736" s="7">
        <v>2305.8000000000002</v>
      </c>
      <c r="E736" s="7">
        <v>2307</v>
      </c>
      <c r="F736" s="18">
        <v>948</v>
      </c>
      <c r="G736" s="7">
        <v>2322.4</v>
      </c>
      <c r="H736" s="7">
        <v>2345.0967000000001</v>
      </c>
      <c r="I736" s="7">
        <v>2241.6756</v>
      </c>
      <c r="J736" s="8">
        <v>-0.10390000000000001</v>
      </c>
      <c r="K736" s="7">
        <v>1.6972</v>
      </c>
      <c r="L736" s="7">
        <v>1.1755</v>
      </c>
      <c r="M736" s="8">
        <v>43.211300000000001</v>
      </c>
      <c r="N736" s="8">
        <v>-7.4306999999999999</v>
      </c>
      <c r="O736" s="7">
        <v>-0.29770000000000002</v>
      </c>
      <c r="P736" s="7">
        <v>2428.0005999999998</v>
      </c>
      <c r="Q736" s="7">
        <v>2268.8793999999998</v>
      </c>
      <c r="R736" s="7" t="str">
        <f t="shared" si="166"/>
        <v>Down</v>
      </c>
      <c r="S736" s="7" t="str">
        <f t="shared" si="167"/>
        <v>Hold</v>
      </c>
      <c r="T736" s="8">
        <f t="shared" si="168"/>
        <v>0.1958827586206896</v>
      </c>
      <c r="U736" s="18">
        <f t="shared" si="169"/>
        <v>1874129</v>
      </c>
      <c r="V736" s="7">
        <f t="shared" si="170"/>
        <v>5586.2002000000002</v>
      </c>
      <c r="W736" s="7">
        <f t="shared" si="171"/>
        <v>2295</v>
      </c>
      <c r="X736" s="7">
        <f t="shared" si="172"/>
        <v>2307</v>
      </c>
      <c r="Y736" s="7">
        <f t="shared" si="173"/>
        <v>178</v>
      </c>
      <c r="Z736" s="7">
        <f t="shared" si="174"/>
        <v>527843</v>
      </c>
      <c r="AA736" s="7" t="str">
        <f t="shared" si="175"/>
        <v>14-Jun-2024</v>
      </c>
      <c r="AB736" s="7">
        <f t="shared" si="176"/>
        <v>2307</v>
      </c>
      <c r="AC736" s="7">
        <f t="shared" si="180"/>
        <v>1</v>
      </c>
      <c r="AD736" s="7">
        <f t="shared" si="177"/>
        <v>2024</v>
      </c>
      <c r="AE736" s="19">
        <f t="shared" si="178"/>
        <v>-0.1</v>
      </c>
      <c r="BA736" s="10">
        <f t="shared" si="179"/>
        <v>26.997800000000002</v>
      </c>
    </row>
    <row r="737" spans="1:53" x14ac:dyDescent="0.3">
      <c r="A737" s="17">
        <v>45460</v>
      </c>
      <c r="B737" s="8">
        <v>2312.3998999999999</v>
      </c>
      <c r="C737" s="7">
        <v>2320.1999999999998</v>
      </c>
      <c r="D737" s="7">
        <v>2309.6001000000001</v>
      </c>
      <c r="E737" s="7">
        <v>2320.1999999999998</v>
      </c>
      <c r="F737" s="18">
        <v>110</v>
      </c>
      <c r="G737" s="7">
        <v>2317.4285</v>
      </c>
      <c r="H737" s="7">
        <v>2345.77</v>
      </c>
      <c r="I737" s="7">
        <v>2244.8688999999999</v>
      </c>
      <c r="J737" s="8">
        <v>0.57220000000000004</v>
      </c>
      <c r="K737" s="7">
        <v>1.6277999999999999</v>
      </c>
      <c r="L737" s="7">
        <v>1.167</v>
      </c>
      <c r="M737" s="8">
        <v>46.904000000000003</v>
      </c>
      <c r="N737" s="8">
        <v>-7.3585000000000003</v>
      </c>
      <c r="O737" s="7">
        <v>-1.7099</v>
      </c>
      <c r="P737" s="7">
        <v>2424.4097000000002</v>
      </c>
      <c r="Q737" s="7">
        <v>2266.4203000000002</v>
      </c>
      <c r="R737" s="7" t="str">
        <f t="shared" si="166"/>
        <v>Up</v>
      </c>
      <c r="S737" s="7" t="str">
        <f t="shared" si="167"/>
        <v>Hold</v>
      </c>
      <c r="T737" s="8">
        <f t="shared" si="168"/>
        <v>0.19657350230414736</v>
      </c>
      <c r="U737" s="18">
        <f t="shared" si="169"/>
        <v>1873181</v>
      </c>
      <c r="V737" s="7">
        <f t="shared" si="170"/>
        <v>5586.2002000000002</v>
      </c>
      <c r="W737" s="7">
        <f t="shared" si="171"/>
        <v>2295</v>
      </c>
      <c r="X737" s="7">
        <f t="shared" si="172"/>
        <v>2320.1999999999998</v>
      </c>
      <c r="Y737" s="7">
        <f t="shared" si="173"/>
        <v>178</v>
      </c>
      <c r="Z737" s="7">
        <f t="shared" si="174"/>
        <v>527843</v>
      </c>
      <c r="AA737" s="7" t="str">
        <f t="shared" si="175"/>
        <v>17-Jun-2024</v>
      </c>
      <c r="AB737" s="7">
        <f t="shared" si="176"/>
        <v>2320.1999999999998</v>
      </c>
      <c r="AC737" s="7">
        <f t="shared" si="180"/>
        <v>1</v>
      </c>
      <c r="AD737" s="7">
        <f t="shared" si="177"/>
        <v>2024</v>
      </c>
      <c r="AE737" s="19">
        <f t="shared" si="178"/>
        <v>0.56999999999999995</v>
      </c>
      <c r="BA737" s="10">
        <f t="shared" si="179"/>
        <v>26.997800000000002</v>
      </c>
    </row>
    <row r="738" spans="1:53" x14ac:dyDescent="0.3">
      <c r="A738" s="17">
        <v>45461</v>
      </c>
      <c r="B738" s="8">
        <v>2330.3998999999999</v>
      </c>
      <c r="C738" s="7">
        <v>2330.3998999999999</v>
      </c>
      <c r="D738" s="7">
        <v>2311.8000000000002</v>
      </c>
      <c r="E738" s="7">
        <v>2311.8000000000002</v>
      </c>
      <c r="F738" s="18">
        <v>43</v>
      </c>
      <c r="G738" s="7">
        <v>2307.6999999999998</v>
      </c>
      <c r="H738" s="7">
        <v>2345.4032999999999</v>
      </c>
      <c r="I738" s="7">
        <v>2248.0221999999999</v>
      </c>
      <c r="J738" s="8">
        <v>-0.36199999999999999</v>
      </c>
      <c r="K738" s="7">
        <v>1.5304</v>
      </c>
      <c r="L738" s="7">
        <v>1.1549</v>
      </c>
      <c r="M738" s="8">
        <v>44.8125</v>
      </c>
      <c r="N738" s="8">
        <v>-7.8882000000000003</v>
      </c>
      <c r="O738" s="7">
        <v>-2.9455</v>
      </c>
      <c r="P738" s="7">
        <v>2413.1617999999999</v>
      </c>
      <c r="Q738" s="7">
        <v>2267.2682</v>
      </c>
      <c r="R738" s="7" t="str">
        <f t="shared" si="166"/>
        <v>Down</v>
      </c>
      <c r="S738" s="7" t="str">
        <f t="shared" si="167"/>
        <v>Hold</v>
      </c>
      <c r="T738" s="8">
        <f t="shared" si="168"/>
        <v>0.19570600461893753</v>
      </c>
      <c r="U738" s="18">
        <f t="shared" si="169"/>
        <v>1873071</v>
      </c>
      <c r="V738" s="7">
        <f t="shared" si="170"/>
        <v>5586.2002000000002</v>
      </c>
      <c r="W738" s="7">
        <f t="shared" si="171"/>
        <v>2295</v>
      </c>
      <c r="X738" s="7">
        <f t="shared" si="172"/>
        <v>2311.8000000000002</v>
      </c>
      <c r="Y738" s="7">
        <f t="shared" si="173"/>
        <v>177</v>
      </c>
      <c r="Z738" s="7">
        <f t="shared" si="174"/>
        <v>527733</v>
      </c>
      <c r="AA738" s="7" t="str">
        <f t="shared" si="175"/>
        <v>18-Jun-2024</v>
      </c>
      <c r="AB738" s="7">
        <f t="shared" si="176"/>
        <v>2311.8000000000002</v>
      </c>
      <c r="AC738" s="7">
        <f t="shared" si="180"/>
        <v>1</v>
      </c>
      <c r="AD738" s="7">
        <f t="shared" si="177"/>
        <v>2024</v>
      </c>
      <c r="AE738" s="19">
        <f t="shared" si="178"/>
        <v>-0.36</v>
      </c>
      <c r="BA738" s="10">
        <f t="shared" si="179"/>
        <v>26.997800000000002</v>
      </c>
    </row>
    <row r="739" spans="1:53" x14ac:dyDescent="0.3">
      <c r="A739" s="17">
        <v>45463</v>
      </c>
      <c r="B739" s="8">
        <v>2353.8000000000002</v>
      </c>
      <c r="C739" s="7">
        <v>2354</v>
      </c>
      <c r="D739" s="7">
        <v>2328.3000000000002</v>
      </c>
      <c r="E739" s="7">
        <v>2328.8998999999999</v>
      </c>
      <c r="F739" s="18">
        <v>183</v>
      </c>
      <c r="G739" s="7">
        <v>2313.1714000000002</v>
      </c>
      <c r="H739" s="7">
        <v>2345.5567000000001</v>
      </c>
      <c r="I739" s="7">
        <v>2251.3211000000001</v>
      </c>
      <c r="J739" s="8">
        <v>0.73970000000000002</v>
      </c>
      <c r="K739" s="7">
        <v>0.45900000000000002</v>
      </c>
      <c r="L739" s="7">
        <v>1.1629</v>
      </c>
      <c r="M739" s="8">
        <v>48.613</v>
      </c>
      <c r="N739" s="8">
        <v>-6.8491999999999997</v>
      </c>
      <c r="O739" s="7">
        <v>-3.7263000000000002</v>
      </c>
      <c r="P739" s="7">
        <v>2394.8791000000001</v>
      </c>
      <c r="Q739" s="7">
        <v>2275.4908999999998</v>
      </c>
      <c r="R739" s="7" t="str">
        <f t="shared" si="166"/>
        <v>Down</v>
      </c>
      <c r="S739" s="7" t="str">
        <f t="shared" si="167"/>
        <v>Hold</v>
      </c>
      <c r="T739" s="8">
        <f t="shared" si="168"/>
        <v>0.19699699074074067</v>
      </c>
      <c r="U739" s="18">
        <f t="shared" si="169"/>
        <v>1873028</v>
      </c>
      <c r="V739" s="7">
        <f t="shared" si="170"/>
        <v>5586.2002000000002</v>
      </c>
      <c r="W739" s="7">
        <f t="shared" si="171"/>
        <v>2295</v>
      </c>
      <c r="X739" s="7">
        <f t="shared" si="172"/>
        <v>2328.8998999999999</v>
      </c>
      <c r="Y739" s="7">
        <f t="shared" si="173"/>
        <v>177</v>
      </c>
      <c r="Z739" s="7">
        <f t="shared" si="174"/>
        <v>527733</v>
      </c>
      <c r="AA739" s="7" t="str">
        <f t="shared" si="175"/>
        <v>20-Jun-2024</v>
      </c>
      <c r="AB739" s="7">
        <f t="shared" si="176"/>
        <v>2328.8998999999999</v>
      </c>
      <c r="AC739" s="7">
        <f t="shared" si="180"/>
        <v>1</v>
      </c>
      <c r="AD739" s="7">
        <f t="shared" si="177"/>
        <v>2024</v>
      </c>
      <c r="AE739" s="19">
        <f t="shared" si="178"/>
        <v>0.74</v>
      </c>
      <c r="BA739" s="10">
        <f t="shared" si="179"/>
        <v>26.997800000000002</v>
      </c>
    </row>
    <row r="740" spans="1:53" x14ac:dyDescent="0.3">
      <c r="A740" s="17">
        <v>45464</v>
      </c>
      <c r="B740" s="8">
        <v>2316.3998999999999</v>
      </c>
      <c r="C740" s="7">
        <v>2331.1999999999998</v>
      </c>
      <c r="D740" s="7">
        <v>2316.3998999999999</v>
      </c>
      <c r="E740" s="7">
        <v>2331.1999999999998</v>
      </c>
      <c r="F740" s="18">
        <v>76</v>
      </c>
      <c r="G740" s="7">
        <v>2317.6284999999998</v>
      </c>
      <c r="H740" s="7">
        <v>2346.1433000000002</v>
      </c>
      <c r="I740" s="7">
        <v>2254.7177999999999</v>
      </c>
      <c r="J740" s="8">
        <v>9.8799999999999999E-2</v>
      </c>
      <c r="K740" s="7">
        <v>0.4546</v>
      </c>
      <c r="L740" s="7">
        <v>1.1596</v>
      </c>
      <c r="M740" s="8">
        <v>47.724800000000002</v>
      </c>
      <c r="N740" s="8">
        <v>-5.7736000000000001</v>
      </c>
      <c r="O740" s="7">
        <v>-4.1356999999999999</v>
      </c>
      <c r="P740" s="7">
        <v>2376.2775999999999</v>
      </c>
      <c r="Q740" s="7">
        <v>2285.4623000000001</v>
      </c>
      <c r="R740" s="7" t="str">
        <f t="shared" si="166"/>
        <v>Up</v>
      </c>
      <c r="S740" s="7" t="str">
        <f t="shared" si="167"/>
        <v>Hold</v>
      </c>
      <c r="T740" s="8">
        <f t="shared" si="168"/>
        <v>0.1957378190255219</v>
      </c>
      <c r="U740" s="18">
        <f t="shared" si="169"/>
        <v>1872845</v>
      </c>
      <c r="V740" s="7">
        <f t="shared" si="170"/>
        <v>5586.2002000000002</v>
      </c>
      <c r="W740" s="7">
        <f t="shared" si="171"/>
        <v>2295</v>
      </c>
      <c r="X740" s="7">
        <f t="shared" si="172"/>
        <v>2331.1999999999998</v>
      </c>
      <c r="Y740" s="7">
        <f t="shared" si="173"/>
        <v>177</v>
      </c>
      <c r="Z740" s="7">
        <f t="shared" si="174"/>
        <v>527733</v>
      </c>
      <c r="AA740" s="7" t="str">
        <f t="shared" si="175"/>
        <v>21-Jun-2024</v>
      </c>
      <c r="AB740" s="7">
        <f t="shared" si="176"/>
        <v>2331.1999999999998</v>
      </c>
      <c r="AC740" s="7">
        <f t="shared" si="180"/>
        <v>1</v>
      </c>
      <c r="AD740" s="7">
        <f t="shared" si="177"/>
        <v>2024</v>
      </c>
      <c r="AE740" s="19">
        <f t="shared" si="178"/>
        <v>0.1</v>
      </c>
      <c r="BA740" s="10">
        <f t="shared" si="179"/>
        <v>26.997800000000002</v>
      </c>
    </row>
    <row r="741" spans="1:53" x14ac:dyDescent="0.3">
      <c r="A741" s="17">
        <v>45467</v>
      </c>
      <c r="B741" s="8">
        <v>2330</v>
      </c>
      <c r="C741" s="7">
        <v>2332.8998999999999</v>
      </c>
      <c r="D741" s="7">
        <v>2322.6999999999998</v>
      </c>
      <c r="E741" s="7">
        <v>2323.3000000000002</v>
      </c>
      <c r="F741" s="18">
        <v>99</v>
      </c>
      <c r="G741" s="7">
        <v>2318.8285000000001</v>
      </c>
      <c r="H741" s="7">
        <v>2346.5632999999998</v>
      </c>
      <c r="I741" s="7">
        <v>2258.0311000000002</v>
      </c>
      <c r="J741" s="8">
        <v>-0.33889999999999998</v>
      </c>
      <c r="K741" s="7">
        <v>0.44309999999999999</v>
      </c>
      <c r="L741" s="7">
        <v>1.1612</v>
      </c>
      <c r="M741" s="8">
        <v>50.1297</v>
      </c>
      <c r="N741" s="8">
        <v>-5.4953000000000003</v>
      </c>
      <c r="O741" s="7">
        <v>-4.4077000000000002</v>
      </c>
      <c r="P741" s="7">
        <v>2369.7950000000001</v>
      </c>
      <c r="Q741" s="7">
        <v>2287.1550000000002</v>
      </c>
      <c r="R741" s="7" t="str">
        <f t="shared" si="166"/>
        <v>Down</v>
      </c>
      <c r="S741" s="7" t="str">
        <f t="shared" si="167"/>
        <v>Hold</v>
      </c>
      <c r="T741" s="8">
        <f t="shared" si="168"/>
        <v>0.19596325581395341</v>
      </c>
      <c r="U741" s="18">
        <f t="shared" si="169"/>
        <v>1872769</v>
      </c>
      <c r="V741" s="7">
        <f t="shared" si="170"/>
        <v>5586.2002000000002</v>
      </c>
      <c r="W741" s="7">
        <f t="shared" si="171"/>
        <v>2295</v>
      </c>
      <c r="X741" s="7">
        <f t="shared" si="172"/>
        <v>2323.3000000000002</v>
      </c>
      <c r="Y741" s="7">
        <f t="shared" si="173"/>
        <v>176</v>
      </c>
      <c r="Z741" s="7">
        <f t="shared" si="174"/>
        <v>527657</v>
      </c>
      <c r="AA741" s="7" t="str">
        <f t="shared" si="175"/>
        <v>24-Jun-2024</v>
      </c>
      <c r="AB741" s="7">
        <f t="shared" si="176"/>
        <v>2323.3000000000002</v>
      </c>
      <c r="AC741" s="7">
        <f t="shared" si="180"/>
        <v>1</v>
      </c>
      <c r="AD741" s="7">
        <f t="shared" si="177"/>
        <v>2024</v>
      </c>
      <c r="AE741" s="19">
        <f t="shared" si="178"/>
        <v>-0.34</v>
      </c>
      <c r="BA741" s="10">
        <f t="shared" si="179"/>
        <v>26.997800000000002</v>
      </c>
    </row>
    <row r="742" spans="1:53" x14ac:dyDescent="0.3">
      <c r="A742" s="17">
        <v>45468</v>
      </c>
      <c r="B742" s="8">
        <v>2316.6001000000001</v>
      </c>
      <c r="C742" s="7">
        <v>2333</v>
      </c>
      <c r="D742" s="7">
        <v>2316.6001000000001</v>
      </c>
      <c r="E742" s="7">
        <v>2324.3998999999999</v>
      </c>
      <c r="F742" s="18">
        <v>105</v>
      </c>
      <c r="G742" s="7">
        <v>2320.9713999999999</v>
      </c>
      <c r="H742" s="7">
        <v>2345.1333</v>
      </c>
      <c r="I742" s="7">
        <v>2261.7433000000001</v>
      </c>
      <c r="J742" s="8">
        <v>4.7300000000000002E-2</v>
      </c>
      <c r="K742" s="7">
        <v>0.42470000000000002</v>
      </c>
      <c r="L742" s="7">
        <v>1.0672999999999999</v>
      </c>
      <c r="M742" s="8">
        <v>45.306699999999999</v>
      </c>
      <c r="N742" s="8">
        <v>-5.1269</v>
      </c>
      <c r="O742" s="7">
        <v>-4.5514999999999999</v>
      </c>
      <c r="P742" s="7">
        <v>2368.3737000000001</v>
      </c>
      <c r="Q742" s="7">
        <v>2286.7563</v>
      </c>
      <c r="R742" s="7" t="str">
        <f t="shared" si="166"/>
        <v>Up</v>
      </c>
      <c r="S742" s="7" t="str">
        <f t="shared" si="167"/>
        <v>Hold</v>
      </c>
      <c r="T742" s="8">
        <f t="shared" si="168"/>
        <v>0.19721002331002321</v>
      </c>
      <c r="U742" s="18">
        <f t="shared" si="169"/>
        <v>1872670</v>
      </c>
      <c r="V742" s="7">
        <f t="shared" si="170"/>
        <v>5586.2002000000002</v>
      </c>
      <c r="W742" s="7">
        <f t="shared" si="171"/>
        <v>2295</v>
      </c>
      <c r="X742" s="7">
        <f t="shared" si="172"/>
        <v>2324.3998999999999</v>
      </c>
      <c r="Y742" s="7">
        <f t="shared" si="173"/>
        <v>176</v>
      </c>
      <c r="Z742" s="7">
        <f t="shared" si="174"/>
        <v>527657</v>
      </c>
      <c r="AA742" s="7" t="str">
        <f t="shared" si="175"/>
        <v>25-Jun-2024</v>
      </c>
      <c r="AB742" s="7">
        <f t="shared" si="176"/>
        <v>2324.3998999999999</v>
      </c>
      <c r="AC742" s="7">
        <f t="shared" si="180"/>
        <v>1</v>
      </c>
      <c r="AD742" s="7">
        <f t="shared" si="177"/>
        <v>2024</v>
      </c>
      <c r="AE742" s="19">
        <f t="shared" si="178"/>
        <v>0.05</v>
      </c>
      <c r="BA742" s="10">
        <f t="shared" si="179"/>
        <v>26.997800000000002</v>
      </c>
    </row>
    <row r="743" spans="1:53" x14ac:dyDescent="0.3">
      <c r="A743" s="17">
        <v>45469</v>
      </c>
      <c r="B743" s="8">
        <v>2299.1999999999998</v>
      </c>
      <c r="C743" s="7">
        <v>2314.3998999999999</v>
      </c>
      <c r="D743" s="7">
        <v>2298</v>
      </c>
      <c r="E743" s="7">
        <v>2307.8998999999999</v>
      </c>
      <c r="F743" s="18">
        <v>986</v>
      </c>
      <c r="G743" s="7">
        <v>2321.1</v>
      </c>
      <c r="H743" s="7">
        <v>2343.4533000000001</v>
      </c>
      <c r="I743" s="7">
        <v>2265.2356</v>
      </c>
      <c r="J743" s="8">
        <v>-0.70989999999999998</v>
      </c>
      <c r="K743" s="7">
        <v>0.5222</v>
      </c>
      <c r="L743" s="7">
        <v>1.0724</v>
      </c>
      <c r="M743" s="8">
        <v>46.169800000000002</v>
      </c>
      <c r="N743" s="8">
        <v>-6.0960999999999999</v>
      </c>
      <c r="O743" s="7">
        <v>-4.8604000000000003</v>
      </c>
      <c r="P743" s="7">
        <v>2367.5826000000002</v>
      </c>
      <c r="Q743" s="7">
        <v>2284.6473000000001</v>
      </c>
      <c r="R743" s="7" t="str">
        <f t="shared" si="166"/>
        <v>Up</v>
      </c>
      <c r="S743" s="7" t="str">
        <f t="shared" si="167"/>
        <v>Hold</v>
      </c>
      <c r="T743" s="8">
        <f t="shared" si="168"/>
        <v>0.19756028037383166</v>
      </c>
      <c r="U743" s="18">
        <f t="shared" si="169"/>
        <v>1872565</v>
      </c>
      <c r="V743" s="7">
        <f t="shared" si="170"/>
        <v>5586.2002000000002</v>
      </c>
      <c r="W743" s="7">
        <f t="shared" si="171"/>
        <v>2295</v>
      </c>
      <c r="X743" s="7">
        <f t="shared" si="172"/>
        <v>2307.8998999999999</v>
      </c>
      <c r="Y743" s="7">
        <f t="shared" si="173"/>
        <v>175</v>
      </c>
      <c r="Z743" s="7">
        <f t="shared" si="174"/>
        <v>527552</v>
      </c>
      <c r="AA743" s="7" t="str">
        <f t="shared" si="175"/>
        <v>26-Jun-2024</v>
      </c>
      <c r="AB743" s="7">
        <f t="shared" si="176"/>
        <v>2307.8998999999999</v>
      </c>
      <c r="AC743" s="7">
        <f t="shared" si="180"/>
        <v>1</v>
      </c>
      <c r="AD743" s="7">
        <f t="shared" si="177"/>
        <v>2024</v>
      </c>
      <c r="AE743" s="19">
        <f t="shared" si="178"/>
        <v>-0.71</v>
      </c>
      <c r="BA743" s="10">
        <f t="shared" si="179"/>
        <v>26.997800000000002</v>
      </c>
    </row>
    <row r="744" spans="1:53" x14ac:dyDescent="0.3">
      <c r="A744" s="17">
        <v>45470</v>
      </c>
      <c r="B744" s="8">
        <v>2324.5</v>
      </c>
      <c r="C744" s="7">
        <v>2329</v>
      </c>
      <c r="D744" s="7">
        <v>2295</v>
      </c>
      <c r="E744" s="7">
        <v>2296.8000000000002</v>
      </c>
      <c r="F744" s="18">
        <v>1532</v>
      </c>
      <c r="G744" s="7">
        <v>2317.7570999999998</v>
      </c>
      <c r="H744" s="7">
        <v>2342.1466999999998</v>
      </c>
      <c r="I744" s="7">
        <v>2268.4778000000001</v>
      </c>
      <c r="J744" s="8">
        <v>-0.48099999999999998</v>
      </c>
      <c r="K744" s="7">
        <v>0.48230000000000001</v>
      </c>
      <c r="L744" s="7">
        <v>1.0626</v>
      </c>
      <c r="M744" s="8">
        <v>37.008899999999997</v>
      </c>
      <c r="N744" s="8">
        <v>-7.6714000000000002</v>
      </c>
      <c r="O744" s="7">
        <v>-5.4226000000000001</v>
      </c>
      <c r="P744" s="7">
        <v>2366.8143</v>
      </c>
      <c r="Q744" s="7">
        <v>2281.0657000000001</v>
      </c>
      <c r="R744" s="7" t="str">
        <f t="shared" si="166"/>
        <v>Down</v>
      </c>
      <c r="S744" s="7" t="str">
        <f t="shared" si="167"/>
        <v>Hold</v>
      </c>
      <c r="T744" s="8">
        <f t="shared" si="168"/>
        <v>0.19968548009367676</v>
      </c>
      <c r="U744" s="18">
        <f t="shared" si="169"/>
        <v>1871579</v>
      </c>
      <c r="V744" s="7">
        <f t="shared" si="170"/>
        <v>5586.2002000000002</v>
      </c>
      <c r="W744" s="7">
        <f t="shared" si="171"/>
        <v>2295</v>
      </c>
      <c r="X744" s="7">
        <f t="shared" si="172"/>
        <v>2296.8000000000002</v>
      </c>
      <c r="Y744" s="7">
        <f t="shared" si="173"/>
        <v>174</v>
      </c>
      <c r="Z744" s="7">
        <f t="shared" si="174"/>
        <v>526566</v>
      </c>
      <c r="AA744" s="7" t="str">
        <f t="shared" si="175"/>
        <v>27-Jun-2024</v>
      </c>
      <c r="AB744" s="7">
        <f t="shared" si="176"/>
        <v>2296.8000000000002</v>
      </c>
      <c r="AC744" s="7">
        <f t="shared" si="180"/>
        <v>1</v>
      </c>
      <c r="AD744" s="7">
        <f t="shared" si="177"/>
        <v>2024</v>
      </c>
      <c r="AE744" s="19">
        <f t="shared" si="178"/>
        <v>-0.48</v>
      </c>
      <c r="BA744" s="10">
        <f t="shared" si="179"/>
        <v>26.997800000000002</v>
      </c>
    </row>
    <row r="745" spans="1:53" x14ac:dyDescent="0.3">
      <c r="A745" s="17">
        <v>45471</v>
      </c>
      <c r="B745" s="8">
        <v>2327.6999999999998</v>
      </c>
      <c r="C745" s="7">
        <v>2338.3000000000002</v>
      </c>
      <c r="D745" s="7">
        <v>2319</v>
      </c>
      <c r="E745" s="7">
        <v>2325.3998999999999</v>
      </c>
      <c r="F745" s="18">
        <v>92</v>
      </c>
      <c r="G745" s="7">
        <v>2319.6999999999998</v>
      </c>
      <c r="H745" s="7">
        <v>2340.94</v>
      </c>
      <c r="I745" s="7">
        <v>2271.92</v>
      </c>
      <c r="J745" s="8">
        <v>1.2452000000000001</v>
      </c>
      <c r="K745" s="7">
        <v>0.69620000000000004</v>
      </c>
      <c r="L745" s="7">
        <v>1.0685</v>
      </c>
      <c r="M745" s="8">
        <v>38.032400000000003</v>
      </c>
      <c r="N745" s="8">
        <v>-6.5368000000000004</v>
      </c>
      <c r="O745" s="7">
        <v>-5.6455000000000002</v>
      </c>
      <c r="P745" s="7">
        <v>2365.8137999999999</v>
      </c>
      <c r="Q745" s="7">
        <v>2280.9162000000001</v>
      </c>
      <c r="R745" s="7" t="str">
        <f t="shared" si="166"/>
        <v>Down</v>
      </c>
      <c r="S745" s="7" t="str">
        <f t="shared" si="167"/>
        <v>Hold</v>
      </c>
      <c r="T745" s="8">
        <f t="shared" si="168"/>
        <v>0.20128333333333329</v>
      </c>
      <c r="U745" s="18">
        <f t="shared" si="169"/>
        <v>1870047</v>
      </c>
      <c r="V745" s="7">
        <f t="shared" si="170"/>
        <v>5586.2002000000002</v>
      </c>
      <c r="W745" s="7">
        <f t="shared" si="171"/>
        <v>2319</v>
      </c>
      <c r="X745" s="7">
        <f t="shared" si="172"/>
        <v>2325.3998999999999</v>
      </c>
      <c r="Y745" s="7">
        <f t="shared" si="173"/>
        <v>174</v>
      </c>
      <c r="Z745" s="7">
        <f t="shared" si="174"/>
        <v>526566</v>
      </c>
      <c r="AA745" s="7" t="str">
        <f t="shared" si="175"/>
        <v>28-Jun-2024</v>
      </c>
      <c r="AB745" s="7">
        <f t="shared" si="176"/>
        <v>2325.3998999999999</v>
      </c>
      <c r="AC745" s="7">
        <f t="shared" si="180"/>
        <v>1</v>
      </c>
      <c r="AD745" s="7">
        <f t="shared" si="177"/>
        <v>2024</v>
      </c>
      <c r="AE745" s="19">
        <f t="shared" si="178"/>
        <v>1.25</v>
      </c>
      <c r="BA745" s="10">
        <f t="shared" si="179"/>
        <v>26.997800000000002</v>
      </c>
    </row>
    <row r="746" spans="1:53" x14ac:dyDescent="0.3">
      <c r="A746" s="17">
        <v>45474</v>
      </c>
      <c r="B746" s="8">
        <v>2327.6001000000001</v>
      </c>
      <c r="C746" s="7">
        <v>2329.6999999999998</v>
      </c>
      <c r="D746" s="7">
        <v>2321.6999999999998</v>
      </c>
      <c r="E746" s="7">
        <v>2323.8000000000002</v>
      </c>
      <c r="F746" s="18">
        <v>237</v>
      </c>
      <c r="G746" s="7">
        <v>2318.9713999999999</v>
      </c>
      <c r="H746" s="7">
        <v>2338.75</v>
      </c>
      <c r="I746" s="7">
        <v>2275.2044000000001</v>
      </c>
      <c r="J746" s="8">
        <v>-6.88E-2</v>
      </c>
      <c r="K746" s="7">
        <v>0.63390000000000002</v>
      </c>
      <c r="L746" s="7">
        <v>1.0429999999999999</v>
      </c>
      <c r="M746" s="8">
        <v>61.857199999999999</v>
      </c>
      <c r="N746" s="8">
        <v>-5.7008999999999999</v>
      </c>
      <c r="O746" s="7">
        <v>-5.6565000000000003</v>
      </c>
      <c r="P746" s="7">
        <v>2363.6669000000002</v>
      </c>
      <c r="Q746" s="7">
        <v>2281.0329999999999</v>
      </c>
      <c r="R746" s="7" t="str">
        <f t="shared" si="166"/>
        <v>Down</v>
      </c>
      <c r="S746" s="7" t="str">
        <f t="shared" si="167"/>
        <v>Hold</v>
      </c>
      <c r="T746" s="8">
        <f t="shared" si="168"/>
        <v>0.19882705882352933</v>
      </c>
      <c r="U746" s="18">
        <f t="shared" si="169"/>
        <v>1869955</v>
      </c>
      <c r="V746" s="7">
        <f t="shared" si="170"/>
        <v>5586.2002000000002</v>
      </c>
      <c r="W746" s="7">
        <f t="shared" si="171"/>
        <v>2321.6999999999998</v>
      </c>
      <c r="X746" s="7">
        <f t="shared" si="172"/>
        <v>2323.8000000000002</v>
      </c>
      <c r="Y746" s="7">
        <f t="shared" si="173"/>
        <v>174</v>
      </c>
      <c r="Z746" s="7">
        <f t="shared" si="174"/>
        <v>526566</v>
      </c>
      <c r="AA746" s="7" t="str">
        <f t="shared" si="175"/>
        <v>01-Jul-2024</v>
      </c>
      <c r="AB746" s="7">
        <f t="shared" si="176"/>
        <v>2323.8000000000002</v>
      </c>
      <c r="AC746" s="7">
        <f t="shared" si="180"/>
        <v>1</v>
      </c>
      <c r="AD746" s="7">
        <f t="shared" si="177"/>
        <v>2024</v>
      </c>
      <c r="AE746" s="19">
        <f t="shared" si="178"/>
        <v>-7.0000000000000007E-2</v>
      </c>
      <c r="BA746" s="10">
        <f t="shared" si="179"/>
        <v>26.997800000000002</v>
      </c>
    </row>
    <row r="747" spans="1:53" x14ac:dyDescent="0.3">
      <c r="A747" s="17">
        <v>45475</v>
      </c>
      <c r="B747" s="8">
        <v>2323</v>
      </c>
      <c r="C747" s="7">
        <v>2334.6001000000001</v>
      </c>
      <c r="D747" s="7">
        <v>2323</v>
      </c>
      <c r="E747" s="7">
        <v>2330.6999999999998</v>
      </c>
      <c r="F747" s="18">
        <v>30</v>
      </c>
      <c r="G747" s="7">
        <v>2318.9</v>
      </c>
      <c r="H747" s="7">
        <v>2337.0832999999998</v>
      </c>
      <c r="I747" s="7">
        <v>2278.5100000000002</v>
      </c>
      <c r="J747" s="8">
        <v>0.2969</v>
      </c>
      <c r="K747" s="7">
        <v>0.64490000000000003</v>
      </c>
      <c r="L747" s="7">
        <v>1.0439000000000001</v>
      </c>
      <c r="M747" s="8">
        <v>61.163699999999999</v>
      </c>
      <c r="N747" s="8">
        <v>-4.4306999999999999</v>
      </c>
      <c r="O747" s="7">
        <v>-5.4114000000000004</v>
      </c>
      <c r="P747" s="7">
        <v>2364.2406999999998</v>
      </c>
      <c r="Q747" s="7">
        <v>2281.2692999999999</v>
      </c>
      <c r="R747" s="7" t="str">
        <f t="shared" si="166"/>
        <v>Up</v>
      </c>
      <c r="S747" s="7" t="str">
        <f t="shared" si="167"/>
        <v>Hold</v>
      </c>
      <c r="T747" s="8">
        <f t="shared" si="168"/>
        <v>0.199458254716981</v>
      </c>
      <c r="U747" s="18">
        <f t="shared" si="169"/>
        <v>1869718</v>
      </c>
      <c r="V747" s="7">
        <f t="shared" si="170"/>
        <v>5586.2002000000002</v>
      </c>
      <c r="W747" s="7">
        <f t="shared" si="171"/>
        <v>2323</v>
      </c>
      <c r="X747" s="7">
        <f t="shared" si="172"/>
        <v>2330.6999999999998</v>
      </c>
      <c r="Y747" s="7">
        <f t="shared" si="173"/>
        <v>174</v>
      </c>
      <c r="Z747" s="7">
        <f t="shared" si="174"/>
        <v>526566</v>
      </c>
      <c r="AA747" s="7" t="str">
        <f t="shared" si="175"/>
        <v>02-Jul-2024</v>
      </c>
      <c r="AB747" s="7">
        <f t="shared" si="176"/>
        <v>2330.6999999999998</v>
      </c>
      <c r="AC747" s="7">
        <f t="shared" si="180"/>
        <v>1</v>
      </c>
      <c r="AD747" s="7">
        <f t="shared" si="177"/>
        <v>2024</v>
      </c>
      <c r="AE747" s="19">
        <f t="shared" si="178"/>
        <v>0.3</v>
      </c>
      <c r="BA747" s="10">
        <f t="shared" si="179"/>
        <v>26.997800000000002</v>
      </c>
    </row>
    <row r="748" spans="1:53" x14ac:dyDescent="0.3">
      <c r="A748" s="17">
        <v>45476</v>
      </c>
      <c r="B748" s="8">
        <v>2359.8000000000002</v>
      </c>
      <c r="C748" s="7">
        <v>2361.6001000000001</v>
      </c>
      <c r="D748" s="7">
        <v>2330.8998999999999</v>
      </c>
      <c r="E748" s="7">
        <v>2330.8998999999999</v>
      </c>
      <c r="F748" s="18">
        <v>59</v>
      </c>
      <c r="G748" s="7">
        <v>2319.9857000000002</v>
      </c>
      <c r="H748" s="7">
        <v>2334.2532999999999</v>
      </c>
      <c r="I748" s="7">
        <v>2281.8978000000002</v>
      </c>
      <c r="J748" s="8">
        <v>8.6E-3</v>
      </c>
      <c r="K748" s="7">
        <v>0.62780000000000002</v>
      </c>
      <c r="L748" s="7">
        <v>1.0028999999999999</v>
      </c>
      <c r="M748" s="8">
        <v>56.514699999999998</v>
      </c>
      <c r="N748" s="8">
        <v>-3.3690000000000002</v>
      </c>
      <c r="O748" s="7">
        <v>-5.0029000000000003</v>
      </c>
      <c r="P748" s="7">
        <v>2361.9652000000001</v>
      </c>
      <c r="Q748" s="7">
        <v>2281.8847000000001</v>
      </c>
      <c r="R748" s="7" t="str">
        <f t="shared" si="166"/>
        <v>Down</v>
      </c>
      <c r="S748" s="7" t="str">
        <f t="shared" si="167"/>
        <v>Hold</v>
      </c>
      <c r="T748" s="8">
        <f t="shared" si="168"/>
        <v>0.19922789598108742</v>
      </c>
      <c r="U748" s="18">
        <f t="shared" si="169"/>
        <v>1869688</v>
      </c>
      <c r="V748" s="7">
        <f t="shared" si="170"/>
        <v>5586.2002000000002</v>
      </c>
      <c r="W748" s="7">
        <f t="shared" si="171"/>
        <v>2330.8998999999999</v>
      </c>
      <c r="X748" s="7">
        <f t="shared" si="172"/>
        <v>2330.8998999999999</v>
      </c>
      <c r="Y748" s="7">
        <f t="shared" si="173"/>
        <v>173</v>
      </c>
      <c r="Z748" s="7">
        <f t="shared" si="174"/>
        <v>526536</v>
      </c>
      <c r="AA748" s="7" t="str">
        <f t="shared" si="175"/>
        <v>03-Jul-2024</v>
      </c>
      <c r="AB748" s="7">
        <f t="shared" si="176"/>
        <v>2330.8998999999999</v>
      </c>
      <c r="AC748" s="7">
        <f t="shared" si="180"/>
        <v>1</v>
      </c>
      <c r="AD748" s="7">
        <f t="shared" si="177"/>
        <v>2024</v>
      </c>
      <c r="AE748" s="19">
        <f t="shared" si="178"/>
        <v>0.01</v>
      </c>
      <c r="BA748" s="10">
        <f t="shared" si="179"/>
        <v>26.997800000000002</v>
      </c>
    </row>
    <row r="749" spans="1:53" x14ac:dyDescent="0.3">
      <c r="A749" s="17">
        <v>45478</v>
      </c>
      <c r="B749" s="8">
        <v>2388.5</v>
      </c>
      <c r="C749" s="7">
        <v>2388.5</v>
      </c>
      <c r="D749" s="7">
        <v>2354.8998999999999</v>
      </c>
      <c r="E749" s="7">
        <v>2354.8998999999999</v>
      </c>
      <c r="F749" s="18">
        <v>72</v>
      </c>
      <c r="G749" s="7">
        <v>2324.3427999999999</v>
      </c>
      <c r="H749" s="7">
        <v>2331.7665999999999</v>
      </c>
      <c r="I749" s="7">
        <v>2285.4621999999999</v>
      </c>
      <c r="J749" s="8">
        <v>1.0296000000000001</v>
      </c>
      <c r="K749" s="7">
        <v>0.72909999999999997</v>
      </c>
      <c r="L749" s="7">
        <v>1.0172000000000001</v>
      </c>
      <c r="M749" s="8">
        <v>66.1006</v>
      </c>
      <c r="N749" s="8">
        <v>-0.58430000000000004</v>
      </c>
      <c r="O749" s="7">
        <v>-4.1192000000000002</v>
      </c>
      <c r="P749" s="7">
        <v>2366.0039999999999</v>
      </c>
      <c r="Q749" s="7">
        <v>2280.6959000000002</v>
      </c>
      <c r="R749" s="7" t="str">
        <f t="shared" si="166"/>
        <v>Down</v>
      </c>
      <c r="S749" s="7" t="str">
        <f t="shared" si="167"/>
        <v>Hold</v>
      </c>
      <c r="T749" s="8">
        <f t="shared" si="168"/>
        <v>0.19967962085308053</v>
      </c>
      <c r="U749" s="18">
        <f t="shared" si="169"/>
        <v>1869629</v>
      </c>
      <c r="V749" s="7">
        <f t="shared" si="170"/>
        <v>5586.2002000000002</v>
      </c>
      <c r="W749" s="7">
        <f t="shared" si="171"/>
        <v>2351.8998999999999</v>
      </c>
      <c r="X749" s="7">
        <f t="shared" si="172"/>
        <v>2354.8998999999999</v>
      </c>
      <c r="Y749" s="7">
        <f t="shared" si="173"/>
        <v>173</v>
      </c>
      <c r="Z749" s="7">
        <f t="shared" si="174"/>
        <v>526536</v>
      </c>
      <c r="AA749" s="7" t="str">
        <f t="shared" si="175"/>
        <v>05-Jul-2024</v>
      </c>
      <c r="AB749" s="7">
        <f t="shared" si="176"/>
        <v>2354.8998999999999</v>
      </c>
      <c r="AC749" s="7">
        <f t="shared" si="180"/>
        <v>1</v>
      </c>
      <c r="AD749" s="7">
        <f t="shared" si="177"/>
        <v>2024</v>
      </c>
      <c r="AE749" s="19">
        <f t="shared" si="178"/>
        <v>1.03</v>
      </c>
      <c r="BA749" s="10">
        <f t="shared" si="179"/>
        <v>26.997800000000002</v>
      </c>
    </row>
    <row r="750" spans="1:53" x14ac:dyDescent="0.3">
      <c r="A750" s="17">
        <v>45481</v>
      </c>
      <c r="B750" s="8">
        <v>2355.1999999999998</v>
      </c>
      <c r="C750" s="7">
        <v>2383.8000000000002</v>
      </c>
      <c r="D750" s="7">
        <v>2352.8000000000002</v>
      </c>
      <c r="E750" s="7">
        <v>2381.6999999999998</v>
      </c>
      <c r="F750" s="18">
        <v>64</v>
      </c>
      <c r="G750" s="7">
        <v>2334.8856999999998</v>
      </c>
      <c r="H750" s="7">
        <v>2330.5733</v>
      </c>
      <c r="I750" s="7">
        <v>2289.3044</v>
      </c>
      <c r="J750" s="8">
        <v>1.1380999999999999</v>
      </c>
      <c r="K750" s="7">
        <v>0.68259999999999998</v>
      </c>
      <c r="L750" s="7">
        <v>1.0387</v>
      </c>
      <c r="M750" s="8">
        <v>72.540899999999993</v>
      </c>
      <c r="N750" s="8">
        <v>3.742</v>
      </c>
      <c r="O750" s="7">
        <v>-2.5468999999999999</v>
      </c>
      <c r="P750" s="7">
        <v>2372.8281000000002</v>
      </c>
      <c r="Q750" s="7">
        <v>2276.5418</v>
      </c>
      <c r="R750" s="7" t="str">
        <f t="shared" si="166"/>
        <v>Up</v>
      </c>
      <c r="S750" s="7" t="str">
        <f t="shared" si="167"/>
        <v>Sell</v>
      </c>
      <c r="T750" s="8">
        <f t="shared" si="168"/>
        <v>0.19770831353919238</v>
      </c>
      <c r="U750" s="18">
        <f t="shared" si="169"/>
        <v>1869557</v>
      </c>
      <c r="V750" s="7">
        <f t="shared" si="170"/>
        <v>5586.2002000000002</v>
      </c>
      <c r="W750" s="7">
        <f t="shared" si="171"/>
        <v>2351.8998999999999</v>
      </c>
      <c r="X750" s="7">
        <f t="shared" si="172"/>
        <v>2381.6999999999998</v>
      </c>
      <c r="Y750" s="7">
        <f t="shared" si="173"/>
        <v>173</v>
      </c>
      <c r="Z750" s="7">
        <f t="shared" si="174"/>
        <v>526536</v>
      </c>
      <c r="AA750" s="7" t="str">
        <f t="shared" si="175"/>
        <v>08-Jul-2024</v>
      </c>
      <c r="AB750" s="7">
        <f t="shared" si="176"/>
        <v>2381.6999999999998</v>
      </c>
      <c r="AC750" s="7">
        <f t="shared" si="180"/>
        <v>1</v>
      </c>
      <c r="AD750" s="7">
        <f t="shared" si="177"/>
        <v>2024</v>
      </c>
      <c r="AE750" s="19">
        <f t="shared" si="178"/>
        <v>1.1399999999999999</v>
      </c>
      <c r="BA750" s="10">
        <f t="shared" si="179"/>
        <v>26.997800000000002</v>
      </c>
    </row>
    <row r="751" spans="1:53" x14ac:dyDescent="0.3">
      <c r="A751" s="17">
        <v>45482</v>
      </c>
      <c r="B751" s="8">
        <v>2360.1001000000001</v>
      </c>
      <c r="C751" s="7">
        <v>2363.6999999999998</v>
      </c>
      <c r="D751" s="7">
        <v>2360.1001000000001</v>
      </c>
      <c r="E751" s="7">
        <v>2363.1001000000001</v>
      </c>
      <c r="F751" s="18">
        <v>9</v>
      </c>
      <c r="G751" s="7">
        <v>2344.3571000000002</v>
      </c>
      <c r="H751" s="7">
        <v>2330.3033</v>
      </c>
      <c r="I751" s="7">
        <v>2293.0111000000002</v>
      </c>
      <c r="J751" s="8">
        <v>-0.78090000000000004</v>
      </c>
      <c r="K751" s="7">
        <v>0.75639999999999996</v>
      </c>
      <c r="L751" s="7">
        <v>0.98770000000000002</v>
      </c>
      <c r="M751" s="8">
        <v>62.536700000000003</v>
      </c>
      <c r="N751" s="8">
        <v>5.6052</v>
      </c>
      <c r="O751" s="7">
        <v>-0.91649999999999998</v>
      </c>
      <c r="P751" s="7">
        <v>2368.3829999999998</v>
      </c>
      <c r="Q751" s="7">
        <v>2279.3069</v>
      </c>
      <c r="R751" s="7" t="str">
        <f t="shared" si="166"/>
        <v>Up</v>
      </c>
      <c r="S751" s="7" t="str">
        <f t="shared" si="167"/>
        <v>Hold</v>
      </c>
      <c r="T751" s="8">
        <f t="shared" si="168"/>
        <v>0.19546928571428573</v>
      </c>
      <c r="U751" s="18">
        <f t="shared" si="169"/>
        <v>1869493</v>
      </c>
      <c r="V751" s="7">
        <f t="shared" si="170"/>
        <v>5586.2002000000002</v>
      </c>
      <c r="W751" s="7">
        <f t="shared" si="171"/>
        <v>2351.8998999999999</v>
      </c>
      <c r="X751" s="7">
        <f t="shared" si="172"/>
        <v>2363.1001000000001</v>
      </c>
      <c r="Y751" s="7">
        <f t="shared" si="173"/>
        <v>172</v>
      </c>
      <c r="Z751" s="7">
        <f t="shared" si="174"/>
        <v>526472</v>
      </c>
      <c r="AA751" s="7" t="str">
        <f t="shared" si="175"/>
        <v>09-Jul-2024</v>
      </c>
      <c r="AB751" s="7">
        <f t="shared" si="176"/>
        <v>2363.1001000000001</v>
      </c>
      <c r="AC751" s="7">
        <f t="shared" si="180"/>
        <v>1</v>
      </c>
      <c r="AD751" s="7">
        <f t="shared" si="177"/>
        <v>2024</v>
      </c>
      <c r="AE751" s="19">
        <f t="shared" si="178"/>
        <v>-0.78</v>
      </c>
      <c r="BA751" s="10">
        <f t="shared" si="179"/>
        <v>26.997800000000002</v>
      </c>
    </row>
    <row r="752" spans="1:53" x14ac:dyDescent="0.3">
      <c r="A752" s="17">
        <v>45483</v>
      </c>
      <c r="B752" s="8">
        <v>2372.1999999999998</v>
      </c>
      <c r="C752" s="7">
        <v>2377</v>
      </c>
      <c r="D752" s="7">
        <v>2365.8000000000002</v>
      </c>
      <c r="E752" s="7">
        <v>2366.3000000000002</v>
      </c>
      <c r="F752" s="18">
        <v>19</v>
      </c>
      <c r="G752" s="7">
        <v>2350.1999999999998</v>
      </c>
      <c r="H752" s="7">
        <v>2331.0933</v>
      </c>
      <c r="I752" s="7">
        <v>2296.6999999999998</v>
      </c>
      <c r="J752" s="8">
        <v>0.13539999999999999</v>
      </c>
      <c r="K752" s="7">
        <v>0.66259999999999997</v>
      </c>
      <c r="L752" s="7">
        <v>0.96150000000000002</v>
      </c>
      <c r="M752" s="8">
        <v>66.425700000000006</v>
      </c>
      <c r="N752" s="8">
        <v>7.2563000000000004</v>
      </c>
      <c r="O752" s="7">
        <v>0.71809999999999996</v>
      </c>
      <c r="P752" s="7">
        <v>2373.1282999999999</v>
      </c>
      <c r="Q752" s="7">
        <v>2282.1316000000002</v>
      </c>
      <c r="R752" s="7" t="str">
        <f t="shared" si="166"/>
        <v>Down</v>
      </c>
      <c r="S752" s="7" t="str">
        <f t="shared" si="167"/>
        <v>Hold</v>
      </c>
      <c r="T752" s="8">
        <f t="shared" si="168"/>
        <v>0.19779952267303105</v>
      </c>
      <c r="U752" s="18">
        <f t="shared" si="169"/>
        <v>1869484</v>
      </c>
      <c r="V752" s="7">
        <f t="shared" si="170"/>
        <v>5586.2002000000002</v>
      </c>
      <c r="W752" s="7">
        <f t="shared" si="171"/>
        <v>2351.8998999999999</v>
      </c>
      <c r="X752" s="7">
        <f t="shared" si="172"/>
        <v>2366.3000000000002</v>
      </c>
      <c r="Y752" s="7">
        <f t="shared" si="173"/>
        <v>171</v>
      </c>
      <c r="Z752" s="7">
        <f t="shared" si="174"/>
        <v>526463</v>
      </c>
      <c r="AA752" s="7" t="str">
        <f t="shared" si="175"/>
        <v>10-Jul-2024</v>
      </c>
      <c r="AB752" s="7">
        <f t="shared" si="176"/>
        <v>2366.3000000000002</v>
      </c>
      <c r="AC752" s="7">
        <f t="shared" si="180"/>
        <v>1</v>
      </c>
      <c r="AD752" s="7">
        <f t="shared" si="177"/>
        <v>2024</v>
      </c>
      <c r="AE752" s="19">
        <f t="shared" si="178"/>
        <v>0.14000000000000001</v>
      </c>
      <c r="BA752" s="10">
        <f t="shared" si="179"/>
        <v>26.997800000000002</v>
      </c>
    </row>
    <row r="753" spans="1:53" x14ac:dyDescent="0.3">
      <c r="A753" s="17">
        <v>45484</v>
      </c>
      <c r="B753" s="8">
        <v>2415</v>
      </c>
      <c r="C753" s="7">
        <v>2416.6999999999998</v>
      </c>
      <c r="D753" s="7">
        <v>2378.6999999999998</v>
      </c>
      <c r="E753" s="7">
        <v>2378.6999999999998</v>
      </c>
      <c r="F753" s="18">
        <v>72</v>
      </c>
      <c r="G753" s="7">
        <v>2358.0428000000002</v>
      </c>
      <c r="H753" s="7">
        <v>2332.4866000000002</v>
      </c>
      <c r="I753" s="7">
        <v>2300.4288999999999</v>
      </c>
      <c r="J753" s="8">
        <v>0.52400000000000002</v>
      </c>
      <c r="K753" s="7">
        <v>0.65269999999999995</v>
      </c>
      <c r="L753" s="7">
        <v>0.96399999999999997</v>
      </c>
      <c r="M753" s="8">
        <v>65.446799999999996</v>
      </c>
      <c r="N753" s="8">
        <v>9.4564000000000004</v>
      </c>
      <c r="O753" s="7">
        <v>2.4657</v>
      </c>
      <c r="P753" s="7">
        <v>2380.4859999999999</v>
      </c>
      <c r="Q753" s="7">
        <v>2282.6439999999998</v>
      </c>
      <c r="R753" s="7" t="str">
        <f t="shared" si="166"/>
        <v>Down</v>
      </c>
      <c r="S753" s="7" t="str">
        <f t="shared" si="167"/>
        <v>Hold</v>
      </c>
      <c r="T753" s="8">
        <f t="shared" si="168"/>
        <v>0.19794880382775121</v>
      </c>
      <c r="U753" s="18">
        <f t="shared" si="169"/>
        <v>1869465</v>
      </c>
      <c r="V753" s="7">
        <f t="shared" si="170"/>
        <v>5586.2002000000002</v>
      </c>
      <c r="W753" s="7">
        <f t="shared" si="171"/>
        <v>2351.8998999999999</v>
      </c>
      <c r="X753" s="7">
        <f t="shared" si="172"/>
        <v>2378.6999999999998</v>
      </c>
      <c r="Y753" s="7">
        <f t="shared" si="173"/>
        <v>171</v>
      </c>
      <c r="Z753" s="7">
        <f t="shared" si="174"/>
        <v>526463</v>
      </c>
      <c r="AA753" s="7" t="str">
        <f t="shared" si="175"/>
        <v>11-Jul-2024</v>
      </c>
      <c r="AB753" s="7">
        <f t="shared" si="176"/>
        <v>2378.6999999999998</v>
      </c>
      <c r="AC753" s="7">
        <f t="shared" si="180"/>
        <v>1</v>
      </c>
      <c r="AD753" s="7">
        <f t="shared" si="177"/>
        <v>2024</v>
      </c>
      <c r="AE753" s="19">
        <f t="shared" si="178"/>
        <v>0.52</v>
      </c>
      <c r="BA753" s="10">
        <f t="shared" si="179"/>
        <v>26.997800000000002</v>
      </c>
    </row>
    <row r="754" spans="1:53" x14ac:dyDescent="0.3">
      <c r="A754" s="17">
        <v>45485</v>
      </c>
      <c r="B754" s="8">
        <v>2414</v>
      </c>
      <c r="C754" s="7">
        <v>2414</v>
      </c>
      <c r="D754" s="7">
        <v>2391.3000000000002</v>
      </c>
      <c r="E754" s="7">
        <v>2399.8000000000002</v>
      </c>
      <c r="F754" s="18">
        <v>355</v>
      </c>
      <c r="G754" s="7">
        <v>2367.9142999999999</v>
      </c>
      <c r="H754" s="7">
        <v>2334.4699999999998</v>
      </c>
      <c r="I754" s="7">
        <v>2303.9422</v>
      </c>
      <c r="J754" s="8">
        <v>0.88700000000000001</v>
      </c>
      <c r="K754" s="7">
        <v>0.68420000000000003</v>
      </c>
      <c r="L754" s="7">
        <v>0.97560000000000002</v>
      </c>
      <c r="M754" s="8">
        <v>69.055700000000002</v>
      </c>
      <c r="N754" s="8">
        <v>12.755599999999999</v>
      </c>
      <c r="O754" s="7">
        <v>4.5236999999999998</v>
      </c>
      <c r="P754" s="7">
        <v>2392.7233999999999</v>
      </c>
      <c r="Q754" s="7">
        <v>2278.8964999999998</v>
      </c>
      <c r="R754" s="7" t="str">
        <f t="shared" si="166"/>
        <v>Down</v>
      </c>
      <c r="S754" s="7" t="str">
        <f t="shared" si="167"/>
        <v>Hold</v>
      </c>
      <c r="T754" s="8">
        <f t="shared" si="168"/>
        <v>0.19716690647482016</v>
      </c>
      <c r="U754" s="18">
        <f t="shared" si="169"/>
        <v>1869393</v>
      </c>
      <c r="V754" s="7">
        <f t="shared" si="170"/>
        <v>5586.2002000000002</v>
      </c>
      <c r="W754" s="7">
        <f t="shared" si="171"/>
        <v>2351.8998999999999</v>
      </c>
      <c r="X754" s="7">
        <f t="shared" si="172"/>
        <v>2399.8000000000002</v>
      </c>
      <c r="Y754" s="7">
        <f t="shared" si="173"/>
        <v>171</v>
      </c>
      <c r="Z754" s="7">
        <f t="shared" si="174"/>
        <v>526463</v>
      </c>
      <c r="AA754" s="7" t="str">
        <f t="shared" si="175"/>
        <v>12-Jul-2024</v>
      </c>
      <c r="AB754" s="7">
        <f t="shared" si="176"/>
        <v>2399.8000000000002</v>
      </c>
      <c r="AC754" s="7">
        <f t="shared" si="180"/>
        <v>1</v>
      </c>
      <c r="AD754" s="7">
        <f t="shared" si="177"/>
        <v>2024</v>
      </c>
      <c r="AE754" s="19">
        <f t="shared" si="178"/>
        <v>0.89</v>
      </c>
      <c r="BA754" s="10">
        <f t="shared" si="179"/>
        <v>26.997800000000002</v>
      </c>
    </row>
    <row r="755" spans="1:53" x14ac:dyDescent="0.3">
      <c r="A755" s="17">
        <v>45488</v>
      </c>
      <c r="B755" s="8">
        <v>2422.8998999999999</v>
      </c>
      <c r="C755" s="7">
        <v>2436</v>
      </c>
      <c r="D755" s="7">
        <v>2422.8998999999999</v>
      </c>
      <c r="E755" s="7">
        <v>2430</v>
      </c>
      <c r="F755" s="18">
        <v>540</v>
      </c>
      <c r="G755" s="7">
        <v>2382.0713999999998</v>
      </c>
      <c r="H755" s="7">
        <v>2337.5733</v>
      </c>
      <c r="I755" s="7">
        <v>2307.4432999999999</v>
      </c>
      <c r="J755" s="8">
        <v>1.2584</v>
      </c>
      <c r="K755" s="7">
        <v>0.72099999999999997</v>
      </c>
      <c r="L755" s="7">
        <v>0.99739999999999995</v>
      </c>
      <c r="M755" s="8">
        <v>76.371799999999993</v>
      </c>
      <c r="N755" s="8">
        <v>17.604099999999999</v>
      </c>
      <c r="O755" s="7">
        <v>7.1398000000000001</v>
      </c>
      <c r="P755" s="7">
        <v>2411.1720999999998</v>
      </c>
      <c r="Q755" s="7">
        <v>2272.5079000000001</v>
      </c>
      <c r="R755" s="7" t="str">
        <f t="shared" si="166"/>
        <v>Up</v>
      </c>
      <c r="S755" s="7" t="str">
        <f t="shared" si="167"/>
        <v>Sell</v>
      </c>
      <c r="T755" s="8">
        <f t="shared" si="168"/>
        <v>0.19550865384615393</v>
      </c>
      <c r="U755" s="18">
        <f t="shared" si="169"/>
        <v>1869038</v>
      </c>
      <c r="V755" s="7">
        <f t="shared" si="170"/>
        <v>5586.2002000000002</v>
      </c>
      <c r="W755" s="7">
        <f t="shared" si="171"/>
        <v>2351.8998999999999</v>
      </c>
      <c r="X755" s="7">
        <f t="shared" si="172"/>
        <v>2430</v>
      </c>
      <c r="Y755" s="7">
        <f t="shared" si="173"/>
        <v>171</v>
      </c>
      <c r="Z755" s="7">
        <f t="shared" si="174"/>
        <v>526463</v>
      </c>
      <c r="AA755" s="7" t="str">
        <f t="shared" si="175"/>
        <v>15-Jul-2024</v>
      </c>
      <c r="AB755" s="7">
        <f t="shared" si="176"/>
        <v>2430</v>
      </c>
      <c r="AC755" s="7">
        <f t="shared" si="180"/>
        <v>1</v>
      </c>
      <c r="AD755" s="7">
        <f t="shared" si="177"/>
        <v>2024</v>
      </c>
      <c r="AE755" s="19">
        <f t="shared" si="178"/>
        <v>1.26</v>
      </c>
      <c r="BA755" s="10">
        <f t="shared" si="179"/>
        <v>26.997800000000002</v>
      </c>
    </row>
    <row r="756" spans="1:53" x14ac:dyDescent="0.3">
      <c r="A756" s="17">
        <v>45489</v>
      </c>
      <c r="B756" s="8">
        <v>2462.3998999999999</v>
      </c>
      <c r="C756" s="7">
        <v>2462.3998999999999</v>
      </c>
      <c r="D756" s="7">
        <v>2427.3998999999999</v>
      </c>
      <c r="E756" s="7">
        <v>2427.3998999999999</v>
      </c>
      <c r="F756" s="18">
        <v>93</v>
      </c>
      <c r="G756" s="7">
        <v>2392.4286000000002</v>
      </c>
      <c r="H756" s="7">
        <v>2340.35</v>
      </c>
      <c r="I756" s="7">
        <v>2310.7977999999998</v>
      </c>
      <c r="J756" s="8">
        <v>-0.107</v>
      </c>
      <c r="K756" s="7">
        <v>0.73560000000000003</v>
      </c>
      <c r="L756" s="7">
        <v>0.99780000000000002</v>
      </c>
      <c r="M756" s="8">
        <v>75.27</v>
      </c>
      <c r="N756" s="8">
        <v>20.994800000000001</v>
      </c>
      <c r="O756" s="7">
        <v>9.9108000000000001</v>
      </c>
      <c r="P756" s="7">
        <v>2424.9310999999998</v>
      </c>
      <c r="Q756" s="7">
        <v>2270.7887999999998</v>
      </c>
      <c r="R756" s="7" t="str">
        <f t="shared" si="166"/>
        <v>Down</v>
      </c>
      <c r="S756" s="7" t="str">
        <f t="shared" si="167"/>
        <v>Sell</v>
      </c>
      <c r="T756" s="8">
        <f t="shared" si="168"/>
        <v>0.19294746987951811</v>
      </c>
      <c r="U756" s="18">
        <f t="shared" si="169"/>
        <v>1868498</v>
      </c>
      <c r="V756" s="7">
        <f t="shared" si="170"/>
        <v>5586.2002000000002</v>
      </c>
      <c r="W756" s="7">
        <f t="shared" si="171"/>
        <v>2351.8998999999999</v>
      </c>
      <c r="X756" s="7">
        <f t="shared" si="172"/>
        <v>2427.3998999999999</v>
      </c>
      <c r="Y756" s="7">
        <f t="shared" si="173"/>
        <v>170</v>
      </c>
      <c r="Z756" s="7">
        <f t="shared" si="174"/>
        <v>525923</v>
      </c>
      <c r="AA756" s="7" t="str">
        <f t="shared" si="175"/>
        <v>16-Jul-2024</v>
      </c>
      <c r="AB756" s="7">
        <f t="shared" si="176"/>
        <v>2427.3998999999999</v>
      </c>
      <c r="AC756" s="7">
        <f t="shared" si="180"/>
        <v>1</v>
      </c>
      <c r="AD756" s="7">
        <f t="shared" si="177"/>
        <v>2024</v>
      </c>
      <c r="AE756" s="19">
        <f t="shared" si="178"/>
        <v>-0.11</v>
      </c>
      <c r="BA756" s="10">
        <f t="shared" si="179"/>
        <v>26.997800000000002</v>
      </c>
    </row>
    <row r="757" spans="1:53" x14ac:dyDescent="0.3">
      <c r="A757" s="17">
        <v>45490</v>
      </c>
      <c r="B757" s="8">
        <v>2454.8000000000002</v>
      </c>
      <c r="C757" s="7">
        <v>2473.1001000000001</v>
      </c>
      <c r="D757" s="7">
        <v>2454.8000000000002</v>
      </c>
      <c r="E757" s="7">
        <v>2472.8998999999999</v>
      </c>
      <c r="F757" s="18">
        <v>10</v>
      </c>
      <c r="G757" s="7">
        <v>2405.4571000000001</v>
      </c>
      <c r="H757" s="7">
        <v>2345.36</v>
      </c>
      <c r="I757" s="7">
        <v>2314.4189000000001</v>
      </c>
      <c r="J757" s="8">
        <v>1.8744000000000001</v>
      </c>
      <c r="K757" s="7">
        <v>0.88929999999999998</v>
      </c>
      <c r="L757" s="7">
        <v>1.0273000000000001</v>
      </c>
      <c r="M757" s="8">
        <v>85.438199999999995</v>
      </c>
      <c r="N757" s="8">
        <v>27.041699999999999</v>
      </c>
      <c r="O757" s="7">
        <v>13.337</v>
      </c>
      <c r="P757" s="7">
        <v>2449.4366</v>
      </c>
      <c r="Q757" s="7">
        <v>2261.5533999999998</v>
      </c>
      <c r="R757" s="7" t="str">
        <f t="shared" si="166"/>
        <v>Up</v>
      </c>
      <c r="S757" s="7" t="str">
        <f t="shared" si="167"/>
        <v>Sell</v>
      </c>
      <c r="T757" s="8">
        <f t="shared" si="168"/>
        <v>0.19367198067632854</v>
      </c>
      <c r="U757" s="18">
        <f t="shared" si="169"/>
        <v>1868405</v>
      </c>
      <c r="V757" s="7">
        <f t="shared" si="170"/>
        <v>5586.2002000000002</v>
      </c>
      <c r="W757" s="7">
        <f t="shared" si="171"/>
        <v>2351.8998999999999</v>
      </c>
      <c r="X757" s="7">
        <f t="shared" si="172"/>
        <v>2472.8998999999999</v>
      </c>
      <c r="Y757" s="7">
        <f t="shared" si="173"/>
        <v>170</v>
      </c>
      <c r="Z757" s="7">
        <f t="shared" si="174"/>
        <v>525923</v>
      </c>
      <c r="AA757" s="7" t="str">
        <f t="shared" si="175"/>
        <v>17-Jul-2024</v>
      </c>
      <c r="AB757" s="7">
        <f t="shared" si="176"/>
        <v>2472.8998999999999</v>
      </c>
      <c r="AC757" s="7">
        <f t="shared" si="180"/>
        <v>1</v>
      </c>
      <c r="AD757" s="7">
        <f t="shared" si="177"/>
        <v>2024</v>
      </c>
      <c r="AE757" s="19">
        <f t="shared" si="178"/>
        <v>1.87</v>
      </c>
      <c r="BA757" s="10">
        <f t="shared" si="179"/>
        <v>26.997800000000002</v>
      </c>
    </row>
    <row r="758" spans="1:53" x14ac:dyDescent="0.3">
      <c r="A758" s="17">
        <v>45491</v>
      </c>
      <c r="B758" s="8">
        <v>2451.8000000000002</v>
      </c>
      <c r="C758" s="7">
        <v>2466</v>
      </c>
      <c r="D758" s="7">
        <v>2451.8000000000002</v>
      </c>
      <c r="E758" s="7">
        <v>2466</v>
      </c>
      <c r="F758" s="18">
        <v>2</v>
      </c>
      <c r="G758" s="7">
        <v>2420.1570999999999</v>
      </c>
      <c r="H758" s="7">
        <v>2349.31</v>
      </c>
      <c r="I758" s="7">
        <v>2317.7377999999999</v>
      </c>
      <c r="J758" s="8">
        <v>-0.27900000000000003</v>
      </c>
      <c r="K758" s="7">
        <v>0.77810000000000001</v>
      </c>
      <c r="L758" s="7">
        <v>1.018</v>
      </c>
      <c r="M758" s="8">
        <v>87.007999999999996</v>
      </c>
      <c r="N758" s="8">
        <v>30.9207</v>
      </c>
      <c r="O758" s="7">
        <v>16.8537</v>
      </c>
      <c r="P758" s="7">
        <v>2466.8562999999999</v>
      </c>
      <c r="Q758" s="7">
        <v>2259.5536000000002</v>
      </c>
      <c r="R758" s="7" t="str">
        <f t="shared" si="166"/>
        <v>Up</v>
      </c>
      <c r="S758" s="7" t="str">
        <f t="shared" si="167"/>
        <v>Sell</v>
      </c>
      <c r="T758" s="8">
        <f t="shared" si="168"/>
        <v>0.18960242130750612</v>
      </c>
      <c r="U758" s="18">
        <f t="shared" si="169"/>
        <v>1868395</v>
      </c>
      <c r="V758" s="7">
        <f t="shared" si="170"/>
        <v>5586.2002000000002</v>
      </c>
      <c r="W758" s="7">
        <f t="shared" si="171"/>
        <v>2351.8998999999999</v>
      </c>
      <c r="X758" s="7">
        <f t="shared" si="172"/>
        <v>2466</v>
      </c>
      <c r="Y758" s="7">
        <f t="shared" si="173"/>
        <v>169</v>
      </c>
      <c r="Z758" s="7">
        <f t="shared" si="174"/>
        <v>525913</v>
      </c>
      <c r="AA758" s="7" t="str">
        <f t="shared" si="175"/>
        <v>18-Jul-2024</v>
      </c>
      <c r="AB758" s="7">
        <f t="shared" si="176"/>
        <v>2466</v>
      </c>
      <c r="AC758" s="7">
        <f t="shared" si="180"/>
        <v>1</v>
      </c>
      <c r="AD758" s="7">
        <f t="shared" si="177"/>
        <v>2024</v>
      </c>
      <c r="AE758" s="19">
        <f t="shared" si="178"/>
        <v>-0.28000000000000003</v>
      </c>
      <c r="BA758" s="10">
        <f t="shared" si="179"/>
        <v>26.997800000000002</v>
      </c>
    </row>
    <row r="759" spans="1:53" x14ac:dyDescent="0.3">
      <c r="A759" s="17">
        <v>45492</v>
      </c>
      <c r="B759" s="8">
        <v>2395.5</v>
      </c>
      <c r="C759" s="7">
        <v>2419.1999999999998</v>
      </c>
      <c r="D759" s="7">
        <v>2395.5</v>
      </c>
      <c r="E759" s="7">
        <v>2418.8000000000002</v>
      </c>
      <c r="F759" s="18">
        <v>15</v>
      </c>
      <c r="G759" s="7">
        <v>2427.6570999999999</v>
      </c>
      <c r="H759" s="7">
        <v>2352.39</v>
      </c>
      <c r="I759" s="7">
        <v>2320.38</v>
      </c>
      <c r="J759" s="8">
        <v>-1.9139999999999999</v>
      </c>
      <c r="K759" s="7">
        <v>1.2377</v>
      </c>
      <c r="L759" s="7">
        <v>1.0703</v>
      </c>
      <c r="M759" s="8">
        <v>68.8917</v>
      </c>
      <c r="N759" s="8">
        <v>29.842199999999998</v>
      </c>
      <c r="O759" s="7">
        <v>19.4514</v>
      </c>
      <c r="P759" s="7">
        <v>2472.8735000000001</v>
      </c>
      <c r="Q759" s="7">
        <v>2262.5264999999999</v>
      </c>
      <c r="R759" s="7" t="str">
        <f t="shared" si="166"/>
        <v>Up</v>
      </c>
      <c r="S759" s="7" t="str">
        <f t="shared" si="167"/>
        <v>Hold</v>
      </c>
      <c r="T759" s="8">
        <f t="shared" si="168"/>
        <v>0.1907398058252428</v>
      </c>
      <c r="U759" s="18">
        <f t="shared" si="169"/>
        <v>1868393</v>
      </c>
      <c r="V759" s="7">
        <f t="shared" si="170"/>
        <v>5586.2002000000002</v>
      </c>
      <c r="W759" s="7">
        <f t="shared" si="171"/>
        <v>2351.8998999999999</v>
      </c>
      <c r="X759" s="7">
        <f t="shared" si="172"/>
        <v>2418.8000000000002</v>
      </c>
      <c r="Y759" s="7">
        <f t="shared" si="173"/>
        <v>168</v>
      </c>
      <c r="Z759" s="7">
        <f t="shared" si="174"/>
        <v>525911</v>
      </c>
      <c r="AA759" s="7" t="str">
        <f t="shared" si="175"/>
        <v>19-Jul-2024</v>
      </c>
      <c r="AB759" s="7">
        <f t="shared" si="176"/>
        <v>2418.8000000000002</v>
      </c>
      <c r="AC759" s="7">
        <f t="shared" si="180"/>
        <v>1</v>
      </c>
      <c r="AD759" s="7">
        <f t="shared" si="177"/>
        <v>2024</v>
      </c>
      <c r="AE759" s="19">
        <f t="shared" si="178"/>
        <v>-1.91</v>
      </c>
      <c r="BA759" s="10">
        <f t="shared" si="179"/>
        <v>26.997800000000002</v>
      </c>
    </row>
    <row r="760" spans="1:53" x14ac:dyDescent="0.3">
      <c r="A760" s="17">
        <v>45495</v>
      </c>
      <c r="B760" s="8">
        <v>2392</v>
      </c>
      <c r="C760" s="7">
        <v>2402.1001000000001</v>
      </c>
      <c r="D760" s="7">
        <v>2392</v>
      </c>
      <c r="E760" s="7">
        <v>2402.1001000000001</v>
      </c>
      <c r="F760" s="18">
        <v>18</v>
      </c>
      <c r="G760" s="7">
        <v>2431</v>
      </c>
      <c r="H760" s="7">
        <v>2353.96</v>
      </c>
      <c r="I760" s="7">
        <v>2322.8200000000002</v>
      </c>
      <c r="J760" s="8">
        <v>-0.69040000000000001</v>
      </c>
      <c r="K760" s="7">
        <v>1.2885</v>
      </c>
      <c r="L760" s="7">
        <v>1.06</v>
      </c>
      <c r="M760" s="8">
        <v>64.925700000000006</v>
      </c>
      <c r="N760" s="8">
        <v>27.324999999999999</v>
      </c>
      <c r="O760" s="7">
        <v>21.0261</v>
      </c>
      <c r="P760" s="7">
        <v>2476.0171999999998</v>
      </c>
      <c r="Q760" s="7">
        <v>2266.4728</v>
      </c>
      <c r="R760" s="7" t="str">
        <f t="shared" si="166"/>
        <v>Up</v>
      </c>
      <c r="S760" s="7" t="str">
        <f t="shared" si="167"/>
        <v>Hold</v>
      </c>
      <c r="T760" s="8">
        <f t="shared" si="168"/>
        <v>0.19586082725060833</v>
      </c>
      <c r="U760" s="18">
        <f t="shared" si="169"/>
        <v>1868378</v>
      </c>
      <c r="V760" s="7">
        <f t="shared" si="170"/>
        <v>5586.2002000000002</v>
      </c>
      <c r="W760" s="7">
        <f t="shared" si="171"/>
        <v>2351.8998999999999</v>
      </c>
      <c r="X760" s="7">
        <f t="shared" si="172"/>
        <v>2402.1001000000001</v>
      </c>
      <c r="Y760" s="7">
        <f t="shared" si="173"/>
        <v>167</v>
      </c>
      <c r="Z760" s="7">
        <f t="shared" si="174"/>
        <v>525896</v>
      </c>
      <c r="AA760" s="7" t="str">
        <f t="shared" si="175"/>
        <v>22-Jul-2024</v>
      </c>
      <c r="AB760" s="7">
        <f t="shared" si="176"/>
        <v>2402.1001000000001</v>
      </c>
      <c r="AC760" s="7">
        <f t="shared" si="180"/>
        <v>1</v>
      </c>
      <c r="AD760" s="7">
        <f t="shared" si="177"/>
        <v>2024</v>
      </c>
      <c r="AE760" s="19">
        <f t="shared" si="178"/>
        <v>-0.69</v>
      </c>
      <c r="BA760" s="10">
        <f t="shared" si="179"/>
        <v>26.997800000000002</v>
      </c>
    </row>
    <row r="761" spans="1:53" x14ac:dyDescent="0.3">
      <c r="A761" s="17">
        <v>45496</v>
      </c>
      <c r="B761" s="8">
        <v>2404.6001000000001</v>
      </c>
      <c r="C761" s="7">
        <v>2404.6001000000001</v>
      </c>
      <c r="D761" s="7">
        <v>2388.6999999999998</v>
      </c>
      <c r="E761" s="7">
        <v>2395.8000000000002</v>
      </c>
      <c r="F761" s="18">
        <v>41</v>
      </c>
      <c r="G761" s="7">
        <v>2430.4286000000002</v>
      </c>
      <c r="H761" s="7">
        <v>2354.4899999999998</v>
      </c>
      <c r="I761" s="7">
        <v>2325.4122000000002</v>
      </c>
      <c r="J761" s="8">
        <v>-0.26229999999999998</v>
      </c>
      <c r="K761" s="7">
        <v>1.2512000000000001</v>
      </c>
      <c r="L761" s="7">
        <v>1.0448999999999999</v>
      </c>
      <c r="M761" s="8">
        <v>62.437899999999999</v>
      </c>
      <c r="N761" s="8">
        <v>24.538799999999998</v>
      </c>
      <c r="O761" s="7">
        <v>21.7287</v>
      </c>
      <c r="P761" s="7">
        <v>2477.6556</v>
      </c>
      <c r="Q761" s="7">
        <v>2272.0844000000002</v>
      </c>
      <c r="R761" s="7" t="str">
        <f t="shared" si="166"/>
        <v>Down</v>
      </c>
      <c r="S761" s="7" t="str">
        <f t="shared" si="167"/>
        <v>Hold</v>
      </c>
      <c r="T761" s="8">
        <f t="shared" si="168"/>
        <v>0.19802243902439032</v>
      </c>
      <c r="U761" s="18">
        <f t="shared" si="169"/>
        <v>1868360</v>
      </c>
      <c r="V761" s="7">
        <f t="shared" si="170"/>
        <v>5586.2002000000002</v>
      </c>
      <c r="W761" s="7">
        <f t="shared" si="171"/>
        <v>2351.8998999999999</v>
      </c>
      <c r="X761" s="7">
        <f t="shared" si="172"/>
        <v>2395.8000000000002</v>
      </c>
      <c r="Y761" s="7">
        <f t="shared" si="173"/>
        <v>166</v>
      </c>
      <c r="Z761" s="7">
        <f t="shared" si="174"/>
        <v>525878</v>
      </c>
      <c r="AA761" s="7" t="str">
        <f t="shared" si="175"/>
        <v>23-Jul-2024</v>
      </c>
      <c r="AB761" s="7">
        <f t="shared" si="176"/>
        <v>2395.8000000000002</v>
      </c>
      <c r="AC761" s="7">
        <f t="shared" si="180"/>
        <v>1</v>
      </c>
      <c r="AD761" s="7">
        <f t="shared" si="177"/>
        <v>2024</v>
      </c>
      <c r="AE761" s="19">
        <f t="shared" si="178"/>
        <v>-0.26</v>
      </c>
      <c r="BA761" s="10">
        <f t="shared" si="179"/>
        <v>26.997800000000002</v>
      </c>
    </row>
    <row r="762" spans="1:53" x14ac:dyDescent="0.3">
      <c r="A762" s="17">
        <v>45497</v>
      </c>
      <c r="B762" s="8">
        <v>2413.3000000000002</v>
      </c>
      <c r="C762" s="7">
        <v>2421</v>
      </c>
      <c r="D762" s="7">
        <v>2411.6001000000001</v>
      </c>
      <c r="E762" s="7">
        <v>2421</v>
      </c>
      <c r="F762" s="18">
        <v>6</v>
      </c>
      <c r="G762" s="7">
        <v>2429.1428999999998</v>
      </c>
      <c r="H762" s="7">
        <v>2358.8366000000001</v>
      </c>
      <c r="I762" s="7">
        <v>2328.2788999999998</v>
      </c>
      <c r="J762" s="8">
        <v>1.0518000000000001</v>
      </c>
      <c r="K762" s="7">
        <v>1.2181</v>
      </c>
      <c r="L762" s="7">
        <v>0.78029999999999999</v>
      </c>
      <c r="M762" s="8">
        <v>65.713300000000004</v>
      </c>
      <c r="N762" s="8">
        <v>24.086500000000001</v>
      </c>
      <c r="O762" s="7">
        <v>22.200199999999999</v>
      </c>
      <c r="P762" s="7">
        <v>2481.5744</v>
      </c>
      <c r="Q762" s="7">
        <v>2277.8256000000001</v>
      </c>
      <c r="R762" s="7" t="str">
        <f t="shared" si="166"/>
        <v>Up</v>
      </c>
      <c r="S762" s="7" t="str">
        <f t="shared" si="167"/>
        <v>Hold</v>
      </c>
      <c r="T762" s="8">
        <f t="shared" si="168"/>
        <v>0.19914792176039128</v>
      </c>
      <c r="U762" s="18">
        <f t="shared" si="169"/>
        <v>1868319</v>
      </c>
      <c r="V762" s="7">
        <f t="shared" si="170"/>
        <v>5586.2002000000002</v>
      </c>
      <c r="W762" s="7">
        <f t="shared" si="171"/>
        <v>2351.8998999999999</v>
      </c>
      <c r="X762" s="7">
        <f t="shared" si="172"/>
        <v>2421</v>
      </c>
      <c r="Y762" s="7">
        <f t="shared" si="173"/>
        <v>166</v>
      </c>
      <c r="Z762" s="7">
        <f t="shared" si="174"/>
        <v>525878</v>
      </c>
      <c r="AA762" s="7" t="str">
        <f t="shared" si="175"/>
        <v>24-Jul-2024</v>
      </c>
      <c r="AB762" s="7">
        <f t="shared" si="176"/>
        <v>2421</v>
      </c>
      <c r="AC762" s="7">
        <f t="shared" si="180"/>
        <v>1</v>
      </c>
      <c r="AD762" s="7">
        <f t="shared" si="177"/>
        <v>2024</v>
      </c>
      <c r="AE762" s="19">
        <f t="shared" si="178"/>
        <v>1.05</v>
      </c>
      <c r="BA762" s="10">
        <f t="shared" si="179"/>
        <v>26.997800000000002</v>
      </c>
    </row>
    <row r="763" spans="1:53" x14ac:dyDescent="0.3">
      <c r="A763" s="17">
        <v>45498</v>
      </c>
      <c r="B763" s="8">
        <v>2351.8998999999999</v>
      </c>
      <c r="C763" s="7">
        <v>2365.5</v>
      </c>
      <c r="D763" s="7">
        <v>2351.8998999999999</v>
      </c>
      <c r="E763" s="7">
        <v>2365.5</v>
      </c>
      <c r="F763" s="18">
        <v>31</v>
      </c>
      <c r="G763" s="7">
        <v>2420.3000000000002</v>
      </c>
      <c r="H763" s="7">
        <v>2361.02</v>
      </c>
      <c r="I763" s="7">
        <v>2330.5432999999998</v>
      </c>
      <c r="J763" s="8">
        <v>-2.2924000000000002</v>
      </c>
      <c r="K763" s="7">
        <v>1.4865999999999999</v>
      </c>
      <c r="L763" s="7">
        <v>0.90049999999999997</v>
      </c>
      <c r="M763" s="8">
        <v>51.665599999999998</v>
      </c>
      <c r="N763" s="8">
        <v>19.0303</v>
      </c>
      <c r="O763" s="7">
        <v>21.566299999999998</v>
      </c>
      <c r="P763" s="7">
        <v>2479.0196000000001</v>
      </c>
      <c r="Q763" s="7">
        <v>2286.1404000000002</v>
      </c>
      <c r="R763" s="7" t="str">
        <f t="shared" si="166"/>
        <v>Up</v>
      </c>
      <c r="S763" s="7" t="str">
        <f t="shared" si="167"/>
        <v>Hold</v>
      </c>
      <c r="T763" s="8">
        <f t="shared" si="168"/>
        <v>0.19705808823529411</v>
      </c>
      <c r="U763" s="18">
        <f t="shared" si="169"/>
        <v>1868313</v>
      </c>
      <c r="V763" s="7">
        <f t="shared" si="170"/>
        <v>5586.2002000000002</v>
      </c>
      <c r="W763" s="7">
        <f t="shared" si="171"/>
        <v>2351.8998999999999</v>
      </c>
      <c r="X763" s="7">
        <f t="shared" si="172"/>
        <v>2365.5</v>
      </c>
      <c r="Y763" s="7">
        <f t="shared" si="173"/>
        <v>165</v>
      </c>
      <c r="Z763" s="7">
        <f t="shared" si="174"/>
        <v>525872</v>
      </c>
      <c r="AA763" s="7" t="str">
        <f t="shared" si="175"/>
        <v>25-Jul-2024</v>
      </c>
      <c r="AB763" s="7">
        <f t="shared" si="176"/>
        <v>2365.5</v>
      </c>
      <c r="AC763" s="7">
        <f t="shared" si="180"/>
        <v>1</v>
      </c>
      <c r="AD763" s="7">
        <f t="shared" si="177"/>
        <v>2024</v>
      </c>
      <c r="AE763" s="19">
        <f t="shared" si="178"/>
        <v>-2.29</v>
      </c>
      <c r="BA763" s="10">
        <f t="shared" si="179"/>
        <v>26.997800000000002</v>
      </c>
    </row>
    <row r="764" spans="1:53" x14ac:dyDescent="0.3">
      <c r="A764" s="17">
        <v>45499</v>
      </c>
      <c r="B764" s="8">
        <v>2380</v>
      </c>
      <c r="C764" s="7">
        <v>2386.8998999999999</v>
      </c>
      <c r="D764" s="7">
        <v>2368.6999999999998</v>
      </c>
      <c r="E764" s="7">
        <v>2368.6999999999998</v>
      </c>
      <c r="F764" s="18">
        <v>95</v>
      </c>
      <c r="G764" s="7">
        <v>2405.4142999999999</v>
      </c>
      <c r="H764" s="7">
        <v>2362.8132999999998</v>
      </c>
      <c r="I764" s="7">
        <v>2333.0156000000002</v>
      </c>
      <c r="J764" s="8">
        <v>0.1353</v>
      </c>
      <c r="K764" s="7">
        <v>1.1608000000000001</v>
      </c>
      <c r="L764" s="7">
        <v>0.89449999999999996</v>
      </c>
      <c r="M764" s="8">
        <v>47.793599999999998</v>
      </c>
      <c r="N764" s="8">
        <v>15.1073</v>
      </c>
      <c r="O764" s="7">
        <v>20.2745</v>
      </c>
      <c r="P764" s="7">
        <v>2474.1388999999999</v>
      </c>
      <c r="Q764" s="7">
        <v>2298.2111</v>
      </c>
      <c r="R764" s="7" t="str">
        <f t="shared" si="166"/>
        <v>Down</v>
      </c>
      <c r="S764" s="7" t="str">
        <f t="shared" si="167"/>
        <v>Hold</v>
      </c>
      <c r="T764" s="8">
        <f t="shared" si="168"/>
        <v>0.20317469287469289</v>
      </c>
      <c r="U764" s="18">
        <f t="shared" si="169"/>
        <v>1868282</v>
      </c>
      <c r="V764" s="7">
        <f t="shared" si="170"/>
        <v>5586.2002000000002</v>
      </c>
      <c r="W764" s="7">
        <f t="shared" si="171"/>
        <v>2367.3998999999999</v>
      </c>
      <c r="X764" s="7">
        <f t="shared" si="172"/>
        <v>2368.6999999999998</v>
      </c>
      <c r="Y764" s="7">
        <f t="shared" si="173"/>
        <v>164</v>
      </c>
      <c r="Z764" s="7">
        <f t="shared" si="174"/>
        <v>525841</v>
      </c>
      <c r="AA764" s="7" t="str">
        <f t="shared" si="175"/>
        <v>26-Jul-2024</v>
      </c>
      <c r="AB764" s="7">
        <f t="shared" si="176"/>
        <v>2368.6999999999998</v>
      </c>
      <c r="AC764" s="7">
        <f t="shared" si="180"/>
        <v>1</v>
      </c>
      <c r="AD764" s="7">
        <f t="shared" si="177"/>
        <v>2024</v>
      </c>
      <c r="AE764" s="19">
        <f t="shared" si="178"/>
        <v>0.14000000000000001</v>
      </c>
      <c r="BA764" s="10">
        <f t="shared" si="179"/>
        <v>26.997800000000002</v>
      </c>
    </row>
    <row r="765" spans="1:53" x14ac:dyDescent="0.3">
      <c r="A765" s="17">
        <v>45502</v>
      </c>
      <c r="B765" s="8">
        <v>2377.3000000000002</v>
      </c>
      <c r="C765" s="7">
        <v>2377.3000000000002</v>
      </c>
      <c r="D765" s="7">
        <v>2377.3000000000002</v>
      </c>
      <c r="E765" s="7">
        <v>2377.3000000000002</v>
      </c>
      <c r="F765" s="18">
        <v>126409</v>
      </c>
      <c r="G765" s="7">
        <v>2392.7429000000002</v>
      </c>
      <c r="H765" s="7">
        <v>2365.0767000000001</v>
      </c>
      <c r="I765" s="7">
        <v>2335.4733000000001</v>
      </c>
      <c r="J765" s="8">
        <v>0.36309999999999998</v>
      </c>
      <c r="K765" s="7">
        <v>1.2152000000000001</v>
      </c>
      <c r="L765" s="7">
        <v>0.89390000000000003</v>
      </c>
      <c r="M765" s="8">
        <v>52.494700000000002</v>
      </c>
      <c r="N765" s="8">
        <v>12.547599999999999</v>
      </c>
      <c r="O765" s="7">
        <v>18.729099999999999</v>
      </c>
      <c r="P765" s="7">
        <v>2472.1262999999999</v>
      </c>
      <c r="Q765" s="7">
        <v>2305.4137000000001</v>
      </c>
      <c r="R765" s="7" t="str">
        <f t="shared" si="166"/>
        <v>Down</v>
      </c>
      <c r="S765" s="7" t="str">
        <f t="shared" si="167"/>
        <v>Hold</v>
      </c>
      <c r="T765" s="8">
        <f t="shared" si="168"/>
        <v>0.20334187192118228</v>
      </c>
      <c r="U765" s="18">
        <f t="shared" si="169"/>
        <v>1868187</v>
      </c>
      <c r="V765" s="7">
        <f t="shared" si="170"/>
        <v>5586.2002000000002</v>
      </c>
      <c r="W765" s="7">
        <f t="shared" si="171"/>
        <v>2367.3998999999999</v>
      </c>
      <c r="X765" s="7">
        <f t="shared" si="172"/>
        <v>2377.3000000000002</v>
      </c>
      <c r="Y765" s="7">
        <f t="shared" si="173"/>
        <v>164</v>
      </c>
      <c r="Z765" s="7">
        <f t="shared" si="174"/>
        <v>525841</v>
      </c>
      <c r="AA765" s="7" t="str">
        <f t="shared" si="175"/>
        <v>29-Jul-2024</v>
      </c>
      <c r="AB765" s="7">
        <f t="shared" si="176"/>
        <v>2377.3000000000002</v>
      </c>
      <c r="AC765" s="7">
        <f t="shared" si="180"/>
        <v>1</v>
      </c>
      <c r="AD765" s="7">
        <f t="shared" si="177"/>
        <v>2024</v>
      </c>
      <c r="AE765" s="19">
        <f t="shared" si="178"/>
        <v>0.36</v>
      </c>
      <c r="BA765" s="10">
        <f t="shared" si="179"/>
        <v>26.997800000000002</v>
      </c>
    </row>
    <row r="766" spans="1:53" x14ac:dyDescent="0.3">
      <c r="A766" s="17">
        <v>45503</v>
      </c>
      <c r="B766" s="8">
        <v>2405</v>
      </c>
      <c r="C766" s="7">
        <v>2409.3000000000002</v>
      </c>
      <c r="D766" s="7">
        <v>2373.8000000000002</v>
      </c>
      <c r="E766" s="7">
        <v>2380.8998999999999</v>
      </c>
      <c r="F766" s="18">
        <v>25944</v>
      </c>
      <c r="G766" s="7">
        <v>2387.3285999999998</v>
      </c>
      <c r="H766" s="7">
        <v>2367.54</v>
      </c>
      <c r="I766" s="7">
        <v>2337.9578000000001</v>
      </c>
      <c r="J766" s="8">
        <v>0.15140000000000001</v>
      </c>
      <c r="K766" s="7">
        <v>1.0599000000000001</v>
      </c>
      <c r="L766" s="7">
        <v>0.8931</v>
      </c>
      <c r="M766" s="8">
        <v>52.561399999999999</v>
      </c>
      <c r="N766" s="8">
        <v>10.686299999999999</v>
      </c>
      <c r="O766" s="7">
        <v>17.1205</v>
      </c>
      <c r="P766" s="7">
        <v>2469.3317999999999</v>
      </c>
      <c r="Q766" s="7">
        <v>2313.9182000000001</v>
      </c>
      <c r="R766" s="7" t="str">
        <f t="shared" si="166"/>
        <v>Down</v>
      </c>
      <c r="S766" s="7" t="str">
        <f t="shared" si="167"/>
        <v>Hold</v>
      </c>
      <c r="T766" s="8">
        <f t="shared" si="168"/>
        <v>0.20294740740740744</v>
      </c>
      <c r="U766" s="18">
        <f t="shared" si="169"/>
        <v>1741778</v>
      </c>
      <c r="V766" s="7">
        <f t="shared" si="170"/>
        <v>5586.2002000000002</v>
      </c>
      <c r="W766" s="7">
        <f t="shared" si="171"/>
        <v>2367.3998999999999</v>
      </c>
      <c r="X766" s="7">
        <f t="shared" si="172"/>
        <v>2380.8998999999999</v>
      </c>
      <c r="Y766" s="7">
        <f t="shared" si="173"/>
        <v>164</v>
      </c>
      <c r="Z766" s="7">
        <f t="shared" si="174"/>
        <v>525841</v>
      </c>
      <c r="AA766" s="7" t="str">
        <f t="shared" si="175"/>
        <v>30-Jul-2024</v>
      </c>
      <c r="AB766" s="7">
        <f t="shared" si="176"/>
        <v>2380.8998999999999</v>
      </c>
      <c r="AC766" s="7">
        <f t="shared" si="180"/>
        <v>1</v>
      </c>
      <c r="AD766" s="7">
        <f t="shared" si="177"/>
        <v>2024</v>
      </c>
      <c r="AE766" s="19">
        <f t="shared" si="178"/>
        <v>0.15</v>
      </c>
      <c r="BA766" s="10">
        <f t="shared" si="179"/>
        <v>26.997800000000002</v>
      </c>
    </row>
    <row r="767" spans="1:53" x14ac:dyDescent="0.3">
      <c r="A767" s="17">
        <v>45504</v>
      </c>
      <c r="B767" s="8">
        <v>2426.5</v>
      </c>
      <c r="C767" s="7">
        <v>2447.6001000000001</v>
      </c>
      <c r="D767" s="7">
        <v>2402.8000000000002</v>
      </c>
      <c r="E767" s="7">
        <v>2407.1001000000001</v>
      </c>
      <c r="F767" s="18">
        <v>1313</v>
      </c>
      <c r="G767" s="7">
        <v>2388.0428999999999</v>
      </c>
      <c r="H767" s="7">
        <v>2370.4367000000002</v>
      </c>
      <c r="I767" s="7">
        <v>2340.1810999999998</v>
      </c>
      <c r="J767" s="8">
        <v>1.1004</v>
      </c>
      <c r="K767" s="7">
        <v>1.1406000000000001</v>
      </c>
      <c r="L767" s="7">
        <v>0.90759999999999996</v>
      </c>
      <c r="M767" s="8">
        <v>54.752400000000002</v>
      </c>
      <c r="N767" s="8">
        <v>11.196300000000001</v>
      </c>
      <c r="O767" s="7">
        <v>15.935700000000001</v>
      </c>
      <c r="P767" s="7">
        <v>2467.8733999999999</v>
      </c>
      <c r="Q767" s="7">
        <v>2323.0165999999999</v>
      </c>
      <c r="R767" s="7" t="str">
        <f t="shared" si="166"/>
        <v>Down</v>
      </c>
      <c r="S767" s="7" t="str">
        <f t="shared" si="167"/>
        <v>Hold</v>
      </c>
      <c r="T767" s="8">
        <f t="shared" si="168"/>
        <v>0.20307500000000009</v>
      </c>
      <c r="U767" s="18">
        <f t="shared" si="169"/>
        <v>1715834</v>
      </c>
      <c r="V767" s="7">
        <f t="shared" si="170"/>
        <v>5586.2002000000002</v>
      </c>
      <c r="W767" s="7">
        <f t="shared" si="171"/>
        <v>2367.3998999999999</v>
      </c>
      <c r="X767" s="7">
        <f t="shared" si="172"/>
        <v>2407.1001000000001</v>
      </c>
      <c r="Y767" s="7">
        <f t="shared" si="173"/>
        <v>164</v>
      </c>
      <c r="Z767" s="7">
        <f t="shared" si="174"/>
        <v>525841</v>
      </c>
      <c r="AA767" s="7" t="str">
        <f t="shared" si="175"/>
        <v>31-Jul-2024</v>
      </c>
      <c r="AB767" s="7">
        <f t="shared" si="176"/>
        <v>2407.1001000000001</v>
      </c>
      <c r="AC767" s="7">
        <f t="shared" si="180"/>
        <v>1</v>
      </c>
      <c r="AD767" s="7">
        <f t="shared" si="177"/>
        <v>2024</v>
      </c>
      <c r="AE767" s="19">
        <f t="shared" si="178"/>
        <v>1.1000000000000001</v>
      </c>
      <c r="BA767" s="10">
        <f t="shared" si="179"/>
        <v>26.997800000000002</v>
      </c>
    </row>
    <row r="768" spans="1:53" x14ac:dyDescent="0.3">
      <c r="A768" s="17">
        <v>45505</v>
      </c>
      <c r="B768" s="8">
        <v>2435</v>
      </c>
      <c r="C768" s="7">
        <v>2455.1001000000001</v>
      </c>
      <c r="D768" s="7">
        <v>2430.3998999999999</v>
      </c>
      <c r="E768" s="7">
        <v>2446.6999999999998</v>
      </c>
      <c r="F768" s="18">
        <v>690</v>
      </c>
      <c r="G768" s="7">
        <v>2395.3143</v>
      </c>
      <c r="H768" s="7">
        <v>2374.9333000000001</v>
      </c>
      <c r="I768" s="7">
        <v>2343.1532999999999</v>
      </c>
      <c r="J768" s="8">
        <v>1.6451</v>
      </c>
      <c r="K768" s="7">
        <v>1.2773000000000001</v>
      </c>
      <c r="L768" s="7">
        <v>0.94359999999999999</v>
      </c>
      <c r="M768" s="8">
        <v>57.390500000000003</v>
      </c>
      <c r="N768" s="8">
        <v>14.6273</v>
      </c>
      <c r="O768" s="7">
        <v>15.673999999999999</v>
      </c>
      <c r="P768" s="7">
        <v>2470.3777</v>
      </c>
      <c r="Q768" s="7">
        <v>2332.0922999999998</v>
      </c>
      <c r="R768" s="7" t="str">
        <f t="shared" si="166"/>
        <v>Up</v>
      </c>
      <c r="S768" s="7" t="str">
        <f t="shared" si="167"/>
        <v>Hold</v>
      </c>
      <c r="T768" s="8">
        <f t="shared" si="168"/>
        <v>0.20084838709677427</v>
      </c>
      <c r="U768" s="18">
        <f t="shared" si="169"/>
        <v>1714521</v>
      </c>
      <c r="V768" s="7">
        <f t="shared" si="170"/>
        <v>5586.2002000000002</v>
      </c>
      <c r="W768" s="7">
        <f t="shared" si="171"/>
        <v>2367.3998999999999</v>
      </c>
      <c r="X768" s="7">
        <f t="shared" si="172"/>
        <v>2446.6999999999998</v>
      </c>
      <c r="Y768" s="7">
        <f t="shared" si="173"/>
        <v>164</v>
      </c>
      <c r="Z768" s="7">
        <f t="shared" si="174"/>
        <v>525841</v>
      </c>
      <c r="AA768" s="7" t="str">
        <f t="shared" si="175"/>
        <v>01-Aug-2024</v>
      </c>
      <c r="AB768" s="7">
        <f t="shared" si="176"/>
        <v>2446.6999999999998</v>
      </c>
      <c r="AC768" s="7">
        <f t="shared" si="180"/>
        <v>1</v>
      </c>
      <c r="AD768" s="7">
        <f t="shared" si="177"/>
        <v>2024</v>
      </c>
      <c r="AE768" s="19">
        <f t="shared" si="178"/>
        <v>1.65</v>
      </c>
      <c r="BA768" s="10">
        <f t="shared" si="179"/>
        <v>26.997800000000002</v>
      </c>
    </row>
    <row r="769" spans="1:53" x14ac:dyDescent="0.3">
      <c r="A769" s="17">
        <v>45506</v>
      </c>
      <c r="B769" s="8">
        <v>2425.6999999999998</v>
      </c>
      <c r="C769" s="7">
        <v>2477</v>
      </c>
      <c r="D769" s="7">
        <v>2416</v>
      </c>
      <c r="E769" s="7">
        <v>2444</v>
      </c>
      <c r="F769" s="18">
        <v>550</v>
      </c>
      <c r="G769" s="7">
        <v>2398.6</v>
      </c>
      <c r="H769" s="7">
        <v>2378.77</v>
      </c>
      <c r="I769" s="7">
        <v>2346.2399999999998</v>
      </c>
      <c r="J769" s="8">
        <v>-0.1104</v>
      </c>
      <c r="K769" s="7">
        <v>1.2394000000000001</v>
      </c>
      <c r="L769" s="7">
        <v>0.93940000000000001</v>
      </c>
      <c r="M769" s="8">
        <v>52.415500000000002</v>
      </c>
      <c r="N769" s="8">
        <v>16.933199999999999</v>
      </c>
      <c r="O769" s="7">
        <v>15.9259</v>
      </c>
      <c r="P769" s="7">
        <v>2473.7354999999998</v>
      </c>
      <c r="Q769" s="7">
        <v>2337.6444999999999</v>
      </c>
      <c r="R769" s="7" t="str">
        <f t="shared" si="166"/>
        <v>Up</v>
      </c>
      <c r="S769" s="7" t="str">
        <f t="shared" si="167"/>
        <v>Hold</v>
      </c>
      <c r="T769" s="8">
        <f t="shared" si="168"/>
        <v>0.19725572139303493</v>
      </c>
      <c r="U769" s="18">
        <f t="shared" si="169"/>
        <v>1713831</v>
      </c>
      <c r="V769" s="7">
        <f t="shared" si="170"/>
        <v>5586.2002000000002</v>
      </c>
      <c r="W769" s="7">
        <f t="shared" si="171"/>
        <v>2367.3998999999999</v>
      </c>
      <c r="X769" s="7">
        <f t="shared" si="172"/>
        <v>2444</v>
      </c>
      <c r="Y769" s="7">
        <f t="shared" si="173"/>
        <v>163</v>
      </c>
      <c r="Z769" s="7">
        <f t="shared" si="174"/>
        <v>525151</v>
      </c>
      <c r="AA769" s="7" t="str">
        <f t="shared" si="175"/>
        <v>02-Aug-2024</v>
      </c>
      <c r="AB769" s="7">
        <f t="shared" si="176"/>
        <v>2444</v>
      </c>
      <c r="AC769" s="7">
        <f t="shared" si="180"/>
        <v>1</v>
      </c>
      <c r="AD769" s="7">
        <f t="shared" si="177"/>
        <v>2024</v>
      </c>
      <c r="AE769" s="19">
        <f t="shared" si="178"/>
        <v>-0.11</v>
      </c>
      <c r="BA769" s="10">
        <f t="shared" si="179"/>
        <v>26.997800000000002</v>
      </c>
    </row>
    <row r="770" spans="1:53" x14ac:dyDescent="0.3">
      <c r="A770" s="17">
        <v>45509</v>
      </c>
      <c r="B770" s="8">
        <v>2401.6999999999998</v>
      </c>
      <c r="C770" s="7">
        <v>2449.8000000000002</v>
      </c>
      <c r="D770" s="7">
        <v>2367.3998999999999</v>
      </c>
      <c r="E770" s="7">
        <v>2442</v>
      </c>
      <c r="F770" s="18">
        <v>334</v>
      </c>
      <c r="G770" s="7">
        <v>2409.5286000000001</v>
      </c>
      <c r="H770" s="7">
        <v>2382.4632999999999</v>
      </c>
      <c r="I770" s="7">
        <v>2349.1210999999998</v>
      </c>
      <c r="J770" s="8">
        <v>-8.1799999999999998E-2</v>
      </c>
      <c r="K770" s="7">
        <v>0.66379999999999995</v>
      </c>
      <c r="L770" s="7">
        <v>0.94040000000000001</v>
      </c>
      <c r="M770" s="8">
        <v>52.5242</v>
      </c>
      <c r="N770" s="8">
        <v>18.3874</v>
      </c>
      <c r="O770" s="7">
        <v>16.418199999999999</v>
      </c>
      <c r="P770" s="7">
        <v>2477.6129999999998</v>
      </c>
      <c r="Q770" s="7">
        <v>2339.797</v>
      </c>
      <c r="R770" s="7" t="str">
        <f t="shared" si="166"/>
        <v>Up</v>
      </c>
      <c r="S770" s="7" t="str">
        <f t="shared" si="167"/>
        <v>Hold</v>
      </c>
      <c r="T770" s="8">
        <f t="shared" si="168"/>
        <v>0.19802294264339163</v>
      </c>
      <c r="U770" s="18">
        <f t="shared" si="169"/>
        <v>1713281</v>
      </c>
      <c r="V770" s="7">
        <f t="shared" si="170"/>
        <v>5586.2002000000002</v>
      </c>
      <c r="W770" s="7">
        <f t="shared" si="171"/>
        <v>2367.3998999999999</v>
      </c>
      <c r="X770" s="7">
        <f t="shared" si="172"/>
        <v>2442</v>
      </c>
      <c r="Y770" s="7">
        <f t="shared" si="173"/>
        <v>162</v>
      </c>
      <c r="Z770" s="7">
        <f t="shared" si="174"/>
        <v>524601</v>
      </c>
      <c r="AA770" s="7" t="str">
        <f t="shared" si="175"/>
        <v>05-Aug-2024</v>
      </c>
      <c r="AB770" s="7">
        <f t="shared" si="176"/>
        <v>2442</v>
      </c>
      <c r="AC770" s="7">
        <f t="shared" si="180"/>
        <v>1</v>
      </c>
      <c r="AD770" s="7">
        <f t="shared" si="177"/>
        <v>2024</v>
      </c>
      <c r="AE770" s="19">
        <f t="shared" si="178"/>
        <v>-0.08</v>
      </c>
      <c r="BA770" s="10">
        <f t="shared" si="179"/>
        <v>26.997800000000002</v>
      </c>
    </row>
    <row r="771" spans="1:53" x14ac:dyDescent="0.3">
      <c r="A771" s="17">
        <v>45510</v>
      </c>
      <c r="B771" s="8">
        <v>2389.1001000000001</v>
      </c>
      <c r="C771" s="7">
        <v>2421.8000000000002</v>
      </c>
      <c r="D771" s="7">
        <v>2380</v>
      </c>
      <c r="E771" s="7">
        <v>2414.5</v>
      </c>
      <c r="F771" s="18">
        <v>163</v>
      </c>
      <c r="G771" s="7">
        <v>2416.0713999999998</v>
      </c>
      <c r="H771" s="7">
        <v>2385.5032999999999</v>
      </c>
      <c r="I771" s="7">
        <v>2351.7332999999999</v>
      </c>
      <c r="J771" s="8">
        <v>-1.1261000000000001</v>
      </c>
      <c r="K771" s="7">
        <v>0.89629999999999999</v>
      </c>
      <c r="L771" s="7">
        <v>0.96540000000000004</v>
      </c>
      <c r="M771" s="8">
        <v>39.232999999999997</v>
      </c>
      <c r="N771" s="8">
        <v>17.1234</v>
      </c>
      <c r="O771" s="7">
        <v>16.559200000000001</v>
      </c>
      <c r="P771" s="7">
        <v>2476.7709</v>
      </c>
      <c r="Q771" s="7">
        <v>2345.7791000000002</v>
      </c>
      <c r="R771" s="7" t="str">
        <f t="shared" ref="R771:R834" si="181">IF(E771&gt;B771,"Up","Down")</f>
        <v>Up</v>
      </c>
      <c r="S771" s="7" t="str">
        <f t="shared" ref="S771:S834" si="182">IF(M771&gt;70,"Sell",IF(M771&lt;30,"Buy","Hold"))</f>
        <v>Hold</v>
      </c>
      <c r="T771" s="8">
        <f t="shared" ref="T771:T834" si="183">AVERAGE(J771:J1939)</f>
        <v>0.19872250000000008</v>
      </c>
      <c r="U771" s="18">
        <f t="shared" ref="U771:U834" si="184">SUM(F771:F1939)</f>
        <v>1712947</v>
      </c>
      <c r="V771" s="7">
        <f t="shared" ref="V771:V834" si="185">MAX(C771:C1939)</f>
        <v>5586.2002000000002</v>
      </c>
      <c r="W771" s="7">
        <f t="shared" ref="W771:W834" si="186">MIN(D771:D1939)</f>
        <v>2380</v>
      </c>
      <c r="X771" s="7">
        <f t="shared" ref="X771:X834" si="187">INDEX(E771:E1939,MATCH(A771,A771:A1939,0))</f>
        <v>2414.5</v>
      </c>
      <c r="Y771" s="7">
        <f t="shared" ref="Y771:Y834" si="188">COUNTIF(R771:R1939,"Up")</f>
        <v>161</v>
      </c>
      <c r="Z771" s="7">
        <f t="shared" ref="Z771:Z834" si="189">SUMIF(R771:R1939,"Up",F771:F1939)</f>
        <v>524267</v>
      </c>
      <c r="AA771" s="7" t="str">
        <f t="shared" ref="AA771:AA834" si="190">TEXT(A771,"DD-MMM-YYYY")</f>
        <v>06-Aug-2024</v>
      </c>
      <c r="AB771" s="7">
        <f t="shared" ref="AB771:AB834" si="191">_xlfn.XLOOKUP(A771,A771:A1939,E771:E1939)</f>
        <v>2414.5</v>
      </c>
      <c r="AC771" s="7">
        <f t="shared" si="180"/>
        <v>1</v>
      </c>
      <c r="AD771" s="7">
        <f t="shared" ref="AD771:AD834" si="192">YEAR(A771)</f>
        <v>2024</v>
      </c>
      <c r="AE771" s="19">
        <f t="shared" ref="AE771:AE834" si="193">ROUND(J771,2)</f>
        <v>-1.1299999999999999</v>
      </c>
      <c r="BA771" s="10">
        <f t="shared" ref="BA771:BA834" si="194">MODE(M771:M1939)</f>
        <v>26.997800000000002</v>
      </c>
    </row>
    <row r="772" spans="1:53" x14ac:dyDescent="0.3">
      <c r="A772" s="17">
        <v>45511</v>
      </c>
      <c r="B772" s="8">
        <v>2390.5</v>
      </c>
      <c r="C772" s="7">
        <v>2401</v>
      </c>
      <c r="D772" s="7">
        <v>2384.5</v>
      </c>
      <c r="E772" s="7">
        <v>2392.1999999999998</v>
      </c>
      <c r="F772" s="18">
        <v>130</v>
      </c>
      <c r="G772" s="7">
        <v>2418.1999999999998</v>
      </c>
      <c r="H772" s="7">
        <v>2387.7633000000001</v>
      </c>
      <c r="I772" s="7">
        <v>2353.94</v>
      </c>
      <c r="J772" s="8">
        <v>-0.92359999999999998</v>
      </c>
      <c r="K772" s="7">
        <v>1.0016</v>
      </c>
      <c r="L772" s="7">
        <v>0.98450000000000004</v>
      </c>
      <c r="M772" s="8">
        <v>37.124899999999997</v>
      </c>
      <c r="N772" s="8">
        <v>14.1591</v>
      </c>
      <c r="O772" s="7">
        <v>16.0792</v>
      </c>
      <c r="P772" s="7">
        <v>2475.2869000000001</v>
      </c>
      <c r="Q772" s="7">
        <v>2349.8530999999998</v>
      </c>
      <c r="R772" s="7" t="str">
        <f t="shared" si="181"/>
        <v>Up</v>
      </c>
      <c r="S772" s="7" t="str">
        <f t="shared" si="182"/>
        <v>Hold</v>
      </c>
      <c r="T772" s="8">
        <f t="shared" si="183"/>
        <v>0.20204285714285716</v>
      </c>
      <c r="U772" s="18">
        <f t="shared" si="184"/>
        <v>1712784</v>
      </c>
      <c r="V772" s="7">
        <f t="shared" si="185"/>
        <v>5586.2002000000002</v>
      </c>
      <c r="W772" s="7">
        <f t="shared" si="186"/>
        <v>2384.3000000000002</v>
      </c>
      <c r="X772" s="7">
        <f t="shared" si="187"/>
        <v>2392.1999999999998</v>
      </c>
      <c r="Y772" s="7">
        <f t="shared" si="188"/>
        <v>160</v>
      </c>
      <c r="Z772" s="7">
        <f t="shared" si="189"/>
        <v>524104</v>
      </c>
      <c r="AA772" s="7" t="str">
        <f t="shared" si="190"/>
        <v>07-Aug-2024</v>
      </c>
      <c r="AB772" s="7">
        <f t="shared" si="191"/>
        <v>2392.1999999999998</v>
      </c>
      <c r="AC772" s="7">
        <f t="shared" si="180"/>
        <v>1</v>
      </c>
      <c r="AD772" s="7">
        <f t="shared" si="192"/>
        <v>2024</v>
      </c>
      <c r="AE772" s="19">
        <f t="shared" si="193"/>
        <v>-0.92</v>
      </c>
      <c r="BA772" s="10">
        <f t="shared" si="194"/>
        <v>26.997800000000002</v>
      </c>
    </row>
    <row r="773" spans="1:53" x14ac:dyDescent="0.3">
      <c r="A773" s="17">
        <v>45512</v>
      </c>
      <c r="B773" s="8">
        <v>2422.1999999999998</v>
      </c>
      <c r="C773" s="7">
        <v>2422.8000000000002</v>
      </c>
      <c r="D773" s="7">
        <v>2384.3000000000002</v>
      </c>
      <c r="E773" s="7">
        <v>2384.3000000000002</v>
      </c>
      <c r="F773" s="18">
        <v>201</v>
      </c>
      <c r="G773" s="7">
        <v>2418.6857</v>
      </c>
      <c r="H773" s="7">
        <v>2390.31</v>
      </c>
      <c r="I773" s="7">
        <v>2355.5911000000001</v>
      </c>
      <c r="J773" s="8">
        <v>-0.33019999999999999</v>
      </c>
      <c r="K773" s="7">
        <v>1.0134000000000001</v>
      </c>
      <c r="L773" s="7">
        <v>0.97609999999999997</v>
      </c>
      <c r="M773" s="8">
        <v>43.024700000000003</v>
      </c>
      <c r="N773" s="8">
        <v>11.045</v>
      </c>
      <c r="O773" s="7">
        <v>15.0724</v>
      </c>
      <c r="P773" s="7">
        <v>2474.9775</v>
      </c>
      <c r="Q773" s="7">
        <v>2350.7224999999999</v>
      </c>
      <c r="R773" s="7" t="str">
        <f t="shared" si="181"/>
        <v>Down</v>
      </c>
      <c r="S773" s="7" t="str">
        <f t="shared" si="182"/>
        <v>Hold</v>
      </c>
      <c r="T773" s="8">
        <f t="shared" si="183"/>
        <v>0.20487110552763826</v>
      </c>
      <c r="U773" s="18">
        <f t="shared" si="184"/>
        <v>1712654</v>
      </c>
      <c r="V773" s="7">
        <f t="shared" si="185"/>
        <v>5586.2002000000002</v>
      </c>
      <c r="W773" s="7">
        <f t="shared" si="186"/>
        <v>2384.3000000000002</v>
      </c>
      <c r="X773" s="7">
        <f t="shared" si="187"/>
        <v>2384.3000000000002</v>
      </c>
      <c r="Y773" s="7">
        <f t="shared" si="188"/>
        <v>159</v>
      </c>
      <c r="Z773" s="7">
        <f t="shared" si="189"/>
        <v>523974</v>
      </c>
      <c r="AA773" s="7" t="str">
        <f t="shared" si="190"/>
        <v>08-Aug-2024</v>
      </c>
      <c r="AB773" s="7">
        <f t="shared" si="191"/>
        <v>2384.3000000000002</v>
      </c>
      <c r="AC773" s="7">
        <f t="shared" ref="AC773:AC836" si="195">_xlfn.XMATCH(A773,A773:A1941)</f>
        <v>1</v>
      </c>
      <c r="AD773" s="7">
        <f t="shared" si="192"/>
        <v>2024</v>
      </c>
      <c r="AE773" s="19">
        <f t="shared" si="193"/>
        <v>-0.33</v>
      </c>
      <c r="BA773" s="10">
        <f t="shared" si="194"/>
        <v>26.997800000000002</v>
      </c>
    </row>
    <row r="774" spans="1:53" x14ac:dyDescent="0.3">
      <c r="A774" s="17">
        <v>45513</v>
      </c>
      <c r="B774" s="8">
        <v>2432.1001000000001</v>
      </c>
      <c r="C774" s="7">
        <v>2432.1001000000001</v>
      </c>
      <c r="D774" s="7">
        <v>2418.5</v>
      </c>
      <c r="E774" s="7">
        <v>2422.3000000000002</v>
      </c>
      <c r="F774" s="18">
        <v>611</v>
      </c>
      <c r="G774" s="7">
        <v>2420.8571000000002</v>
      </c>
      <c r="H774" s="7">
        <v>2394.4933000000001</v>
      </c>
      <c r="I774" s="7">
        <v>2357.4832999999999</v>
      </c>
      <c r="J774" s="8">
        <v>1.5938000000000001</v>
      </c>
      <c r="K774" s="7">
        <v>1.113</v>
      </c>
      <c r="L774" s="7">
        <v>1.0056</v>
      </c>
      <c r="M774" s="8">
        <v>53.760199999999998</v>
      </c>
      <c r="N774" s="8">
        <v>11.5107</v>
      </c>
      <c r="O774" s="7">
        <v>14.36</v>
      </c>
      <c r="P774" s="7">
        <v>2475.9220999999998</v>
      </c>
      <c r="Q774" s="7">
        <v>2352.0279</v>
      </c>
      <c r="R774" s="7" t="str">
        <f t="shared" si="181"/>
        <v>Down</v>
      </c>
      <c r="S774" s="7" t="str">
        <f t="shared" si="182"/>
        <v>Hold</v>
      </c>
      <c r="T774" s="8">
        <f t="shared" si="183"/>
        <v>0.2062188916876575</v>
      </c>
      <c r="U774" s="18">
        <f t="shared" si="184"/>
        <v>1712453</v>
      </c>
      <c r="V774" s="7">
        <f t="shared" si="185"/>
        <v>5586.2002000000002</v>
      </c>
      <c r="W774" s="7">
        <f t="shared" si="186"/>
        <v>2418.5</v>
      </c>
      <c r="X774" s="7">
        <f t="shared" si="187"/>
        <v>2422.3000000000002</v>
      </c>
      <c r="Y774" s="7">
        <f t="shared" si="188"/>
        <v>159</v>
      </c>
      <c r="Z774" s="7">
        <f t="shared" si="189"/>
        <v>523974</v>
      </c>
      <c r="AA774" s="7" t="str">
        <f t="shared" si="190"/>
        <v>09-Aug-2024</v>
      </c>
      <c r="AB774" s="7">
        <f t="shared" si="191"/>
        <v>2422.3000000000002</v>
      </c>
      <c r="AC774" s="7">
        <f t="shared" si="195"/>
        <v>1</v>
      </c>
      <c r="AD774" s="7">
        <f t="shared" si="192"/>
        <v>2024</v>
      </c>
      <c r="AE774" s="19">
        <f t="shared" si="193"/>
        <v>1.59</v>
      </c>
      <c r="BA774" s="10">
        <f t="shared" si="194"/>
        <v>26.997800000000002</v>
      </c>
    </row>
    <row r="775" spans="1:53" x14ac:dyDescent="0.3">
      <c r="A775" s="17">
        <v>45516</v>
      </c>
      <c r="B775" s="8">
        <v>2462.3998999999999</v>
      </c>
      <c r="C775" s="7">
        <v>2469.8000000000002</v>
      </c>
      <c r="D775" s="7">
        <v>2432</v>
      </c>
      <c r="E775" s="7">
        <v>2432.6999999999998</v>
      </c>
      <c r="F775" s="18">
        <v>566</v>
      </c>
      <c r="G775" s="7">
        <v>2418.8571000000002</v>
      </c>
      <c r="H775" s="7">
        <v>2398.0700000000002</v>
      </c>
      <c r="I775" s="7">
        <v>2359.1610999999998</v>
      </c>
      <c r="J775" s="8">
        <v>0.42930000000000001</v>
      </c>
      <c r="K775" s="7">
        <v>0.90649999999999997</v>
      </c>
      <c r="L775" s="7">
        <v>0.98670000000000002</v>
      </c>
      <c r="M775" s="8">
        <v>56.765700000000002</v>
      </c>
      <c r="N775" s="8">
        <v>12.574</v>
      </c>
      <c r="O775" s="7">
        <v>14.002800000000001</v>
      </c>
      <c r="P775" s="7">
        <v>2476.2157000000002</v>
      </c>
      <c r="Q775" s="7">
        <v>2352.0043000000001</v>
      </c>
      <c r="R775" s="7" t="str">
        <f t="shared" si="181"/>
        <v>Down</v>
      </c>
      <c r="S775" s="7" t="str">
        <f t="shared" si="182"/>
        <v>Hold</v>
      </c>
      <c r="T775" s="8">
        <f t="shared" si="183"/>
        <v>0.202714898989899</v>
      </c>
      <c r="U775" s="18">
        <f t="shared" si="184"/>
        <v>1711842</v>
      </c>
      <c r="V775" s="7">
        <f t="shared" si="185"/>
        <v>5586.2002000000002</v>
      </c>
      <c r="W775" s="7">
        <f t="shared" si="186"/>
        <v>2431.1999999999998</v>
      </c>
      <c r="X775" s="7">
        <f t="shared" si="187"/>
        <v>2432.6999999999998</v>
      </c>
      <c r="Y775" s="7">
        <f t="shared" si="188"/>
        <v>159</v>
      </c>
      <c r="Z775" s="7">
        <f t="shared" si="189"/>
        <v>523974</v>
      </c>
      <c r="AA775" s="7" t="str">
        <f t="shared" si="190"/>
        <v>12-Aug-2024</v>
      </c>
      <c r="AB775" s="7">
        <f t="shared" si="191"/>
        <v>2432.6999999999998</v>
      </c>
      <c r="AC775" s="7">
        <f t="shared" si="195"/>
        <v>1</v>
      </c>
      <c r="AD775" s="7">
        <f t="shared" si="192"/>
        <v>2024</v>
      </c>
      <c r="AE775" s="19">
        <f t="shared" si="193"/>
        <v>0.43</v>
      </c>
      <c r="BA775" s="10">
        <f t="shared" si="194"/>
        <v>26.997800000000002</v>
      </c>
    </row>
    <row r="776" spans="1:53" x14ac:dyDescent="0.3">
      <c r="A776" s="17">
        <v>45517</v>
      </c>
      <c r="B776" s="8">
        <v>2466.6999999999998</v>
      </c>
      <c r="C776" s="7">
        <v>2470</v>
      </c>
      <c r="D776" s="7">
        <v>2456.5</v>
      </c>
      <c r="E776" s="7">
        <v>2461</v>
      </c>
      <c r="F776" s="18">
        <v>510</v>
      </c>
      <c r="G776" s="7">
        <v>2421.2856999999999</v>
      </c>
      <c r="H776" s="7">
        <v>2402.6433000000002</v>
      </c>
      <c r="I776" s="7">
        <v>2360.9310999999998</v>
      </c>
      <c r="J776" s="8">
        <v>1.1633</v>
      </c>
      <c r="K776" s="7">
        <v>1.0198</v>
      </c>
      <c r="L776" s="7">
        <v>1.0025999999999999</v>
      </c>
      <c r="M776" s="8">
        <v>57.251600000000003</v>
      </c>
      <c r="N776" s="8">
        <v>15.5213</v>
      </c>
      <c r="O776" s="7">
        <v>14.3065</v>
      </c>
      <c r="P776" s="7">
        <v>2481.1423</v>
      </c>
      <c r="Q776" s="7">
        <v>2350.4376999999999</v>
      </c>
      <c r="R776" s="7" t="str">
        <f t="shared" si="181"/>
        <v>Down</v>
      </c>
      <c r="S776" s="7" t="str">
        <f t="shared" si="182"/>
        <v>Hold</v>
      </c>
      <c r="T776" s="8">
        <f t="shared" si="183"/>
        <v>0.20214126582278488</v>
      </c>
      <c r="U776" s="18">
        <f t="shared" si="184"/>
        <v>1711276</v>
      </c>
      <c r="V776" s="7">
        <f t="shared" si="185"/>
        <v>5586.2002000000002</v>
      </c>
      <c r="W776" s="7">
        <f t="shared" si="186"/>
        <v>2431.1999999999998</v>
      </c>
      <c r="X776" s="7">
        <f t="shared" si="187"/>
        <v>2461</v>
      </c>
      <c r="Y776" s="7">
        <f t="shared" si="188"/>
        <v>159</v>
      </c>
      <c r="Z776" s="7">
        <f t="shared" si="189"/>
        <v>523974</v>
      </c>
      <c r="AA776" s="7" t="str">
        <f t="shared" si="190"/>
        <v>13-Aug-2024</v>
      </c>
      <c r="AB776" s="7">
        <f t="shared" si="191"/>
        <v>2461</v>
      </c>
      <c r="AC776" s="7">
        <f t="shared" si="195"/>
        <v>1</v>
      </c>
      <c r="AD776" s="7">
        <f t="shared" si="192"/>
        <v>2024</v>
      </c>
      <c r="AE776" s="19">
        <f t="shared" si="193"/>
        <v>1.1599999999999999</v>
      </c>
      <c r="BA776" s="10">
        <f t="shared" si="194"/>
        <v>26.997800000000002</v>
      </c>
    </row>
    <row r="777" spans="1:53" x14ac:dyDescent="0.3">
      <c r="A777" s="17">
        <v>45518</v>
      </c>
      <c r="B777" s="8">
        <v>2439.3998999999999</v>
      </c>
      <c r="C777" s="7">
        <v>2472.1001000000001</v>
      </c>
      <c r="D777" s="7">
        <v>2439.3998999999999</v>
      </c>
      <c r="E777" s="7">
        <v>2468</v>
      </c>
      <c r="F777" s="18">
        <v>274</v>
      </c>
      <c r="G777" s="7">
        <v>2425</v>
      </c>
      <c r="H777" s="7">
        <v>2407.2199999999998</v>
      </c>
      <c r="I777" s="7">
        <v>2362.9178000000002</v>
      </c>
      <c r="J777" s="8">
        <v>0.28439999999999999</v>
      </c>
      <c r="K777" s="7">
        <v>1.0181</v>
      </c>
      <c r="L777" s="7">
        <v>1.0025999999999999</v>
      </c>
      <c r="M777" s="8">
        <v>72.547300000000007</v>
      </c>
      <c r="N777" s="8">
        <v>18.212</v>
      </c>
      <c r="O777" s="7">
        <v>15.0876</v>
      </c>
      <c r="P777" s="7">
        <v>2480.0268000000001</v>
      </c>
      <c r="Q777" s="7">
        <v>2351.0632000000001</v>
      </c>
      <c r="R777" s="7" t="str">
        <f t="shared" si="181"/>
        <v>Up</v>
      </c>
      <c r="S777" s="7" t="str">
        <f t="shared" si="182"/>
        <v>Sell</v>
      </c>
      <c r="T777" s="8">
        <f t="shared" si="183"/>
        <v>0.1997017766497462</v>
      </c>
      <c r="U777" s="18">
        <f t="shared" si="184"/>
        <v>1710766</v>
      </c>
      <c r="V777" s="7">
        <f t="shared" si="185"/>
        <v>5586.2002000000002</v>
      </c>
      <c r="W777" s="7">
        <f t="shared" si="186"/>
        <v>2431.1999999999998</v>
      </c>
      <c r="X777" s="7">
        <f t="shared" si="187"/>
        <v>2468</v>
      </c>
      <c r="Y777" s="7">
        <f t="shared" si="188"/>
        <v>159</v>
      </c>
      <c r="Z777" s="7">
        <f t="shared" si="189"/>
        <v>523974</v>
      </c>
      <c r="AA777" s="7" t="str">
        <f t="shared" si="190"/>
        <v>14-Aug-2024</v>
      </c>
      <c r="AB777" s="7">
        <f t="shared" si="191"/>
        <v>2468</v>
      </c>
      <c r="AC777" s="7">
        <f t="shared" si="195"/>
        <v>1</v>
      </c>
      <c r="AD777" s="7">
        <f t="shared" si="192"/>
        <v>2024</v>
      </c>
      <c r="AE777" s="19">
        <f t="shared" si="193"/>
        <v>0.28000000000000003</v>
      </c>
      <c r="BA777" s="10">
        <f t="shared" si="194"/>
        <v>26.997800000000002</v>
      </c>
    </row>
    <row r="778" spans="1:53" x14ac:dyDescent="0.3">
      <c r="A778" s="17">
        <v>45519</v>
      </c>
      <c r="B778" s="8">
        <v>2453.1001000000001</v>
      </c>
      <c r="C778" s="7">
        <v>2467.6999999999998</v>
      </c>
      <c r="D778" s="7">
        <v>2431.1999999999998</v>
      </c>
      <c r="E778" s="7">
        <v>2451.8000000000002</v>
      </c>
      <c r="F778" s="18">
        <v>285</v>
      </c>
      <c r="G778" s="7">
        <v>2430.3285999999998</v>
      </c>
      <c r="H778" s="7">
        <v>2411.25</v>
      </c>
      <c r="I778" s="7">
        <v>2364.3200000000002</v>
      </c>
      <c r="J778" s="8">
        <v>-0.65639999999999998</v>
      </c>
      <c r="K778" s="7">
        <v>0.93130000000000002</v>
      </c>
      <c r="L778" s="7">
        <v>1.0141</v>
      </c>
      <c r="M778" s="8">
        <v>67.290899999999993</v>
      </c>
      <c r="N778" s="8">
        <v>18.8203</v>
      </c>
      <c r="O778" s="7">
        <v>15.834199999999999</v>
      </c>
      <c r="P778" s="7">
        <v>2477.2575000000002</v>
      </c>
      <c r="Q778" s="7">
        <v>2352.4124999999999</v>
      </c>
      <c r="R778" s="7" t="str">
        <f t="shared" si="181"/>
        <v>Down</v>
      </c>
      <c r="S778" s="7" t="str">
        <f t="shared" si="182"/>
        <v>Hold</v>
      </c>
      <c r="T778" s="8">
        <f t="shared" si="183"/>
        <v>0.19948625954198482</v>
      </c>
      <c r="U778" s="18">
        <f t="shared" si="184"/>
        <v>1710492</v>
      </c>
      <c r="V778" s="7">
        <f t="shared" si="185"/>
        <v>5586.2002000000002</v>
      </c>
      <c r="W778" s="7">
        <f t="shared" si="186"/>
        <v>2431.1999999999998</v>
      </c>
      <c r="X778" s="7">
        <f t="shared" si="187"/>
        <v>2451.8000000000002</v>
      </c>
      <c r="Y778" s="7">
        <f t="shared" si="188"/>
        <v>158</v>
      </c>
      <c r="Z778" s="7">
        <f t="shared" si="189"/>
        <v>523700</v>
      </c>
      <c r="AA778" s="7" t="str">
        <f t="shared" si="190"/>
        <v>15-Aug-2024</v>
      </c>
      <c r="AB778" s="7">
        <f t="shared" si="191"/>
        <v>2451.8000000000002</v>
      </c>
      <c r="AC778" s="7">
        <f t="shared" si="195"/>
        <v>1</v>
      </c>
      <c r="AD778" s="7">
        <f t="shared" si="192"/>
        <v>2024</v>
      </c>
      <c r="AE778" s="19">
        <f t="shared" si="193"/>
        <v>-0.66</v>
      </c>
      <c r="BA778" s="10">
        <f t="shared" si="194"/>
        <v>26.997800000000002</v>
      </c>
    </row>
    <row r="779" spans="1:53" x14ac:dyDescent="0.3">
      <c r="A779" s="17">
        <v>45520</v>
      </c>
      <c r="B779" s="8">
        <v>2498.6001000000001</v>
      </c>
      <c r="C779" s="7">
        <v>2508</v>
      </c>
      <c r="D779" s="7">
        <v>2451.3998999999999</v>
      </c>
      <c r="E779" s="7">
        <v>2453.5</v>
      </c>
      <c r="F779" s="18">
        <v>197</v>
      </c>
      <c r="G779" s="7">
        <v>2439.0857000000001</v>
      </c>
      <c r="H779" s="7">
        <v>2414.5367000000001</v>
      </c>
      <c r="I779" s="7">
        <v>2365.6055999999999</v>
      </c>
      <c r="J779" s="8">
        <v>6.93E-2</v>
      </c>
      <c r="K779" s="7">
        <v>0.79290000000000005</v>
      </c>
      <c r="L779" s="7">
        <v>1.0013000000000001</v>
      </c>
      <c r="M779" s="8">
        <v>66.323899999999995</v>
      </c>
      <c r="N779" s="8">
        <v>19.2179</v>
      </c>
      <c r="O779" s="7">
        <v>16.510899999999999</v>
      </c>
      <c r="P779" s="7">
        <v>2481.3413</v>
      </c>
      <c r="Q779" s="7">
        <v>2351.7988</v>
      </c>
      <c r="R779" s="7" t="str">
        <f t="shared" si="181"/>
        <v>Down</v>
      </c>
      <c r="S779" s="7" t="str">
        <f t="shared" si="182"/>
        <v>Hold</v>
      </c>
      <c r="T779" s="8">
        <f t="shared" si="183"/>
        <v>0.20166964285714298</v>
      </c>
      <c r="U779" s="18">
        <f t="shared" si="184"/>
        <v>1710207</v>
      </c>
      <c r="V779" s="7">
        <f t="shared" si="185"/>
        <v>5586.2002000000002</v>
      </c>
      <c r="W779" s="7">
        <f t="shared" si="186"/>
        <v>2451.3998999999999</v>
      </c>
      <c r="X779" s="7">
        <f t="shared" si="187"/>
        <v>2453.5</v>
      </c>
      <c r="Y779" s="7">
        <f t="shared" si="188"/>
        <v>158</v>
      </c>
      <c r="Z779" s="7">
        <f t="shared" si="189"/>
        <v>523700</v>
      </c>
      <c r="AA779" s="7" t="str">
        <f t="shared" si="190"/>
        <v>16-Aug-2024</v>
      </c>
      <c r="AB779" s="7">
        <f t="shared" si="191"/>
        <v>2453.5</v>
      </c>
      <c r="AC779" s="7">
        <f t="shared" si="195"/>
        <v>1</v>
      </c>
      <c r="AD779" s="7">
        <f t="shared" si="192"/>
        <v>2024</v>
      </c>
      <c r="AE779" s="19">
        <f t="shared" si="193"/>
        <v>7.0000000000000007E-2</v>
      </c>
      <c r="BA779" s="10">
        <f t="shared" si="194"/>
        <v>26.997800000000002</v>
      </c>
    </row>
    <row r="780" spans="1:53" x14ac:dyDescent="0.3">
      <c r="A780" s="17">
        <v>45523</v>
      </c>
      <c r="B780" s="8">
        <v>2501.8000000000002</v>
      </c>
      <c r="C780" s="7">
        <v>2508.5</v>
      </c>
      <c r="D780" s="7">
        <v>2487.1999999999998</v>
      </c>
      <c r="E780" s="7">
        <v>2508.5</v>
      </c>
      <c r="F780" s="18">
        <v>88</v>
      </c>
      <c r="G780" s="7">
        <v>2456.8285999999998</v>
      </c>
      <c r="H780" s="7">
        <v>2418.7633000000001</v>
      </c>
      <c r="I780" s="7">
        <v>2367.4043999999999</v>
      </c>
      <c r="J780" s="8">
        <v>2.2416999999999998</v>
      </c>
      <c r="K780" s="7">
        <v>0.98880000000000001</v>
      </c>
      <c r="L780" s="7">
        <v>1.0578000000000001</v>
      </c>
      <c r="M780" s="8">
        <v>72.401700000000005</v>
      </c>
      <c r="N780" s="8">
        <v>23.698</v>
      </c>
      <c r="O780" s="7">
        <v>17.9483</v>
      </c>
      <c r="P780" s="7">
        <v>2498.1215999999999</v>
      </c>
      <c r="Q780" s="7">
        <v>2345.6583999999998</v>
      </c>
      <c r="R780" s="7" t="str">
        <f t="shared" si="181"/>
        <v>Up</v>
      </c>
      <c r="S780" s="7" t="str">
        <f t="shared" si="182"/>
        <v>Sell</v>
      </c>
      <c r="T780" s="8">
        <f t="shared" si="183"/>
        <v>0.20200818414322264</v>
      </c>
      <c r="U780" s="18">
        <f t="shared" si="184"/>
        <v>1710010</v>
      </c>
      <c r="V780" s="7">
        <f t="shared" si="185"/>
        <v>5586.2002000000002</v>
      </c>
      <c r="W780" s="7">
        <f t="shared" si="186"/>
        <v>2471.1001000000001</v>
      </c>
      <c r="X780" s="7">
        <f t="shared" si="187"/>
        <v>2508.5</v>
      </c>
      <c r="Y780" s="7">
        <f t="shared" si="188"/>
        <v>158</v>
      </c>
      <c r="Z780" s="7">
        <f t="shared" si="189"/>
        <v>523700</v>
      </c>
      <c r="AA780" s="7" t="str">
        <f t="shared" si="190"/>
        <v>19-Aug-2024</v>
      </c>
      <c r="AB780" s="7">
        <f t="shared" si="191"/>
        <v>2508.5</v>
      </c>
      <c r="AC780" s="7">
        <f t="shared" si="195"/>
        <v>1</v>
      </c>
      <c r="AD780" s="7">
        <f t="shared" si="192"/>
        <v>2024</v>
      </c>
      <c r="AE780" s="19">
        <f t="shared" si="193"/>
        <v>2.2400000000000002</v>
      </c>
      <c r="BA780" s="10">
        <f t="shared" si="194"/>
        <v>26.997800000000002</v>
      </c>
    </row>
    <row r="781" spans="1:53" x14ac:dyDescent="0.3">
      <c r="A781" s="17">
        <v>45524</v>
      </c>
      <c r="B781" s="8">
        <v>2511.3000000000002</v>
      </c>
      <c r="C781" s="7">
        <v>2527.3000000000002</v>
      </c>
      <c r="D781" s="7">
        <v>2500.6999999999998</v>
      </c>
      <c r="E781" s="7">
        <v>2503.5</v>
      </c>
      <c r="F781" s="18">
        <v>187</v>
      </c>
      <c r="G781" s="7">
        <v>2468.4286000000002</v>
      </c>
      <c r="H781" s="7">
        <v>2423.4432999999999</v>
      </c>
      <c r="I781" s="7">
        <v>2369.2044000000001</v>
      </c>
      <c r="J781" s="8">
        <v>-0.1993</v>
      </c>
      <c r="K781" s="7">
        <v>0.96030000000000004</v>
      </c>
      <c r="L781" s="7">
        <v>1.0448999999999999</v>
      </c>
      <c r="M781" s="8">
        <v>68.285300000000007</v>
      </c>
      <c r="N781" s="8">
        <v>26.539000000000001</v>
      </c>
      <c r="O781" s="7">
        <v>19.666499999999999</v>
      </c>
      <c r="P781" s="7">
        <v>2510.6296000000002</v>
      </c>
      <c r="Q781" s="7">
        <v>2343.9204</v>
      </c>
      <c r="R781" s="7" t="str">
        <f t="shared" si="181"/>
        <v>Down</v>
      </c>
      <c r="S781" s="7" t="str">
        <f t="shared" si="182"/>
        <v>Hold</v>
      </c>
      <c r="T781" s="8">
        <f t="shared" si="183"/>
        <v>0.19677820512820515</v>
      </c>
      <c r="U781" s="18">
        <f t="shared" si="184"/>
        <v>1709922</v>
      </c>
      <c r="V781" s="7">
        <f t="shared" si="185"/>
        <v>5586.2002000000002</v>
      </c>
      <c r="W781" s="7">
        <f t="shared" si="186"/>
        <v>2471.1001000000001</v>
      </c>
      <c r="X781" s="7">
        <f t="shared" si="187"/>
        <v>2503.5</v>
      </c>
      <c r="Y781" s="7">
        <f t="shared" si="188"/>
        <v>157</v>
      </c>
      <c r="Z781" s="7">
        <f t="shared" si="189"/>
        <v>523612</v>
      </c>
      <c r="AA781" s="7" t="str">
        <f t="shared" si="190"/>
        <v>20-Aug-2024</v>
      </c>
      <c r="AB781" s="7">
        <f t="shared" si="191"/>
        <v>2503.5</v>
      </c>
      <c r="AC781" s="7">
        <f t="shared" si="195"/>
        <v>1</v>
      </c>
      <c r="AD781" s="7">
        <f t="shared" si="192"/>
        <v>2024</v>
      </c>
      <c r="AE781" s="19">
        <f t="shared" si="193"/>
        <v>-0.2</v>
      </c>
      <c r="BA781" s="10">
        <f t="shared" si="194"/>
        <v>26.997800000000002</v>
      </c>
    </row>
    <row r="782" spans="1:53" x14ac:dyDescent="0.3">
      <c r="A782" s="17">
        <v>45525</v>
      </c>
      <c r="B782" s="8">
        <v>2508.3998999999999</v>
      </c>
      <c r="C782" s="7">
        <v>2515.3998999999999</v>
      </c>
      <c r="D782" s="7">
        <v>2503.8998999999999</v>
      </c>
      <c r="E782" s="7">
        <v>2511</v>
      </c>
      <c r="F782" s="18">
        <v>96</v>
      </c>
      <c r="G782" s="7">
        <v>2479.6143000000002</v>
      </c>
      <c r="H782" s="7">
        <v>2428.2667000000001</v>
      </c>
      <c r="I782" s="7">
        <v>2370.69</v>
      </c>
      <c r="J782" s="8">
        <v>0.29959999999999998</v>
      </c>
      <c r="K782" s="7">
        <v>0.96260000000000001</v>
      </c>
      <c r="L782" s="7">
        <v>1.0449999999999999</v>
      </c>
      <c r="M782" s="8">
        <v>63.887700000000002</v>
      </c>
      <c r="N782" s="8">
        <v>29.0608</v>
      </c>
      <c r="O782" s="7">
        <v>21.545300000000001</v>
      </c>
      <c r="P782" s="7">
        <v>2523.0450000000001</v>
      </c>
      <c r="Q782" s="7">
        <v>2340.5050000000001</v>
      </c>
      <c r="R782" s="7" t="str">
        <f t="shared" si="181"/>
        <v>Up</v>
      </c>
      <c r="S782" s="7" t="str">
        <f t="shared" si="182"/>
        <v>Hold</v>
      </c>
      <c r="T782" s="8">
        <f t="shared" si="183"/>
        <v>0.19779640102827772</v>
      </c>
      <c r="U782" s="18">
        <f t="shared" si="184"/>
        <v>1709735</v>
      </c>
      <c r="V782" s="7">
        <f t="shared" si="185"/>
        <v>5586.2002000000002</v>
      </c>
      <c r="W782" s="7">
        <f t="shared" si="186"/>
        <v>2471.1001000000001</v>
      </c>
      <c r="X782" s="7">
        <f t="shared" si="187"/>
        <v>2511</v>
      </c>
      <c r="Y782" s="7">
        <f t="shared" si="188"/>
        <v>157</v>
      </c>
      <c r="Z782" s="7">
        <f t="shared" si="189"/>
        <v>523612</v>
      </c>
      <c r="AA782" s="7" t="str">
        <f t="shared" si="190"/>
        <v>21-Aug-2024</v>
      </c>
      <c r="AB782" s="7">
        <f t="shared" si="191"/>
        <v>2511</v>
      </c>
      <c r="AC782" s="7">
        <f t="shared" si="195"/>
        <v>1</v>
      </c>
      <c r="AD782" s="7">
        <f t="shared" si="192"/>
        <v>2024</v>
      </c>
      <c r="AE782" s="19">
        <f t="shared" si="193"/>
        <v>0.3</v>
      </c>
      <c r="BA782" s="10">
        <f t="shared" si="194"/>
        <v>26.997800000000002</v>
      </c>
    </row>
    <row r="783" spans="1:53" x14ac:dyDescent="0.3">
      <c r="A783" s="17">
        <v>45526</v>
      </c>
      <c r="B783" s="8">
        <v>2478.8998999999999</v>
      </c>
      <c r="C783" s="7">
        <v>2504.1001000000001</v>
      </c>
      <c r="D783" s="7">
        <v>2471.1001000000001</v>
      </c>
      <c r="E783" s="7">
        <v>2504.1001000000001</v>
      </c>
      <c r="F783" s="18">
        <v>210</v>
      </c>
      <c r="G783" s="7">
        <v>2485.7714000000001</v>
      </c>
      <c r="H783" s="7">
        <v>2432.4467</v>
      </c>
      <c r="I783" s="7">
        <v>2372.2678000000001</v>
      </c>
      <c r="J783" s="8">
        <v>-0.27479999999999999</v>
      </c>
      <c r="K783" s="7">
        <v>0.94</v>
      </c>
      <c r="L783" s="7">
        <v>1.0467</v>
      </c>
      <c r="M783" s="8">
        <v>62.749299999999998</v>
      </c>
      <c r="N783" s="8">
        <v>30.154900000000001</v>
      </c>
      <c r="O783" s="7">
        <v>23.267299999999999</v>
      </c>
      <c r="P783" s="7">
        <v>2529.8341999999998</v>
      </c>
      <c r="Q783" s="7">
        <v>2347.5758000000001</v>
      </c>
      <c r="R783" s="7" t="str">
        <f t="shared" si="181"/>
        <v>Up</v>
      </c>
      <c r="S783" s="7" t="str">
        <f t="shared" si="182"/>
        <v>Hold</v>
      </c>
      <c r="T783" s="8">
        <f t="shared" si="183"/>
        <v>0.19753402061855679</v>
      </c>
      <c r="U783" s="18">
        <f t="shared" si="184"/>
        <v>1709639</v>
      </c>
      <c r="V783" s="7">
        <f t="shared" si="185"/>
        <v>5586.2002000000002</v>
      </c>
      <c r="W783" s="7">
        <f t="shared" si="186"/>
        <v>2471.1001000000001</v>
      </c>
      <c r="X783" s="7">
        <f t="shared" si="187"/>
        <v>2504.1001000000001</v>
      </c>
      <c r="Y783" s="7">
        <f t="shared" si="188"/>
        <v>156</v>
      </c>
      <c r="Z783" s="7">
        <f t="shared" si="189"/>
        <v>523516</v>
      </c>
      <c r="AA783" s="7" t="str">
        <f t="shared" si="190"/>
        <v>22-Aug-2024</v>
      </c>
      <c r="AB783" s="7">
        <f t="shared" si="191"/>
        <v>2504.1001000000001</v>
      </c>
      <c r="AC783" s="7">
        <f t="shared" si="195"/>
        <v>1</v>
      </c>
      <c r="AD783" s="7">
        <f t="shared" si="192"/>
        <v>2024</v>
      </c>
      <c r="AE783" s="19">
        <f t="shared" si="193"/>
        <v>-0.27</v>
      </c>
      <c r="BA783" s="10">
        <f t="shared" si="194"/>
        <v>26.997800000000002</v>
      </c>
    </row>
    <row r="784" spans="1:53" x14ac:dyDescent="0.3">
      <c r="A784" s="17">
        <v>45527</v>
      </c>
      <c r="B784" s="8">
        <v>2508.3998999999999</v>
      </c>
      <c r="C784" s="7">
        <v>2508.3998999999999</v>
      </c>
      <c r="D784" s="7">
        <v>2486.5</v>
      </c>
      <c r="E784" s="7">
        <v>2486.5</v>
      </c>
      <c r="F784" s="18">
        <v>94</v>
      </c>
      <c r="G784" s="7">
        <v>2488.4142999999999</v>
      </c>
      <c r="H784" s="7">
        <v>2435.3366999999998</v>
      </c>
      <c r="I784" s="7">
        <v>2373.4067</v>
      </c>
      <c r="J784" s="8">
        <v>-0.70289999999999997</v>
      </c>
      <c r="K784" s="7">
        <v>1.0061</v>
      </c>
      <c r="L784" s="7">
        <v>1.0497000000000001</v>
      </c>
      <c r="M784" s="8">
        <v>58.853999999999999</v>
      </c>
      <c r="N784" s="8">
        <v>29.264500000000002</v>
      </c>
      <c r="O784" s="7">
        <v>24.466699999999999</v>
      </c>
      <c r="P784" s="7">
        <v>2531.8168999999998</v>
      </c>
      <c r="Q784" s="7">
        <v>2357.3732</v>
      </c>
      <c r="R784" s="7" t="str">
        <f t="shared" si="181"/>
        <v>Down</v>
      </c>
      <c r="S784" s="7" t="str">
        <f t="shared" si="182"/>
        <v>Hold</v>
      </c>
      <c r="T784" s="8">
        <f t="shared" si="183"/>
        <v>0.19875452196382437</v>
      </c>
      <c r="U784" s="18">
        <f t="shared" si="184"/>
        <v>1709429</v>
      </c>
      <c r="V784" s="7">
        <f t="shared" si="185"/>
        <v>5586.2002000000002</v>
      </c>
      <c r="W784" s="7">
        <f t="shared" si="186"/>
        <v>2476.3000000000002</v>
      </c>
      <c r="X784" s="7">
        <f t="shared" si="187"/>
        <v>2486.5</v>
      </c>
      <c r="Y784" s="7">
        <f t="shared" si="188"/>
        <v>155</v>
      </c>
      <c r="Z784" s="7">
        <f t="shared" si="189"/>
        <v>523306</v>
      </c>
      <c r="AA784" s="7" t="str">
        <f t="shared" si="190"/>
        <v>23-Aug-2024</v>
      </c>
      <c r="AB784" s="7">
        <f t="shared" si="191"/>
        <v>2486.5</v>
      </c>
      <c r="AC784" s="7">
        <f t="shared" si="195"/>
        <v>1</v>
      </c>
      <c r="AD784" s="7">
        <f t="shared" si="192"/>
        <v>2024</v>
      </c>
      <c r="AE784" s="19">
        <f t="shared" si="193"/>
        <v>-0.7</v>
      </c>
      <c r="BA784" s="10">
        <f t="shared" si="194"/>
        <v>26.997800000000002</v>
      </c>
    </row>
    <row r="785" spans="1:53" x14ac:dyDescent="0.3">
      <c r="A785" s="17">
        <v>45530</v>
      </c>
      <c r="B785" s="8">
        <v>2517.6999999999998</v>
      </c>
      <c r="C785" s="7">
        <v>2523.1001000000001</v>
      </c>
      <c r="D785" s="7">
        <v>2509.1001000000001</v>
      </c>
      <c r="E785" s="7">
        <v>2509.8998999999999</v>
      </c>
      <c r="F785" s="18">
        <v>290</v>
      </c>
      <c r="G785" s="7">
        <v>2496.7143000000001</v>
      </c>
      <c r="H785" s="7">
        <v>2438</v>
      </c>
      <c r="I785" s="7">
        <v>2374.8033</v>
      </c>
      <c r="J785" s="8">
        <v>0.94110000000000005</v>
      </c>
      <c r="K785" s="7">
        <v>0.98399999999999999</v>
      </c>
      <c r="L785" s="7">
        <v>1.0394000000000001</v>
      </c>
      <c r="M785" s="8">
        <v>69.296099999999996</v>
      </c>
      <c r="N785" s="8">
        <v>30.100100000000001</v>
      </c>
      <c r="O785" s="7">
        <v>25.593399999999999</v>
      </c>
      <c r="P785" s="7">
        <v>2537.0563000000002</v>
      </c>
      <c r="Q785" s="7">
        <v>2365.3937000000001</v>
      </c>
      <c r="R785" s="7" t="str">
        <f t="shared" si="181"/>
        <v>Down</v>
      </c>
      <c r="S785" s="7" t="str">
        <f t="shared" si="182"/>
        <v>Hold</v>
      </c>
      <c r="T785" s="8">
        <f t="shared" si="183"/>
        <v>0.2010904145077721</v>
      </c>
      <c r="U785" s="18">
        <f t="shared" si="184"/>
        <v>1709335</v>
      </c>
      <c r="V785" s="7">
        <f t="shared" si="185"/>
        <v>5586.2002000000002</v>
      </c>
      <c r="W785" s="7">
        <f t="shared" si="186"/>
        <v>2476.3000000000002</v>
      </c>
      <c r="X785" s="7">
        <f t="shared" si="187"/>
        <v>2509.8998999999999</v>
      </c>
      <c r="Y785" s="7">
        <f t="shared" si="188"/>
        <v>155</v>
      </c>
      <c r="Z785" s="7">
        <f t="shared" si="189"/>
        <v>523306</v>
      </c>
      <c r="AA785" s="7" t="str">
        <f t="shared" si="190"/>
        <v>26-Aug-2024</v>
      </c>
      <c r="AB785" s="7">
        <f t="shared" si="191"/>
        <v>2509.8998999999999</v>
      </c>
      <c r="AC785" s="7">
        <f t="shared" si="195"/>
        <v>1</v>
      </c>
      <c r="AD785" s="7">
        <f t="shared" si="192"/>
        <v>2024</v>
      </c>
      <c r="AE785" s="19">
        <f t="shared" si="193"/>
        <v>0.94</v>
      </c>
      <c r="BA785" s="10">
        <f t="shared" si="194"/>
        <v>26.997800000000002</v>
      </c>
    </row>
    <row r="786" spans="1:53" x14ac:dyDescent="0.3">
      <c r="A786" s="17">
        <v>45531</v>
      </c>
      <c r="B786" s="8">
        <v>2516</v>
      </c>
      <c r="C786" s="7">
        <v>2523.1001000000001</v>
      </c>
      <c r="D786" s="7">
        <v>2506.8998999999999</v>
      </c>
      <c r="E786" s="7">
        <v>2515.1999999999998</v>
      </c>
      <c r="F786" s="18">
        <v>100</v>
      </c>
      <c r="G786" s="7">
        <v>2505.5286000000001</v>
      </c>
      <c r="H786" s="7">
        <v>2440.9267</v>
      </c>
      <c r="I786" s="7">
        <v>2376.4344000000001</v>
      </c>
      <c r="J786" s="8">
        <v>0.2112</v>
      </c>
      <c r="K786" s="7">
        <v>0.97889999999999999</v>
      </c>
      <c r="L786" s="7">
        <v>1.0387</v>
      </c>
      <c r="M786" s="8">
        <v>76.715900000000005</v>
      </c>
      <c r="N786" s="8">
        <v>30.834499999999998</v>
      </c>
      <c r="O786" s="7">
        <v>26.6416</v>
      </c>
      <c r="P786" s="7">
        <v>2541.5916999999999</v>
      </c>
      <c r="Q786" s="7">
        <v>2374.2883000000002</v>
      </c>
      <c r="R786" s="7" t="str">
        <f t="shared" si="181"/>
        <v>Down</v>
      </c>
      <c r="S786" s="7" t="str">
        <f t="shared" si="182"/>
        <v>Sell</v>
      </c>
      <c r="T786" s="8">
        <f t="shared" si="183"/>
        <v>0.19916831168831176</v>
      </c>
      <c r="U786" s="18">
        <f t="shared" si="184"/>
        <v>1709045</v>
      </c>
      <c r="V786" s="7">
        <f t="shared" si="185"/>
        <v>5586.2002000000002</v>
      </c>
      <c r="W786" s="7">
        <f t="shared" si="186"/>
        <v>2476.3000000000002</v>
      </c>
      <c r="X786" s="7">
        <f t="shared" si="187"/>
        <v>2515.1999999999998</v>
      </c>
      <c r="Y786" s="7">
        <f t="shared" si="188"/>
        <v>155</v>
      </c>
      <c r="Z786" s="7">
        <f t="shared" si="189"/>
        <v>523306</v>
      </c>
      <c r="AA786" s="7" t="str">
        <f t="shared" si="190"/>
        <v>27-Aug-2024</v>
      </c>
      <c r="AB786" s="7">
        <f t="shared" si="191"/>
        <v>2515.1999999999998</v>
      </c>
      <c r="AC786" s="7">
        <f t="shared" si="195"/>
        <v>1</v>
      </c>
      <c r="AD786" s="7">
        <f t="shared" si="192"/>
        <v>2024</v>
      </c>
      <c r="AE786" s="19">
        <f t="shared" si="193"/>
        <v>0.21</v>
      </c>
      <c r="BA786" s="10">
        <f t="shared" si="194"/>
        <v>26.997800000000002</v>
      </c>
    </row>
    <row r="787" spans="1:53" x14ac:dyDescent="0.3">
      <c r="A787" s="17">
        <v>45532</v>
      </c>
      <c r="B787" s="8">
        <v>2501</v>
      </c>
      <c r="C787" s="7">
        <v>2501</v>
      </c>
      <c r="D787" s="7">
        <v>2501</v>
      </c>
      <c r="E787" s="7">
        <v>2501</v>
      </c>
      <c r="F787" s="18">
        <v>2353</v>
      </c>
      <c r="G787" s="7">
        <v>2504.4571000000001</v>
      </c>
      <c r="H787" s="7">
        <v>2441.8633</v>
      </c>
      <c r="I787" s="7">
        <v>2377.7867000000001</v>
      </c>
      <c r="J787" s="8">
        <v>-0.56459999999999999</v>
      </c>
      <c r="K787" s="7">
        <v>0.56799999999999995</v>
      </c>
      <c r="L787" s="7">
        <v>0.99139999999999995</v>
      </c>
      <c r="M787" s="8">
        <v>74.672300000000007</v>
      </c>
      <c r="N787" s="8">
        <v>29.925699999999999</v>
      </c>
      <c r="O787" s="7">
        <v>27.298400000000001</v>
      </c>
      <c r="P787" s="7">
        <v>2544.7995000000001</v>
      </c>
      <c r="Q787" s="7">
        <v>2380.4704999999999</v>
      </c>
      <c r="R787" s="7" t="str">
        <f t="shared" si="181"/>
        <v>Down</v>
      </c>
      <c r="S787" s="7" t="str">
        <f t="shared" si="182"/>
        <v>Sell</v>
      </c>
      <c r="T787" s="8">
        <f t="shared" si="183"/>
        <v>0.19913697916666676</v>
      </c>
      <c r="U787" s="18">
        <f t="shared" si="184"/>
        <v>1708945</v>
      </c>
      <c r="V787" s="7">
        <f t="shared" si="185"/>
        <v>5586.2002000000002</v>
      </c>
      <c r="W787" s="7">
        <f t="shared" si="186"/>
        <v>2476.3000000000002</v>
      </c>
      <c r="X787" s="7">
        <f t="shared" si="187"/>
        <v>2501</v>
      </c>
      <c r="Y787" s="7">
        <f t="shared" si="188"/>
        <v>155</v>
      </c>
      <c r="Z787" s="7">
        <f t="shared" si="189"/>
        <v>523306</v>
      </c>
      <c r="AA787" s="7" t="str">
        <f t="shared" si="190"/>
        <v>28-Aug-2024</v>
      </c>
      <c r="AB787" s="7">
        <f t="shared" si="191"/>
        <v>2501</v>
      </c>
      <c r="AC787" s="7">
        <f t="shared" si="195"/>
        <v>1</v>
      </c>
      <c r="AD787" s="7">
        <f t="shared" si="192"/>
        <v>2024</v>
      </c>
      <c r="AE787" s="19">
        <f t="shared" si="193"/>
        <v>-0.56000000000000005</v>
      </c>
      <c r="BA787" s="10">
        <f t="shared" si="194"/>
        <v>26.997800000000002</v>
      </c>
    </row>
    <row r="788" spans="1:53" x14ac:dyDescent="0.3">
      <c r="A788" s="17">
        <v>45533</v>
      </c>
      <c r="B788" s="8">
        <v>2525.6999999999998</v>
      </c>
      <c r="C788" s="7">
        <v>2525.6999999999998</v>
      </c>
      <c r="D788" s="7">
        <v>2503.8998999999999</v>
      </c>
      <c r="E788" s="7">
        <v>2504.1001000000001</v>
      </c>
      <c r="F788" s="18">
        <v>3966</v>
      </c>
      <c r="G788" s="7">
        <v>2504.5428999999999</v>
      </c>
      <c r="H788" s="7">
        <v>2443.1333</v>
      </c>
      <c r="I788" s="7">
        <v>2379.1289000000002</v>
      </c>
      <c r="J788" s="8">
        <v>0.124</v>
      </c>
      <c r="K788" s="7">
        <v>0.56620000000000004</v>
      </c>
      <c r="L788" s="7">
        <v>0.98960000000000004</v>
      </c>
      <c r="M788" s="8">
        <v>70.287700000000001</v>
      </c>
      <c r="N788" s="8">
        <v>29.12</v>
      </c>
      <c r="O788" s="7">
        <v>27.662700000000001</v>
      </c>
      <c r="P788" s="7">
        <v>2549.3193000000001</v>
      </c>
      <c r="Q788" s="7">
        <v>2381.6907000000001</v>
      </c>
      <c r="R788" s="7" t="str">
        <f t="shared" si="181"/>
        <v>Down</v>
      </c>
      <c r="S788" s="7" t="str">
        <f t="shared" si="182"/>
        <v>Sell</v>
      </c>
      <c r="T788" s="8">
        <f t="shared" si="183"/>
        <v>0.20113107049608361</v>
      </c>
      <c r="U788" s="18">
        <f t="shared" si="184"/>
        <v>1706592</v>
      </c>
      <c r="V788" s="7">
        <f t="shared" si="185"/>
        <v>5586.2002000000002</v>
      </c>
      <c r="W788" s="7">
        <f t="shared" si="186"/>
        <v>2476.3000000000002</v>
      </c>
      <c r="X788" s="7">
        <f t="shared" si="187"/>
        <v>2504.1001000000001</v>
      </c>
      <c r="Y788" s="7">
        <f t="shared" si="188"/>
        <v>155</v>
      </c>
      <c r="Z788" s="7">
        <f t="shared" si="189"/>
        <v>523306</v>
      </c>
      <c r="AA788" s="7" t="str">
        <f t="shared" si="190"/>
        <v>29-Aug-2024</v>
      </c>
      <c r="AB788" s="7">
        <f t="shared" si="191"/>
        <v>2504.1001000000001</v>
      </c>
      <c r="AC788" s="7">
        <f t="shared" si="195"/>
        <v>1</v>
      </c>
      <c r="AD788" s="7">
        <f t="shared" si="192"/>
        <v>2024</v>
      </c>
      <c r="AE788" s="19">
        <f t="shared" si="193"/>
        <v>0.12</v>
      </c>
      <c r="BA788" s="10">
        <f t="shared" si="194"/>
        <v>26.997800000000002</v>
      </c>
    </row>
    <row r="789" spans="1:53" x14ac:dyDescent="0.3">
      <c r="A789" s="17">
        <v>45534</v>
      </c>
      <c r="B789" s="8">
        <v>2493.8000000000002</v>
      </c>
      <c r="C789" s="7">
        <v>2525.3998999999999</v>
      </c>
      <c r="D789" s="7">
        <v>2493.8000000000002</v>
      </c>
      <c r="E789" s="7">
        <v>2519.5</v>
      </c>
      <c r="F789" s="18">
        <v>208</v>
      </c>
      <c r="G789" s="7">
        <v>2505.7570999999998</v>
      </c>
      <c r="H789" s="7">
        <v>2446.4899999999998</v>
      </c>
      <c r="I789" s="7">
        <v>2381.2600000000002</v>
      </c>
      <c r="J789" s="8">
        <v>0.61499999999999999</v>
      </c>
      <c r="K789" s="7">
        <v>0.6048</v>
      </c>
      <c r="L789" s="7">
        <v>0.9214</v>
      </c>
      <c r="M789" s="8">
        <v>71.006799999999998</v>
      </c>
      <c r="N789" s="8">
        <v>29.385400000000001</v>
      </c>
      <c r="O789" s="7">
        <v>28.007300000000001</v>
      </c>
      <c r="P789" s="7">
        <v>2555.7741999999998</v>
      </c>
      <c r="Q789" s="7">
        <v>2382.7858000000001</v>
      </c>
      <c r="R789" s="7" t="str">
        <f t="shared" si="181"/>
        <v>Up</v>
      </c>
      <c r="S789" s="7" t="str">
        <f t="shared" si="182"/>
        <v>Sell</v>
      </c>
      <c r="T789" s="8">
        <f t="shared" si="183"/>
        <v>0.2013329842931938</v>
      </c>
      <c r="U789" s="18">
        <f t="shared" si="184"/>
        <v>1702626</v>
      </c>
      <c r="V789" s="7">
        <f t="shared" si="185"/>
        <v>5586.2002000000002</v>
      </c>
      <c r="W789" s="7">
        <f t="shared" si="186"/>
        <v>2476.3000000000002</v>
      </c>
      <c r="X789" s="7">
        <f t="shared" si="187"/>
        <v>2519.5</v>
      </c>
      <c r="Y789" s="7">
        <f t="shared" si="188"/>
        <v>155</v>
      </c>
      <c r="Z789" s="7">
        <f t="shared" si="189"/>
        <v>523306</v>
      </c>
      <c r="AA789" s="7" t="str">
        <f t="shared" si="190"/>
        <v>30-Aug-2024</v>
      </c>
      <c r="AB789" s="7">
        <f t="shared" si="191"/>
        <v>2519.5</v>
      </c>
      <c r="AC789" s="7">
        <f t="shared" si="195"/>
        <v>1</v>
      </c>
      <c r="AD789" s="7">
        <f t="shared" si="192"/>
        <v>2024</v>
      </c>
      <c r="AE789" s="19">
        <f t="shared" si="193"/>
        <v>0.62</v>
      </c>
      <c r="BA789" s="10">
        <f t="shared" si="194"/>
        <v>26.997800000000002</v>
      </c>
    </row>
    <row r="790" spans="1:53" x14ac:dyDescent="0.3">
      <c r="A790" s="17">
        <v>45538</v>
      </c>
      <c r="B790" s="8">
        <v>2489.8998999999999</v>
      </c>
      <c r="C790" s="7">
        <v>2501.8000000000002</v>
      </c>
      <c r="D790" s="7">
        <v>2476.3000000000002</v>
      </c>
      <c r="E790" s="7">
        <v>2501.6001000000001</v>
      </c>
      <c r="F790" s="18">
        <v>206</v>
      </c>
      <c r="G790" s="7">
        <v>2505.4</v>
      </c>
      <c r="H790" s="7">
        <v>2449.8067000000001</v>
      </c>
      <c r="I790" s="7">
        <v>2383.2633000000001</v>
      </c>
      <c r="J790" s="8">
        <v>-0.71050000000000002</v>
      </c>
      <c r="K790" s="7">
        <v>0.6633</v>
      </c>
      <c r="L790" s="7">
        <v>0.92200000000000004</v>
      </c>
      <c r="M790" s="8">
        <v>60.346600000000002</v>
      </c>
      <c r="N790" s="8">
        <v>27.830500000000001</v>
      </c>
      <c r="O790" s="7">
        <v>27.971900000000002</v>
      </c>
      <c r="P790" s="7">
        <v>2558.9034999999999</v>
      </c>
      <c r="Q790" s="7">
        <v>2385.6165000000001</v>
      </c>
      <c r="R790" s="7" t="str">
        <f t="shared" si="181"/>
        <v>Up</v>
      </c>
      <c r="S790" s="7" t="str">
        <f t="shared" si="182"/>
        <v>Hold</v>
      </c>
      <c r="T790" s="8">
        <f t="shared" si="183"/>
        <v>0.2002472440944883</v>
      </c>
      <c r="U790" s="18">
        <f t="shared" si="184"/>
        <v>1702418</v>
      </c>
      <c r="V790" s="7">
        <f t="shared" si="185"/>
        <v>5586.2002000000002</v>
      </c>
      <c r="W790" s="7">
        <f t="shared" si="186"/>
        <v>2476.3000000000002</v>
      </c>
      <c r="X790" s="7">
        <f t="shared" si="187"/>
        <v>2501.6001000000001</v>
      </c>
      <c r="Y790" s="7">
        <f t="shared" si="188"/>
        <v>154</v>
      </c>
      <c r="Z790" s="7">
        <f t="shared" si="189"/>
        <v>523098</v>
      </c>
      <c r="AA790" s="7" t="str">
        <f t="shared" si="190"/>
        <v>03-Sep-2024</v>
      </c>
      <c r="AB790" s="7">
        <f t="shared" si="191"/>
        <v>2501.6001000000001</v>
      </c>
      <c r="AC790" s="7">
        <f t="shared" si="195"/>
        <v>1</v>
      </c>
      <c r="AD790" s="7">
        <f t="shared" si="192"/>
        <v>2024</v>
      </c>
      <c r="AE790" s="19">
        <f t="shared" si="193"/>
        <v>-0.71</v>
      </c>
      <c r="BA790" s="10">
        <f t="shared" si="194"/>
        <v>26.997800000000002</v>
      </c>
    </row>
    <row r="791" spans="1:53" x14ac:dyDescent="0.3">
      <c r="A791" s="17">
        <v>45539</v>
      </c>
      <c r="B791" s="8">
        <v>2493.3998999999999</v>
      </c>
      <c r="C791" s="7">
        <v>2493.3998999999999</v>
      </c>
      <c r="D791" s="7">
        <v>2483.5</v>
      </c>
      <c r="E791" s="7">
        <v>2490.8998999999999</v>
      </c>
      <c r="F791" s="18">
        <v>470</v>
      </c>
      <c r="G791" s="7">
        <v>2506.0286000000001</v>
      </c>
      <c r="H791" s="7">
        <v>2452.9767000000002</v>
      </c>
      <c r="I791" s="7">
        <v>2385.2177999999999</v>
      </c>
      <c r="J791" s="8">
        <v>-0.42770000000000002</v>
      </c>
      <c r="K791" s="7">
        <v>0.62250000000000005</v>
      </c>
      <c r="L791" s="7">
        <v>0.92500000000000004</v>
      </c>
      <c r="M791" s="8">
        <v>55.727800000000002</v>
      </c>
      <c r="N791" s="8">
        <v>25.441500000000001</v>
      </c>
      <c r="O791" s="7">
        <v>27.465800000000002</v>
      </c>
      <c r="P791" s="7">
        <v>2558.6417999999999</v>
      </c>
      <c r="Q791" s="7">
        <v>2393.5182</v>
      </c>
      <c r="R791" s="7" t="str">
        <f t="shared" si="181"/>
        <v>Down</v>
      </c>
      <c r="S791" s="7" t="str">
        <f t="shared" si="182"/>
        <v>Hold</v>
      </c>
      <c r="T791" s="8">
        <f t="shared" si="183"/>
        <v>0.20264394736842109</v>
      </c>
      <c r="U791" s="18">
        <f t="shared" si="184"/>
        <v>1702212</v>
      </c>
      <c r="V791" s="7">
        <f t="shared" si="185"/>
        <v>5586.2002000000002</v>
      </c>
      <c r="W791" s="7">
        <f t="shared" si="186"/>
        <v>2483.5</v>
      </c>
      <c r="X791" s="7">
        <f t="shared" si="187"/>
        <v>2490.8998999999999</v>
      </c>
      <c r="Y791" s="7">
        <f t="shared" si="188"/>
        <v>153</v>
      </c>
      <c r="Z791" s="7">
        <f t="shared" si="189"/>
        <v>522892</v>
      </c>
      <c r="AA791" s="7" t="str">
        <f t="shared" si="190"/>
        <v>04-Sep-2024</v>
      </c>
      <c r="AB791" s="7">
        <f t="shared" si="191"/>
        <v>2490.8998999999999</v>
      </c>
      <c r="AC791" s="7">
        <f t="shared" si="195"/>
        <v>1</v>
      </c>
      <c r="AD791" s="7">
        <f t="shared" si="192"/>
        <v>2024</v>
      </c>
      <c r="AE791" s="19">
        <f t="shared" si="193"/>
        <v>-0.43</v>
      </c>
      <c r="BA791" s="10">
        <f t="shared" si="194"/>
        <v>26.997800000000002</v>
      </c>
    </row>
    <row r="792" spans="1:53" x14ac:dyDescent="0.3">
      <c r="A792" s="17">
        <v>45540</v>
      </c>
      <c r="B792" s="8">
        <v>2511.3998999999999</v>
      </c>
      <c r="C792" s="7">
        <v>2513.3000000000002</v>
      </c>
      <c r="D792" s="7">
        <v>2493.3998999999999</v>
      </c>
      <c r="E792" s="7">
        <v>2493.6999999999998</v>
      </c>
      <c r="F792" s="18">
        <v>54</v>
      </c>
      <c r="G792" s="7">
        <v>2503.7143000000001</v>
      </c>
      <c r="H792" s="7">
        <v>2455.4</v>
      </c>
      <c r="I792" s="7">
        <v>2386.8377999999998</v>
      </c>
      <c r="J792" s="8">
        <v>0.1124</v>
      </c>
      <c r="K792" s="7">
        <v>0.48280000000000001</v>
      </c>
      <c r="L792" s="7">
        <v>0.90859999999999996</v>
      </c>
      <c r="M792" s="8">
        <v>61.233199999999997</v>
      </c>
      <c r="N792" s="8">
        <v>23.503299999999999</v>
      </c>
      <c r="O792" s="7">
        <v>26.673300000000001</v>
      </c>
      <c r="P792" s="7">
        <v>2553.902</v>
      </c>
      <c r="Q792" s="7">
        <v>2408.4079999999999</v>
      </c>
      <c r="R792" s="7" t="str">
        <f t="shared" si="181"/>
        <v>Down</v>
      </c>
      <c r="S792" s="7" t="str">
        <f t="shared" si="182"/>
        <v>Hold</v>
      </c>
      <c r="T792" s="8">
        <f t="shared" si="183"/>
        <v>0.20430712401055418</v>
      </c>
      <c r="U792" s="18">
        <f t="shared" si="184"/>
        <v>1701742</v>
      </c>
      <c r="V792" s="7">
        <f t="shared" si="185"/>
        <v>5586.2002000000002</v>
      </c>
      <c r="W792" s="7">
        <f t="shared" si="186"/>
        <v>2483.6999999999998</v>
      </c>
      <c r="X792" s="7">
        <f t="shared" si="187"/>
        <v>2493.6999999999998</v>
      </c>
      <c r="Y792" s="7">
        <f t="shared" si="188"/>
        <v>153</v>
      </c>
      <c r="Z792" s="7">
        <f t="shared" si="189"/>
        <v>522892</v>
      </c>
      <c r="AA792" s="7" t="str">
        <f t="shared" si="190"/>
        <v>05-Sep-2024</v>
      </c>
      <c r="AB792" s="7">
        <f t="shared" si="191"/>
        <v>2493.6999999999998</v>
      </c>
      <c r="AC792" s="7">
        <f t="shared" si="195"/>
        <v>1</v>
      </c>
      <c r="AD792" s="7">
        <f t="shared" si="192"/>
        <v>2024</v>
      </c>
      <c r="AE792" s="19">
        <f t="shared" si="193"/>
        <v>0.11</v>
      </c>
      <c r="BA792" s="10">
        <f t="shared" si="194"/>
        <v>26.997800000000002</v>
      </c>
    </row>
    <row r="793" spans="1:53" x14ac:dyDescent="0.3">
      <c r="A793" s="17">
        <v>45541</v>
      </c>
      <c r="B793" s="8">
        <v>2493.5</v>
      </c>
      <c r="C793" s="7">
        <v>2517.8998999999999</v>
      </c>
      <c r="D793" s="7">
        <v>2483.6999999999998</v>
      </c>
      <c r="E793" s="7">
        <v>2510.3000000000002</v>
      </c>
      <c r="F793" s="18">
        <v>96</v>
      </c>
      <c r="G793" s="7">
        <v>2503.0142999999998</v>
      </c>
      <c r="H793" s="7">
        <v>2460.2267000000002</v>
      </c>
      <c r="I793" s="7">
        <v>2388.7878000000001</v>
      </c>
      <c r="J793" s="8">
        <v>0.66569999999999996</v>
      </c>
      <c r="K793" s="7">
        <v>0.5554</v>
      </c>
      <c r="L793" s="7">
        <v>0.79279999999999995</v>
      </c>
      <c r="M793" s="8">
        <v>64.101299999999995</v>
      </c>
      <c r="N793" s="8">
        <v>23.0411</v>
      </c>
      <c r="O793" s="7">
        <v>25.946899999999999</v>
      </c>
      <c r="P793" s="7">
        <v>2545.1518000000001</v>
      </c>
      <c r="Q793" s="7">
        <v>2429.7583</v>
      </c>
      <c r="R793" s="7" t="str">
        <f t="shared" si="181"/>
        <v>Up</v>
      </c>
      <c r="S793" s="7" t="str">
        <f t="shared" si="182"/>
        <v>Hold</v>
      </c>
      <c r="T793" s="8">
        <f t="shared" si="183"/>
        <v>0.20455026455026462</v>
      </c>
      <c r="U793" s="18">
        <f t="shared" si="184"/>
        <v>1701688</v>
      </c>
      <c r="V793" s="7">
        <f t="shared" si="185"/>
        <v>5586.2002000000002</v>
      </c>
      <c r="W793" s="7">
        <f t="shared" si="186"/>
        <v>2483.6999999999998</v>
      </c>
      <c r="X793" s="7">
        <f t="shared" si="187"/>
        <v>2510.3000000000002</v>
      </c>
      <c r="Y793" s="7">
        <f t="shared" si="188"/>
        <v>153</v>
      </c>
      <c r="Z793" s="7">
        <f t="shared" si="189"/>
        <v>522892</v>
      </c>
      <c r="AA793" s="7" t="str">
        <f t="shared" si="190"/>
        <v>06-Sep-2024</v>
      </c>
      <c r="AB793" s="7">
        <f t="shared" si="191"/>
        <v>2510.3000000000002</v>
      </c>
      <c r="AC793" s="7">
        <f t="shared" si="195"/>
        <v>1</v>
      </c>
      <c r="AD793" s="7">
        <f t="shared" si="192"/>
        <v>2024</v>
      </c>
      <c r="AE793" s="19">
        <f t="shared" si="193"/>
        <v>0.67</v>
      </c>
      <c r="BA793" s="10">
        <f t="shared" si="194"/>
        <v>26.997800000000002</v>
      </c>
    </row>
    <row r="794" spans="1:53" x14ac:dyDescent="0.3">
      <c r="A794" s="17">
        <v>45544</v>
      </c>
      <c r="B794" s="8">
        <v>2501.8000000000002</v>
      </c>
      <c r="C794" s="7">
        <v>2504.6999999999998</v>
      </c>
      <c r="D794" s="7">
        <v>2491.3000000000002</v>
      </c>
      <c r="E794" s="7">
        <v>2491.3000000000002</v>
      </c>
      <c r="F794" s="18">
        <v>96</v>
      </c>
      <c r="G794" s="7">
        <v>2501.6286</v>
      </c>
      <c r="H794" s="7">
        <v>2464.3132999999998</v>
      </c>
      <c r="I794" s="7">
        <v>2390.6633000000002</v>
      </c>
      <c r="J794" s="8">
        <v>-0.75690000000000002</v>
      </c>
      <c r="K794" s="7">
        <v>0.59009999999999996</v>
      </c>
      <c r="L794" s="7">
        <v>0.81189999999999996</v>
      </c>
      <c r="M794" s="8">
        <v>44.8005</v>
      </c>
      <c r="N794" s="8">
        <v>20.900700000000001</v>
      </c>
      <c r="O794" s="7">
        <v>24.9376</v>
      </c>
      <c r="P794" s="7">
        <v>2539.7741000000001</v>
      </c>
      <c r="Q794" s="7">
        <v>2442.0358999999999</v>
      </c>
      <c r="R794" s="7" t="str">
        <f t="shared" si="181"/>
        <v>Down</v>
      </c>
      <c r="S794" s="7" t="str">
        <f t="shared" si="182"/>
        <v>Hold</v>
      </c>
      <c r="T794" s="8">
        <f t="shared" si="183"/>
        <v>0.20332705570291787</v>
      </c>
      <c r="U794" s="18">
        <f t="shared" si="184"/>
        <v>1701592</v>
      </c>
      <c r="V794" s="7">
        <f t="shared" si="185"/>
        <v>5586.2002000000002</v>
      </c>
      <c r="W794" s="7">
        <f t="shared" si="186"/>
        <v>2491.3000000000002</v>
      </c>
      <c r="X794" s="7">
        <f t="shared" si="187"/>
        <v>2491.3000000000002</v>
      </c>
      <c r="Y794" s="7">
        <f t="shared" si="188"/>
        <v>152</v>
      </c>
      <c r="Z794" s="7">
        <f t="shared" si="189"/>
        <v>522796</v>
      </c>
      <c r="AA794" s="7" t="str">
        <f t="shared" si="190"/>
        <v>09-Sep-2024</v>
      </c>
      <c r="AB794" s="7">
        <f t="shared" si="191"/>
        <v>2491.3000000000002</v>
      </c>
      <c r="AC794" s="7">
        <f t="shared" si="195"/>
        <v>1</v>
      </c>
      <c r="AD794" s="7">
        <f t="shared" si="192"/>
        <v>2024</v>
      </c>
      <c r="AE794" s="19">
        <f t="shared" si="193"/>
        <v>-0.76</v>
      </c>
      <c r="BA794" s="10">
        <f t="shared" si="194"/>
        <v>26.997800000000002</v>
      </c>
    </row>
    <row r="795" spans="1:53" x14ac:dyDescent="0.3">
      <c r="A795" s="17">
        <v>45545</v>
      </c>
      <c r="B795" s="8">
        <v>2512.3000000000002</v>
      </c>
      <c r="C795" s="7">
        <v>2512.3000000000002</v>
      </c>
      <c r="D795" s="7">
        <v>2512.3000000000002</v>
      </c>
      <c r="E795" s="7">
        <v>2512.3000000000002</v>
      </c>
      <c r="F795" s="18">
        <v>5</v>
      </c>
      <c r="G795" s="7">
        <v>2502.8000000000002</v>
      </c>
      <c r="H795" s="7">
        <v>2468.8132999999998</v>
      </c>
      <c r="I795" s="7">
        <v>2393.1588999999999</v>
      </c>
      <c r="J795" s="8">
        <v>0.84289999999999998</v>
      </c>
      <c r="K795" s="7">
        <v>0.68169999999999997</v>
      </c>
      <c r="L795" s="7">
        <v>0.82050000000000001</v>
      </c>
      <c r="M795" s="8">
        <v>52.425600000000003</v>
      </c>
      <c r="N795" s="8">
        <v>20.660799999999998</v>
      </c>
      <c r="O795" s="7">
        <v>24.0823</v>
      </c>
      <c r="P795" s="7">
        <v>2536.1723000000002</v>
      </c>
      <c r="Q795" s="7">
        <v>2453.5978</v>
      </c>
      <c r="R795" s="7" t="str">
        <f t="shared" si="181"/>
        <v>Down</v>
      </c>
      <c r="S795" s="7" t="str">
        <f t="shared" si="182"/>
        <v>Hold</v>
      </c>
      <c r="T795" s="8">
        <f t="shared" si="183"/>
        <v>0.20588085106382989</v>
      </c>
      <c r="U795" s="18">
        <f t="shared" si="184"/>
        <v>1701496</v>
      </c>
      <c r="V795" s="7">
        <f t="shared" si="185"/>
        <v>5586.2002000000002</v>
      </c>
      <c r="W795" s="7">
        <f t="shared" si="186"/>
        <v>2502.3000000000002</v>
      </c>
      <c r="X795" s="7">
        <f t="shared" si="187"/>
        <v>2512.3000000000002</v>
      </c>
      <c r="Y795" s="7">
        <f t="shared" si="188"/>
        <v>152</v>
      </c>
      <c r="Z795" s="7">
        <f t="shared" si="189"/>
        <v>522796</v>
      </c>
      <c r="AA795" s="7" t="str">
        <f t="shared" si="190"/>
        <v>10-Sep-2024</v>
      </c>
      <c r="AB795" s="7">
        <f t="shared" si="191"/>
        <v>2512.3000000000002</v>
      </c>
      <c r="AC795" s="7">
        <f t="shared" si="195"/>
        <v>1</v>
      </c>
      <c r="AD795" s="7">
        <f t="shared" si="192"/>
        <v>2024</v>
      </c>
      <c r="AE795" s="19">
        <f t="shared" si="193"/>
        <v>0.84</v>
      </c>
      <c r="BA795" s="10">
        <f t="shared" si="194"/>
        <v>26.997800000000002</v>
      </c>
    </row>
    <row r="796" spans="1:53" x14ac:dyDescent="0.3">
      <c r="A796" s="17">
        <v>45546</v>
      </c>
      <c r="B796" s="8">
        <v>2512.1001000000001</v>
      </c>
      <c r="C796" s="7">
        <v>2525.8000000000002</v>
      </c>
      <c r="D796" s="7">
        <v>2502.3000000000002</v>
      </c>
      <c r="E796" s="7">
        <v>2525.8000000000002</v>
      </c>
      <c r="F796" s="18">
        <v>90</v>
      </c>
      <c r="G796" s="7">
        <v>2503.6999999999998</v>
      </c>
      <c r="H796" s="7">
        <v>2473.6433000000002</v>
      </c>
      <c r="I796" s="7">
        <v>2395.4267</v>
      </c>
      <c r="J796" s="8">
        <v>0.53739999999999999</v>
      </c>
      <c r="K796" s="7">
        <v>0.67149999999999999</v>
      </c>
      <c r="L796" s="7">
        <v>0.82289999999999996</v>
      </c>
      <c r="M796" s="8">
        <v>53.948799999999999</v>
      </c>
      <c r="N796" s="8">
        <v>21.314399999999999</v>
      </c>
      <c r="O796" s="7">
        <v>23.528700000000001</v>
      </c>
      <c r="P796" s="7">
        <v>2538.3732</v>
      </c>
      <c r="Q796" s="7">
        <v>2457.8768</v>
      </c>
      <c r="R796" s="7" t="str">
        <f t="shared" si="181"/>
        <v>Up</v>
      </c>
      <c r="S796" s="7" t="str">
        <f t="shared" si="182"/>
        <v>Hold</v>
      </c>
      <c r="T796" s="8">
        <f t="shared" si="183"/>
        <v>0.2041821333333334</v>
      </c>
      <c r="U796" s="18">
        <f t="shared" si="184"/>
        <v>1701491</v>
      </c>
      <c r="V796" s="7">
        <f t="shared" si="185"/>
        <v>5586.2002000000002</v>
      </c>
      <c r="W796" s="7">
        <f t="shared" si="186"/>
        <v>2502.3000000000002</v>
      </c>
      <c r="X796" s="7">
        <f t="shared" si="187"/>
        <v>2525.8000000000002</v>
      </c>
      <c r="Y796" s="7">
        <f t="shared" si="188"/>
        <v>152</v>
      </c>
      <c r="Z796" s="7">
        <f t="shared" si="189"/>
        <v>522796</v>
      </c>
      <c r="AA796" s="7" t="str">
        <f t="shared" si="190"/>
        <v>11-Sep-2024</v>
      </c>
      <c r="AB796" s="7">
        <f t="shared" si="191"/>
        <v>2525.8000000000002</v>
      </c>
      <c r="AC796" s="7">
        <f t="shared" si="195"/>
        <v>1</v>
      </c>
      <c r="AD796" s="7">
        <f t="shared" si="192"/>
        <v>2024</v>
      </c>
      <c r="AE796" s="19">
        <f t="shared" si="193"/>
        <v>0.54</v>
      </c>
      <c r="BA796" s="10">
        <f t="shared" si="194"/>
        <v>26.997800000000002</v>
      </c>
    </row>
    <row r="797" spans="1:53" x14ac:dyDescent="0.3">
      <c r="A797" s="17">
        <v>45547</v>
      </c>
      <c r="B797" s="8">
        <v>2551.1999999999998</v>
      </c>
      <c r="C797" s="7">
        <v>2557</v>
      </c>
      <c r="D797" s="7">
        <v>2523.3998999999999</v>
      </c>
      <c r="E797" s="7">
        <v>2529.1001000000001</v>
      </c>
      <c r="F797" s="18">
        <v>132</v>
      </c>
      <c r="G797" s="7">
        <v>2507.6286</v>
      </c>
      <c r="H797" s="7">
        <v>2477.71</v>
      </c>
      <c r="I797" s="7">
        <v>2397.9722000000002</v>
      </c>
      <c r="J797" s="8">
        <v>0.13070000000000001</v>
      </c>
      <c r="K797" s="7">
        <v>0.58509999999999995</v>
      </c>
      <c r="L797" s="7">
        <v>0.80520000000000003</v>
      </c>
      <c r="M797" s="8">
        <v>56.800899999999999</v>
      </c>
      <c r="N797" s="8">
        <v>21.846699999999998</v>
      </c>
      <c r="O797" s="7">
        <v>23.192299999999999</v>
      </c>
      <c r="P797" s="7">
        <v>2541.0743000000002</v>
      </c>
      <c r="Q797" s="7">
        <v>2461.2856999999999</v>
      </c>
      <c r="R797" s="7" t="str">
        <f t="shared" si="181"/>
        <v>Down</v>
      </c>
      <c r="S797" s="7" t="str">
        <f t="shared" si="182"/>
        <v>Hold</v>
      </c>
      <c r="T797" s="8">
        <f t="shared" si="183"/>
        <v>0.20329117647058831</v>
      </c>
      <c r="U797" s="18">
        <f t="shared" si="184"/>
        <v>1701401</v>
      </c>
      <c r="V797" s="7">
        <f t="shared" si="185"/>
        <v>5586.2002000000002</v>
      </c>
      <c r="W797" s="7">
        <f t="shared" si="186"/>
        <v>2523.3998999999999</v>
      </c>
      <c r="X797" s="7">
        <f t="shared" si="187"/>
        <v>2529.1001000000001</v>
      </c>
      <c r="Y797" s="7">
        <f t="shared" si="188"/>
        <v>151</v>
      </c>
      <c r="Z797" s="7">
        <f t="shared" si="189"/>
        <v>522706</v>
      </c>
      <c r="AA797" s="7" t="str">
        <f t="shared" si="190"/>
        <v>12-Sep-2024</v>
      </c>
      <c r="AB797" s="7">
        <f t="shared" si="191"/>
        <v>2529.1001000000001</v>
      </c>
      <c r="AC797" s="7">
        <f t="shared" si="195"/>
        <v>1</v>
      </c>
      <c r="AD797" s="7">
        <f t="shared" si="192"/>
        <v>2024</v>
      </c>
      <c r="AE797" s="19">
        <f t="shared" si="193"/>
        <v>0.13</v>
      </c>
      <c r="BA797" s="10">
        <f t="shared" si="194"/>
        <v>26.997800000000002</v>
      </c>
    </row>
    <row r="798" spans="1:53" x14ac:dyDescent="0.3">
      <c r="A798" s="17">
        <v>45548</v>
      </c>
      <c r="B798" s="8">
        <v>2581.3000000000002</v>
      </c>
      <c r="C798" s="7">
        <v>2581.8000000000002</v>
      </c>
      <c r="D798" s="7">
        <v>2565</v>
      </c>
      <c r="E798" s="7">
        <v>2568.8000000000002</v>
      </c>
      <c r="F798" s="18">
        <v>31</v>
      </c>
      <c r="G798" s="7">
        <v>2518.7572</v>
      </c>
      <c r="H798" s="7">
        <v>2481.7800000000002</v>
      </c>
      <c r="I798" s="7">
        <v>2400.7055999999998</v>
      </c>
      <c r="J798" s="8">
        <v>1.5697000000000001</v>
      </c>
      <c r="K798" s="7">
        <v>0.7228</v>
      </c>
      <c r="L798" s="7">
        <v>0.80049999999999999</v>
      </c>
      <c r="M798" s="8">
        <v>69.985399999999998</v>
      </c>
      <c r="N798" s="8">
        <v>25.181799999999999</v>
      </c>
      <c r="O798" s="7">
        <v>23.590199999999999</v>
      </c>
      <c r="P798" s="7">
        <v>2550.5816</v>
      </c>
      <c r="Q798" s="7">
        <v>2463.4784</v>
      </c>
      <c r="R798" s="7" t="str">
        <f t="shared" si="181"/>
        <v>Down</v>
      </c>
      <c r="S798" s="7" t="str">
        <f t="shared" si="182"/>
        <v>Hold</v>
      </c>
      <c r="T798" s="8">
        <f t="shared" si="183"/>
        <v>0.2034857908847186</v>
      </c>
      <c r="U798" s="18">
        <f t="shared" si="184"/>
        <v>1701269</v>
      </c>
      <c r="V798" s="7">
        <f t="shared" si="185"/>
        <v>5586.2002000000002</v>
      </c>
      <c r="W798" s="7">
        <f t="shared" si="186"/>
        <v>2549.1999999999998</v>
      </c>
      <c r="X798" s="7">
        <f t="shared" si="187"/>
        <v>2568.8000000000002</v>
      </c>
      <c r="Y798" s="7">
        <f t="shared" si="188"/>
        <v>151</v>
      </c>
      <c r="Z798" s="7">
        <f t="shared" si="189"/>
        <v>522706</v>
      </c>
      <c r="AA798" s="7" t="str">
        <f t="shared" si="190"/>
        <v>13-Sep-2024</v>
      </c>
      <c r="AB798" s="7">
        <f t="shared" si="191"/>
        <v>2568.8000000000002</v>
      </c>
      <c r="AC798" s="7">
        <f t="shared" si="195"/>
        <v>1</v>
      </c>
      <c r="AD798" s="7">
        <f t="shared" si="192"/>
        <v>2024</v>
      </c>
      <c r="AE798" s="19">
        <f t="shared" si="193"/>
        <v>1.57</v>
      </c>
      <c r="BA798" s="10">
        <f t="shared" si="194"/>
        <v>26.997800000000002</v>
      </c>
    </row>
    <row r="799" spans="1:53" x14ac:dyDescent="0.3">
      <c r="A799" s="17">
        <v>45551</v>
      </c>
      <c r="B799" s="8">
        <v>2580.3998999999999</v>
      </c>
      <c r="C799" s="7">
        <v>2580.3998999999999</v>
      </c>
      <c r="D799" s="7">
        <v>2580.3998999999999</v>
      </c>
      <c r="E799" s="7">
        <v>2580.3998999999999</v>
      </c>
      <c r="F799" s="18">
        <v>28</v>
      </c>
      <c r="G799" s="7">
        <v>2531.1428999999998</v>
      </c>
      <c r="H799" s="7">
        <v>2486.3267000000001</v>
      </c>
      <c r="I799" s="7">
        <v>2403.5511000000001</v>
      </c>
      <c r="J799" s="8">
        <v>0.4516</v>
      </c>
      <c r="K799" s="7">
        <v>0.70809999999999995</v>
      </c>
      <c r="L799" s="7">
        <v>0.8004</v>
      </c>
      <c r="M799" s="8">
        <v>68.160700000000006</v>
      </c>
      <c r="N799" s="8">
        <v>28.4331</v>
      </c>
      <c r="O799" s="7">
        <v>24.558800000000002</v>
      </c>
      <c r="P799" s="7">
        <v>2560.8856999999998</v>
      </c>
      <c r="Q799" s="7">
        <v>2465.8643000000002</v>
      </c>
      <c r="R799" s="7" t="str">
        <f t="shared" si="181"/>
        <v>Down</v>
      </c>
      <c r="S799" s="7" t="str">
        <f t="shared" si="182"/>
        <v>Hold</v>
      </c>
      <c r="T799" s="8">
        <f t="shared" si="183"/>
        <v>0.19981317204301083</v>
      </c>
      <c r="U799" s="18">
        <f t="shared" si="184"/>
        <v>1701238</v>
      </c>
      <c r="V799" s="7">
        <f t="shared" si="185"/>
        <v>5586.2002000000002</v>
      </c>
      <c r="W799" s="7">
        <f t="shared" si="186"/>
        <v>2549.1999999999998</v>
      </c>
      <c r="X799" s="7">
        <f t="shared" si="187"/>
        <v>2580.3998999999999</v>
      </c>
      <c r="Y799" s="7">
        <f t="shared" si="188"/>
        <v>151</v>
      </c>
      <c r="Z799" s="7">
        <f t="shared" si="189"/>
        <v>522706</v>
      </c>
      <c r="AA799" s="7" t="str">
        <f t="shared" si="190"/>
        <v>16-Sep-2024</v>
      </c>
      <c r="AB799" s="7">
        <f t="shared" si="191"/>
        <v>2580.3998999999999</v>
      </c>
      <c r="AC799" s="7">
        <f t="shared" si="195"/>
        <v>1</v>
      </c>
      <c r="AD799" s="7">
        <f t="shared" si="192"/>
        <v>2024</v>
      </c>
      <c r="AE799" s="19">
        <f t="shared" si="193"/>
        <v>0.45</v>
      </c>
      <c r="BA799" s="10">
        <f t="shared" si="194"/>
        <v>26.997800000000002</v>
      </c>
    </row>
    <row r="800" spans="1:53" x14ac:dyDescent="0.3">
      <c r="A800" s="17">
        <v>45552</v>
      </c>
      <c r="B800" s="8">
        <v>2564.3000000000002</v>
      </c>
      <c r="C800" s="7">
        <v>2581.8000000000002</v>
      </c>
      <c r="D800" s="7">
        <v>2564.3000000000002</v>
      </c>
      <c r="E800" s="7">
        <v>2581.1999999999998</v>
      </c>
      <c r="F800" s="18">
        <v>22</v>
      </c>
      <c r="G800" s="7">
        <v>2541.2714000000001</v>
      </c>
      <c r="H800" s="7">
        <v>2490.9666999999999</v>
      </c>
      <c r="I800" s="7">
        <v>2406.5243999999998</v>
      </c>
      <c r="J800" s="8">
        <v>3.1E-2</v>
      </c>
      <c r="K800" s="7">
        <v>0.72260000000000002</v>
      </c>
      <c r="L800" s="7">
        <v>0.7994</v>
      </c>
      <c r="M800" s="8">
        <v>67.405100000000004</v>
      </c>
      <c r="N800" s="8">
        <v>30.720300000000002</v>
      </c>
      <c r="O800" s="7">
        <v>25.7911</v>
      </c>
      <c r="P800" s="7">
        <v>2573.2692000000002</v>
      </c>
      <c r="Q800" s="7">
        <v>2460.7507999999998</v>
      </c>
      <c r="R800" s="7" t="str">
        <f t="shared" si="181"/>
        <v>Up</v>
      </c>
      <c r="S800" s="7" t="str">
        <f t="shared" si="182"/>
        <v>Hold</v>
      </c>
      <c r="T800" s="8">
        <f t="shared" si="183"/>
        <v>0.19913450134770894</v>
      </c>
      <c r="U800" s="18">
        <f t="shared" si="184"/>
        <v>1701210</v>
      </c>
      <c r="V800" s="7">
        <f t="shared" si="185"/>
        <v>5586.2002000000002</v>
      </c>
      <c r="W800" s="7">
        <f t="shared" si="186"/>
        <v>2549.1999999999998</v>
      </c>
      <c r="X800" s="7">
        <f t="shared" si="187"/>
        <v>2581.1999999999998</v>
      </c>
      <c r="Y800" s="7">
        <f t="shared" si="188"/>
        <v>151</v>
      </c>
      <c r="Z800" s="7">
        <f t="shared" si="189"/>
        <v>522706</v>
      </c>
      <c r="AA800" s="7" t="str">
        <f t="shared" si="190"/>
        <v>17-Sep-2024</v>
      </c>
      <c r="AB800" s="7">
        <f t="shared" si="191"/>
        <v>2581.1999999999998</v>
      </c>
      <c r="AC800" s="7">
        <f t="shared" si="195"/>
        <v>1</v>
      </c>
      <c r="AD800" s="7">
        <f t="shared" si="192"/>
        <v>2024</v>
      </c>
      <c r="AE800" s="19">
        <f t="shared" si="193"/>
        <v>0.03</v>
      </c>
      <c r="BA800" s="10">
        <f t="shared" si="194"/>
        <v>26.997800000000002</v>
      </c>
    </row>
    <row r="801" spans="1:53" x14ac:dyDescent="0.3">
      <c r="A801" s="17">
        <v>45553</v>
      </c>
      <c r="B801" s="8">
        <v>2570.6999999999998</v>
      </c>
      <c r="C801" s="7">
        <v>2570.6999999999998</v>
      </c>
      <c r="D801" s="7">
        <v>2549.1999999999998</v>
      </c>
      <c r="E801" s="7">
        <v>2570.6999999999998</v>
      </c>
      <c r="F801" s="18">
        <v>25</v>
      </c>
      <c r="G801" s="7">
        <v>2552.6143000000002</v>
      </c>
      <c r="H801" s="7">
        <v>2496.1732999999999</v>
      </c>
      <c r="I801" s="7">
        <v>2409.4133000000002</v>
      </c>
      <c r="J801" s="8">
        <v>-0.40679999999999999</v>
      </c>
      <c r="K801" s="7">
        <v>0.6361</v>
      </c>
      <c r="L801" s="7">
        <v>0.76880000000000004</v>
      </c>
      <c r="M801" s="8">
        <v>68.746600000000001</v>
      </c>
      <c r="N801" s="8">
        <v>31.3245</v>
      </c>
      <c r="O801" s="7">
        <v>26.8978</v>
      </c>
      <c r="P801" s="7">
        <v>2581.0825</v>
      </c>
      <c r="Q801" s="7">
        <v>2459.6574999999998</v>
      </c>
      <c r="R801" s="7" t="str">
        <f t="shared" si="181"/>
        <v>Down</v>
      </c>
      <c r="S801" s="7" t="str">
        <f t="shared" si="182"/>
        <v>Hold</v>
      </c>
      <c r="T801" s="8">
        <f t="shared" si="183"/>
        <v>0.19958891891891903</v>
      </c>
      <c r="U801" s="18">
        <f t="shared" si="184"/>
        <v>1701188</v>
      </c>
      <c r="V801" s="7">
        <f t="shared" si="185"/>
        <v>5586.2002000000002</v>
      </c>
      <c r="W801" s="7">
        <f t="shared" si="186"/>
        <v>2549.1999999999998</v>
      </c>
      <c r="X801" s="7">
        <f t="shared" si="187"/>
        <v>2570.6999999999998</v>
      </c>
      <c r="Y801" s="7">
        <f t="shared" si="188"/>
        <v>150</v>
      </c>
      <c r="Z801" s="7">
        <f t="shared" si="189"/>
        <v>522684</v>
      </c>
      <c r="AA801" s="7" t="str">
        <f t="shared" si="190"/>
        <v>18-Sep-2024</v>
      </c>
      <c r="AB801" s="7">
        <f t="shared" si="191"/>
        <v>2570.6999999999998</v>
      </c>
      <c r="AC801" s="7">
        <f t="shared" si="195"/>
        <v>1</v>
      </c>
      <c r="AD801" s="7">
        <f t="shared" si="192"/>
        <v>2024</v>
      </c>
      <c r="AE801" s="19">
        <f t="shared" si="193"/>
        <v>-0.41</v>
      </c>
      <c r="BA801" s="10">
        <f t="shared" si="194"/>
        <v>26.997800000000002</v>
      </c>
    </row>
    <row r="802" spans="1:53" x14ac:dyDescent="0.3">
      <c r="A802" s="17">
        <v>45554</v>
      </c>
      <c r="B802" s="8">
        <v>2588</v>
      </c>
      <c r="C802" s="7">
        <v>2588</v>
      </c>
      <c r="D802" s="7">
        <v>2566</v>
      </c>
      <c r="E802" s="7">
        <v>2566</v>
      </c>
      <c r="F802" s="18">
        <v>99</v>
      </c>
      <c r="G802" s="7">
        <v>2560.2856999999999</v>
      </c>
      <c r="H802" s="7">
        <v>2501.9666999999999</v>
      </c>
      <c r="I802" s="7">
        <v>2411.6210999999998</v>
      </c>
      <c r="J802" s="8">
        <v>-0.18279999999999999</v>
      </c>
      <c r="K802" s="7">
        <v>0.64870000000000005</v>
      </c>
      <c r="L802" s="7">
        <v>0.74250000000000005</v>
      </c>
      <c r="M802" s="8">
        <v>66.506600000000006</v>
      </c>
      <c r="N802" s="8">
        <v>31.065999999999999</v>
      </c>
      <c r="O802" s="7">
        <v>27.731400000000001</v>
      </c>
      <c r="P802" s="7">
        <v>2586.9479999999999</v>
      </c>
      <c r="Q802" s="7">
        <v>2459.2919999999999</v>
      </c>
      <c r="R802" s="7" t="str">
        <f t="shared" si="181"/>
        <v>Down</v>
      </c>
      <c r="S802" s="7" t="str">
        <f t="shared" si="182"/>
        <v>Hold</v>
      </c>
      <c r="T802" s="8">
        <f t="shared" si="183"/>
        <v>0.20123224932249326</v>
      </c>
      <c r="U802" s="18">
        <f t="shared" si="184"/>
        <v>1701163</v>
      </c>
      <c r="V802" s="7">
        <f t="shared" si="185"/>
        <v>5586.2002000000002</v>
      </c>
      <c r="W802" s="7">
        <f t="shared" si="186"/>
        <v>2554.1999999999998</v>
      </c>
      <c r="X802" s="7">
        <f t="shared" si="187"/>
        <v>2566</v>
      </c>
      <c r="Y802" s="7">
        <f t="shared" si="188"/>
        <v>150</v>
      </c>
      <c r="Z802" s="7">
        <f t="shared" si="189"/>
        <v>522684</v>
      </c>
      <c r="AA802" s="7" t="str">
        <f t="shared" si="190"/>
        <v>19-Sep-2024</v>
      </c>
      <c r="AB802" s="7">
        <f t="shared" si="191"/>
        <v>2566</v>
      </c>
      <c r="AC802" s="7">
        <f t="shared" si="195"/>
        <v>1</v>
      </c>
      <c r="AD802" s="7">
        <f t="shared" si="192"/>
        <v>2024</v>
      </c>
      <c r="AE802" s="19">
        <f t="shared" si="193"/>
        <v>-0.18</v>
      </c>
      <c r="BA802" s="10">
        <f t="shared" si="194"/>
        <v>26.997800000000002</v>
      </c>
    </row>
    <row r="803" spans="1:53" x14ac:dyDescent="0.3">
      <c r="A803" s="17">
        <v>45555</v>
      </c>
      <c r="B803" s="8">
        <v>2619.8998999999999</v>
      </c>
      <c r="C803" s="7">
        <v>2621.8</v>
      </c>
      <c r="D803" s="7">
        <v>2590.3998999999999</v>
      </c>
      <c r="E803" s="7">
        <v>2590.3998999999999</v>
      </c>
      <c r="F803" s="18">
        <v>17</v>
      </c>
      <c r="G803" s="7">
        <v>2569.5142999999998</v>
      </c>
      <c r="H803" s="7">
        <v>2508.8366999999998</v>
      </c>
      <c r="I803" s="7">
        <v>2414.1999999999998</v>
      </c>
      <c r="J803" s="8">
        <v>0.95089999999999997</v>
      </c>
      <c r="K803" s="7">
        <v>0.69089999999999996</v>
      </c>
      <c r="L803" s="7">
        <v>0.74560000000000004</v>
      </c>
      <c r="M803" s="8">
        <v>68.040700000000001</v>
      </c>
      <c r="N803" s="8">
        <v>32.4559</v>
      </c>
      <c r="O803" s="7">
        <v>28.676300000000001</v>
      </c>
      <c r="P803" s="7">
        <v>2597.2377999999999</v>
      </c>
      <c r="Q803" s="7">
        <v>2457.6322</v>
      </c>
      <c r="R803" s="7" t="str">
        <f t="shared" si="181"/>
        <v>Down</v>
      </c>
      <c r="S803" s="7" t="str">
        <f t="shared" si="182"/>
        <v>Hold</v>
      </c>
      <c r="T803" s="8">
        <f t="shared" si="183"/>
        <v>0.20227581521739138</v>
      </c>
      <c r="U803" s="18">
        <f t="shared" si="184"/>
        <v>1701064</v>
      </c>
      <c r="V803" s="7">
        <f t="shared" si="185"/>
        <v>5586.2002000000002</v>
      </c>
      <c r="W803" s="7">
        <f t="shared" si="186"/>
        <v>2554.1999999999998</v>
      </c>
      <c r="X803" s="7">
        <f t="shared" si="187"/>
        <v>2590.3998999999999</v>
      </c>
      <c r="Y803" s="7">
        <f t="shared" si="188"/>
        <v>150</v>
      </c>
      <c r="Z803" s="7">
        <f t="shared" si="189"/>
        <v>522684</v>
      </c>
      <c r="AA803" s="7" t="str">
        <f t="shared" si="190"/>
        <v>20-Sep-2024</v>
      </c>
      <c r="AB803" s="7">
        <f t="shared" si="191"/>
        <v>2590.3998999999999</v>
      </c>
      <c r="AC803" s="7">
        <f t="shared" si="195"/>
        <v>1</v>
      </c>
      <c r="AD803" s="7">
        <f t="shared" si="192"/>
        <v>2024</v>
      </c>
      <c r="AE803" s="19">
        <f t="shared" si="193"/>
        <v>0.95</v>
      </c>
      <c r="BA803" s="10">
        <f t="shared" si="194"/>
        <v>26.997800000000002</v>
      </c>
    </row>
    <row r="804" spans="1:53" x14ac:dyDescent="0.3">
      <c r="A804" s="17">
        <v>45558</v>
      </c>
      <c r="B804" s="8">
        <v>2626.5</v>
      </c>
      <c r="C804" s="7">
        <v>2626.5</v>
      </c>
      <c r="D804" s="7">
        <v>2626.5</v>
      </c>
      <c r="E804" s="7">
        <v>2626.5</v>
      </c>
      <c r="F804" s="18">
        <v>9</v>
      </c>
      <c r="G804" s="7">
        <v>2583.4285</v>
      </c>
      <c r="H804" s="7">
        <v>2515.6433000000002</v>
      </c>
      <c r="I804" s="7">
        <v>2417.4277999999999</v>
      </c>
      <c r="J804" s="8">
        <v>1.3935999999999999</v>
      </c>
      <c r="K804" s="7">
        <v>0.77929999999999999</v>
      </c>
      <c r="L804" s="7">
        <v>0.73429999999999995</v>
      </c>
      <c r="M804" s="8">
        <v>79.087000000000003</v>
      </c>
      <c r="N804" s="8">
        <v>36.054699999999997</v>
      </c>
      <c r="O804" s="7">
        <v>30.152000000000001</v>
      </c>
      <c r="P804" s="7">
        <v>2614.3062</v>
      </c>
      <c r="Q804" s="7">
        <v>2454.5637999999999</v>
      </c>
      <c r="R804" s="7" t="str">
        <f t="shared" si="181"/>
        <v>Down</v>
      </c>
      <c r="S804" s="7" t="str">
        <f t="shared" si="182"/>
        <v>Sell</v>
      </c>
      <c r="T804" s="8">
        <f t="shared" si="183"/>
        <v>0.20023596730245241</v>
      </c>
      <c r="U804" s="18">
        <f t="shared" si="184"/>
        <v>1701047</v>
      </c>
      <c r="V804" s="7">
        <f t="shared" si="185"/>
        <v>5586.2002000000002</v>
      </c>
      <c r="W804" s="7">
        <f t="shared" si="186"/>
        <v>2554.1999999999998</v>
      </c>
      <c r="X804" s="7">
        <f t="shared" si="187"/>
        <v>2626.5</v>
      </c>
      <c r="Y804" s="7">
        <f t="shared" si="188"/>
        <v>150</v>
      </c>
      <c r="Z804" s="7">
        <f t="shared" si="189"/>
        <v>522684</v>
      </c>
      <c r="AA804" s="7" t="str">
        <f t="shared" si="190"/>
        <v>23-Sep-2024</v>
      </c>
      <c r="AB804" s="7">
        <f t="shared" si="191"/>
        <v>2626.5</v>
      </c>
      <c r="AC804" s="7">
        <f t="shared" si="195"/>
        <v>1</v>
      </c>
      <c r="AD804" s="7">
        <f t="shared" si="192"/>
        <v>2024</v>
      </c>
      <c r="AE804" s="19">
        <f t="shared" si="193"/>
        <v>1.39</v>
      </c>
      <c r="BA804" s="10">
        <f t="shared" si="194"/>
        <v>26.997800000000002</v>
      </c>
    </row>
    <row r="805" spans="1:53" x14ac:dyDescent="0.3">
      <c r="A805" s="17">
        <v>45559</v>
      </c>
      <c r="B805" s="8">
        <v>2651.2</v>
      </c>
      <c r="C805" s="7">
        <v>2662.3</v>
      </c>
      <c r="D805" s="7">
        <v>2625.5</v>
      </c>
      <c r="E805" s="7">
        <v>2636.8</v>
      </c>
      <c r="F805" s="18">
        <v>35</v>
      </c>
      <c r="G805" s="7">
        <v>2593.1428000000001</v>
      </c>
      <c r="H805" s="7">
        <v>2522.4467</v>
      </c>
      <c r="I805" s="7">
        <v>2420.4854999999998</v>
      </c>
      <c r="J805" s="8">
        <v>0.39219999999999999</v>
      </c>
      <c r="K805" s="7">
        <v>0.63460000000000005</v>
      </c>
      <c r="L805" s="7">
        <v>0.73399999999999999</v>
      </c>
      <c r="M805" s="8">
        <v>84.0411</v>
      </c>
      <c r="N805" s="8">
        <v>39.2851</v>
      </c>
      <c r="O805" s="7">
        <v>31.9786</v>
      </c>
      <c r="P805" s="7">
        <v>2631.8249999999998</v>
      </c>
      <c r="Q805" s="7">
        <v>2449.7350000000001</v>
      </c>
      <c r="R805" s="7" t="str">
        <f t="shared" si="181"/>
        <v>Down</v>
      </c>
      <c r="S805" s="7" t="str">
        <f t="shared" si="182"/>
        <v>Sell</v>
      </c>
      <c r="T805" s="8">
        <f t="shared" si="183"/>
        <v>0.19697540983606562</v>
      </c>
      <c r="U805" s="18">
        <f t="shared" si="184"/>
        <v>1701038</v>
      </c>
      <c r="V805" s="7">
        <f t="shared" si="185"/>
        <v>5586.2002000000002</v>
      </c>
      <c r="W805" s="7">
        <f t="shared" si="186"/>
        <v>2554.1999999999998</v>
      </c>
      <c r="X805" s="7">
        <f t="shared" si="187"/>
        <v>2636.8</v>
      </c>
      <c r="Y805" s="7">
        <f t="shared" si="188"/>
        <v>150</v>
      </c>
      <c r="Z805" s="7">
        <f t="shared" si="189"/>
        <v>522684</v>
      </c>
      <c r="AA805" s="7" t="str">
        <f t="shared" si="190"/>
        <v>24-Sep-2024</v>
      </c>
      <c r="AB805" s="7">
        <f t="shared" si="191"/>
        <v>2636.8</v>
      </c>
      <c r="AC805" s="7">
        <f t="shared" si="195"/>
        <v>1</v>
      </c>
      <c r="AD805" s="7">
        <f t="shared" si="192"/>
        <v>2024</v>
      </c>
      <c r="AE805" s="19">
        <f t="shared" si="193"/>
        <v>0.39</v>
      </c>
      <c r="BA805" s="10">
        <f t="shared" si="194"/>
        <v>26.997800000000002</v>
      </c>
    </row>
    <row r="806" spans="1:53" x14ac:dyDescent="0.3">
      <c r="A806" s="17">
        <v>45560</v>
      </c>
      <c r="B806" s="8">
        <v>2659.2</v>
      </c>
      <c r="C806" s="7">
        <v>2664.2</v>
      </c>
      <c r="D806" s="7">
        <v>2649.3</v>
      </c>
      <c r="E806" s="7">
        <v>2656.3</v>
      </c>
      <c r="F806" s="18">
        <v>175</v>
      </c>
      <c r="G806" s="7">
        <v>2603.9857000000002</v>
      </c>
      <c r="H806" s="7">
        <v>2528.9567000000002</v>
      </c>
      <c r="I806" s="7">
        <v>2423.4499999999998</v>
      </c>
      <c r="J806" s="8">
        <v>0.73950000000000005</v>
      </c>
      <c r="K806" s="7">
        <v>0.64949999999999997</v>
      </c>
      <c r="L806" s="7">
        <v>0.72019999999999995</v>
      </c>
      <c r="M806" s="8">
        <v>85.194800000000001</v>
      </c>
      <c r="N806" s="8">
        <v>42.923900000000003</v>
      </c>
      <c r="O806" s="7">
        <v>34.167700000000004</v>
      </c>
      <c r="P806" s="7">
        <v>2651.5236</v>
      </c>
      <c r="Q806" s="7">
        <v>2444.1464999999998</v>
      </c>
      <c r="R806" s="7" t="str">
        <f t="shared" si="181"/>
        <v>Down</v>
      </c>
      <c r="S806" s="7" t="str">
        <f t="shared" si="182"/>
        <v>Sell</v>
      </c>
      <c r="T806" s="8">
        <f t="shared" si="183"/>
        <v>0.1964405479452056</v>
      </c>
      <c r="U806" s="18">
        <f t="shared" si="184"/>
        <v>1701003</v>
      </c>
      <c r="V806" s="7">
        <f t="shared" si="185"/>
        <v>5586.2002000000002</v>
      </c>
      <c r="W806" s="7">
        <f t="shared" si="186"/>
        <v>2554.1999999999998</v>
      </c>
      <c r="X806" s="7">
        <f t="shared" si="187"/>
        <v>2656.3</v>
      </c>
      <c r="Y806" s="7">
        <f t="shared" si="188"/>
        <v>150</v>
      </c>
      <c r="Z806" s="7">
        <f t="shared" si="189"/>
        <v>522684</v>
      </c>
      <c r="AA806" s="7" t="str">
        <f t="shared" si="190"/>
        <v>25-Sep-2024</v>
      </c>
      <c r="AB806" s="7">
        <f t="shared" si="191"/>
        <v>2656.3</v>
      </c>
      <c r="AC806" s="7">
        <f t="shared" si="195"/>
        <v>1</v>
      </c>
      <c r="AD806" s="7">
        <f t="shared" si="192"/>
        <v>2024</v>
      </c>
      <c r="AE806" s="19">
        <f t="shared" si="193"/>
        <v>0.74</v>
      </c>
      <c r="BA806" s="10">
        <f t="shared" si="194"/>
        <v>26.997800000000002</v>
      </c>
    </row>
    <row r="807" spans="1:53" x14ac:dyDescent="0.3">
      <c r="A807" s="17">
        <v>45561</v>
      </c>
      <c r="B807" s="8">
        <v>2669.8998999999999</v>
      </c>
      <c r="C807" s="7">
        <v>2669.8998999999999</v>
      </c>
      <c r="D807" s="7">
        <v>2660.8</v>
      </c>
      <c r="E807" s="7">
        <v>2662.3</v>
      </c>
      <c r="F807" s="18">
        <v>17216</v>
      </c>
      <c r="G807" s="7">
        <v>2615.5713999999998</v>
      </c>
      <c r="H807" s="7">
        <v>2535.4333000000001</v>
      </c>
      <c r="I807" s="7">
        <v>2426.5789</v>
      </c>
      <c r="J807" s="8">
        <v>0.22589999999999999</v>
      </c>
      <c r="K807" s="7">
        <v>0.63419999999999999</v>
      </c>
      <c r="L807" s="7">
        <v>0.72019999999999995</v>
      </c>
      <c r="M807" s="8">
        <v>84.482799999999997</v>
      </c>
      <c r="N807" s="8">
        <v>45.764200000000002</v>
      </c>
      <c r="O807" s="7">
        <v>36.487000000000002</v>
      </c>
      <c r="P807" s="7">
        <v>2668.9222</v>
      </c>
      <c r="Q807" s="7">
        <v>2442.8778000000002</v>
      </c>
      <c r="R807" s="7" t="str">
        <f t="shared" si="181"/>
        <v>Down</v>
      </c>
      <c r="S807" s="7" t="str">
        <f t="shared" si="182"/>
        <v>Sell</v>
      </c>
      <c r="T807" s="8">
        <f t="shared" si="183"/>
        <v>0.1949486263736265</v>
      </c>
      <c r="U807" s="18">
        <f t="shared" si="184"/>
        <v>1700828</v>
      </c>
      <c r="V807" s="7">
        <f t="shared" si="185"/>
        <v>5586.2002000000002</v>
      </c>
      <c r="W807" s="7">
        <f t="shared" si="186"/>
        <v>2554.1999999999998</v>
      </c>
      <c r="X807" s="7">
        <f t="shared" si="187"/>
        <v>2662.3</v>
      </c>
      <c r="Y807" s="7">
        <f t="shared" si="188"/>
        <v>150</v>
      </c>
      <c r="Z807" s="7">
        <f t="shared" si="189"/>
        <v>522684</v>
      </c>
      <c r="AA807" s="7" t="str">
        <f t="shared" si="190"/>
        <v>26-Sep-2024</v>
      </c>
      <c r="AB807" s="7">
        <f t="shared" si="191"/>
        <v>2662.3</v>
      </c>
      <c r="AC807" s="7">
        <f t="shared" si="195"/>
        <v>1</v>
      </c>
      <c r="AD807" s="7">
        <f t="shared" si="192"/>
        <v>2024</v>
      </c>
      <c r="AE807" s="19">
        <f t="shared" si="193"/>
        <v>0.23</v>
      </c>
      <c r="BA807" s="10">
        <f t="shared" si="194"/>
        <v>26.997800000000002</v>
      </c>
    </row>
    <row r="808" spans="1:53" x14ac:dyDescent="0.3">
      <c r="A808" s="17">
        <v>45562</v>
      </c>
      <c r="B808" s="8">
        <v>2644.3</v>
      </c>
      <c r="C808" s="7">
        <v>2672.1001000000001</v>
      </c>
      <c r="D808" s="7">
        <v>2641.7</v>
      </c>
      <c r="E808" s="7">
        <v>2670</v>
      </c>
      <c r="F808" s="18">
        <v>4228</v>
      </c>
      <c r="G808" s="7">
        <v>2629.7570999999998</v>
      </c>
      <c r="H808" s="7">
        <v>2542.7067000000002</v>
      </c>
      <c r="I808" s="7">
        <v>2429.4032999999999</v>
      </c>
      <c r="J808" s="8">
        <v>0.28920000000000001</v>
      </c>
      <c r="K808" s="7">
        <v>0.52329999999999999</v>
      </c>
      <c r="L808" s="7">
        <v>0.69940000000000002</v>
      </c>
      <c r="M808" s="8">
        <v>92.730800000000002</v>
      </c>
      <c r="N808" s="8">
        <v>48.082299999999996</v>
      </c>
      <c r="O808" s="7">
        <v>38.805999999999997</v>
      </c>
      <c r="P808" s="7">
        <v>2685.2743999999998</v>
      </c>
      <c r="Q808" s="7">
        <v>2443.1156000000001</v>
      </c>
      <c r="R808" s="7" t="str">
        <f t="shared" si="181"/>
        <v>Up</v>
      </c>
      <c r="S808" s="7" t="str">
        <f t="shared" si="182"/>
        <v>Sell</v>
      </c>
      <c r="T808" s="8">
        <f t="shared" si="183"/>
        <v>0.19486336088154282</v>
      </c>
      <c r="U808" s="18">
        <f t="shared" si="184"/>
        <v>1683612</v>
      </c>
      <c r="V808" s="7">
        <f t="shared" si="185"/>
        <v>5586.2002000000002</v>
      </c>
      <c r="W808" s="7">
        <f t="shared" si="186"/>
        <v>2554.1999999999998</v>
      </c>
      <c r="X808" s="7">
        <f t="shared" si="187"/>
        <v>2670</v>
      </c>
      <c r="Y808" s="7">
        <f t="shared" si="188"/>
        <v>150</v>
      </c>
      <c r="Z808" s="7">
        <f t="shared" si="189"/>
        <v>522684</v>
      </c>
      <c r="AA808" s="7" t="str">
        <f t="shared" si="190"/>
        <v>27-Sep-2024</v>
      </c>
      <c r="AB808" s="7">
        <f t="shared" si="191"/>
        <v>2670</v>
      </c>
      <c r="AC808" s="7">
        <f t="shared" si="195"/>
        <v>1</v>
      </c>
      <c r="AD808" s="7">
        <f t="shared" si="192"/>
        <v>2024</v>
      </c>
      <c r="AE808" s="19">
        <f t="shared" si="193"/>
        <v>0.28999999999999998</v>
      </c>
      <c r="BA808" s="10">
        <f t="shared" si="194"/>
        <v>26.997800000000002</v>
      </c>
    </row>
    <row r="809" spans="1:53" x14ac:dyDescent="0.3">
      <c r="A809" s="17">
        <v>45565</v>
      </c>
      <c r="B809" s="8">
        <v>2636.1001000000001</v>
      </c>
      <c r="C809" s="7">
        <v>2662.1001000000001</v>
      </c>
      <c r="D809" s="7">
        <v>2623.2</v>
      </c>
      <c r="E809" s="7">
        <v>2660.8998999999999</v>
      </c>
      <c r="F809" s="18">
        <v>973</v>
      </c>
      <c r="G809" s="7">
        <v>2643.3143</v>
      </c>
      <c r="H809" s="7">
        <v>2549.62</v>
      </c>
      <c r="I809" s="7">
        <v>2431.9744000000001</v>
      </c>
      <c r="J809" s="8">
        <v>-0.34079999999999999</v>
      </c>
      <c r="K809" s="7">
        <v>0.56189999999999996</v>
      </c>
      <c r="L809" s="7">
        <v>0.7077</v>
      </c>
      <c r="M809" s="8">
        <v>87.677499999999995</v>
      </c>
      <c r="N809" s="8">
        <v>48.624600000000001</v>
      </c>
      <c r="O809" s="7">
        <v>40.769799999999996</v>
      </c>
      <c r="P809" s="7">
        <v>2697.7482</v>
      </c>
      <c r="Q809" s="7">
        <v>2444.7818000000002</v>
      </c>
      <c r="R809" s="7" t="str">
        <f t="shared" si="181"/>
        <v>Up</v>
      </c>
      <c r="S809" s="7" t="str">
        <f t="shared" si="182"/>
        <v>Sell</v>
      </c>
      <c r="T809" s="8">
        <f t="shared" si="183"/>
        <v>0.19460276243093935</v>
      </c>
      <c r="U809" s="18">
        <f t="shared" si="184"/>
        <v>1679384</v>
      </c>
      <c r="V809" s="7">
        <f t="shared" si="185"/>
        <v>5586.2002000000002</v>
      </c>
      <c r="W809" s="7">
        <f t="shared" si="186"/>
        <v>2554.1999999999998</v>
      </c>
      <c r="X809" s="7">
        <f t="shared" si="187"/>
        <v>2660.8998999999999</v>
      </c>
      <c r="Y809" s="7">
        <f t="shared" si="188"/>
        <v>149</v>
      </c>
      <c r="Z809" s="7">
        <f t="shared" si="189"/>
        <v>518456</v>
      </c>
      <c r="AA809" s="7" t="str">
        <f t="shared" si="190"/>
        <v>30-Sep-2024</v>
      </c>
      <c r="AB809" s="7">
        <f t="shared" si="191"/>
        <v>2660.8998999999999</v>
      </c>
      <c r="AC809" s="7">
        <f t="shared" si="195"/>
        <v>1</v>
      </c>
      <c r="AD809" s="7">
        <f t="shared" si="192"/>
        <v>2024</v>
      </c>
      <c r="AE809" s="19">
        <f t="shared" si="193"/>
        <v>-0.34</v>
      </c>
      <c r="BA809" s="10">
        <f t="shared" si="194"/>
        <v>26.997800000000002</v>
      </c>
    </row>
    <row r="810" spans="1:53" x14ac:dyDescent="0.3">
      <c r="A810" s="17">
        <v>45566</v>
      </c>
      <c r="B810" s="8">
        <v>2667.3</v>
      </c>
      <c r="C810" s="7">
        <v>2670.8998999999999</v>
      </c>
      <c r="D810" s="7">
        <v>2631.3998999999999</v>
      </c>
      <c r="E810" s="7">
        <v>2631.3998999999999</v>
      </c>
      <c r="F810" s="18">
        <v>153</v>
      </c>
      <c r="G810" s="7">
        <v>2649.1714000000002</v>
      </c>
      <c r="H810" s="7">
        <v>2553.7166999999999</v>
      </c>
      <c r="I810" s="7">
        <v>2434.3510999999999</v>
      </c>
      <c r="J810" s="8">
        <v>-1.1086</v>
      </c>
      <c r="K810" s="7">
        <v>0.79169999999999996</v>
      </c>
      <c r="L810" s="7">
        <v>0.6482</v>
      </c>
      <c r="M810" s="8">
        <v>74.7654</v>
      </c>
      <c r="N810" s="8">
        <v>46.142000000000003</v>
      </c>
      <c r="O810" s="7">
        <v>41.844200000000001</v>
      </c>
      <c r="P810" s="7">
        <v>2702.4956999999999</v>
      </c>
      <c r="Q810" s="7">
        <v>2453.0142999999998</v>
      </c>
      <c r="R810" s="7" t="str">
        <f t="shared" si="181"/>
        <v>Down</v>
      </c>
      <c r="S810" s="7" t="str">
        <f t="shared" si="182"/>
        <v>Sell</v>
      </c>
      <c r="T810" s="8">
        <f t="shared" si="183"/>
        <v>0.19608587257617743</v>
      </c>
      <c r="U810" s="18">
        <f t="shared" si="184"/>
        <v>1678411</v>
      </c>
      <c r="V810" s="7">
        <f t="shared" si="185"/>
        <v>5586.2002000000002</v>
      </c>
      <c r="W810" s="7">
        <f t="shared" si="186"/>
        <v>2554.1999999999998</v>
      </c>
      <c r="X810" s="7">
        <f t="shared" si="187"/>
        <v>2631.3998999999999</v>
      </c>
      <c r="Y810" s="7">
        <f t="shared" si="188"/>
        <v>148</v>
      </c>
      <c r="Z810" s="7">
        <f t="shared" si="189"/>
        <v>517483</v>
      </c>
      <c r="AA810" s="7" t="str">
        <f t="shared" si="190"/>
        <v>01-Oct-2024</v>
      </c>
      <c r="AB810" s="7">
        <f t="shared" si="191"/>
        <v>2631.3998999999999</v>
      </c>
      <c r="AC810" s="7">
        <f t="shared" si="195"/>
        <v>1</v>
      </c>
      <c r="AD810" s="7">
        <f t="shared" si="192"/>
        <v>2024</v>
      </c>
      <c r="AE810" s="19">
        <f t="shared" si="193"/>
        <v>-1.1100000000000001</v>
      </c>
      <c r="BA810" s="10">
        <f t="shared" si="194"/>
        <v>26.997800000000002</v>
      </c>
    </row>
    <row r="811" spans="1:53" x14ac:dyDescent="0.3">
      <c r="A811" s="17">
        <v>45567</v>
      </c>
      <c r="B811" s="8">
        <v>2647.1001000000001</v>
      </c>
      <c r="C811" s="7">
        <v>2657.2</v>
      </c>
      <c r="D811" s="7">
        <v>2640</v>
      </c>
      <c r="E811" s="7">
        <v>2650.6001000000001</v>
      </c>
      <c r="F811" s="18">
        <v>72</v>
      </c>
      <c r="G811" s="7">
        <v>2652.6143000000002</v>
      </c>
      <c r="H811" s="7">
        <v>2558.62</v>
      </c>
      <c r="I811" s="7">
        <v>2437.4555999999998</v>
      </c>
      <c r="J811" s="8">
        <v>0.72970000000000002</v>
      </c>
      <c r="K811" s="7">
        <v>0.65700000000000003</v>
      </c>
      <c r="L811" s="7">
        <v>0.65259999999999996</v>
      </c>
      <c r="M811" s="8">
        <v>76.516800000000003</v>
      </c>
      <c r="N811" s="8">
        <v>45.202800000000003</v>
      </c>
      <c r="O811" s="7">
        <v>42.515900000000002</v>
      </c>
      <c r="P811" s="7">
        <v>2707.4805000000001</v>
      </c>
      <c r="Q811" s="7">
        <v>2463.9994999999999</v>
      </c>
      <c r="R811" s="7" t="str">
        <f t="shared" si="181"/>
        <v>Up</v>
      </c>
      <c r="S811" s="7" t="str">
        <f t="shared" si="182"/>
        <v>Sell</v>
      </c>
      <c r="T811" s="8">
        <f t="shared" si="183"/>
        <v>0.19971000000000011</v>
      </c>
      <c r="U811" s="18">
        <f t="shared" si="184"/>
        <v>1678258</v>
      </c>
      <c r="V811" s="7">
        <f t="shared" si="185"/>
        <v>5586.2002000000002</v>
      </c>
      <c r="W811" s="7">
        <f t="shared" si="186"/>
        <v>2554.1999999999998</v>
      </c>
      <c r="X811" s="7">
        <f t="shared" si="187"/>
        <v>2650.6001000000001</v>
      </c>
      <c r="Y811" s="7">
        <f t="shared" si="188"/>
        <v>148</v>
      </c>
      <c r="Z811" s="7">
        <f t="shared" si="189"/>
        <v>517483</v>
      </c>
      <c r="AA811" s="7" t="str">
        <f t="shared" si="190"/>
        <v>02-Oct-2024</v>
      </c>
      <c r="AB811" s="7">
        <f t="shared" si="191"/>
        <v>2650.6001000000001</v>
      </c>
      <c r="AC811" s="7">
        <f t="shared" si="195"/>
        <v>1</v>
      </c>
      <c r="AD811" s="7">
        <f t="shared" si="192"/>
        <v>2024</v>
      </c>
      <c r="AE811" s="19">
        <f t="shared" si="193"/>
        <v>0.73</v>
      </c>
      <c r="BA811" s="10">
        <f t="shared" si="194"/>
        <v>26.997800000000002</v>
      </c>
    </row>
    <row r="812" spans="1:53" x14ac:dyDescent="0.3">
      <c r="A812" s="17">
        <v>45568</v>
      </c>
      <c r="B812" s="8">
        <v>2657.1001000000001</v>
      </c>
      <c r="C812" s="7">
        <v>2657.1001000000001</v>
      </c>
      <c r="D812" s="7">
        <v>2640</v>
      </c>
      <c r="E812" s="7">
        <v>2642.8</v>
      </c>
      <c r="F812" s="18">
        <v>354</v>
      </c>
      <c r="G812" s="7">
        <v>2653.4713999999999</v>
      </c>
      <c r="H812" s="7">
        <v>2563.0133000000001</v>
      </c>
      <c r="I812" s="7">
        <v>2440.7910999999999</v>
      </c>
      <c r="J812" s="8">
        <v>-0.29430000000000001</v>
      </c>
      <c r="K812" s="7">
        <v>0.66300000000000003</v>
      </c>
      <c r="L812" s="7">
        <v>0.65820000000000001</v>
      </c>
      <c r="M812" s="8">
        <v>68.762699999999995</v>
      </c>
      <c r="N812" s="8">
        <v>43.329599999999999</v>
      </c>
      <c r="O812" s="7">
        <v>42.678699999999999</v>
      </c>
      <c r="P812" s="7">
        <v>2709.3359999999998</v>
      </c>
      <c r="Q812" s="7">
        <v>2477.0540000000001</v>
      </c>
      <c r="R812" s="7" t="str">
        <f t="shared" si="181"/>
        <v>Down</v>
      </c>
      <c r="S812" s="7" t="str">
        <f t="shared" si="182"/>
        <v>Hold</v>
      </c>
      <c r="T812" s="8">
        <f t="shared" si="183"/>
        <v>0.19823370473537619</v>
      </c>
      <c r="U812" s="18">
        <f t="shared" si="184"/>
        <v>1678186</v>
      </c>
      <c r="V812" s="7">
        <f t="shared" si="185"/>
        <v>5586.2002000000002</v>
      </c>
      <c r="W812" s="7">
        <f t="shared" si="186"/>
        <v>2554.1999999999998</v>
      </c>
      <c r="X812" s="7">
        <f t="shared" si="187"/>
        <v>2642.8</v>
      </c>
      <c r="Y812" s="7">
        <f t="shared" si="188"/>
        <v>147</v>
      </c>
      <c r="Z812" s="7">
        <f t="shared" si="189"/>
        <v>517411</v>
      </c>
      <c r="AA812" s="7" t="str">
        <f t="shared" si="190"/>
        <v>03-Oct-2024</v>
      </c>
      <c r="AB812" s="7">
        <f t="shared" si="191"/>
        <v>2642.8</v>
      </c>
      <c r="AC812" s="7">
        <f t="shared" si="195"/>
        <v>1</v>
      </c>
      <c r="AD812" s="7">
        <f t="shared" si="192"/>
        <v>2024</v>
      </c>
      <c r="AE812" s="19">
        <f t="shared" si="193"/>
        <v>-0.28999999999999998</v>
      </c>
      <c r="BA812" s="10">
        <f t="shared" si="194"/>
        <v>26.997800000000002</v>
      </c>
    </row>
    <row r="813" spans="1:53" x14ac:dyDescent="0.3">
      <c r="A813" s="17">
        <v>45569</v>
      </c>
      <c r="B813" s="8">
        <v>2645.8</v>
      </c>
      <c r="C813" s="7">
        <v>2667</v>
      </c>
      <c r="D813" s="7">
        <v>2639</v>
      </c>
      <c r="E813" s="7">
        <v>2656</v>
      </c>
      <c r="F813" s="18">
        <v>114</v>
      </c>
      <c r="G813" s="7">
        <v>2653.4286000000002</v>
      </c>
      <c r="H813" s="7">
        <v>2568.0767000000001</v>
      </c>
      <c r="I813" s="7">
        <v>2444.3366999999998</v>
      </c>
      <c r="J813" s="8">
        <v>0.4995</v>
      </c>
      <c r="K813" s="7">
        <v>0.62560000000000004</v>
      </c>
      <c r="L813" s="7">
        <v>0.6552</v>
      </c>
      <c r="M813" s="8">
        <v>69.014099999999999</v>
      </c>
      <c r="N813" s="8">
        <v>42.421199999999999</v>
      </c>
      <c r="O813" s="7">
        <v>42.627200000000002</v>
      </c>
      <c r="P813" s="7">
        <v>2712.9479000000001</v>
      </c>
      <c r="Q813" s="7">
        <v>2488.0120999999999</v>
      </c>
      <c r="R813" s="7" t="str">
        <f t="shared" si="181"/>
        <v>Up</v>
      </c>
      <c r="S813" s="7" t="str">
        <f t="shared" si="182"/>
        <v>Hold</v>
      </c>
      <c r="T813" s="8">
        <f t="shared" si="183"/>
        <v>0.19960949720670404</v>
      </c>
      <c r="U813" s="18">
        <f t="shared" si="184"/>
        <v>1677832</v>
      </c>
      <c r="V813" s="7">
        <f t="shared" si="185"/>
        <v>5586.2002000000002</v>
      </c>
      <c r="W813" s="7">
        <f t="shared" si="186"/>
        <v>2554.1999999999998</v>
      </c>
      <c r="X813" s="7">
        <f t="shared" si="187"/>
        <v>2656</v>
      </c>
      <c r="Y813" s="7">
        <f t="shared" si="188"/>
        <v>147</v>
      </c>
      <c r="Z813" s="7">
        <f t="shared" si="189"/>
        <v>517411</v>
      </c>
      <c r="AA813" s="7" t="str">
        <f t="shared" si="190"/>
        <v>04-Oct-2024</v>
      </c>
      <c r="AB813" s="7">
        <f t="shared" si="191"/>
        <v>2656</v>
      </c>
      <c r="AC813" s="7">
        <f t="shared" si="195"/>
        <v>1</v>
      </c>
      <c r="AD813" s="7">
        <f t="shared" si="192"/>
        <v>2024</v>
      </c>
      <c r="AE813" s="19">
        <f t="shared" si="193"/>
        <v>0.5</v>
      </c>
      <c r="BA813" s="10">
        <f t="shared" si="194"/>
        <v>26.997800000000002</v>
      </c>
    </row>
    <row r="814" spans="1:53" x14ac:dyDescent="0.3">
      <c r="A814" s="17">
        <v>45572</v>
      </c>
      <c r="B814" s="8">
        <v>2644.8</v>
      </c>
      <c r="C814" s="7">
        <v>2657.3998999999999</v>
      </c>
      <c r="D814" s="7">
        <v>2639</v>
      </c>
      <c r="E814" s="7">
        <v>2648.7</v>
      </c>
      <c r="F814" s="18">
        <v>284</v>
      </c>
      <c r="G814" s="7">
        <v>2651.4857000000002</v>
      </c>
      <c r="H814" s="7">
        <v>2573.4832999999999</v>
      </c>
      <c r="I814" s="7">
        <v>2447.7633000000001</v>
      </c>
      <c r="J814" s="8">
        <v>-0.27489999999999998</v>
      </c>
      <c r="K814" s="7">
        <v>0.62409999999999999</v>
      </c>
      <c r="L814" s="7">
        <v>0.63939999999999997</v>
      </c>
      <c r="M814" s="8">
        <v>66.439300000000003</v>
      </c>
      <c r="N814" s="8">
        <v>40.643700000000003</v>
      </c>
      <c r="O814" s="7">
        <v>42.230499999999999</v>
      </c>
      <c r="P814" s="7">
        <v>2710.1745000000001</v>
      </c>
      <c r="Q814" s="7">
        <v>2506.5255000000002</v>
      </c>
      <c r="R814" s="7" t="str">
        <f t="shared" si="181"/>
        <v>Up</v>
      </c>
      <c r="S814" s="7" t="str">
        <f t="shared" si="182"/>
        <v>Hold</v>
      </c>
      <c r="T814" s="8">
        <f t="shared" si="183"/>
        <v>0.19876946778711496</v>
      </c>
      <c r="U814" s="18">
        <f t="shared" si="184"/>
        <v>1677718</v>
      </c>
      <c r="V814" s="7">
        <f t="shared" si="185"/>
        <v>5586.2002000000002</v>
      </c>
      <c r="W814" s="7">
        <f t="shared" si="186"/>
        <v>2554.1999999999998</v>
      </c>
      <c r="X814" s="7">
        <f t="shared" si="187"/>
        <v>2648.7</v>
      </c>
      <c r="Y814" s="7">
        <f t="shared" si="188"/>
        <v>146</v>
      </c>
      <c r="Z814" s="7">
        <f t="shared" si="189"/>
        <v>517297</v>
      </c>
      <c r="AA814" s="7" t="str">
        <f t="shared" si="190"/>
        <v>07-Oct-2024</v>
      </c>
      <c r="AB814" s="7">
        <f t="shared" si="191"/>
        <v>2648.7</v>
      </c>
      <c r="AC814" s="7">
        <f t="shared" si="195"/>
        <v>1</v>
      </c>
      <c r="AD814" s="7">
        <f t="shared" si="192"/>
        <v>2024</v>
      </c>
      <c r="AE814" s="19">
        <f t="shared" si="193"/>
        <v>-0.27</v>
      </c>
      <c r="BA814" s="10">
        <f t="shared" si="194"/>
        <v>26.997800000000002</v>
      </c>
    </row>
    <row r="815" spans="1:53" x14ac:dyDescent="0.3">
      <c r="A815" s="17">
        <v>45573</v>
      </c>
      <c r="B815" s="8">
        <v>2615</v>
      </c>
      <c r="C815" s="7">
        <v>2639</v>
      </c>
      <c r="D815" s="7">
        <v>2609.3000000000002</v>
      </c>
      <c r="E815" s="7">
        <v>2639</v>
      </c>
      <c r="F815" s="18">
        <v>687</v>
      </c>
      <c r="G815" s="7">
        <v>2647.0571</v>
      </c>
      <c r="H815" s="7">
        <v>2577.7867000000001</v>
      </c>
      <c r="I815" s="7">
        <v>2451.12</v>
      </c>
      <c r="J815" s="8">
        <v>-0.36620000000000003</v>
      </c>
      <c r="K815" s="7">
        <v>0.61</v>
      </c>
      <c r="L815" s="7">
        <v>0.63249999999999995</v>
      </c>
      <c r="M815" s="8">
        <v>66.699299999999994</v>
      </c>
      <c r="N815" s="8">
        <v>38.014200000000002</v>
      </c>
      <c r="O815" s="7">
        <v>41.3872</v>
      </c>
      <c r="P815" s="7">
        <v>2706.6350000000002</v>
      </c>
      <c r="Q815" s="7">
        <v>2522.7350000000001</v>
      </c>
      <c r="R815" s="7" t="str">
        <f t="shared" si="181"/>
        <v>Up</v>
      </c>
      <c r="S815" s="7" t="str">
        <f t="shared" si="182"/>
        <v>Hold</v>
      </c>
      <c r="T815" s="8">
        <f t="shared" si="183"/>
        <v>0.20010000000000014</v>
      </c>
      <c r="U815" s="18">
        <f t="shared" si="184"/>
        <v>1677434</v>
      </c>
      <c r="V815" s="7">
        <f t="shared" si="185"/>
        <v>5586.2002000000002</v>
      </c>
      <c r="W815" s="7">
        <f t="shared" si="186"/>
        <v>2554.1999999999998</v>
      </c>
      <c r="X815" s="7">
        <f t="shared" si="187"/>
        <v>2639</v>
      </c>
      <c r="Y815" s="7">
        <f t="shared" si="188"/>
        <v>145</v>
      </c>
      <c r="Z815" s="7">
        <f t="shared" si="189"/>
        <v>517013</v>
      </c>
      <c r="AA815" s="7" t="str">
        <f t="shared" si="190"/>
        <v>08-Oct-2024</v>
      </c>
      <c r="AB815" s="7">
        <f t="shared" si="191"/>
        <v>2639</v>
      </c>
      <c r="AC815" s="7">
        <f t="shared" si="195"/>
        <v>1</v>
      </c>
      <c r="AD815" s="7">
        <f t="shared" si="192"/>
        <v>2024</v>
      </c>
      <c r="AE815" s="19">
        <f t="shared" si="193"/>
        <v>-0.37</v>
      </c>
      <c r="BA815" s="10">
        <f t="shared" si="194"/>
        <v>26.997800000000002</v>
      </c>
    </row>
    <row r="816" spans="1:53" x14ac:dyDescent="0.3">
      <c r="A816" s="17">
        <v>45574</v>
      </c>
      <c r="B816" s="8">
        <v>2606</v>
      </c>
      <c r="C816" s="7">
        <v>2607.6999999999998</v>
      </c>
      <c r="D816" s="7">
        <v>2603</v>
      </c>
      <c r="E816" s="7">
        <v>2603</v>
      </c>
      <c r="F816" s="18">
        <v>152</v>
      </c>
      <c r="G816" s="7">
        <v>2638.7856999999999</v>
      </c>
      <c r="H816" s="7">
        <v>2580.7132999999999</v>
      </c>
      <c r="I816" s="7">
        <v>2453.9967000000001</v>
      </c>
      <c r="J816" s="8">
        <v>-1.3642000000000001</v>
      </c>
      <c r="K816" s="7">
        <v>0.76270000000000004</v>
      </c>
      <c r="L816" s="7">
        <v>0.69159999999999999</v>
      </c>
      <c r="M816" s="8">
        <v>57.845599999999997</v>
      </c>
      <c r="N816" s="8">
        <v>32.648899999999998</v>
      </c>
      <c r="O816" s="7">
        <v>39.639600000000002</v>
      </c>
      <c r="P816" s="7">
        <v>2700.7492000000002</v>
      </c>
      <c r="Q816" s="7">
        <v>2536.3407999999999</v>
      </c>
      <c r="R816" s="7" t="str">
        <f t="shared" si="181"/>
        <v>Down</v>
      </c>
      <c r="S816" s="7" t="str">
        <f t="shared" si="182"/>
        <v>Hold</v>
      </c>
      <c r="T816" s="8">
        <f t="shared" si="183"/>
        <v>0.20169521126760578</v>
      </c>
      <c r="U816" s="18">
        <f t="shared" si="184"/>
        <v>1676747</v>
      </c>
      <c r="V816" s="7">
        <f t="shared" si="185"/>
        <v>5586.2002000000002</v>
      </c>
      <c r="W816" s="7">
        <f t="shared" si="186"/>
        <v>2554.1999999999998</v>
      </c>
      <c r="X816" s="7">
        <f t="shared" si="187"/>
        <v>2603</v>
      </c>
      <c r="Y816" s="7">
        <f t="shared" si="188"/>
        <v>144</v>
      </c>
      <c r="Z816" s="7">
        <f t="shared" si="189"/>
        <v>516326</v>
      </c>
      <c r="AA816" s="7" t="str">
        <f t="shared" si="190"/>
        <v>09-Oct-2024</v>
      </c>
      <c r="AB816" s="7">
        <f t="shared" si="191"/>
        <v>2603</v>
      </c>
      <c r="AC816" s="7">
        <f t="shared" si="195"/>
        <v>1</v>
      </c>
      <c r="AD816" s="7">
        <f t="shared" si="192"/>
        <v>2024</v>
      </c>
      <c r="AE816" s="19">
        <f t="shared" si="193"/>
        <v>-1.36</v>
      </c>
      <c r="BA816" s="10">
        <f t="shared" si="194"/>
        <v>26.997800000000002</v>
      </c>
    </row>
    <row r="817" spans="1:53" x14ac:dyDescent="0.3">
      <c r="A817" s="17">
        <v>45575</v>
      </c>
      <c r="B817" s="8">
        <v>2620.6001000000001</v>
      </c>
      <c r="C817" s="7">
        <v>2628.3</v>
      </c>
      <c r="D817" s="7">
        <v>2602.5</v>
      </c>
      <c r="E817" s="7">
        <v>2602.5</v>
      </c>
      <c r="F817" s="18">
        <v>320</v>
      </c>
      <c r="G817" s="7">
        <v>2634.6572000000001</v>
      </c>
      <c r="H817" s="7">
        <v>2584.0967000000001</v>
      </c>
      <c r="I817" s="7">
        <v>2457.1066999999998</v>
      </c>
      <c r="J817" s="8">
        <v>-1.9199999999999998E-2</v>
      </c>
      <c r="K817" s="7">
        <v>0.6794</v>
      </c>
      <c r="L817" s="7">
        <v>0.68010000000000004</v>
      </c>
      <c r="M817" s="8">
        <v>52.8551</v>
      </c>
      <c r="N817" s="8">
        <v>28.0335</v>
      </c>
      <c r="O817" s="7">
        <v>37.318300000000001</v>
      </c>
      <c r="P817" s="7">
        <v>2693.424</v>
      </c>
      <c r="Q817" s="7">
        <v>2551.0059000000001</v>
      </c>
      <c r="R817" s="7" t="str">
        <f t="shared" si="181"/>
        <v>Down</v>
      </c>
      <c r="S817" s="7" t="str">
        <f t="shared" si="182"/>
        <v>Hold</v>
      </c>
      <c r="T817" s="8">
        <f t="shared" si="183"/>
        <v>0.2061186440677967</v>
      </c>
      <c r="U817" s="18">
        <f t="shared" si="184"/>
        <v>1676595</v>
      </c>
      <c r="V817" s="7">
        <f t="shared" si="185"/>
        <v>5586.2002000000002</v>
      </c>
      <c r="W817" s="7">
        <f t="shared" si="186"/>
        <v>2554.1999999999998</v>
      </c>
      <c r="X817" s="7">
        <f t="shared" si="187"/>
        <v>2602.5</v>
      </c>
      <c r="Y817" s="7">
        <f t="shared" si="188"/>
        <v>144</v>
      </c>
      <c r="Z817" s="7">
        <f t="shared" si="189"/>
        <v>516326</v>
      </c>
      <c r="AA817" s="7" t="str">
        <f t="shared" si="190"/>
        <v>10-Oct-2024</v>
      </c>
      <c r="AB817" s="7">
        <f t="shared" si="191"/>
        <v>2602.5</v>
      </c>
      <c r="AC817" s="7">
        <f t="shared" si="195"/>
        <v>1</v>
      </c>
      <c r="AD817" s="7">
        <f t="shared" si="192"/>
        <v>2024</v>
      </c>
      <c r="AE817" s="19">
        <f t="shared" si="193"/>
        <v>-0.02</v>
      </c>
      <c r="BA817" s="10">
        <f t="shared" si="194"/>
        <v>26.997800000000002</v>
      </c>
    </row>
    <row r="818" spans="1:53" x14ac:dyDescent="0.3">
      <c r="A818" s="17">
        <v>45576</v>
      </c>
      <c r="B818" s="8">
        <v>2657.6001000000001</v>
      </c>
      <c r="C818" s="7">
        <v>2658.1001000000001</v>
      </c>
      <c r="D818" s="7">
        <v>2638.2</v>
      </c>
      <c r="E818" s="7">
        <v>2638.3</v>
      </c>
      <c r="F818" s="18">
        <v>12</v>
      </c>
      <c r="G818" s="7">
        <v>2632.9</v>
      </c>
      <c r="H818" s="7">
        <v>2588.5700000000002</v>
      </c>
      <c r="I818" s="7">
        <v>2460.3377999999998</v>
      </c>
      <c r="J818" s="8">
        <v>1.3755999999999999</v>
      </c>
      <c r="K818" s="7">
        <v>0.84370000000000001</v>
      </c>
      <c r="L818" s="7">
        <v>0.71679999999999999</v>
      </c>
      <c r="M818" s="8">
        <v>52.7883</v>
      </c>
      <c r="N818" s="8">
        <v>26.953700000000001</v>
      </c>
      <c r="O818" s="7">
        <v>35.245399999999997</v>
      </c>
      <c r="P818" s="7">
        <v>2692.5756000000001</v>
      </c>
      <c r="Q818" s="7">
        <v>2558.8042999999998</v>
      </c>
      <c r="R818" s="7" t="str">
        <f t="shared" si="181"/>
        <v>Down</v>
      </c>
      <c r="S818" s="7" t="str">
        <f t="shared" si="182"/>
        <v>Hold</v>
      </c>
      <c r="T818" s="8">
        <f t="shared" si="183"/>
        <v>0.20675694050991508</v>
      </c>
      <c r="U818" s="18">
        <f t="shared" si="184"/>
        <v>1676275</v>
      </c>
      <c r="V818" s="7">
        <f t="shared" si="185"/>
        <v>5586.2002000000002</v>
      </c>
      <c r="W818" s="7">
        <f t="shared" si="186"/>
        <v>2554.1999999999998</v>
      </c>
      <c r="X818" s="7">
        <f t="shared" si="187"/>
        <v>2638.3</v>
      </c>
      <c r="Y818" s="7">
        <f t="shared" si="188"/>
        <v>144</v>
      </c>
      <c r="Z818" s="7">
        <f t="shared" si="189"/>
        <v>516326</v>
      </c>
      <c r="AA818" s="7" t="str">
        <f t="shared" si="190"/>
        <v>11-Oct-2024</v>
      </c>
      <c r="AB818" s="7">
        <f t="shared" si="191"/>
        <v>2638.3</v>
      </c>
      <c r="AC818" s="7">
        <f t="shared" si="195"/>
        <v>1</v>
      </c>
      <c r="AD818" s="7">
        <f t="shared" si="192"/>
        <v>2024</v>
      </c>
      <c r="AE818" s="19">
        <f t="shared" si="193"/>
        <v>1.38</v>
      </c>
      <c r="BA818" s="10">
        <f t="shared" si="194"/>
        <v>26.997800000000002</v>
      </c>
    </row>
    <row r="819" spans="1:53" x14ac:dyDescent="0.3">
      <c r="A819" s="17">
        <v>45579</v>
      </c>
      <c r="B819" s="8">
        <v>2647.8</v>
      </c>
      <c r="C819" s="7">
        <v>2655.3</v>
      </c>
      <c r="D819" s="7">
        <v>2647.8</v>
      </c>
      <c r="E819" s="7">
        <v>2655</v>
      </c>
      <c r="F819" s="18">
        <v>40</v>
      </c>
      <c r="G819" s="7">
        <v>2634.6428999999998</v>
      </c>
      <c r="H819" s="7">
        <v>2593.0866999999998</v>
      </c>
      <c r="I819" s="7">
        <v>2463.9888999999998</v>
      </c>
      <c r="J819" s="8">
        <v>0.63300000000000001</v>
      </c>
      <c r="K819" s="7">
        <v>0.87370000000000003</v>
      </c>
      <c r="L819" s="7">
        <v>0.71719999999999995</v>
      </c>
      <c r="M819" s="8">
        <v>54.174300000000002</v>
      </c>
      <c r="N819" s="8">
        <v>27.1328</v>
      </c>
      <c r="O819" s="7">
        <v>33.622900000000001</v>
      </c>
      <c r="P819" s="7">
        <v>2693.9501</v>
      </c>
      <c r="Q819" s="7">
        <v>2564.8899000000001</v>
      </c>
      <c r="R819" s="7" t="str">
        <f t="shared" si="181"/>
        <v>Up</v>
      </c>
      <c r="S819" s="7" t="str">
        <f t="shared" si="182"/>
        <v>Hold</v>
      </c>
      <c r="T819" s="8">
        <f t="shared" si="183"/>
        <v>0.20343636363636375</v>
      </c>
      <c r="U819" s="18">
        <f t="shared" si="184"/>
        <v>1676263</v>
      </c>
      <c r="V819" s="7">
        <f t="shared" si="185"/>
        <v>5586.2002000000002</v>
      </c>
      <c r="W819" s="7">
        <f t="shared" si="186"/>
        <v>2554.1999999999998</v>
      </c>
      <c r="X819" s="7">
        <f t="shared" si="187"/>
        <v>2655</v>
      </c>
      <c r="Y819" s="7">
        <f t="shared" si="188"/>
        <v>144</v>
      </c>
      <c r="Z819" s="7">
        <f t="shared" si="189"/>
        <v>516326</v>
      </c>
      <c r="AA819" s="7" t="str">
        <f t="shared" si="190"/>
        <v>14-Oct-2024</v>
      </c>
      <c r="AB819" s="7">
        <f t="shared" si="191"/>
        <v>2655</v>
      </c>
      <c r="AC819" s="7">
        <f t="shared" si="195"/>
        <v>1</v>
      </c>
      <c r="AD819" s="7">
        <f t="shared" si="192"/>
        <v>2024</v>
      </c>
      <c r="AE819" s="19">
        <f t="shared" si="193"/>
        <v>0.63</v>
      </c>
      <c r="BA819" s="10">
        <f t="shared" si="194"/>
        <v>26.997800000000002</v>
      </c>
    </row>
    <row r="820" spans="1:53" x14ac:dyDescent="0.3">
      <c r="A820" s="17">
        <v>45580</v>
      </c>
      <c r="B820" s="8">
        <v>2661.3998999999999</v>
      </c>
      <c r="C820" s="7">
        <v>2661.3998999999999</v>
      </c>
      <c r="D820" s="7">
        <v>2661.3998999999999</v>
      </c>
      <c r="E820" s="7">
        <v>2661.3998999999999</v>
      </c>
      <c r="F820" s="18">
        <v>39</v>
      </c>
      <c r="G820" s="7">
        <v>2635.4142999999999</v>
      </c>
      <c r="H820" s="7">
        <v>2598.4133000000002</v>
      </c>
      <c r="I820" s="7">
        <v>2467.3933000000002</v>
      </c>
      <c r="J820" s="8">
        <v>0.24110000000000001</v>
      </c>
      <c r="K820" s="7">
        <v>0.85780000000000001</v>
      </c>
      <c r="L820" s="7">
        <v>0.69740000000000002</v>
      </c>
      <c r="M820" s="8">
        <v>51.244500000000002</v>
      </c>
      <c r="N820" s="8">
        <v>27.474399999999999</v>
      </c>
      <c r="O820" s="7">
        <v>32.3932</v>
      </c>
      <c r="P820" s="7">
        <v>2695.2541999999999</v>
      </c>
      <c r="Q820" s="7">
        <v>2571.6057999999998</v>
      </c>
      <c r="R820" s="7" t="str">
        <f t="shared" si="181"/>
        <v>Down</v>
      </c>
      <c r="S820" s="7" t="str">
        <f t="shared" si="182"/>
        <v>Hold</v>
      </c>
      <c r="T820" s="8">
        <f t="shared" si="183"/>
        <v>0.20221253561253574</v>
      </c>
      <c r="U820" s="18">
        <f t="shared" si="184"/>
        <v>1676223</v>
      </c>
      <c r="V820" s="7">
        <f t="shared" si="185"/>
        <v>5586.2002000000002</v>
      </c>
      <c r="W820" s="7">
        <f t="shared" si="186"/>
        <v>2554.1999999999998</v>
      </c>
      <c r="X820" s="7">
        <f t="shared" si="187"/>
        <v>2661.3998999999999</v>
      </c>
      <c r="Y820" s="7">
        <f t="shared" si="188"/>
        <v>143</v>
      </c>
      <c r="Z820" s="7">
        <f t="shared" si="189"/>
        <v>516286</v>
      </c>
      <c r="AA820" s="7" t="str">
        <f t="shared" si="190"/>
        <v>15-Oct-2024</v>
      </c>
      <c r="AB820" s="7">
        <f t="shared" si="191"/>
        <v>2661.3998999999999</v>
      </c>
      <c r="AC820" s="7">
        <f t="shared" si="195"/>
        <v>1</v>
      </c>
      <c r="AD820" s="7">
        <f t="shared" si="192"/>
        <v>2024</v>
      </c>
      <c r="AE820" s="19">
        <f t="shared" si="193"/>
        <v>0.24</v>
      </c>
      <c r="BA820" s="10">
        <f t="shared" si="194"/>
        <v>26.997800000000002</v>
      </c>
    </row>
    <row r="821" spans="1:53" x14ac:dyDescent="0.3">
      <c r="A821" s="17">
        <v>45581</v>
      </c>
      <c r="B821" s="8">
        <v>2674</v>
      </c>
      <c r="C821" s="7">
        <v>2674</v>
      </c>
      <c r="D821" s="7">
        <v>2674</v>
      </c>
      <c r="E821" s="7">
        <v>2674</v>
      </c>
      <c r="F821" s="18">
        <v>6</v>
      </c>
      <c r="G821" s="7">
        <v>2639.0286000000001</v>
      </c>
      <c r="H821" s="7">
        <v>2604.5167000000001</v>
      </c>
      <c r="I821" s="7">
        <v>2470.6610999999998</v>
      </c>
      <c r="J821" s="8">
        <v>0.47339999999999999</v>
      </c>
      <c r="K821" s="7">
        <v>0.85980000000000001</v>
      </c>
      <c r="L821" s="7">
        <v>0.68830000000000002</v>
      </c>
      <c r="M821" s="8">
        <v>52.765900000000002</v>
      </c>
      <c r="N821" s="8">
        <v>28.434100000000001</v>
      </c>
      <c r="O821" s="7">
        <v>31.601400000000002</v>
      </c>
      <c r="P821" s="7">
        <v>2695.4103</v>
      </c>
      <c r="Q821" s="7">
        <v>2581.7797</v>
      </c>
      <c r="R821" s="7" t="str">
        <f t="shared" si="181"/>
        <v>Down</v>
      </c>
      <c r="S821" s="7" t="str">
        <f t="shared" si="182"/>
        <v>Hold</v>
      </c>
      <c r="T821" s="8">
        <f t="shared" si="183"/>
        <v>0.20210142857142871</v>
      </c>
      <c r="U821" s="18">
        <f t="shared" si="184"/>
        <v>1676184</v>
      </c>
      <c r="V821" s="7">
        <f t="shared" si="185"/>
        <v>5586.2002000000002</v>
      </c>
      <c r="W821" s="7">
        <f t="shared" si="186"/>
        <v>2554.1999999999998</v>
      </c>
      <c r="X821" s="7">
        <f t="shared" si="187"/>
        <v>2674</v>
      </c>
      <c r="Y821" s="7">
        <f t="shared" si="188"/>
        <v>143</v>
      </c>
      <c r="Z821" s="7">
        <f t="shared" si="189"/>
        <v>516286</v>
      </c>
      <c r="AA821" s="7" t="str">
        <f t="shared" si="190"/>
        <v>16-Oct-2024</v>
      </c>
      <c r="AB821" s="7">
        <f t="shared" si="191"/>
        <v>2674</v>
      </c>
      <c r="AC821" s="7">
        <f t="shared" si="195"/>
        <v>1</v>
      </c>
      <c r="AD821" s="7">
        <f t="shared" si="192"/>
        <v>2024</v>
      </c>
      <c r="AE821" s="19">
        <f t="shared" si="193"/>
        <v>0.47</v>
      </c>
      <c r="BA821" s="10">
        <f t="shared" si="194"/>
        <v>26.997800000000002</v>
      </c>
    </row>
    <row r="822" spans="1:53" x14ac:dyDescent="0.3">
      <c r="A822" s="17">
        <v>45582</v>
      </c>
      <c r="B822" s="8">
        <v>2691</v>
      </c>
      <c r="C822" s="7">
        <v>2691.7</v>
      </c>
      <c r="D822" s="7">
        <v>2677.2</v>
      </c>
      <c r="E822" s="7">
        <v>2677.3998999999999</v>
      </c>
      <c r="F822" s="18">
        <v>30</v>
      </c>
      <c r="G822" s="7">
        <v>2644.5142999999998</v>
      </c>
      <c r="H822" s="7">
        <v>2610.64</v>
      </c>
      <c r="I822" s="7">
        <v>2474.9589000000001</v>
      </c>
      <c r="J822" s="8">
        <v>0.12709999999999999</v>
      </c>
      <c r="K822" s="7">
        <v>0.83120000000000005</v>
      </c>
      <c r="L822" s="7">
        <v>0.68830000000000002</v>
      </c>
      <c r="M822" s="8">
        <v>51.785699999999999</v>
      </c>
      <c r="N822" s="8">
        <v>29.133199999999999</v>
      </c>
      <c r="O822" s="7">
        <v>31.107800000000001</v>
      </c>
      <c r="P822" s="7">
        <v>2692.1741999999999</v>
      </c>
      <c r="Q822" s="7">
        <v>2596.1558</v>
      </c>
      <c r="R822" s="7" t="str">
        <f t="shared" si="181"/>
        <v>Down</v>
      </c>
      <c r="S822" s="7" t="str">
        <f t="shared" si="182"/>
        <v>Hold</v>
      </c>
      <c r="T822" s="8">
        <f t="shared" si="183"/>
        <v>0.2013240687679084</v>
      </c>
      <c r="U822" s="18">
        <f t="shared" si="184"/>
        <v>1676178</v>
      </c>
      <c r="V822" s="7">
        <f t="shared" si="185"/>
        <v>5586.2002000000002</v>
      </c>
      <c r="W822" s="7">
        <f t="shared" si="186"/>
        <v>2554.1999999999998</v>
      </c>
      <c r="X822" s="7">
        <f t="shared" si="187"/>
        <v>2677.3998999999999</v>
      </c>
      <c r="Y822" s="7">
        <f t="shared" si="188"/>
        <v>143</v>
      </c>
      <c r="Z822" s="7">
        <f t="shared" si="189"/>
        <v>516286</v>
      </c>
      <c r="AA822" s="7" t="str">
        <f t="shared" si="190"/>
        <v>17-Oct-2024</v>
      </c>
      <c r="AB822" s="7">
        <f t="shared" si="191"/>
        <v>2677.3998999999999</v>
      </c>
      <c r="AC822" s="7">
        <f t="shared" si="195"/>
        <v>1</v>
      </c>
      <c r="AD822" s="7">
        <f t="shared" si="192"/>
        <v>2024</v>
      </c>
      <c r="AE822" s="19">
        <f t="shared" si="193"/>
        <v>0.13</v>
      </c>
      <c r="BA822" s="10">
        <f t="shared" si="194"/>
        <v>26.997800000000002</v>
      </c>
    </row>
    <row r="823" spans="1:53" x14ac:dyDescent="0.3">
      <c r="A823" s="17">
        <v>45583</v>
      </c>
      <c r="B823" s="8">
        <v>2713.7</v>
      </c>
      <c r="C823" s="7">
        <v>2719.6001000000001</v>
      </c>
      <c r="D823" s="7">
        <v>2713.7</v>
      </c>
      <c r="E823" s="7">
        <v>2713.7</v>
      </c>
      <c r="F823" s="18">
        <v>29</v>
      </c>
      <c r="G823" s="7">
        <v>2660.3285000000001</v>
      </c>
      <c r="H823" s="7">
        <v>2617.42</v>
      </c>
      <c r="I823" s="7">
        <v>2479.5554999999999</v>
      </c>
      <c r="J823" s="8">
        <v>1.3557999999999999</v>
      </c>
      <c r="K823" s="7">
        <v>0.5665</v>
      </c>
      <c r="L823" s="7">
        <v>0.71399999999999997</v>
      </c>
      <c r="M823" s="8">
        <v>61.262799999999999</v>
      </c>
      <c r="N823" s="8">
        <v>32.244700000000002</v>
      </c>
      <c r="O823" s="7">
        <v>31.335100000000001</v>
      </c>
      <c r="P823" s="7">
        <v>2700.8692000000001</v>
      </c>
      <c r="Q823" s="7">
        <v>2599.7908000000002</v>
      </c>
      <c r="R823" s="7" t="str">
        <f t="shared" si="181"/>
        <v>Down</v>
      </c>
      <c r="S823" s="7" t="str">
        <f t="shared" si="182"/>
        <v>Hold</v>
      </c>
      <c r="T823" s="8">
        <f t="shared" si="183"/>
        <v>0.20153735632183914</v>
      </c>
      <c r="U823" s="18">
        <f t="shared" si="184"/>
        <v>1676148</v>
      </c>
      <c r="V823" s="7">
        <f t="shared" si="185"/>
        <v>5586.2002000000002</v>
      </c>
      <c r="W823" s="7">
        <f t="shared" si="186"/>
        <v>2554.1999999999998</v>
      </c>
      <c r="X823" s="7">
        <f t="shared" si="187"/>
        <v>2713.7</v>
      </c>
      <c r="Y823" s="7">
        <f t="shared" si="188"/>
        <v>143</v>
      </c>
      <c r="Z823" s="7">
        <f t="shared" si="189"/>
        <v>516286</v>
      </c>
      <c r="AA823" s="7" t="str">
        <f t="shared" si="190"/>
        <v>18-Oct-2024</v>
      </c>
      <c r="AB823" s="7">
        <f t="shared" si="191"/>
        <v>2713.7</v>
      </c>
      <c r="AC823" s="7">
        <f t="shared" si="195"/>
        <v>1</v>
      </c>
      <c r="AD823" s="7">
        <f t="shared" si="192"/>
        <v>2024</v>
      </c>
      <c r="AE823" s="19">
        <f t="shared" si="193"/>
        <v>1.36</v>
      </c>
      <c r="BA823" s="10">
        <f t="shared" si="194"/>
        <v>26.997800000000002</v>
      </c>
    </row>
    <row r="824" spans="1:53" x14ac:dyDescent="0.3">
      <c r="A824" s="17">
        <v>45586</v>
      </c>
      <c r="B824" s="8">
        <v>2723.1001000000001</v>
      </c>
      <c r="C824" s="7">
        <v>2738.3998999999999</v>
      </c>
      <c r="D824" s="7">
        <v>2719.5</v>
      </c>
      <c r="E824" s="7">
        <v>2721.8998999999999</v>
      </c>
      <c r="F824" s="18">
        <v>52</v>
      </c>
      <c r="G824" s="7">
        <v>2677.3856999999998</v>
      </c>
      <c r="H824" s="7">
        <v>2625.1066999999998</v>
      </c>
      <c r="I824" s="7">
        <v>2484.0778</v>
      </c>
      <c r="J824" s="8">
        <v>0.30220000000000002</v>
      </c>
      <c r="K824" s="7">
        <v>0.51919999999999999</v>
      </c>
      <c r="L824" s="7">
        <v>0.68759999999999999</v>
      </c>
      <c r="M824" s="8">
        <v>71.234200000000001</v>
      </c>
      <c r="N824" s="8">
        <v>34.969099999999997</v>
      </c>
      <c r="O824" s="7">
        <v>32.061900000000001</v>
      </c>
      <c r="P824" s="7">
        <v>2713.5569999999998</v>
      </c>
      <c r="Q824" s="7">
        <v>2596.643</v>
      </c>
      <c r="R824" s="7" t="str">
        <f t="shared" si="181"/>
        <v>Down</v>
      </c>
      <c r="S824" s="7" t="str">
        <f t="shared" si="182"/>
        <v>Sell</v>
      </c>
      <c r="T824" s="8">
        <f t="shared" si="183"/>
        <v>0.19821095100864564</v>
      </c>
      <c r="U824" s="18">
        <f t="shared" si="184"/>
        <v>1676119</v>
      </c>
      <c r="V824" s="7">
        <f t="shared" si="185"/>
        <v>5586.2002000000002</v>
      </c>
      <c r="W824" s="7">
        <f t="shared" si="186"/>
        <v>2554.1999999999998</v>
      </c>
      <c r="X824" s="7">
        <f t="shared" si="187"/>
        <v>2721.8998999999999</v>
      </c>
      <c r="Y824" s="7">
        <f t="shared" si="188"/>
        <v>143</v>
      </c>
      <c r="Z824" s="7">
        <f t="shared" si="189"/>
        <v>516286</v>
      </c>
      <c r="AA824" s="7" t="str">
        <f t="shared" si="190"/>
        <v>21-Oct-2024</v>
      </c>
      <c r="AB824" s="7">
        <f t="shared" si="191"/>
        <v>2721.8998999999999</v>
      </c>
      <c r="AC824" s="7">
        <f t="shared" si="195"/>
        <v>1</v>
      </c>
      <c r="AD824" s="7">
        <f t="shared" si="192"/>
        <v>2024</v>
      </c>
      <c r="AE824" s="19">
        <f t="shared" si="193"/>
        <v>0.3</v>
      </c>
      <c r="BA824" s="10">
        <f t="shared" si="194"/>
        <v>26.997800000000002</v>
      </c>
    </row>
    <row r="825" spans="1:53" x14ac:dyDescent="0.3">
      <c r="A825" s="17">
        <v>45587</v>
      </c>
      <c r="B825" s="8">
        <v>2744.2</v>
      </c>
      <c r="C825" s="7">
        <v>2746</v>
      </c>
      <c r="D825" s="7">
        <v>2728.6001000000001</v>
      </c>
      <c r="E825" s="7">
        <v>2731.7</v>
      </c>
      <c r="F825" s="18">
        <v>93</v>
      </c>
      <c r="G825" s="7">
        <v>2690.7285000000002</v>
      </c>
      <c r="H825" s="7">
        <v>2632.42</v>
      </c>
      <c r="I825" s="7">
        <v>2488.77</v>
      </c>
      <c r="J825" s="8">
        <v>0.36</v>
      </c>
      <c r="K825" s="7">
        <v>0.41139999999999999</v>
      </c>
      <c r="L825" s="7">
        <v>0.68</v>
      </c>
      <c r="M825" s="8">
        <v>69.906700000000001</v>
      </c>
      <c r="N825" s="8">
        <v>37.486800000000002</v>
      </c>
      <c r="O825" s="7">
        <v>33.146900000000002</v>
      </c>
      <c r="P825" s="7">
        <v>2726.8314999999998</v>
      </c>
      <c r="Q825" s="7">
        <v>2592.8584000000001</v>
      </c>
      <c r="R825" s="7" t="str">
        <f t="shared" si="181"/>
        <v>Down</v>
      </c>
      <c r="S825" s="7" t="str">
        <f t="shared" si="182"/>
        <v>Hold</v>
      </c>
      <c r="T825" s="8">
        <f t="shared" si="183"/>
        <v>0.19791040462427756</v>
      </c>
      <c r="U825" s="18">
        <f t="shared" si="184"/>
        <v>1676067</v>
      </c>
      <c r="V825" s="7">
        <f t="shared" si="185"/>
        <v>5586.2002000000002</v>
      </c>
      <c r="W825" s="7">
        <f t="shared" si="186"/>
        <v>2554.1999999999998</v>
      </c>
      <c r="X825" s="7">
        <f t="shared" si="187"/>
        <v>2731.7</v>
      </c>
      <c r="Y825" s="7">
        <f t="shared" si="188"/>
        <v>143</v>
      </c>
      <c r="Z825" s="7">
        <f t="shared" si="189"/>
        <v>516286</v>
      </c>
      <c r="AA825" s="7" t="str">
        <f t="shared" si="190"/>
        <v>22-Oct-2024</v>
      </c>
      <c r="AB825" s="7">
        <f t="shared" si="191"/>
        <v>2731.7</v>
      </c>
      <c r="AC825" s="7">
        <f t="shared" si="195"/>
        <v>1</v>
      </c>
      <c r="AD825" s="7">
        <f t="shared" si="192"/>
        <v>2024</v>
      </c>
      <c r="AE825" s="19">
        <f t="shared" si="193"/>
        <v>0.36</v>
      </c>
      <c r="BA825" s="10">
        <f t="shared" si="194"/>
        <v>26.997800000000002</v>
      </c>
    </row>
    <row r="826" spans="1:53" x14ac:dyDescent="0.3">
      <c r="A826" s="17">
        <v>45588</v>
      </c>
      <c r="B826" s="8">
        <v>2714.3998999999999</v>
      </c>
      <c r="C826" s="7">
        <v>2742.5</v>
      </c>
      <c r="D826" s="7">
        <v>2714.2</v>
      </c>
      <c r="E826" s="7">
        <v>2742.5</v>
      </c>
      <c r="F826" s="18">
        <v>18</v>
      </c>
      <c r="G826" s="7">
        <v>2703.2285000000002</v>
      </c>
      <c r="H826" s="7">
        <v>2639.6433000000002</v>
      </c>
      <c r="I826" s="7">
        <v>2493.6089000000002</v>
      </c>
      <c r="J826" s="8">
        <v>0.39539999999999997</v>
      </c>
      <c r="K826" s="7">
        <v>0.4083</v>
      </c>
      <c r="L826" s="7">
        <v>0.67869999999999997</v>
      </c>
      <c r="M826" s="8">
        <v>74.117099999999994</v>
      </c>
      <c r="N826" s="8">
        <v>39.893799999999999</v>
      </c>
      <c r="O826" s="7">
        <v>34.496299999999998</v>
      </c>
      <c r="P826" s="7">
        <v>2740.6051000000002</v>
      </c>
      <c r="Q826" s="7">
        <v>2587.7049000000002</v>
      </c>
      <c r="R826" s="7" t="str">
        <f t="shared" si="181"/>
        <v>Up</v>
      </c>
      <c r="S826" s="7" t="str">
        <f t="shared" si="182"/>
        <v>Sell</v>
      </c>
      <c r="T826" s="8">
        <f t="shared" si="183"/>
        <v>0.19744057971014498</v>
      </c>
      <c r="U826" s="18">
        <f t="shared" si="184"/>
        <v>1675974</v>
      </c>
      <c r="V826" s="7">
        <f t="shared" si="185"/>
        <v>5586.2002000000002</v>
      </c>
      <c r="W826" s="7">
        <f t="shared" si="186"/>
        <v>2554.1999999999998</v>
      </c>
      <c r="X826" s="7">
        <f t="shared" si="187"/>
        <v>2742.5</v>
      </c>
      <c r="Y826" s="7">
        <f t="shared" si="188"/>
        <v>143</v>
      </c>
      <c r="Z826" s="7">
        <f t="shared" si="189"/>
        <v>516286</v>
      </c>
      <c r="AA826" s="7" t="str">
        <f t="shared" si="190"/>
        <v>23-Oct-2024</v>
      </c>
      <c r="AB826" s="7">
        <f t="shared" si="191"/>
        <v>2742.5</v>
      </c>
      <c r="AC826" s="7">
        <f t="shared" si="195"/>
        <v>1</v>
      </c>
      <c r="AD826" s="7">
        <f t="shared" si="192"/>
        <v>2024</v>
      </c>
      <c r="AE826" s="19">
        <f t="shared" si="193"/>
        <v>0.4</v>
      </c>
      <c r="BA826" s="10">
        <f t="shared" si="194"/>
        <v>26.997800000000002</v>
      </c>
    </row>
    <row r="827" spans="1:53" x14ac:dyDescent="0.3">
      <c r="A827" s="17">
        <v>45589</v>
      </c>
      <c r="B827" s="8">
        <v>2734.8998999999999</v>
      </c>
      <c r="C827" s="7">
        <v>2736.1001000000001</v>
      </c>
      <c r="D827" s="7">
        <v>2729</v>
      </c>
      <c r="E827" s="7">
        <v>2729</v>
      </c>
      <c r="F827" s="18">
        <v>27</v>
      </c>
      <c r="G827" s="7">
        <v>2712.8856999999998</v>
      </c>
      <c r="H827" s="7">
        <v>2646.3065999999999</v>
      </c>
      <c r="I827" s="7">
        <v>2498.1511</v>
      </c>
      <c r="J827" s="8">
        <v>-0.49230000000000002</v>
      </c>
      <c r="K827" s="7">
        <v>0.54610000000000003</v>
      </c>
      <c r="L827" s="7">
        <v>0.69269999999999998</v>
      </c>
      <c r="M827" s="8">
        <v>67.632900000000006</v>
      </c>
      <c r="N827" s="8">
        <v>40.247999999999998</v>
      </c>
      <c r="O827" s="7">
        <v>35.646599999999999</v>
      </c>
      <c r="P827" s="7">
        <v>2749.2352999999998</v>
      </c>
      <c r="Q827" s="7">
        <v>2585.7446</v>
      </c>
      <c r="R827" s="7" t="str">
        <f t="shared" si="181"/>
        <v>Down</v>
      </c>
      <c r="S827" s="7" t="str">
        <f t="shared" si="182"/>
        <v>Hold</v>
      </c>
      <c r="T827" s="8">
        <f t="shared" si="183"/>
        <v>0.19686511627906983</v>
      </c>
      <c r="U827" s="18">
        <f t="shared" si="184"/>
        <v>1675956</v>
      </c>
      <c r="V827" s="7">
        <f t="shared" si="185"/>
        <v>5586.2002000000002</v>
      </c>
      <c r="W827" s="7">
        <f t="shared" si="186"/>
        <v>2554.1999999999998</v>
      </c>
      <c r="X827" s="7">
        <f t="shared" si="187"/>
        <v>2729</v>
      </c>
      <c r="Y827" s="7">
        <f t="shared" si="188"/>
        <v>142</v>
      </c>
      <c r="Z827" s="7">
        <f t="shared" si="189"/>
        <v>516268</v>
      </c>
      <c r="AA827" s="7" t="str">
        <f t="shared" si="190"/>
        <v>24-Oct-2024</v>
      </c>
      <c r="AB827" s="7">
        <f t="shared" si="191"/>
        <v>2729</v>
      </c>
      <c r="AC827" s="7">
        <f t="shared" si="195"/>
        <v>1</v>
      </c>
      <c r="AD827" s="7">
        <f t="shared" si="192"/>
        <v>2024</v>
      </c>
      <c r="AE827" s="19">
        <f t="shared" si="193"/>
        <v>-0.49</v>
      </c>
      <c r="BA827" s="10">
        <f t="shared" si="194"/>
        <v>26.997800000000002</v>
      </c>
    </row>
    <row r="828" spans="1:53" x14ac:dyDescent="0.3">
      <c r="A828" s="17">
        <v>45590</v>
      </c>
      <c r="B828" s="8">
        <v>2740.8998999999999</v>
      </c>
      <c r="C828" s="7">
        <v>2742.3998999999999</v>
      </c>
      <c r="D828" s="7">
        <v>2725.5</v>
      </c>
      <c r="E828" s="7">
        <v>2725.5</v>
      </c>
      <c r="F828" s="18">
        <v>29</v>
      </c>
      <c r="G828" s="7">
        <v>2720.2428</v>
      </c>
      <c r="H828" s="7">
        <v>2651.53</v>
      </c>
      <c r="I828" s="7">
        <v>2502.7478000000001</v>
      </c>
      <c r="J828" s="8">
        <v>-0.1283</v>
      </c>
      <c r="K828" s="7">
        <v>0.57210000000000005</v>
      </c>
      <c r="L828" s="7">
        <v>0.64970000000000006</v>
      </c>
      <c r="M828" s="8">
        <v>68.8977</v>
      </c>
      <c r="N828" s="8">
        <v>39.787700000000001</v>
      </c>
      <c r="O828" s="7">
        <v>36.474800000000002</v>
      </c>
      <c r="P828" s="7">
        <v>2756.038</v>
      </c>
      <c r="Q828" s="7">
        <v>2584.4920000000002</v>
      </c>
      <c r="R828" s="7" t="str">
        <f t="shared" si="181"/>
        <v>Down</v>
      </c>
      <c r="S828" s="7" t="str">
        <f t="shared" si="182"/>
        <v>Hold</v>
      </c>
      <c r="T828" s="8">
        <f t="shared" si="183"/>
        <v>0.19887434402332368</v>
      </c>
      <c r="U828" s="18">
        <f t="shared" si="184"/>
        <v>1675929</v>
      </c>
      <c r="V828" s="7">
        <f t="shared" si="185"/>
        <v>5586.2002000000002</v>
      </c>
      <c r="W828" s="7">
        <f t="shared" si="186"/>
        <v>2554.1999999999998</v>
      </c>
      <c r="X828" s="7">
        <f t="shared" si="187"/>
        <v>2725.5</v>
      </c>
      <c r="Y828" s="7">
        <f t="shared" si="188"/>
        <v>142</v>
      </c>
      <c r="Z828" s="7">
        <f t="shared" si="189"/>
        <v>516268</v>
      </c>
      <c r="AA828" s="7" t="str">
        <f t="shared" si="190"/>
        <v>25-Oct-2024</v>
      </c>
      <c r="AB828" s="7">
        <f t="shared" si="191"/>
        <v>2725.5</v>
      </c>
      <c r="AC828" s="7">
        <f t="shared" si="195"/>
        <v>1</v>
      </c>
      <c r="AD828" s="7">
        <f t="shared" si="192"/>
        <v>2024</v>
      </c>
      <c r="AE828" s="19">
        <f t="shared" si="193"/>
        <v>-0.13</v>
      </c>
      <c r="BA828" s="10">
        <f t="shared" si="194"/>
        <v>26.997800000000002</v>
      </c>
    </row>
    <row r="829" spans="1:53" x14ac:dyDescent="0.3">
      <c r="A829" s="17">
        <v>45593</v>
      </c>
      <c r="B829" s="8">
        <v>2742.8998999999999</v>
      </c>
      <c r="C829" s="7">
        <v>2742.8998999999999</v>
      </c>
      <c r="D829" s="7">
        <v>2729.5</v>
      </c>
      <c r="E829" s="7">
        <v>2736.1001000000001</v>
      </c>
      <c r="F829" s="18">
        <v>56</v>
      </c>
      <c r="G829" s="7">
        <v>2728.6286</v>
      </c>
      <c r="H829" s="7">
        <v>2656.72</v>
      </c>
      <c r="I829" s="7">
        <v>2507.2721999999999</v>
      </c>
      <c r="J829" s="8">
        <v>0.38890000000000002</v>
      </c>
      <c r="K829" s="7">
        <v>0.56940000000000002</v>
      </c>
      <c r="L829" s="7">
        <v>0.64890000000000003</v>
      </c>
      <c r="M829" s="8">
        <v>73.787400000000005</v>
      </c>
      <c r="N829" s="8">
        <v>39.819200000000002</v>
      </c>
      <c r="O829" s="7">
        <v>37.143700000000003</v>
      </c>
      <c r="P829" s="7">
        <v>2764.5319</v>
      </c>
      <c r="Q829" s="7">
        <v>2583.5180999999998</v>
      </c>
      <c r="R829" s="7" t="str">
        <f t="shared" si="181"/>
        <v>Down</v>
      </c>
      <c r="S829" s="7" t="str">
        <f t="shared" si="182"/>
        <v>Sell</v>
      </c>
      <c r="T829" s="8">
        <f t="shared" si="183"/>
        <v>0.19983099415204683</v>
      </c>
      <c r="U829" s="18">
        <f t="shared" si="184"/>
        <v>1675900</v>
      </c>
      <c r="V829" s="7">
        <f t="shared" si="185"/>
        <v>5586.2002000000002</v>
      </c>
      <c r="W829" s="7">
        <f t="shared" si="186"/>
        <v>2554.1999999999998</v>
      </c>
      <c r="X829" s="7">
        <f t="shared" si="187"/>
        <v>2736.1001000000001</v>
      </c>
      <c r="Y829" s="7">
        <f t="shared" si="188"/>
        <v>142</v>
      </c>
      <c r="Z829" s="7">
        <f t="shared" si="189"/>
        <v>516268</v>
      </c>
      <c r="AA829" s="7" t="str">
        <f t="shared" si="190"/>
        <v>28-Oct-2024</v>
      </c>
      <c r="AB829" s="7">
        <f t="shared" si="191"/>
        <v>2736.1001000000001</v>
      </c>
      <c r="AC829" s="7">
        <f t="shared" si="195"/>
        <v>1</v>
      </c>
      <c r="AD829" s="7">
        <f t="shared" si="192"/>
        <v>2024</v>
      </c>
      <c r="AE829" s="19">
        <f t="shared" si="193"/>
        <v>0.39</v>
      </c>
      <c r="BA829" s="10">
        <f t="shared" si="194"/>
        <v>26.997800000000002</v>
      </c>
    </row>
    <row r="830" spans="1:53" x14ac:dyDescent="0.3">
      <c r="A830" s="17">
        <v>45594</v>
      </c>
      <c r="B830" s="8">
        <v>2768.3998999999999</v>
      </c>
      <c r="C830" s="7">
        <v>2768.3998999999999</v>
      </c>
      <c r="D830" s="7">
        <v>2768.3998999999999</v>
      </c>
      <c r="E830" s="7">
        <v>2768.3998999999999</v>
      </c>
      <c r="F830" s="18">
        <v>848</v>
      </c>
      <c r="G830" s="7">
        <v>2736.4427999999998</v>
      </c>
      <c r="H830" s="7">
        <v>2662.96</v>
      </c>
      <c r="I830" s="7">
        <v>2512.13</v>
      </c>
      <c r="J830" s="8">
        <v>1.1805000000000001</v>
      </c>
      <c r="K830" s="7">
        <v>0.51729999999999998</v>
      </c>
      <c r="L830" s="7">
        <v>0.67230000000000001</v>
      </c>
      <c r="M830" s="8">
        <v>91.267499999999998</v>
      </c>
      <c r="N830" s="8">
        <v>41.966700000000003</v>
      </c>
      <c r="O830" s="7">
        <v>38.1083</v>
      </c>
      <c r="P830" s="7">
        <v>2778.2736</v>
      </c>
      <c r="Q830" s="7">
        <v>2583.4762999999998</v>
      </c>
      <c r="R830" s="7" t="str">
        <f t="shared" si="181"/>
        <v>Down</v>
      </c>
      <c r="S830" s="7" t="str">
        <f t="shared" si="182"/>
        <v>Sell</v>
      </c>
      <c r="T830" s="8">
        <f t="shared" si="183"/>
        <v>0.19927653958944289</v>
      </c>
      <c r="U830" s="18">
        <f t="shared" si="184"/>
        <v>1675844</v>
      </c>
      <c r="V830" s="7">
        <f t="shared" si="185"/>
        <v>5586.2002000000002</v>
      </c>
      <c r="W830" s="7">
        <f t="shared" si="186"/>
        <v>2554.1999999999998</v>
      </c>
      <c r="X830" s="7">
        <f t="shared" si="187"/>
        <v>2768.3998999999999</v>
      </c>
      <c r="Y830" s="7">
        <f t="shared" si="188"/>
        <v>142</v>
      </c>
      <c r="Z830" s="7">
        <f t="shared" si="189"/>
        <v>516268</v>
      </c>
      <c r="AA830" s="7" t="str">
        <f t="shared" si="190"/>
        <v>29-Oct-2024</v>
      </c>
      <c r="AB830" s="7">
        <f t="shared" si="191"/>
        <v>2768.3998999999999</v>
      </c>
      <c r="AC830" s="7">
        <f t="shared" si="195"/>
        <v>1</v>
      </c>
      <c r="AD830" s="7">
        <f t="shared" si="192"/>
        <v>2024</v>
      </c>
      <c r="AE830" s="19">
        <f t="shared" si="193"/>
        <v>1.18</v>
      </c>
      <c r="BA830" s="10">
        <f t="shared" si="194"/>
        <v>26.997800000000002</v>
      </c>
    </row>
    <row r="831" spans="1:53" x14ac:dyDescent="0.3">
      <c r="A831" s="17">
        <v>45595</v>
      </c>
      <c r="B831" s="8">
        <v>2788.5</v>
      </c>
      <c r="C831" s="7">
        <v>2789</v>
      </c>
      <c r="D831" s="7">
        <v>2774.6001000000001</v>
      </c>
      <c r="E831" s="7">
        <v>2774.6001000000001</v>
      </c>
      <c r="F831" s="18">
        <v>231</v>
      </c>
      <c r="G831" s="7">
        <v>2743.9713999999999</v>
      </c>
      <c r="H831" s="7">
        <v>2669.7566999999999</v>
      </c>
      <c r="I831" s="7">
        <v>2517.1444000000001</v>
      </c>
      <c r="J831" s="8">
        <v>0.224</v>
      </c>
      <c r="K831" s="7">
        <v>0.51780000000000004</v>
      </c>
      <c r="L831" s="7">
        <v>0.6613</v>
      </c>
      <c r="M831" s="8">
        <v>91.751599999999996</v>
      </c>
      <c r="N831" s="8">
        <v>43.665599999999998</v>
      </c>
      <c r="O831" s="7">
        <v>39.219799999999999</v>
      </c>
      <c r="P831" s="7">
        <v>2791.8654000000001</v>
      </c>
      <c r="Q831" s="7">
        <v>2582.2846</v>
      </c>
      <c r="R831" s="7" t="str">
        <f t="shared" si="181"/>
        <v>Down</v>
      </c>
      <c r="S831" s="7" t="str">
        <f t="shared" si="182"/>
        <v>Sell</v>
      </c>
      <c r="T831" s="8">
        <f t="shared" si="183"/>
        <v>0.19639058823529421</v>
      </c>
      <c r="U831" s="18">
        <f t="shared" si="184"/>
        <v>1674996</v>
      </c>
      <c r="V831" s="7">
        <f t="shared" si="185"/>
        <v>5586.2002000000002</v>
      </c>
      <c r="W831" s="7">
        <f t="shared" si="186"/>
        <v>2554.1999999999998</v>
      </c>
      <c r="X831" s="7">
        <f t="shared" si="187"/>
        <v>2774.6001000000001</v>
      </c>
      <c r="Y831" s="7">
        <f t="shared" si="188"/>
        <v>142</v>
      </c>
      <c r="Z831" s="7">
        <f t="shared" si="189"/>
        <v>516268</v>
      </c>
      <c r="AA831" s="7" t="str">
        <f t="shared" si="190"/>
        <v>30-Oct-2024</v>
      </c>
      <c r="AB831" s="7">
        <f t="shared" si="191"/>
        <v>2774.6001000000001</v>
      </c>
      <c r="AC831" s="7">
        <f t="shared" si="195"/>
        <v>1</v>
      </c>
      <c r="AD831" s="7">
        <f t="shared" si="192"/>
        <v>2024</v>
      </c>
      <c r="AE831" s="19">
        <f t="shared" si="193"/>
        <v>0.22</v>
      </c>
      <c r="BA831" s="10">
        <f t="shared" si="194"/>
        <v>26.997800000000002</v>
      </c>
    </row>
    <row r="832" spans="1:53" x14ac:dyDescent="0.3">
      <c r="A832" s="17">
        <v>45596</v>
      </c>
      <c r="B832" s="8">
        <v>2738.3</v>
      </c>
      <c r="C832" s="7">
        <v>2787.5</v>
      </c>
      <c r="D832" s="7">
        <v>2733.5</v>
      </c>
      <c r="E832" s="7">
        <v>2787.3998999999999</v>
      </c>
      <c r="F832" s="18">
        <v>849</v>
      </c>
      <c r="G832" s="7">
        <v>2751.9286000000002</v>
      </c>
      <c r="H832" s="7">
        <v>2677.1367</v>
      </c>
      <c r="I832" s="7">
        <v>2522.2889</v>
      </c>
      <c r="J832" s="8">
        <v>0.46129999999999999</v>
      </c>
      <c r="K832" s="7">
        <v>0.52190000000000003</v>
      </c>
      <c r="L832" s="7">
        <v>0.65690000000000004</v>
      </c>
      <c r="M832" s="8">
        <v>90.715400000000002</v>
      </c>
      <c r="N832" s="8">
        <v>45.520099999999999</v>
      </c>
      <c r="O832" s="7">
        <v>40.479799999999997</v>
      </c>
      <c r="P832" s="7">
        <v>2805.9616999999998</v>
      </c>
      <c r="Q832" s="7">
        <v>2582.6482999999998</v>
      </c>
      <c r="R832" s="7" t="str">
        <f t="shared" si="181"/>
        <v>Up</v>
      </c>
      <c r="S832" s="7" t="str">
        <f t="shared" si="182"/>
        <v>Sell</v>
      </c>
      <c r="T832" s="8">
        <f t="shared" si="183"/>
        <v>0.19630914454277296</v>
      </c>
      <c r="U832" s="18">
        <f t="shared" si="184"/>
        <v>1674765</v>
      </c>
      <c r="V832" s="7">
        <f t="shared" si="185"/>
        <v>5586.2002000000002</v>
      </c>
      <c r="W832" s="7">
        <f t="shared" si="186"/>
        <v>2554.1999999999998</v>
      </c>
      <c r="X832" s="7">
        <f t="shared" si="187"/>
        <v>2787.3998999999999</v>
      </c>
      <c r="Y832" s="7">
        <f t="shared" si="188"/>
        <v>142</v>
      </c>
      <c r="Z832" s="7">
        <f t="shared" si="189"/>
        <v>516268</v>
      </c>
      <c r="AA832" s="7" t="str">
        <f t="shared" si="190"/>
        <v>31-Oct-2024</v>
      </c>
      <c r="AB832" s="7">
        <f t="shared" si="191"/>
        <v>2787.3998999999999</v>
      </c>
      <c r="AC832" s="7">
        <f t="shared" si="195"/>
        <v>1</v>
      </c>
      <c r="AD832" s="7">
        <f t="shared" si="192"/>
        <v>2024</v>
      </c>
      <c r="AE832" s="19">
        <f t="shared" si="193"/>
        <v>0.46</v>
      </c>
      <c r="BA832" s="10">
        <f t="shared" si="194"/>
        <v>26.997800000000002</v>
      </c>
    </row>
    <row r="833" spans="1:53" x14ac:dyDescent="0.3">
      <c r="A833" s="17">
        <v>45597</v>
      </c>
      <c r="B833" s="8">
        <v>2738.6001000000001</v>
      </c>
      <c r="C833" s="7">
        <v>2756</v>
      </c>
      <c r="D833" s="7">
        <v>2734.2</v>
      </c>
      <c r="E833" s="7">
        <v>2745.5</v>
      </c>
      <c r="F833" s="18">
        <v>109</v>
      </c>
      <c r="G833" s="7">
        <v>2752.3571000000002</v>
      </c>
      <c r="H833" s="7">
        <v>2682.3067000000001</v>
      </c>
      <c r="I833" s="7">
        <v>2527.1511</v>
      </c>
      <c r="J833" s="8">
        <v>-1.5032000000000001</v>
      </c>
      <c r="K833" s="7">
        <v>0.84889999999999999</v>
      </c>
      <c r="L833" s="7">
        <v>0.72009999999999996</v>
      </c>
      <c r="M833" s="8">
        <v>71.723500000000001</v>
      </c>
      <c r="N833" s="8">
        <v>43.111899999999999</v>
      </c>
      <c r="O833" s="7">
        <v>41.0062</v>
      </c>
      <c r="P833" s="7">
        <v>2811.1444000000001</v>
      </c>
      <c r="Q833" s="7">
        <v>2586.4155000000001</v>
      </c>
      <c r="R833" s="7" t="str">
        <f t="shared" si="181"/>
        <v>Up</v>
      </c>
      <c r="S833" s="7" t="str">
        <f t="shared" si="182"/>
        <v>Sell</v>
      </c>
      <c r="T833" s="8">
        <f t="shared" si="183"/>
        <v>0.1955251479289942</v>
      </c>
      <c r="U833" s="18">
        <f t="shared" si="184"/>
        <v>1673916</v>
      </c>
      <c r="V833" s="7">
        <f t="shared" si="185"/>
        <v>5586.2002000000002</v>
      </c>
      <c r="W833" s="7">
        <f t="shared" si="186"/>
        <v>2554.1999999999998</v>
      </c>
      <c r="X833" s="7">
        <f t="shared" si="187"/>
        <v>2745.5</v>
      </c>
      <c r="Y833" s="7">
        <f t="shared" si="188"/>
        <v>141</v>
      </c>
      <c r="Z833" s="7">
        <f t="shared" si="189"/>
        <v>515419</v>
      </c>
      <c r="AA833" s="7" t="str">
        <f t="shared" si="190"/>
        <v>01-Nov-2024</v>
      </c>
      <c r="AB833" s="7">
        <f t="shared" si="191"/>
        <v>2745.5</v>
      </c>
      <c r="AC833" s="7">
        <f t="shared" si="195"/>
        <v>1</v>
      </c>
      <c r="AD833" s="7">
        <f t="shared" si="192"/>
        <v>2024</v>
      </c>
      <c r="AE833" s="19">
        <f t="shared" si="193"/>
        <v>-1.5</v>
      </c>
      <c r="BA833" s="10">
        <f t="shared" si="194"/>
        <v>26.997800000000002</v>
      </c>
    </row>
    <row r="834" spans="1:53" x14ac:dyDescent="0.3">
      <c r="A834" s="17">
        <v>45600</v>
      </c>
      <c r="B834" s="8">
        <v>2736.1001000000001</v>
      </c>
      <c r="C834" s="7">
        <v>2737.1001000000001</v>
      </c>
      <c r="D834" s="7">
        <v>2736.1001000000001</v>
      </c>
      <c r="E834" s="7">
        <v>2736.5</v>
      </c>
      <c r="F834" s="18">
        <v>16</v>
      </c>
      <c r="G834" s="7">
        <v>2753.4286000000002</v>
      </c>
      <c r="H834" s="7">
        <v>2685.9733000000001</v>
      </c>
      <c r="I834" s="7">
        <v>2532.0367000000001</v>
      </c>
      <c r="J834" s="8">
        <v>-0.32779999999999998</v>
      </c>
      <c r="K834" s="7">
        <v>0.83460000000000001</v>
      </c>
      <c r="L834" s="7">
        <v>0.68930000000000002</v>
      </c>
      <c r="M834" s="8">
        <v>67.804699999999997</v>
      </c>
      <c r="N834" s="8">
        <v>40.015799999999999</v>
      </c>
      <c r="O834" s="7">
        <v>40.808199999999999</v>
      </c>
      <c r="P834" s="7">
        <v>2814.1482000000001</v>
      </c>
      <c r="Q834" s="7">
        <v>2592.1918000000001</v>
      </c>
      <c r="R834" s="7" t="str">
        <f t="shared" si="181"/>
        <v>Up</v>
      </c>
      <c r="S834" s="7" t="str">
        <f t="shared" si="182"/>
        <v>Hold</v>
      </c>
      <c r="T834" s="8">
        <f t="shared" si="183"/>
        <v>0.20056587537091997</v>
      </c>
      <c r="U834" s="18">
        <f t="shared" si="184"/>
        <v>1673807</v>
      </c>
      <c r="V834" s="7">
        <f t="shared" si="185"/>
        <v>5586.2002000000002</v>
      </c>
      <c r="W834" s="7">
        <f t="shared" si="186"/>
        <v>2554.1999999999998</v>
      </c>
      <c r="X834" s="7">
        <f t="shared" si="187"/>
        <v>2736.5</v>
      </c>
      <c r="Y834" s="7">
        <f t="shared" si="188"/>
        <v>140</v>
      </c>
      <c r="Z834" s="7">
        <f t="shared" si="189"/>
        <v>515310</v>
      </c>
      <c r="AA834" s="7" t="str">
        <f t="shared" si="190"/>
        <v>04-Nov-2024</v>
      </c>
      <c r="AB834" s="7">
        <f t="shared" si="191"/>
        <v>2736.5</v>
      </c>
      <c r="AC834" s="7">
        <f t="shared" si="195"/>
        <v>1</v>
      </c>
      <c r="AD834" s="7">
        <f t="shared" si="192"/>
        <v>2024</v>
      </c>
      <c r="AE834" s="19">
        <f t="shared" si="193"/>
        <v>-0.33</v>
      </c>
      <c r="BA834" s="10">
        <f t="shared" si="194"/>
        <v>26.997800000000002</v>
      </c>
    </row>
    <row r="835" spans="1:53" x14ac:dyDescent="0.3">
      <c r="A835" s="17">
        <v>45601</v>
      </c>
      <c r="B835" s="8">
        <v>2740.3</v>
      </c>
      <c r="C835" s="7">
        <v>2743.8998999999999</v>
      </c>
      <c r="D835" s="7">
        <v>2740.3</v>
      </c>
      <c r="E835" s="7">
        <v>2743</v>
      </c>
      <c r="F835" s="18">
        <v>23</v>
      </c>
      <c r="G835" s="7">
        <v>2755.9286000000002</v>
      </c>
      <c r="H835" s="7">
        <v>2689.5133000000001</v>
      </c>
      <c r="I835" s="7">
        <v>2536.6767</v>
      </c>
      <c r="J835" s="8">
        <v>0.23749999999999999</v>
      </c>
      <c r="K835" s="7">
        <v>0.83350000000000002</v>
      </c>
      <c r="L835" s="7">
        <v>0.68789999999999996</v>
      </c>
      <c r="M835" s="8">
        <v>66.845699999999994</v>
      </c>
      <c r="N835" s="8">
        <v>37.6526</v>
      </c>
      <c r="O835" s="7">
        <v>40.177</v>
      </c>
      <c r="P835" s="7">
        <v>2816.3948999999998</v>
      </c>
      <c r="Q835" s="7">
        <v>2600.3449999999998</v>
      </c>
      <c r="R835" s="7" t="str">
        <f t="shared" ref="R835:R898" si="196">IF(E835&gt;B835,"Up","Down")</f>
        <v>Up</v>
      </c>
      <c r="S835" s="7" t="str">
        <f t="shared" ref="S835:S898" si="197">IF(M835&gt;70,"Sell",IF(M835&lt;30,"Buy","Hold"))</f>
        <v>Hold</v>
      </c>
      <c r="T835" s="8">
        <f t="shared" ref="T835:T898" si="198">AVERAGE(J835:J2003)</f>
        <v>0.20213839285714291</v>
      </c>
      <c r="U835" s="18">
        <f t="shared" ref="U835:U898" si="199">SUM(F835:F2003)</f>
        <v>1673791</v>
      </c>
      <c r="V835" s="7">
        <f t="shared" ref="V835:V898" si="200">MAX(C835:C2003)</f>
        <v>5586.2002000000002</v>
      </c>
      <c r="W835" s="7">
        <f t="shared" ref="W835:W898" si="201">MIN(D835:D2003)</f>
        <v>2554.1999999999998</v>
      </c>
      <c r="X835" s="7">
        <f t="shared" ref="X835:X898" si="202">INDEX(E835:E2003,MATCH(A835,A835:A2003,0))</f>
        <v>2743</v>
      </c>
      <c r="Y835" s="7">
        <f t="shared" ref="Y835:Y898" si="203">COUNTIF(R835:R2003,"Up")</f>
        <v>139</v>
      </c>
      <c r="Z835" s="7">
        <f t="shared" ref="Z835:Z898" si="204">SUMIF(R835:R2003,"Up",F835:F2003)</f>
        <v>515294</v>
      </c>
      <c r="AA835" s="7" t="str">
        <f t="shared" ref="AA835:AA898" si="205">TEXT(A835,"DD-MMM-YYYY")</f>
        <v>05-Nov-2024</v>
      </c>
      <c r="AB835" s="7">
        <f t="shared" ref="AB835:AB898" si="206">_xlfn.XLOOKUP(A835,A835:A2003,E835:E2003)</f>
        <v>2743</v>
      </c>
      <c r="AC835" s="7">
        <f t="shared" si="195"/>
        <v>1</v>
      </c>
      <c r="AD835" s="7">
        <f t="shared" ref="AD835:AD898" si="207">YEAR(A835)</f>
        <v>2024</v>
      </c>
      <c r="AE835" s="19">
        <f t="shared" ref="AE835:AE898" si="208">ROUND(J835,2)</f>
        <v>0.24</v>
      </c>
      <c r="BA835" s="10">
        <f t="shared" ref="BA835:BA858" si="209">MODE(M835:M2003)</f>
        <v>26.997800000000002</v>
      </c>
    </row>
    <row r="836" spans="1:53" x14ac:dyDescent="0.3">
      <c r="A836" s="17">
        <v>45602</v>
      </c>
      <c r="B836" s="8">
        <v>2667.6001000000001</v>
      </c>
      <c r="C836" s="7">
        <v>2734.5</v>
      </c>
      <c r="D836" s="7">
        <v>2659.3998999999999</v>
      </c>
      <c r="E836" s="7">
        <v>2734.5</v>
      </c>
      <c r="F836" s="18">
        <v>427</v>
      </c>
      <c r="G836" s="7">
        <v>2755.7</v>
      </c>
      <c r="H836" s="7">
        <v>2692.12</v>
      </c>
      <c r="I836" s="7">
        <v>2541.2399999999998</v>
      </c>
      <c r="J836" s="8">
        <v>-0.30990000000000001</v>
      </c>
      <c r="K836" s="7">
        <v>0.83430000000000004</v>
      </c>
      <c r="L836" s="7">
        <v>0.68269999999999997</v>
      </c>
      <c r="M836" s="8">
        <v>63.601700000000001</v>
      </c>
      <c r="N836" s="8">
        <v>34.694000000000003</v>
      </c>
      <c r="O836" s="7">
        <v>39.080399999999997</v>
      </c>
      <c r="P836" s="7">
        <v>2811.3487</v>
      </c>
      <c r="Q836" s="7">
        <v>2618.5412999999999</v>
      </c>
      <c r="R836" s="7" t="str">
        <f t="shared" si="196"/>
        <v>Up</v>
      </c>
      <c r="S836" s="7" t="str">
        <f t="shared" si="197"/>
        <v>Hold</v>
      </c>
      <c r="T836" s="8">
        <f t="shared" si="198"/>
        <v>0.2020328358208956</v>
      </c>
      <c r="U836" s="18">
        <f t="shared" si="199"/>
        <v>1673768</v>
      </c>
      <c r="V836" s="7">
        <f t="shared" si="200"/>
        <v>5586.2002000000002</v>
      </c>
      <c r="W836" s="7">
        <f t="shared" si="201"/>
        <v>2554.1999999999998</v>
      </c>
      <c r="X836" s="7">
        <f t="shared" si="202"/>
        <v>2734.5</v>
      </c>
      <c r="Y836" s="7">
        <f t="shared" si="203"/>
        <v>138</v>
      </c>
      <c r="Z836" s="7">
        <f t="shared" si="204"/>
        <v>515271</v>
      </c>
      <c r="AA836" s="7" t="str">
        <f t="shared" si="205"/>
        <v>06-Nov-2024</v>
      </c>
      <c r="AB836" s="7">
        <f t="shared" si="206"/>
        <v>2734.5</v>
      </c>
      <c r="AC836" s="7">
        <f t="shared" si="195"/>
        <v>1</v>
      </c>
      <c r="AD836" s="7">
        <f t="shared" si="207"/>
        <v>2024</v>
      </c>
      <c r="AE836" s="19">
        <f t="shared" si="208"/>
        <v>-0.31</v>
      </c>
      <c r="BA836" s="10">
        <f t="shared" si="209"/>
        <v>26.997800000000002</v>
      </c>
    </row>
    <row r="837" spans="1:53" x14ac:dyDescent="0.3">
      <c r="A837" s="17">
        <v>45603</v>
      </c>
      <c r="B837" s="8">
        <v>2698.3998999999999</v>
      </c>
      <c r="C837" s="7">
        <v>2699.1001000000001</v>
      </c>
      <c r="D837" s="7">
        <v>2662.5</v>
      </c>
      <c r="E837" s="7">
        <v>2662.5</v>
      </c>
      <c r="F837" s="18">
        <v>676</v>
      </c>
      <c r="G837" s="7">
        <v>2740.5713999999998</v>
      </c>
      <c r="H837" s="7">
        <v>2692.1266999999998</v>
      </c>
      <c r="I837" s="7">
        <v>2544.9267</v>
      </c>
      <c r="J837" s="8">
        <v>-2.633</v>
      </c>
      <c r="K837" s="7">
        <v>1.1252</v>
      </c>
      <c r="L837" s="7">
        <v>0.84470000000000001</v>
      </c>
      <c r="M837" s="8">
        <v>39.576599999999999</v>
      </c>
      <c r="N837" s="8">
        <v>26.236999999999998</v>
      </c>
      <c r="O837" s="7">
        <v>36.511699999999998</v>
      </c>
      <c r="P837" s="7">
        <v>2802.6383000000001</v>
      </c>
      <c r="Q837" s="7">
        <v>2633.2516999999998</v>
      </c>
      <c r="R837" s="7" t="str">
        <f t="shared" si="196"/>
        <v>Down</v>
      </c>
      <c r="S837" s="7" t="str">
        <f t="shared" si="197"/>
        <v>Hold</v>
      </c>
      <c r="T837" s="8">
        <f t="shared" si="198"/>
        <v>0.20356556886227553</v>
      </c>
      <c r="U837" s="18">
        <f t="shared" si="199"/>
        <v>1673341</v>
      </c>
      <c r="V837" s="7">
        <f t="shared" si="200"/>
        <v>5586.2002000000002</v>
      </c>
      <c r="W837" s="7">
        <f t="shared" si="201"/>
        <v>2554.1999999999998</v>
      </c>
      <c r="X837" s="7">
        <f t="shared" si="202"/>
        <v>2662.5</v>
      </c>
      <c r="Y837" s="7">
        <f t="shared" si="203"/>
        <v>137</v>
      </c>
      <c r="Z837" s="7">
        <f t="shared" si="204"/>
        <v>514844</v>
      </c>
      <c r="AA837" s="7" t="str">
        <f t="shared" si="205"/>
        <v>07-Nov-2024</v>
      </c>
      <c r="AB837" s="7">
        <f t="shared" si="206"/>
        <v>2662.5</v>
      </c>
      <c r="AC837" s="7">
        <f t="shared" ref="AC837:AC900" si="210">_xlfn.XMATCH(A837,A837:A2005)</f>
        <v>1</v>
      </c>
      <c r="AD837" s="7">
        <f t="shared" si="207"/>
        <v>2024</v>
      </c>
      <c r="AE837" s="19">
        <f t="shared" si="208"/>
        <v>-2.63</v>
      </c>
      <c r="BA837" s="10">
        <f t="shared" si="209"/>
        <v>26.997800000000002</v>
      </c>
    </row>
    <row r="838" spans="1:53" x14ac:dyDescent="0.3">
      <c r="A838" s="17">
        <v>45604</v>
      </c>
      <c r="B838" s="8">
        <v>2687.5</v>
      </c>
      <c r="C838" s="7">
        <v>2694.6001000000001</v>
      </c>
      <c r="D838" s="7">
        <v>2682.8998999999999</v>
      </c>
      <c r="E838" s="7">
        <v>2688.5</v>
      </c>
      <c r="F838" s="18">
        <v>1038</v>
      </c>
      <c r="G838" s="7">
        <v>2728.2714000000001</v>
      </c>
      <c r="H838" s="7">
        <v>2692.7433000000001</v>
      </c>
      <c r="I838" s="7">
        <v>2548.9</v>
      </c>
      <c r="J838" s="8">
        <v>0.97650000000000003</v>
      </c>
      <c r="K838" s="7">
        <v>1.2414000000000001</v>
      </c>
      <c r="L838" s="7">
        <v>0.8619</v>
      </c>
      <c r="M838" s="8">
        <v>43.659799999999997</v>
      </c>
      <c r="N838" s="8">
        <v>21.386199999999999</v>
      </c>
      <c r="O838" s="7">
        <v>33.486600000000003</v>
      </c>
      <c r="P838" s="7">
        <v>2797.8728000000001</v>
      </c>
      <c r="Q838" s="7">
        <v>2643.0372000000002</v>
      </c>
      <c r="R838" s="7" t="str">
        <f t="shared" si="196"/>
        <v>Up</v>
      </c>
      <c r="S838" s="7" t="str">
        <f t="shared" si="197"/>
        <v>Hold</v>
      </c>
      <c r="T838" s="8">
        <f t="shared" si="198"/>
        <v>0.21208378378378392</v>
      </c>
      <c r="U838" s="18">
        <f t="shared" si="199"/>
        <v>1672665</v>
      </c>
      <c r="V838" s="7">
        <f t="shared" si="200"/>
        <v>5586.2002000000002</v>
      </c>
      <c r="W838" s="7">
        <f t="shared" si="201"/>
        <v>2554.1999999999998</v>
      </c>
      <c r="X838" s="7">
        <f t="shared" si="202"/>
        <v>2688.5</v>
      </c>
      <c r="Y838" s="7">
        <f t="shared" si="203"/>
        <v>137</v>
      </c>
      <c r="Z838" s="7">
        <f t="shared" si="204"/>
        <v>514844</v>
      </c>
      <c r="AA838" s="7" t="str">
        <f t="shared" si="205"/>
        <v>08-Nov-2024</v>
      </c>
      <c r="AB838" s="7">
        <f t="shared" si="206"/>
        <v>2688.5</v>
      </c>
      <c r="AC838" s="7">
        <f t="shared" si="210"/>
        <v>1</v>
      </c>
      <c r="AD838" s="7">
        <f t="shared" si="207"/>
        <v>2024</v>
      </c>
      <c r="AE838" s="19">
        <f t="shared" si="208"/>
        <v>0.98</v>
      </c>
      <c r="BA838" s="10">
        <f t="shared" si="209"/>
        <v>26.997800000000002</v>
      </c>
    </row>
    <row r="839" spans="1:53" x14ac:dyDescent="0.3">
      <c r="A839" s="17">
        <v>45607</v>
      </c>
      <c r="B839" s="8">
        <v>2611.1999999999998</v>
      </c>
      <c r="C839" s="7">
        <v>2671.7</v>
      </c>
      <c r="D839" s="7">
        <v>2611.1999999999998</v>
      </c>
      <c r="E839" s="7">
        <v>2671.7</v>
      </c>
      <c r="F839" s="18">
        <v>20</v>
      </c>
      <c r="G839" s="7">
        <v>2711.7429000000002</v>
      </c>
      <c r="H839" s="7">
        <v>2693.1033000000002</v>
      </c>
      <c r="I839" s="7">
        <v>2552.42</v>
      </c>
      <c r="J839" s="8">
        <v>-0.62490000000000001</v>
      </c>
      <c r="K839" s="7">
        <v>1.1758</v>
      </c>
      <c r="L839" s="7">
        <v>0.86760000000000004</v>
      </c>
      <c r="M839" s="8">
        <v>38.905299999999997</v>
      </c>
      <c r="N839" s="8">
        <v>16.001899999999999</v>
      </c>
      <c r="O839" s="7">
        <v>29.989699999999999</v>
      </c>
      <c r="P839" s="7">
        <v>2796.0499</v>
      </c>
      <c r="Q839" s="7">
        <v>2646.53</v>
      </c>
      <c r="R839" s="7" t="str">
        <f t="shared" si="196"/>
        <v>Up</v>
      </c>
      <c r="S839" s="7" t="str">
        <f t="shared" si="197"/>
        <v>Hold</v>
      </c>
      <c r="T839" s="8">
        <f t="shared" si="198"/>
        <v>0.20978132530120489</v>
      </c>
      <c r="U839" s="18">
        <f t="shared" si="199"/>
        <v>1671627</v>
      </c>
      <c r="V839" s="7">
        <f t="shared" si="200"/>
        <v>5586.2002000000002</v>
      </c>
      <c r="W839" s="7">
        <f t="shared" si="201"/>
        <v>2554.1999999999998</v>
      </c>
      <c r="X839" s="7">
        <f t="shared" si="202"/>
        <v>2671.7</v>
      </c>
      <c r="Y839" s="7">
        <f t="shared" si="203"/>
        <v>136</v>
      </c>
      <c r="Z839" s="7">
        <f t="shared" si="204"/>
        <v>513806</v>
      </c>
      <c r="AA839" s="7" t="str">
        <f t="shared" si="205"/>
        <v>11-Nov-2024</v>
      </c>
      <c r="AB839" s="7">
        <f t="shared" si="206"/>
        <v>2671.7</v>
      </c>
      <c r="AC839" s="7">
        <f t="shared" si="210"/>
        <v>1</v>
      </c>
      <c r="AD839" s="7">
        <f t="shared" si="207"/>
        <v>2024</v>
      </c>
      <c r="AE839" s="19">
        <f t="shared" si="208"/>
        <v>-0.62</v>
      </c>
      <c r="BA839" s="10">
        <f t="shared" si="209"/>
        <v>26.997800000000002</v>
      </c>
    </row>
    <row r="840" spans="1:53" x14ac:dyDescent="0.3">
      <c r="A840" s="17">
        <v>45608</v>
      </c>
      <c r="B840" s="8">
        <v>2600</v>
      </c>
      <c r="C840" s="7">
        <v>2605.5</v>
      </c>
      <c r="D840" s="7">
        <v>2592.8000000000002</v>
      </c>
      <c r="E840" s="7">
        <v>2605.5</v>
      </c>
      <c r="F840" s="18">
        <v>118</v>
      </c>
      <c r="G840" s="7">
        <v>2691.7429000000002</v>
      </c>
      <c r="H840" s="7">
        <v>2692.24</v>
      </c>
      <c r="I840" s="7">
        <v>2554.9067</v>
      </c>
      <c r="J840" s="8">
        <v>-2.4777999999999998</v>
      </c>
      <c r="K840" s="7">
        <v>1.3462000000000001</v>
      </c>
      <c r="L840" s="7">
        <v>0.96</v>
      </c>
      <c r="M840" s="8">
        <v>28.974799999999998</v>
      </c>
      <c r="N840" s="8">
        <v>6.3201000000000001</v>
      </c>
      <c r="O840" s="7">
        <v>25.255800000000001</v>
      </c>
      <c r="P840" s="7">
        <v>2805.8083999999999</v>
      </c>
      <c r="Q840" s="7">
        <v>2631.1815999999999</v>
      </c>
      <c r="R840" s="7" t="str">
        <f t="shared" si="196"/>
        <v>Up</v>
      </c>
      <c r="S840" s="7" t="str">
        <f t="shared" si="197"/>
        <v>Buy</v>
      </c>
      <c r="T840" s="8">
        <f t="shared" si="198"/>
        <v>0.21230302114803634</v>
      </c>
      <c r="U840" s="18">
        <f t="shared" si="199"/>
        <v>1671607</v>
      </c>
      <c r="V840" s="7">
        <f t="shared" si="200"/>
        <v>5586.2002000000002</v>
      </c>
      <c r="W840" s="7">
        <f t="shared" si="201"/>
        <v>2554.1999999999998</v>
      </c>
      <c r="X840" s="7">
        <f t="shared" si="202"/>
        <v>2605.5</v>
      </c>
      <c r="Y840" s="7">
        <f t="shared" si="203"/>
        <v>135</v>
      </c>
      <c r="Z840" s="7">
        <f t="shared" si="204"/>
        <v>513786</v>
      </c>
      <c r="AA840" s="7" t="str">
        <f t="shared" si="205"/>
        <v>12-Nov-2024</v>
      </c>
      <c r="AB840" s="7">
        <f t="shared" si="206"/>
        <v>2605.5</v>
      </c>
      <c r="AC840" s="7">
        <f t="shared" si="210"/>
        <v>1</v>
      </c>
      <c r="AD840" s="7">
        <f t="shared" si="207"/>
        <v>2024</v>
      </c>
      <c r="AE840" s="19">
        <f t="shared" si="208"/>
        <v>-2.48</v>
      </c>
      <c r="BA840" s="10">
        <f t="shared" si="209"/>
        <v>26.997800000000002</v>
      </c>
    </row>
    <row r="841" spans="1:53" x14ac:dyDescent="0.3">
      <c r="A841" s="17">
        <v>45609</v>
      </c>
      <c r="B841" s="8">
        <v>2580.8000000000002</v>
      </c>
      <c r="C841" s="7">
        <v>2611.8000000000002</v>
      </c>
      <c r="D841" s="7">
        <v>2580.8000000000002</v>
      </c>
      <c r="E841" s="7">
        <v>2611.1001000000001</v>
      </c>
      <c r="F841" s="18">
        <v>53</v>
      </c>
      <c r="G841" s="7">
        <v>2673.8285999999998</v>
      </c>
      <c r="H841" s="7">
        <v>2690.9232999999999</v>
      </c>
      <c r="I841" s="7">
        <v>2557.6622000000002</v>
      </c>
      <c r="J841" s="8">
        <v>0.21490000000000001</v>
      </c>
      <c r="K841" s="7">
        <v>1.3887</v>
      </c>
      <c r="L841" s="7">
        <v>0.95050000000000001</v>
      </c>
      <c r="M841" s="8">
        <v>31.456399999999999</v>
      </c>
      <c r="N841" s="8">
        <v>-0.89059999999999995</v>
      </c>
      <c r="O841" s="7">
        <v>20.026499999999999</v>
      </c>
      <c r="P841" s="7">
        <v>2813.2955000000002</v>
      </c>
      <c r="Q841" s="7">
        <v>2617.4045000000001</v>
      </c>
      <c r="R841" s="7" t="str">
        <f t="shared" si="196"/>
        <v>Up</v>
      </c>
      <c r="S841" s="7" t="str">
        <f t="shared" si="197"/>
        <v>Hold</v>
      </c>
      <c r="T841" s="8">
        <f t="shared" si="198"/>
        <v>0.22045484848484859</v>
      </c>
      <c r="U841" s="18">
        <f t="shared" si="199"/>
        <v>1671489</v>
      </c>
      <c r="V841" s="7">
        <f t="shared" si="200"/>
        <v>5586.2002000000002</v>
      </c>
      <c r="W841" s="7">
        <f t="shared" si="201"/>
        <v>2554.1999999999998</v>
      </c>
      <c r="X841" s="7">
        <f t="shared" si="202"/>
        <v>2611.1001000000001</v>
      </c>
      <c r="Y841" s="7">
        <f t="shared" si="203"/>
        <v>134</v>
      </c>
      <c r="Z841" s="7">
        <f t="shared" si="204"/>
        <v>513668</v>
      </c>
      <c r="AA841" s="7" t="str">
        <f t="shared" si="205"/>
        <v>13-Nov-2024</v>
      </c>
      <c r="AB841" s="7">
        <f t="shared" si="206"/>
        <v>2611.1001000000001</v>
      </c>
      <c r="AC841" s="7">
        <f t="shared" si="210"/>
        <v>1</v>
      </c>
      <c r="AD841" s="7">
        <f t="shared" si="207"/>
        <v>2024</v>
      </c>
      <c r="AE841" s="19">
        <f t="shared" si="208"/>
        <v>0.21</v>
      </c>
      <c r="BA841" s="10">
        <f t="shared" si="209"/>
        <v>26.997800000000002</v>
      </c>
    </row>
    <row r="842" spans="1:53" x14ac:dyDescent="0.3">
      <c r="A842" s="17">
        <v>45610</v>
      </c>
      <c r="B842" s="8">
        <v>2568.1999999999998</v>
      </c>
      <c r="C842" s="7">
        <v>2576.1999999999998</v>
      </c>
      <c r="D842" s="7">
        <v>2554.1999999999998</v>
      </c>
      <c r="E842" s="7">
        <v>2555.1001000000001</v>
      </c>
      <c r="F842" s="18">
        <v>27</v>
      </c>
      <c r="G842" s="7">
        <v>2646.9857000000002</v>
      </c>
      <c r="H842" s="7">
        <v>2688</v>
      </c>
      <c r="I842" s="7">
        <v>2559.7600000000002</v>
      </c>
      <c r="J842" s="8">
        <v>-2.1446999999999998</v>
      </c>
      <c r="K842" s="7">
        <v>1.4237</v>
      </c>
      <c r="L842" s="7">
        <v>1.0244</v>
      </c>
      <c r="M842" s="8">
        <v>26.997800000000002</v>
      </c>
      <c r="N842" s="8">
        <v>-10.997199999999999</v>
      </c>
      <c r="O842" s="7">
        <v>13.8217</v>
      </c>
      <c r="P842" s="7">
        <v>2829.8128000000002</v>
      </c>
      <c r="Q842" s="7">
        <v>2588.6572000000001</v>
      </c>
      <c r="R842" s="7" t="str">
        <f t="shared" si="196"/>
        <v>Down</v>
      </c>
      <c r="S842" s="7" t="str">
        <f t="shared" si="197"/>
        <v>Buy</v>
      </c>
      <c r="T842" s="8">
        <f t="shared" si="198"/>
        <v>0.22047173252279645</v>
      </c>
      <c r="U842" s="18">
        <f t="shared" si="199"/>
        <v>1671436</v>
      </c>
      <c r="V842" s="7">
        <f t="shared" si="200"/>
        <v>5586.2002000000002</v>
      </c>
      <c r="W842" s="7">
        <f t="shared" si="201"/>
        <v>2554.1999999999998</v>
      </c>
      <c r="X842" s="7">
        <f t="shared" si="202"/>
        <v>2555.1001000000001</v>
      </c>
      <c r="Y842" s="7">
        <f t="shared" si="203"/>
        <v>133</v>
      </c>
      <c r="Z842" s="7">
        <f t="shared" si="204"/>
        <v>513615</v>
      </c>
      <c r="AA842" s="7" t="str">
        <f t="shared" si="205"/>
        <v>14-Nov-2024</v>
      </c>
      <c r="AB842" s="7">
        <f t="shared" si="206"/>
        <v>2555.1001000000001</v>
      </c>
      <c r="AC842" s="7">
        <f t="shared" si="210"/>
        <v>1</v>
      </c>
      <c r="AD842" s="7">
        <f t="shared" si="207"/>
        <v>2024</v>
      </c>
      <c r="AE842" s="19">
        <f t="shared" si="208"/>
        <v>-2.14</v>
      </c>
      <c r="BA842" s="10">
        <f t="shared" si="209"/>
        <v>26.997800000000002</v>
      </c>
    </row>
    <row r="843" spans="1:53" x14ac:dyDescent="0.3">
      <c r="A843" s="17">
        <v>45611</v>
      </c>
      <c r="B843" s="8">
        <v>2565.6999999999998</v>
      </c>
      <c r="C843" s="7">
        <v>2565.6999999999998</v>
      </c>
      <c r="D843" s="7">
        <v>2565.6999999999998</v>
      </c>
      <c r="E843" s="7">
        <v>2565.6999999999998</v>
      </c>
      <c r="F843" s="18">
        <v>20</v>
      </c>
      <c r="G843" s="7">
        <v>2622.8714</v>
      </c>
      <c r="H843" s="7">
        <v>2684.99</v>
      </c>
      <c r="I843" s="7">
        <v>2561.8377999999998</v>
      </c>
      <c r="J843" s="8">
        <v>0.41489999999999999</v>
      </c>
      <c r="K843" s="7">
        <v>1.5062</v>
      </c>
      <c r="L843" s="7">
        <v>1.0226999999999999</v>
      </c>
      <c r="M843" s="8">
        <v>26.997800000000002</v>
      </c>
      <c r="N843" s="8">
        <v>-17.944500000000001</v>
      </c>
      <c r="O843" s="7">
        <v>7.4684999999999997</v>
      </c>
      <c r="P843" s="7">
        <v>2838.3690999999999</v>
      </c>
      <c r="Q843" s="7">
        <v>2565.3009000000002</v>
      </c>
      <c r="R843" s="7" t="str">
        <f t="shared" si="196"/>
        <v>Down</v>
      </c>
      <c r="S843" s="7" t="str">
        <f t="shared" si="197"/>
        <v>Buy</v>
      </c>
      <c r="T843" s="8">
        <f t="shared" si="198"/>
        <v>0.2276826219512196</v>
      </c>
      <c r="U843" s="18">
        <f t="shared" si="199"/>
        <v>1671409</v>
      </c>
      <c r="V843" s="7">
        <f t="shared" si="200"/>
        <v>5586.2002000000002</v>
      </c>
      <c r="W843" s="7">
        <f t="shared" si="201"/>
        <v>2565.6999999999998</v>
      </c>
      <c r="X843" s="7">
        <f t="shared" si="202"/>
        <v>2565.6999999999998</v>
      </c>
      <c r="Y843" s="7">
        <f t="shared" si="203"/>
        <v>133</v>
      </c>
      <c r="Z843" s="7">
        <f t="shared" si="204"/>
        <v>513615</v>
      </c>
      <c r="AA843" s="7" t="str">
        <f t="shared" si="205"/>
        <v>15-Nov-2024</v>
      </c>
      <c r="AB843" s="7">
        <f t="shared" si="206"/>
        <v>2565.6999999999998</v>
      </c>
      <c r="AC843" s="7">
        <f t="shared" si="210"/>
        <v>1</v>
      </c>
      <c r="AD843" s="7">
        <f t="shared" si="207"/>
        <v>2024</v>
      </c>
      <c r="AE843" s="19">
        <f t="shared" si="208"/>
        <v>0.41</v>
      </c>
      <c r="BA843" s="10">
        <f t="shared" si="209"/>
        <v>58.0032</v>
      </c>
    </row>
    <row r="844" spans="1:53" x14ac:dyDescent="0.3">
      <c r="A844" s="17">
        <v>45614</v>
      </c>
      <c r="B844" s="8">
        <v>2610.6001000000001</v>
      </c>
      <c r="C844" s="7">
        <v>2610.6999999999998</v>
      </c>
      <c r="D844" s="7">
        <v>2589.3998999999999</v>
      </c>
      <c r="E844" s="7">
        <v>2591.6999999999998</v>
      </c>
      <c r="F844" s="18">
        <v>136</v>
      </c>
      <c r="G844" s="7">
        <v>2612.7570999999998</v>
      </c>
      <c r="H844" s="7">
        <v>2683.09</v>
      </c>
      <c r="I844" s="7">
        <v>2563.9699999999998</v>
      </c>
      <c r="J844" s="8">
        <v>1.0134000000000001</v>
      </c>
      <c r="K844" s="7">
        <v>1.4341999999999999</v>
      </c>
      <c r="L844" s="7">
        <v>1.0424</v>
      </c>
      <c r="M844" s="8">
        <v>25.7347</v>
      </c>
      <c r="N844" s="8">
        <v>-21.109000000000002</v>
      </c>
      <c r="O844" s="7">
        <v>1.7529999999999999</v>
      </c>
      <c r="P844" s="7">
        <v>2840.0039000000002</v>
      </c>
      <c r="Q844" s="7">
        <v>2550.6460999999999</v>
      </c>
      <c r="R844" s="7" t="str">
        <f t="shared" si="196"/>
        <v>Down</v>
      </c>
      <c r="S844" s="7" t="str">
        <f t="shared" si="197"/>
        <v>Buy</v>
      </c>
      <c r="T844" s="8">
        <f t="shared" si="198"/>
        <v>0.2271100917431193</v>
      </c>
      <c r="U844" s="18">
        <f t="shared" si="199"/>
        <v>1671389</v>
      </c>
      <c r="V844" s="7">
        <f t="shared" si="200"/>
        <v>5586.2002000000002</v>
      </c>
      <c r="W844" s="7">
        <f t="shared" si="201"/>
        <v>2582.1001000000001</v>
      </c>
      <c r="X844" s="7">
        <f t="shared" si="202"/>
        <v>2591.6999999999998</v>
      </c>
      <c r="Y844" s="7">
        <f t="shared" si="203"/>
        <v>133</v>
      </c>
      <c r="Z844" s="7">
        <f t="shared" si="204"/>
        <v>513615</v>
      </c>
      <c r="AA844" s="7" t="str">
        <f t="shared" si="205"/>
        <v>18-Nov-2024</v>
      </c>
      <c r="AB844" s="7">
        <f t="shared" si="206"/>
        <v>2591.6999999999998</v>
      </c>
      <c r="AC844" s="7">
        <f t="shared" si="210"/>
        <v>1</v>
      </c>
      <c r="AD844" s="7">
        <f t="shared" si="207"/>
        <v>2024</v>
      </c>
      <c r="AE844" s="19">
        <f t="shared" si="208"/>
        <v>1.01</v>
      </c>
      <c r="BA844" s="10">
        <f t="shared" si="209"/>
        <v>58.0032</v>
      </c>
    </row>
    <row r="845" spans="1:53" x14ac:dyDescent="0.3">
      <c r="A845" s="17">
        <v>45615</v>
      </c>
      <c r="B845" s="8">
        <v>2627.1001000000001</v>
      </c>
      <c r="C845" s="7">
        <v>2627.7</v>
      </c>
      <c r="D845" s="7">
        <v>2619.3000000000002</v>
      </c>
      <c r="E845" s="7">
        <v>2621.8998999999999</v>
      </c>
      <c r="F845" s="18">
        <v>87</v>
      </c>
      <c r="G845" s="7">
        <v>2603.2429000000002</v>
      </c>
      <c r="H845" s="7">
        <v>2682.52</v>
      </c>
      <c r="I845" s="7">
        <v>2566.1021999999998</v>
      </c>
      <c r="J845" s="8">
        <v>1.1653</v>
      </c>
      <c r="K845" s="7">
        <v>1.4653</v>
      </c>
      <c r="L845" s="7">
        <v>1.0646</v>
      </c>
      <c r="M845" s="8">
        <v>30.327200000000001</v>
      </c>
      <c r="N845" s="8">
        <v>-20.938600000000001</v>
      </c>
      <c r="O845" s="7">
        <v>-2.7852999999999999</v>
      </c>
      <c r="P845" s="7">
        <v>2837.0135</v>
      </c>
      <c r="Q845" s="7">
        <v>2542.6565000000001</v>
      </c>
      <c r="R845" s="7" t="str">
        <f t="shared" si="196"/>
        <v>Down</v>
      </c>
      <c r="S845" s="7" t="str">
        <f t="shared" si="197"/>
        <v>Hold</v>
      </c>
      <c r="T845" s="8">
        <f t="shared" si="198"/>
        <v>0.22469815950920252</v>
      </c>
      <c r="U845" s="18">
        <f t="shared" si="199"/>
        <v>1671253</v>
      </c>
      <c r="V845" s="7">
        <f t="shared" si="200"/>
        <v>5586.2002000000002</v>
      </c>
      <c r="W845" s="7">
        <f t="shared" si="201"/>
        <v>2582.1001000000001</v>
      </c>
      <c r="X845" s="7">
        <f t="shared" si="202"/>
        <v>2621.8998999999999</v>
      </c>
      <c r="Y845" s="7">
        <f t="shared" si="203"/>
        <v>133</v>
      </c>
      <c r="Z845" s="7">
        <f t="shared" si="204"/>
        <v>513615</v>
      </c>
      <c r="AA845" s="7" t="str">
        <f t="shared" si="205"/>
        <v>19-Nov-2024</v>
      </c>
      <c r="AB845" s="7">
        <f t="shared" si="206"/>
        <v>2621.8998999999999</v>
      </c>
      <c r="AC845" s="7">
        <f t="shared" si="210"/>
        <v>1</v>
      </c>
      <c r="AD845" s="7">
        <f t="shared" si="207"/>
        <v>2024</v>
      </c>
      <c r="AE845" s="19">
        <f t="shared" si="208"/>
        <v>1.17</v>
      </c>
      <c r="BA845" s="10">
        <f t="shared" si="209"/>
        <v>58.0032</v>
      </c>
    </row>
    <row r="846" spans="1:53" x14ac:dyDescent="0.3">
      <c r="A846" s="17">
        <v>45616</v>
      </c>
      <c r="B846" s="8">
        <v>2648.2</v>
      </c>
      <c r="C846" s="7">
        <v>2648.2</v>
      </c>
      <c r="D846" s="7">
        <v>2638.5</v>
      </c>
      <c r="E846" s="7">
        <v>2638.5</v>
      </c>
      <c r="F846" s="18">
        <v>27</v>
      </c>
      <c r="G846" s="7">
        <v>2598.5</v>
      </c>
      <c r="H846" s="7">
        <v>2683.7033000000001</v>
      </c>
      <c r="I846" s="7">
        <v>2568.4477999999999</v>
      </c>
      <c r="J846" s="8">
        <v>0.6331</v>
      </c>
      <c r="K846" s="7">
        <v>1.5024</v>
      </c>
      <c r="L846" s="7">
        <v>1.0395000000000001</v>
      </c>
      <c r="M846" s="8">
        <v>31.002800000000001</v>
      </c>
      <c r="N846" s="8">
        <v>-19.2423</v>
      </c>
      <c r="O846" s="7">
        <v>-6.0766999999999998</v>
      </c>
      <c r="P846" s="7">
        <v>2831.3270000000002</v>
      </c>
      <c r="Q846" s="7">
        <v>2537.9430000000002</v>
      </c>
      <c r="R846" s="7" t="str">
        <f t="shared" si="196"/>
        <v>Down</v>
      </c>
      <c r="S846" s="7" t="str">
        <f t="shared" si="197"/>
        <v>Hold</v>
      </c>
      <c r="T846" s="8">
        <f t="shared" si="198"/>
        <v>0.22180400000000006</v>
      </c>
      <c r="U846" s="18">
        <f t="shared" si="199"/>
        <v>1671166</v>
      </c>
      <c r="V846" s="7">
        <f t="shared" si="200"/>
        <v>5586.2002000000002</v>
      </c>
      <c r="W846" s="7">
        <f t="shared" si="201"/>
        <v>2582.1001000000001</v>
      </c>
      <c r="X846" s="7">
        <f t="shared" si="202"/>
        <v>2638.5</v>
      </c>
      <c r="Y846" s="7">
        <f t="shared" si="203"/>
        <v>133</v>
      </c>
      <c r="Z846" s="7">
        <f t="shared" si="204"/>
        <v>513615</v>
      </c>
      <c r="AA846" s="7" t="str">
        <f t="shared" si="205"/>
        <v>20-Nov-2024</v>
      </c>
      <c r="AB846" s="7">
        <f t="shared" si="206"/>
        <v>2638.5</v>
      </c>
      <c r="AC846" s="7">
        <f t="shared" si="210"/>
        <v>1</v>
      </c>
      <c r="AD846" s="7">
        <f t="shared" si="207"/>
        <v>2024</v>
      </c>
      <c r="AE846" s="19">
        <f t="shared" si="208"/>
        <v>0.63</v>
      </c>
      <c r="BA846" s="10">
        <f t="shared" si="209"/>
        <v>58.0032</v>
      </c>
    </row>
    <row r="847" spans="1:53" x14ac:dyDescent="0.3">
      <c r="A847" s="17">
        <v>45617</v>
      </c>
      <c r="B847" s="8">
        <v>2672.1001000000001</v>
      </c>
      <c r="C847" s="7">
        <v>2672.1001000000001</v>
      </c>
      <c r="D847" s="7">
        <v>2655.7</v>
      </c>
      <c r="E847" s="7">
        <v>2659.3</v>
      </c>
      <c r="F847" s="18">
        <v>33</v>
      </c>
      <c r="G847" s="7">
        <v>2606.1857</v>
      </c>
      <c r="H847" s="7">
        <v>2685.5967000000001</v>
      </c>
      <c r="I847" s="7">
        <v>2570.5189</v>
      </c>
      <c r="J847" s="8">
        <v>0.7883</v>
      </c>
      <c r="K847" s="7">
        <v>1.1257999999999999</v>
      </c>
      <c r="L847" s="7">
        <v>1.0481</v>
      </c>
      <c r="M847" s="8">
        <v>38.3765</v>
      </c>
      <c r="N847" s="8">
        <v>-16.034700000000001</v>
      </c>
      <c r="O847" s="7">
        <v>-8.0683000000000007</v>
      </c>
      <c r="P847" s="7">
        <v>2826.7116000000001</v>
      </c>
      <c r="Q847" s="7">
        <v>2535.5884000000001</v>
      </c>
      <c r="R847" s="7" t="str">
        <f t="shared" si="196"/>
        <v>Down</v>
      </c>
      <c r="S847" s="7" t="str">
        <f t="shared" si="197"/>
        <v>Hold</v>
      </c>
      <c r="T847" s="8">
        <f t="shared" si="198"/>
        <v>0.22053456790123474</v>
      </c>
      <c r="U847" s="18">
        <f t="shared" si="199"/>
        <v>1671139</v>
      </c>
      <c r="V847" s="7">
        <f t="shared" si="200"/>
        <v>5586.2002000000002</v>
      </c>
      <c r="W847" s="7">
        <f t="shared" si="201"/>
        <v>2582.1001000000001</v>
      </c>
      <c r="X847" s="7">
        <f t="shared" si="202"/>
        <v>2659.3</v>
      </c>
      <c r="Y847" s="7">
        <f t="shared" si="203"/>
        <v>133</v>
      </c>
      <c r="Z847" s="7">
        <f t="shared" si="204"/>
        <v>513615</v>
      </c>
      <c r="AA847" s="7" t="str">
        <f t="shared" si="205"/>
        <v>21-Nov-2024</v>
      </c>
      <c r="AB847" s="7">
        <f t="shared" si="206"/>
        <v>2659.3</v>
      </c>
      <c r="AC847" s="7">
        <f t="shared" si="210"/>
        <v>1</v>
      </c>
      <c r="AD847" s="7">
        <f t="shared" si="207"/>
        <v>2024</v>
      </c>
      <c r="AE847" s="19">
        <f t="shared" si="208"/>
        <v>0.79</v>
      </c>
      <c r="BA847" s="10">
        <f t="shared" si="209"/>
        <v>58.0032</v>
      </c>
    </row>
    <row r="848" spans="1:53" x14ac:dyDescent="0.3">
      <c r="A848" s="17">
        <v>45618</v>
      </c>
      <c r="B848" s="8">
        <v>2709.8998999999999</v>
      </c>
      <c r="C848" s="7">
        <v>2710.5</v>
      </c>
      <c r="D848" s="7">
        <v>2685.6001000000001</v>
      </c>
      <c r="E848" s="7">
        <v>2687.5</v>
      </c>
      <c r="F848" s="18">
        <v>41</v>
      </c>
      <c r="G848" s="7">
        <v>2617.1</v>
      </c>
      <c r="H848" s="7">
        <v>2687.2366999999999</v>
      </c>
      <c r="I848" s="7">
        <v>2572.98</v>
      </c>
      <c r="J848" s="8">
        <v>1.0604</v>
      </c>
      <c r="K848" s="7">
        <v>1.1601999999999999</v>
      </c>
      <c r="L848" s="7">
        <v>1.0361</v>
      </c>
      <c r="M848" s="8">
        <v>43.7179</v>
      </c>
      <c r="N848" s="8">
        <v>-11.0893</v>
      </c>
      <c r="O848" s="7">
        <v>-8.6724999999999994</v>
      </c>
      <c r="P848" s="7">
        <v>2823.3589000000002</v>
      </c>
      <c r="Q848" s="7">
        <v>2535.1410999999998</v>
      </c>
      <c r="R848" s="7" t="str">
        <f t="shared" si="196"/>
        <v>Down</v>
      </c>
      <c r="S848" s="7" t="str">
        <f t="shared" si="197"/>
        <v>Hold</v>
      </c>
      <c r="T848" s="8">
        <f t="shared" si="198"/>
        <v>0.21877678018575866</v>
      </c>
      <c r="U848" s="18">
        <f t="shared" si="199"/>
        <v>1671106</v>
      </c>
      <c r="V848" s="7">
        <f t="shared" si="200"/>
        <v>5586.2002000000002</v>
      </c>
      <c r="W848" s="7">
        <f t="shared" si="201"/>
        <v>2582.1001000000001</v>
      </c>
      <c r="X848" s="7">
        <f t="shared" si="202"/>
        <v>2687.5</v>
      </c>
      <c r="Y848" s="7">
        <f t="shared" si="203"/>
        <v>133</v>
      </c>
      <c r="Z848" s="7">
        <f t="shared" si="204"/>
        <v>513615</v>
      </c>
      <c r="AA848" s="7" t="str">
        <f t="shared" si="205"/>
        <v>22-Nov-2024</v>
      </c>
      <c r="AB848" s="7">
        <f t="shared" si="206"/>
        <v>2687.5</v>
      </c>
      <c r="AC848" s="7">
        <f t="shared" si="210"/>
        <v>1</v>
      </c>
      <c r="AD848" s="7">
        <f t="shared" si="207"/>
        <v>2024</v>
      </c>
      <c r="AE848" s="19">
        <f t="shared" si="208"/>
        <v>1.06</v>
      </c>
      <c r="BA848" s="10">
        <f t="shared" si="209"/>
        <v>58.0032</v>
      </c>
    </row>
    <row r="849" spans="1:53" x14ac:dyDescent="0.3">
      <c r="A849" s="17">
        <v>45621</v>
      </c>
      <c r="B849" s="8">
        <v>2616.8000000000002</v>
      </c>
      <c r="C849" s="7">
        <v>2689.3998999999999</v>
      </c>
      <c r="D849" s="7">
        <v>2616.8000000000002</v>
      </c>
      <c r="E849" s="7">
        <v>2689.3998999999999</v>
      </c>
      <c r="F849" s="18">
        <v>94</v>
      </c>
      <c r="G849" s="7">
        <v>2636.2856999999999</v>
      </c>
      <c r="H849" s="7">
        <v>2688.3833</v>
      </c>
      <c r="I849" s="7">
        <v>2575.9866999999999</v>
      </c>
      <c r="J849" s="8">
        <v>7.0699999999999999E-2</v>
      </c>
      <c r="K849" s="7">
        <v>0.39279999999999998</v>
      </c>
      <c r="L849" s="7">
        <v>1.0306</v>
      </c>
      <c r="M849" s="8">
        <v>43.046199999999999</v>
      </c>
      <c r="N849" s="8">
        <v>-6.9367999999999999</v>
      </c>
      <c r="O849" s="7">
        <v>-8.3254000000000001</v>
      </c>
      <c r="P849" s="7">
        <v>2818.6390000000001</v>
      </c>
      <c r="Q849" s="7">
        <v>2535.1909999999998</v>
      </c>
      <c r="R849" s="7" t="str">
        <f t="shared" si="196"/>
        <v>Up</v>
      </c>
      <c r="S849" s="7" t="str">
        <f t="shared" si="197"/>
        <v>Hold</v>
      </c>
      <c r="T849" s="8">
        <f t="shared" si="198"/>
        <v>0.21616304347826096</v>
      </c>
      <c r="U849" s="18">
        <f t="shared" si="199"/>
        <v>1671065</v>
      </c>
      <c r="V849" s="7">
        <f t="shared" si="200"/>
        <v>5586.2002000000002</v>
      </c>
      <c r="W849" s="7">
        <f t="shared" si="201"/>
        <v>2582.1001000000001</v>
      </c>
      <c r="X849" s="7">
        <f t="shared" si="202"/>
        <v>2689.3998999999999</v>
      </c>
      <c r="Y849" s="7">
        <f t="shared" si="203"/>
        <v>133</v>
      </c>
      <c r="Z849" s="7">
        <f t="shared" si="204"/>
        <v>513615</v>
      </c>
      <c r="AA849" s="7" t="str">
        <f t="shared" si="205"/>
        <v>25-Nov-2024</v>
      </c>
      <c r="AB849" s="7">
        <f t="shared" si="206"/>
        <v>2689.3998999999999</v>
      </c>
      <c r="AC849" s="7">
        <f t="shared" si="210"/>
        <v>1</v>
      </c>
      <c r="AD849" s="7">
        <f t="shared" si="207"/>
        <v>2024</v>
      </c>
      <c r="AE849" s="19">
        <f t="shared" si="208"/>
        <v>7.0000000000000007E-2</v>
      </c>
      <c r="BA849" s="10">
        <f t="shared" si="209"/>
        <v>58.0032</v>
      </c>
    </row>
    <row r="850" spans="1:53" x14ac:dyDescent="0.3">
      <c r="A850" s="17">
        <v>45622</v>
      </c>
      <c r="B850" s="8">
        <v>2620.3000000000002</v>
      </c>
      <c r="C850" s="7">
        <v>2625.6001000000001</v>
      </c>
      <c r="D850" s="7">
        <v>2620.3000000000002</v>
      </c>
      <c r="E850" s="7">
        <v>2625.6001000000001</v>
      </c>
      <c r="F850" s="18">
        <v>177858</v>
      </c>
      <c r="G850" s="7">
        <v>2644.8427999999999</v>
      </c>
      <c r="H850" s="7">
        <v>2687.19</v>
      </c>
      <c r="I850" s="7">
        <v>2578.4699999999998</v>
      </c>
      <c r="J850" s="8">
        <v>-2.3723000000000001</v>
      </c>
      <c r="K850" s="7">
        <v>1.2496</v>
      </c>
      <c r="L850" s="7">
        <v>1.1203000000000001</v>
      </c>
      <c r="M850" s="8">
        <v>37.6447</v>
      </c>
      <c r="N850" s="8">
        <v>-8.6937999999999995</v>
      </c>
      <c r="O850" s="7">
        <v>-8.3991000000000007</v>
      </c>
      <c r="P850" s="7">
        <v>2806.3890999999999</v>
      </c>
      <c r="Q850" s="7">
        <v>2533.1608999999999</v>
      </c>
      <c r="R850" s="7" t="str">
        <f t="shared" si="196"/>
        <v>Up</v>
      </c>
      <c r="S850" s="7" t="str">
        <f t="shared" si="197"/>
        <v>Hold</v>
      </c>
      <c r="T850" s="8">
        <f t="shared" si="198"/>
        <v>0.21661619937694712</v>
      </c>
      <c r="U850" s="18">
        <f t="shared" si="199"/>
        <v>1670971</v>
      </c>
      <c r="V850" s="7">
        <f t="shared" si="200"/>
        <v>5586.2002000000002</v>
      </c>
      <c r="W850" s="7">
        <f t="shared" si="201"/>
        <v>2582.1001000000001</v>
      </c>
      <c r="X850" s="7">
        <f t="shared" si="202"/>
        <v>2625.6001000000001</v>
      </c>
      <c r="Y850" s="7">
        <f t="shared" si="203"/>
        <v>132</v>
      </c>
      <c r="Z850" s="7">
        <f t="shared" si="204"/>
        <v>513521</v>
      </c>
      <c r="AA850" s="7" t="str">
        <f t="shared" si="205"/>
        <v>26-Nov-2024</v>
      </c>
      <c r="AB850" s="7">
        <f t="shared" si="206"/>
        <v>2625.6001000000001</v>
      </c>
      <c r="AC850" s="7">
        <f t="shared" si="210"/>
        <v>1</v>
      </c>
      <c r="AD850" s="7">
        <f t="shared" si="207"/>
        <v>2024</v>
      </c>
      <c r="AE850" s="19">
        <f t="shared" si="208"/>
        <v>-2.37</v>
      </c>
      <c r="BA850" s="10">
        <f t="shared" si="209"/>
        <v>58.0032</v>
      </c>
    </row>
    <row r="851" spans="1:53" x14ac:dyDescent="0.3">
      <c r="A851" s="17">
        <v>45623</v>
      </c>
      <c r="B851" s="8">
        <v>2639.8998999999999</v>
      </c>
      <c r="C851" s="7">
        <v>2657.8998999999999</v>
      </c>
      <c r="D851" s="7">
        <v>2627.2</v>
      </c>
      <c r="E851" s="7">
        <v>2633.5</v>
      </c>
      <c r="F851" s="18">
        <v>61653</v>
      </c>
      <c r="G851" s="7">
        <v>2650.8143</v>
      </c>
      <c r="H851" s="7">
        <v>2685.84</v>
      </c>
      <c r="I851" s="7">
        <v>2581.1111000000001</v>
      </c>
      <c r="J851" s="8">
        <v>0.3009</v>
      </c>
      <c r="K851" s="7">
        <v>1.2138</v>
      </c>
      <c r="L851" s="7">
        <v>1.1180000000000001</v>
      </c>
      <c r="M851" s="8">
        <v>46.149799999999999</v>
      </c>
      <c r="N851" s="8">
        <v>-9.3411000000000008</v>
      </c>
      <c r="O851" s="7">
        <v>-8.5875000000000004</v>
      </c>
      <c r="P851" s="7">
        <v>2790.8508999999999</v>
      </c>
      <c r="Q851" s="7">
        <v>2534.5891000000001</v>
      </c>
      <c r="R851" s="7" t="str">
        <f t="shared" si="196"/>
        <v>Down</v>
      </c>
      <c r="S851" s="7" t="str">
        <f t="shared" si="197"/>
        <v>Hold</v>
      </c>
      <c r="T851" s="8">
        <f t="shared" si="198"/>
        <v>0.22470656250000012</v>
      </c>
      <c r="U851" s="18">
        <f t="shared" si="199"/>
        <v>1493113</v>
      </c>
      <c r="V851" s="7">
        <f t="shared" si="200"/>
        <v>5586.2002000000002</v>
      </c>
      <c r="W851" s="7">
        <f t="shared" si="201"/>
        <v>2582.1001000000001</v>
      </c>
      <c r="X851" s="7">
        <f t="shared" si="202"/>
        <v>2633.5</v>
      </c>
      <c r="Y851" s="7">
        <f t="shared" si="203"/>
        <v>131</v>
      </c>
      <c r="Z851" s="7">
        <f t="shared" si="204"/>
        <v>335663</v>
      </c>
      <c r="AA851" s="7" t="str">
        <f t="shared" si="205"/>
        <v>27-Nov-2024</v>
      </c>
      <c r="AB851" s="7">
        <f t="shared" si="206"/>
        <v>2633.5</v>
      </c>
      <c r="AC851" s="7">
        <f t="shared" si="210"/>
        <v>1</v>
      </c>
      <c r="AD851" s="7">
        <f t="shared" si="207"/>
        <v>2024</v>
      </c>
      <c r="AE851" s="19">
        <f t="shared" si="208"/>
        <v>0.3</v>
      </c>
      <c r="BA851" s="10">
        <f t="shared" si="209"/>
        <v>58.0032</v>
      </c>
    </row>
    <row r="852" spans="1:53" x14ac:dyDescent="0.3">
      <c r="A852" s="17">
        <v>45625</v>
      </c>
      <c r="B852" s="8">
        <v>2657</v>
      </c>
      <c r="C852" s="7">
        <v>2664.3</v>
      </c>
      <c r="D852" s="7">
        <v>2620.6999999999998</v>
      </c>
      <c r="E852" s="7">
        <v>2636.3998999999999</v>
      </c>
      <c r="F852" s="18">
        <v>3861</v>
      </c>
      <c r="G852" s="7">
        <v>2652.8856999999998</v>
      </c>
      <c r="H852" s="7">
        <v>2684.4733000000001</v>
      </c>
      <c r="I852" s="7">
        <v>2583.5043999999998</v>
      </c>
      <c r="J852" s="8">
        <v>0.1101</v>
      </c>
      <c r="K852" s="7">
        <v>1.1425000000000001</v>
      </c>
      <c r="L852" s="7">
        <v>1.1178999999999999</v>
      </c>
      <c r="M852" s="8">
        <v>42.630800000000001</v>
      </c>
      <c r="N852" s="8">
        <v>-9.5105000000000004</v>
      </c>
      <c r="O852" s="7">
        <v>-8.7721</v>
      </c>
      <c r="P852" s="7">
        <v>2769.4097000000002</v>
      </c>
      <c r="Q852" s="7">
        <v>2540.9301999999998</v>
      </c>
      <c r="R852" s="7" t="str">
        <f t="shared" si="196"/>
        <v>Down</v>
      </c>
      <c r="S852" s="7" t="str">
        <f t="shared" si="197"/>
        <v>Hold</v>
      </c>
      <c r="T852" s="8">
        <f t="shared" si="198"/>
        <v>0.22446771159874626</v>
      </c>
      <c r="U852" s="18">
        <f t="shared" si="199"/>
        <v>1431460</v>
      </c>
      <c r="V852" s="7">
        <f t="shared" si="200"/>
        <v>5586.2002000000002</v>
      </c>
      <c r="W852" s="7">
        <f t="shared" si="201"/>
        <v>2582.1001000000001</v>
      </c>
      <c r="X852" s="7">
        <f t="shared" si="202"/>
        <v>2636.3998999999999</v>
      </c>
      <c r="Y852" s="7">
        <f t="shared" si="203"/>
        <v>131</v>
      </c>
      <c r="Z852" s="7">
        <f t="shared" si="204"/>
        <v>335663</v>
      </c>
      <c r="AA852" s="7" t="str">
        <f t="shared" si="205"/>
        <v>29-Nov-2024</v>
      </c>
      <c r="AB852" s="7">
        <f t="shared" si="206"/>
        <v>2636.3998999999999</v>
      </c>
      <c r="AC852" s="7">
        <f t="shared" si="210"/>
        <v>1</v>
      </c>
      <c r="AD852" s="7">
        <f t="shared" si="207"/>
        <v>2024</v>
      </c>
      <c r="AE852" s="19">
        <f t="shared" si="208"/>
        <v>0.11</v>
      </c>
      <c r="BA852" s="10">
        <f t="shared" si="209"/>
        <v>58.0032</v>
      </c>
    </row>
    <row r="853" spans="1:53" x14ac:dyDescent="0.3">
      <c r="A853" s="17">
        <v>45628</v>
      </c>
      <c r="B853" s="8">
        <v>2634.8998999999999</v>
      </c>
      <c r="C853" s="7">
        <v>2649.8</v>
      </c>
      <c r="D853" s="7">
        <v>2621.7</v>
      </c>
      <c r="E853" s="7">
        <v>2649</v>
      </c>
      <c r="F853" s="18">
        <v>695</v>
      </c>
      <c r="G853" s="7">
        <v>2654.3856999999998</v>
      </c>
      <c r="H853" s="7">
        <v>2682.3166999999999</v>
      </c>
      <c r="I853" s="7">
        <v>2586.6543999999999</v>
      </c>
      <c r="J853" s="8">
        <v>0.47789999999999999</v>
      </c>
      <c r="K853" s="7">
        <v>1.1315999999999999</v>
      </c>
      <c r="L853" s="7">
        <v>1.0911</v>
      </c>
      <c r="M853" s="8">
        <v>46.750599999999999</v>
      </c>
      <c r="N853" s="8">
        <v>-8.5297000000000001</v>
      </c>
      <c r="O853" s="7">
        <v>-8.7235999999999994</v>
      </c>
      <c r="P853" s="7">
        <v>2756.3775999999998</v>
      </c>
      <c r="Q853" s="7">
        <v>2544.3123999999998</v>
      </c>
      <c r="R853" s="7" t="str">
        <f t="shared" si="196"/>
        <v>Up</v>
      </c>
      <c r="S853" s="7" t="str">
        <f t="shared" si="197"/>
        <v>Hold</v>
      </c>
      <c r="T853" s="8">
        <f t="shared" si="198"/>
        <v>0.2248273584905662</v>
      </c>
      <c r="U853" s="18">
        <f t="shared" si="199"/>
        <v>1427599</v>
      </c>
      <c r="V853" s="7">
        <f t="shared" si="200"/>
        <v>5586.2002000000002</v>
      </c>
      <c r="W853" s="7">
        <f t="shared" si="201"/>
        <v>2582.1001000000001</v>
      </c>
      <c r="X853" s="7">
        <f t="shared" si="202"/>
        <v>2649</v>
      </c>
      <c r="Y853" s="7">
        <f t="shared" si="203"/>
        <v>131</v>
      </c>
      <c r="Z853" s="7">
        <f t="shared" si="204"/>
        <v>335663</v>
      </c>
      <c r="AA853" s="7" t="str">
        <f t="shared" si="205"/>
        <v>02-Dec-2024</v>
      </c>
      <c r="AB853" s="7">
        <f t="shared" si="206"/>
        <v>2649</v>
      </c>
      <c r="AC853" s="7">
        <f t="shared" si="210"/>
        <v>1</v>
      </c>
      <c r="AD853" s="7">
        <f t="shared" si="207"/>
        <v>2024</v>
      </c>
      <c r="AE853" s="19">
        <f t="shared" si="208"/>
        <v>0.48</v>
      </c>
      <c r="BA853" s="10">
        <f t="shared" si="209"/>
        <v>58.0032</v>
      </c>
    </row>
    <row r="854" spans="1:53" x14ac:dyDescent="0.3">
      <c r="A854" s="17">
        <v>45629</v>
      </c>
      <c r="B854" s="8">
        <v>2644.7</v>
      </c>
      <c r="C854" s="7">
        <v>2654.7</v>
      </c>
      <c r="D854" s="7">
        <v>2636</v>
      </c>
      <c r="E854" s="7">
        <v>2639</v>
      </c>
      <c r="F854" s="18">
        <v>1062</v>
      </c>
      <c r="G854" s="7">
        <v>2651.4857000000002</v>
      </c>
      <c r="H854" s="7">
        <v>2679.5533</v>
      </c>
      <c r="I854" s="7">
        <v>2589.6578</v>
      </c>
      <c r="J854" s="8">
        <v>-0.3775</v>
      </c>
      <c r="K854" s="7">
        <v>1.0920000000000001</v>
      </c>
      <c r="L854" s="7">
        <v>1.0901000000000001</v>
      </c>
      <c r="M854" s="8">
        <v>55.714799999999997</v>
      </c>
      <c r="N854" s="8">
        <v>-8.4617000000000004</v>
      </c>
      <c r="O854" s="7">
        <v>-8.6712000000000007</v>
      </c>
      <c r="P854" s="7">
        <v>2743.4866999999999</v>
      </c>
      <c r="Q854" s="7">
        <v>2547.4533000000001</v>
      </c>
      <c r="R854" s="7" t="str">
        <f t="shared" si="196"/>
        <v>Down</v>
      </c>
      <c r="S854" s="7" t="str">
        <f t="shared" si="197"/>
        <v>Hold</v>
      </c>
      <c r="T854" s="8">
        <f t="shared" si="198"/>
        <v>0.22402902208201908</v>
      </c>
      <c r="U854" s="18">
        <f t="shared" si="199"/>
        <v>1426904</v>
      </c>
      <c r="V854" s="7">
        <f t="shared" si="200"/>
        <v>5586.2002000000002</v>
      </c>
      <c r="W854" s="7">
        <f t="shared" si="201"/>
        <v>2582.1001000000001</v>
      </c>
      <c r="X854" s="7">
        <f t="shared" si="202"/>
        <v>2639</v>
      </c>
      <c r="Y854" s="7">
        <f t="shared" si="203"/>
        <v>130</v>
      </c>
      <c r="Z854" s="7">
        <f t="shared" si="204"/>
        <v>334968</v>
      </c>
      <c r="AA854" s="7" t="str">
        <f t="shared" si="205"/>
        <v>03-Dec-2024</v>
      </c>
      <c r="AB854" s="7">
        <f t="shared" si="206"/>
        <v>2639</v>
      </c>
      <c r="AC854" s="7">
        <f t="shared" si="210"/>
        <v>1</v>
      </c>
      <c r="AD854" s="7">
        <f t="shared" si="207"/>
        <v>2024</v>
      </c>
      <c r="AE854" s="19">
        <f t="shared" si="208"/>
        <v>-0.38</v>
      </c>
      <c r="BA854" s="10">
        <f t="shared" si="209"/>
        <v>58.0032</v>
      </c>
    </row>
    <row r="855" spans="1:53" x14ac:dyDescent="0.3">
      <c r="A855" s="17">
        <v>45630</v>
      </c>
      <c r="B855" s="8">
        <v>2653.8</v>
      </c>
      <c r="C855" s="7">
        <v>2658.3</v>
      </c>
      <c r="D855" s="7">
        <v>2637</v>
      </c>
      <c r="E855" s="7">
        <v>2639.2</v>
      </c>
      <c r="F855" s="18">
        <v>249</v>
      </c>
      <c r="G855" s="7">
        <v>2644.5857000000001</v>
      </c>
      <c r="H855" s="7">
        <v>2676.47</v>
      </c>
      <c r="I855" s="7">
        <v>2592.5677999999998</v>
      </c>
      <c r="J855" s="8">
        <v>7.6E-3</v>
      </c>
      <c r="K855" s="7">
        <v>0.97060000000000002</v>
      </c>
      <c r="L855" s="7">
        <v>1.0869</v>
      </c>
      <c r="M855" s="8">
        <v>54.883499999999998</v>
      </c>
      <c r="N855" s="8">
        <v>-8.2960999999999991</v>
      </c>
      <c r="O855" s="7">
        <v>-8.5961999999999996</v>
      </c>
      <c r="P855" s="7">
        <v>2726.8802000000001</v>
      </c>
      <c r="Q855" s="7">
        <v>2553.6797999999999</v>
      </c>
      <c r="R855" s="7" t="str">
        <f t="shared" si="196"/>
        <v>Down</v>
      </c>
      <c r="S855" s="7" t="str">
        <f t="shared" si="197"/>
        <v>Hold</v>
      </c>
      <c r="T855" s="8">
        <f t="shared" si="198"/>
        <v>0.225932594936709</v>
      </c>
      <c r="U855" s="18">
        <f t="shared" si="199"/>
        <v>1425842</v>
      </c>
      <c r="V855" s="7">
        <f t="shared" si="200"/>
        <v>5586.2002000000002</v>
      </c>
      <c r="W855" s="7">
        <f t="shared" si="201"/>
        <v>2582.1001000000001</v>
      </c>
      <c r="X855" s="7">
        <f t="shared" si="202"/>
        <v>2639.2</v>
      </c>
      <c r="Y855" s="7">
        <f t="shared" si="203"/>
        <v>130</v>
      </c>
      <c r="Z855" s="7">
        <f t="shared" si="204"/>
        <v>334968</v>
      </c>
      <c r="AA855" s="7" t="str">
        <f t="shared" si="205"/>
        <v>04-Dec-2024</v>
      </c>
      <c r="AB855" s="7">
        <f t="shared" si="206"/>
        <v>2639.2</v>
      </c>
      <c r="AC855" s="7">
        <f t="shared" si="210"/>
        <v>1</v>
      </c>
      <c r="AD855" s="7">
        <f t="shared" si="207"/>
        <v>2024</v>
      </c>
      <c r="AE855" s="19">
        <f t="shared" si="208"/>
        <v>0.01</v>
      </c>
      <c r="BA855" s="10">
        <f t="shared" si="209"/>
        <v>58.0032</v>
      </c>
    </row>
    <row r="856" spans="1:53" x14ac:dyDescent="0.3">
      <c r="A856" s="17">
        <v>45631</v>
      </c>
      <c r="B856" s="8">
        <v>2626.6001000000001</v>
      </c>
      <c r="C856" s="7">
        <v>2655</v>
      </c>
      <c r="D856" s="7">
        <v>2625.7</v>
      </c>
      <c r="E856" s="7">
        <v>2652.3998999999999</v>
      </c>
      <c r="F856" s="18">
        <v>573</v>
      </c>
      <c r="G856" s="7">
        <v>2639.3</v>
      </c>
      <c r="H856" s="7">
        <v>2673.4666999999999</v>
      </c>
      <c r="I856" s="7">
        <v>2595.5844000000002</v>
      </c>
      <c r="J856" s="8">
        <v>0.50009999999999999</v>
      </c>
      <c r="K856" s="7">
        <v>1.0075000000000001</v>
      </c>
      <c r="L856" s="7">
        <v>1.0887</v>
      </c>
      <c r="M856" s="8">
        <v>69.865300000000005</v>
      </c>
      <c r="N856" s="8">
        <v>-7.0189000000000004</v>
      </c>
      <c r="O856" s="7">
        <v>-8.2806999999999995</v>
      </c>
      <c r="P856" s="7">
        <v>2710.9456</v>
      </c>
      <c r="Q856" s="7">
        <v>2561.4043999999999</v>
      </c>
      <c r="R856" s="7" t="str">
        <f t="shared" si="196"/>
        <v>Up</v>
      </c>
      <c r="S856" s="7" t="str">
        <f t="shared" si="197"/>
        <v>Hold</v>
      </c>
      <c r="T856" s="8">
        <f t="shared" si="198"/>
        <v>0.22662571428571443</v>
      </c>
      <c r="U856" s="18">
        <f t="shared" si="199"/>
        <v>1425593</v>
      </c>
      <c r="V856" s="7">
        <f t="shared" si="200"/>
        <v>5586.2002000000002</v>
      </c>
      <c r="W856" s="7">
        <f t="shared" si="201"/>
        <v>2582.1001000000001</v>
      </c>
      <c r="X856" s="7">
        <f t="shared" si="202"/>
        <v>2652.3998999999999</v>
      </c>
      <c r="Y856" s="7">
        <f t="shared" si="203"/>
        <v>130</v>
      </c>
      <c r="Z856" s="7">
        <f t="shared" si="204"/>
        <v>334968</v>
      </c>
      <c r="AA856" s="7" t="str">
        <f t="shared" si="205"/>
        <v>05-Dec-2024</v>
      </c>
      <c r="AB856" s="7">
        <f t="shared" si="206"/>
        <v>2652.3998999999999</v>
      </c>
      <c r="AC856" s="7">
        <f t="shared" si="210"/>
        <v>1</v>
      </c>
      <c r="AD856" s="7">
        <f t="shared" si="207"/>
        <v>2024</v>
      </c>
      <c r="AE856" s="19">
        <f t="shared" si="208"/>
        <v>0.5</v>
      </c>
      <c r="BA856" s="10">
        <f t="shared" si="209"/>
        <v>58.0032</v>
      </c>
    </row>
    <row r="857" spans="1:53" x14ac:dyDescent="0.3">
      <c r="A857" s="17">
        <v>45632</v>
      </c>
      <c r="B857" s="8">
        <v>2638.6001000000001</v>
      </c>
      <c r="C857" s="7">
        <v>2643.1001000000001</v>
      </c>
      <c r="D857" s="7">
        <v>2617.5</v>
      </c>
      <c r="E857" s="7">
        <v>2620.1999999999998</v>
      </c>
      <c r="F857" s="18">
        <v>571</v>
      </c>
      <c r="G857" s="7">
        <v>2638.5284999999999</v>
      </c>
      <c r="H857" s="7">
        <v>2669.84</v>
      </c>
      <c r="I857" s="7">
        <v>2597.9522000000002</v>
      </c>
      <c r="J857" s="8">
        <v>-1.214</v>
      </c>
      <c r="K857" s="7">
        <v>0.60440000000000005</v>
      </c>
      <c r="L857" s="7">
        <v>1.1053999999999999</v>
      </c>
      <c r="M857" s="8">
        <v>60.225200000000001</v>
      </c>
      <c r="N857" s="8">
        <v>-8.5068000000000001</v>
      </c>
      <c r="O857" s="7">
        <v>-8.3260000000000005</v>
      </c>
      <c r="P857" s="7">
        <v>2708.0844999999999</v>
      </c>
      <c r="Q857" s="7">
        <v>2560.0354000000002</v>
      </c>
      <c r="R857" s="7" t="str">
        <f t="shared" si="196"/>
        <v>Down</v>
      </c>
      <c r="S857" s="7" t="str">
        <f t="shared" si="197"/>
        <v>Hold</v>
      </c>
      <c r="T857" s="8">
        <f t="shared" si="198"/>
        <v>0.22575477707006383</v>
      </c>
      <c r="U857" s="18">
        <f t="shared" si="199"/>
        <v>1425020</v>
      </c>
      <c r="V857" s="7">
        <f t="shared" si="200"/>
        <v>5586.2002000000002</v>
      </c>
      <c r="W857" s="7">
        <f t="shared" si="201"/>
        <v>2582.1001000000001</v>
      </c>
      <c r="X857" s="7">
        <f t="shared" si="202"/>
        <v>2620.1999999999998</v>
      </c>
      <c r="Y857" s="7">
        <f t="shared" si="203"/>
        <v>129</v>
      </c>
      <c r="Z857" s="7">
        <f t="shared" si="204"/>
        <v>334395</v>
      </c>
      <c r="AA857" s="7" t="str">
        <f t="shared" si="205"/>
        <v>06-Dec-2024</v>
      </c>
      <c r="AB857" s="7">
        <f t="shared" si="206"/>
        <v>2620.1999999999998</v>
      </c>
      <c r="AC857" s="7">
        <f t="shared" si="210"/>
        <v>1</v>
      </c>
      <c r="AD857" s="7">
        <f t="shared" si="207"/>
        <v>2024</v>
      </c>
      <c r="AE857" s="19">
        <f t="shared" si="208"/>
        <v>-1.21</v>
      </c>
      <c r="BA857" s="10">
        <f t="shared" si="209"/>
        <v>58.0032</v>
      </c>
    </row>
    <row r="858" spans="1:53" x14ac:dyDescent="0.3">
      <c r="A858" s="17">
        <v>45635</v>
      </c>
      <c r="B858" s="8">
        <v>2664.8998999999999</v>
      </c>
      <c r="C858" s="7">
        <v>2677.1001000000001</v>
      </c>
      <c r="D858" s="7">
        <v>2630.8</v>
      </c>
      <c r="E858" s="7">
        <v>2632.1001000000001</v>
      </c>
      <c r="F858" s="18">
        <v>935</v>
      </c>
      <c r="G858" s="7">
        <v>2638.3285000000001</v>
      </c>
      <c r="H858" s="7">
        <v>2666.7267000000002</v>
      </c>
      <c r="I858" s="7">
        <v>2600.0122000000001</v>
      </c>
      <c r="J858" s="8">
        <v>0.45419999999999999</v>
      </c>
      <c r="K858" s="7">
        <v>0.62090000000000001</v>
      </c>
      <c r="L858" s="7">
        <v>1.1105</v>
      </c>
      <c r="M858" s="8">
        <v>58.0032</v>
      </c>
      <c r="N858" s="8">
        <v>-8.6263000000000005</v>
      </c>
      <c r="O858" s="7">
        <v>-8.3859999999999992</v>
      </c>
      <c r="P858" s="7">
        <v>2700.6880000000001</v>
      </c>
      <c r="Q858" s="7">
        <v>2561.7919999999999</v>
      </c>
      <c r="R858" s="7" t="str">
        <f t="shared" si="196"/>
        <v>Down</v>
      </c>
      <c r="S858" s="7" t="str">
        <f t="shared" si="197"/>
        <v>Hold</v>
      </c>
      <c r="T858" s="8">
        <f t="shared" si="198"/>
        <v>0.23035463258785946</v>
      </c>
      <c r="U858" s="18">
        <f t="shared" si="199"/>
        <v>1424449</v>
      </c>
      <c r="V858" s="7">
        <f t="shared" si="200"/>
        <v>5586.2002000000002</v>
      </c>
      <c r="W858" s="7">
        <f t="shared" si="201"/>
        <v>2582.1001000000001</v>
      </c>
      <c r="X858" s="7">
        <f t="shared" si="202"/>
        <v>2632.1001000000001</v>
      </c>
      <c r="Y858" s="7">
        <f t="shared" si="203"/>
        <v>129</v>
      </c>
      <c r="Z858" s="7">
        <f t="shared" si="204"/>
        <v>334395</v>
      </c>
      <c r="AA858" s="7" t="str">
        <f t="shared" si="205"/>
        <v>09-Dec-2024</v>
      </c>
      <c r="AB858" s="7">
        <f t="shared" si="206"/>
        <v>2632.1001000000001</v>
      </c>
      <c r="AC858" s="7">
        <f t="shared" si="210"/>
        <v>1</v>
      </c>
      <c r="AD858" s="7">
        <f t="shared" si="207"/>
        <v>2024</v>
      </c>
      <c r="AE858" s="19">
        <f t="shared" si="208"/>
        <v>0.45</v>
      </c>
      <c r="BA858" s="10">
        <f t="shared" si="209"/>
        <v>58.0032</v>
      </c>
    </row>
    <row r="859" spans="1:53" x14ac:dyDescent="0.3">
      <c r="A859" s="17">
        <v>45636</v>
      </c>
      <c r="B859" s="8">
        <v>2697.6001000000001</v>
      </c>
      <c r="C859" s="7">
        <v>2698.2</v>
      </c>
      <c r="D859" s="7">
        <v>2661</v>
      </c>
      <c r="E859" s="7">
        <v>2662.3</v>
      </c>
      <c r="F859" s="18">
        <v>437</v>
      </c>
      <c r="G859" s="7">
        <v>2642.0286000000001</v>
      </c>
      <c r="H859" s="7">
        <v>2664.2667000000001</v>
      </c>
      <c r="I859" s="7">
        <v>2602.4378000000002</v>
      </c>
      <c r="J859" s="8">
        <v>1.1474</v>
      </c>
      <c r="K859" s="7">
        <v>0.7611</v>
      </c>
      <c r="L859" s="7">
        <v>1.1307</v>
      </c>
      <c r="M859" s="8">
        <v>58.0032</v>
      </c>
      <c r="N859" s="8">
        <v>-6.2126000000000001</v>
      </c>
      <c r="O859" s="7">
        <v>-7.9512999999999998</v>
      </c>
      <c r="P859" s="7">
        <v>2699.1846</v>
      </c>
      <c r="Q859" s="7">
        <v>2562.3553999999999</v>
      </c>
      <c r="R859" s="7" t="str">
        <f t="shared" si="196"/>
        <v>Down</v>
      </c>
      <c r="S859" s="7" t="str">
        <f t="shared" si="197"/>
        <v>Hold</v>
      </c>
      <c r="T859" s="8">
        <f t="shared" si="198"/>
        <v>0.22963717948717965</v>
      </c>
      <c r="U859" s="18">
        <f t="shared" si="199"/>
        <v>1423514</v>
      </c>
      <c r="V859" s="7">
        <f t="shared" si="200"/>
        <v>5586.2002000000002</v>
      </c>
      <c r="W859" s="7">
        <f t="shared" si="201"/>
        <v>2582.1001000000001</v>
      </c>
      <c r="X859" s="7">
        <f t="shared" si="202"/>
        <v>2662.3</v>
      </c>
      <c r="Y859" s="7">
        <f t="shared" si="203"/>
        <v>129</v>
      </c>
      <c r="Z859" s="7">
        <f t="shared" si="204"/>
        <v>334395</v>
      </c>
      <c r="AA859" s="7" t="str">
        <f t="shared" si="205"/>
        <v>10-Dec-2024</v>
      </c>
      <c r="AB859" s="7">
        <f t="shared" si="206"/>
        <v>2662.3</v>
      </c>
      <c r="AC859" s="7">
        <f t="shared" si="210"/>
        <v>1</v>
      </c>
      <c r="AD859" s="7">
        <f t="shared" si="207"/>
        <v>2024</v>
      </c>
      <c r="AE859" s="19">
        <f t="shared" si="208"/>
        <v>1.1499999999999999</v>
      </c>
    </row>
    <row r="860" spans="1:53" x14ac:dyDescent="0.3">
      <c r="A860" s="17">
        <v>45637</v>
      </c>
      <c r="B860" s="8">
        <v>2733.8</v>
      </c>
      <c r="C860" s="7">
        <v>2733.8</v>
      </c>
      <c r="D860" s="7">
        <v>2693.1001000000001</v>
      </c>
      <c r="E860" s="7">
        <v>2701.8</v>
      </c>
      <c r="F860" s="18">
        <v>3387</v>
      </c>
      <c r="G860" s="7">
        <v>2649.5713999999998</v>
      </c>
      <c r="H860" s="7">
        <v>2662.0466999999999</v>
      </c>
      <c r="I860" s="7">
        <v>2605.3244</v>
      </c>
      <c r="J860" s="8">
        <v>1.4837</v>
      </c>
      <c r="K860" s="7">
        <v>0.91449999999999998</v>
      </c>
      <c r="L860" s="7">
        <v>1.1436999999999999</v>
      </c>
      <c r="M860" s="8">
        <v>61.496600000000001</v>
      </c>
      <c r="N860" s="8">
        <v>-1.0995999999999999</v>
      </c>
      <c r="O860" s="7">
        <v>-6.5810000000000004</v>
      </c>
      <c r="P860" s="7">
        <v>2709.8188</v>
      </c>
      <c r="Q860" s="7">
        <v>2561.3510999999999</v>
      </c>
      <c r="R860" s="7" t="str">
        <f t="shared" si="196"/>
        <v>Down</v>
      </c>
      <c r="S860" s="7" t="str">
        <f t="shared" si="197"/>
        <v>Hold</v>
      </c>
      <c r="T860" s="8">
        <f t="shared" si="198"/>
        <v>0.22668617363344068</v>
      </c>
      <c r="U860" s="18">
        <f t="shared" si="199"/>
        <v>1423077</v>
      </c>
      <c r="V860" s="7">
        <f t="shared" si="200"/>
        <v>5586.2002000000002</v>
      </c>
      <c r="W860" s="7">
        <f t="shared" si="201"/>
        <v>2582.1001000000001</v>
      </c>
      <c r="X860" s="7">
        <f t="shared" si="202"/>
        <v>2701.8</v>
      </c>
      <c r="Y860" s="7">
        <f t="shared" si="203"/>
        <v>129</v>
      </c>
      <c r="Z860" s="7">
        <f t="shared" si="204"/>
        <v>334395</v>
      </c>
      <c r="AA860" s="7" t="str">
        <f t="shared" si="205"/>
        <v>11-Dec-2024</v>
      </c>
      <c r="AB860" s="7">
        <f t="shared" si="206"/>
        <v>2701.8</v>
      </c>
      <c r="AC860" s="7">
        <f t="shared" si="210"/>
        <v>1</v>
      </c>
      <c r="AD860" s="7">
        <f t="shared" si="207"/>
        <v>2024</v>
      </c>
      <c r="AE860" s="19">
        <f t="shared" si="208"/>
        <v>1.48</v>
      </c>
    </row>
    <row r="861" spans="1:53" x14ac:dyDescent="0.3">
      <c r="A861" s="17">
        <v>45638</v>
      </c>
      <c r="B861" s="8">
        <v>2687.5</v>
      </c>
      <c r="C861" s="7">
        <v>2725.1001000000001</v>
      </c>
      <c r="D861" s="7">
        <v>2677.3998999999999</v>
      </c>
      <c r="E861" s="7">
        <v>2725.1001000000001</v>
      </c>
      <c r="F861" s="18">
        <v>2365</v>
      </c>
      <c r="G861" s="7">
        <v>2661.8714</v>
      </c>
      <c r="H861" s="7">
        <v>2660.3966999999998</v>
      </c>
      <c r="I861" s="7">
        <v>2608.7755999999999</v>
      </c>
      <c r="J861" s="8">
        <v>0.86240000000000006</v>
      </c>
      <c r="K861" s="7">
        <v>0.88419999999999999</v>
      </c>
      <c r="L861" s="7">
        <v>1.1554</v>
      </c>
      <c r="M861" s="8">
        <v>61.8431</v>
      </c>
      <c r="N861" s="8">
        <v>4.7774000000000001</v>
      </c>
      <c r="O861" s="7">
        <v>-4.3093000000000004</v>
      </c>
      <c r="P861" s="7">
        <v>2724.5592000000001</v>
      </c>
      <c r="Q861" s="7">
        <v>2558.0108</v>
      </c>
      <c r="R861" s="7" t="str">
        <f t="shared" si="196"/>
        <v>Up</v>
      </c>
      <c r="S861" s="7" t="str">
        <f t="shared" si="197"/>
        <v>Hold</v>
      </c>
      <c r="T861" s="8">
        <f t="shared" si="198"/>
        <v>0.22263129032258072</v>
      </c>
      <c r="U861" s="18">
        <f t="shared" si="199"/>
        <v>1419690</v>
      </c>
      <c r="V861" s="7">
        <f t="shared" si="200"/>
        <v>5586.2002000000002</v>
      </c>
      <c r="W861" s="7">
        <f t="shared" si="201"/>
        <v>2582.1001000000001</v>
      </c>
      <c r="X861" s="7">
        <f t="shared" si="202"/>
        <v>2725.1001000000001</v>
      </c>
      <c r="Y861" s="7">
        <f t="shared" si="203"/>
        <v>129</v>
      </c>
      <c r="Z861" s="7">
        <f t="shared" si="204"/>
        <v>334395</v>
      </c>
      <c r="AA861" s="7" t="str">
        <f t="shared" si="205"/>
        <v>12-Dec-2024</v>
      </c>
      <c r="AB861" s="7">
        <f t="shared" si="206"/>
        <v>2725.1001000000001</v>
      </c>
      <c r="AC861" s="7">
        <f t="shared" si="210"/>
        <v>1</v>
      </c>
      <c r="AD861" s="7">
        <f t="shared" si="207"/>
        <v>2024</v>
      </c>
      <c r="AE861" s="19">
        <f t="shared" si="208"/>
        <v>0.86</v>
      </c>
    </row>
    <row r="862" spans="1:53" x14ac:dyDescent="0.3">
      <c r="A862" s="17">
        <v>45639</v>
      </c>
      <c r="B862" s="8">
        <v>2656</v>
      </c>
      <c r="C862" s="7">
        <v>2689.3</v>
      </c>
      <c r="D862" s="7">
        <v>2647.8998999999999</v>
      </c>
      <c r="E862" s="7">
        <v>2688.2</v>
      </c>
      <c r="F862" s="18">
        <v>1125</v>
      </c>
      <c r="G862" s="7">
        <v>2668.8714</v>
      </c>
      <c r="H862" s="7">
        <v>2657.09</v>
      </c>
      <c r="I862" s="7">
        <v>2612.0644000000002</v>
      </c>
      <c r="J862" s="8">
        <v>-1.3541000000000001</v>
      </c>
      <c r="K862" s="7">
        <v>1.1195999999999999</v>
      </c>
      <c r="L862" s="7">
        <v>1.1748000000000001</v>
      </c>
      <c r="M862" s="8">
        <v>50.122199999999999</v>
      </c>
      <c r="N862" s="8">
        <v>6.3838999999999997</v>
      </c>
      <c r="O862" s="7">
        <v>-2.1707000000000001</v>
      </c>
      <c r="P862" s="7">
        <v>2723.0913</v>
      </c>
      <c r="Q862" s="7">
        <v>2572.7885999999999</v>
      </c>
      <c r="R862" s="7" t="str">
        <f t="shared" si="196"/>
        <v>Up</v>
      </c>
      <c r="S862" s="7" t="str">
        <f t="shared" si="197"/>
        <v>Hold</v>
      </c>
      <c r="T862" s="8">
        <f t="shared" si="198"/>
        <v>0.22056084142394833</v>
      </c>
      <c r="U862" s="18">
        <f t="shared" si="199"/>
        <v>1417325</v>
      </c>
      <c r="V862" s="7">
        <f t="shared" si="200"/>
        <v>5586.2002000000002</v>
      </c>
      <c r="W862" s="7">
        <f t="shared" si="201"/>
        <v>2582.1001000000001</v>
      </c>
      <c r="X862" s="7">
        <f t="shared" si="202"/>
        <v>2688.2</v>
      </c>
      <c r="Y862" s="7">
        <f t="shared" si="203"/>
        <v>128</v>
      </c>
      <c r="Z862" s="7">
        <f t="shared" si="204"/>
        <v>332030</v>
      </c>
      <c r="AA862" s="7" t="str">
        <f t="shared" si="205"/>
        <v>13-Dec-2024</v>
      </c>
      <c r="AB862" s="7">
        <f t="shared" si="206"/>
        <v>2688.2</v>
      </c>
      <c r="AC862" s="7">
        <f t="shared" si="210"/>
        <v>1</v>
      </c>
      <c r="AD862" s="7">
        <f t="shared" si="207"/>
        <v>2024</v>
      </c>
      <c r="AE862" s="19">
        <f t="shared" si="208"/>
        <v>-1.35</v>
      </c>
    </row>
    <row r="863" spans="1:53" x14ac:dyDescent="0.3">
      <c r="A863" s="17">
        <v>45642</v>
      </c>
      <c r="B863" s="8">
        <v>2651.3998999999999</v>
      </c>
      <c r="C863" s="7">
        <v>2663.3</v>
      </c>
      <c r="D863" s="7">
        <v>2651</v>
      </c>
      <c r="E863" s="7">
        <v>2658.3</v>
      </c>
      <c r="F863" s="18">
        <v>877</v>
      </c>
      <c r="G863" s="7">
        <v>2669.7143000000001</v>
      </c>
      <c r="H863" s="7">
        <v>2654.1833000000001</v>
      </c>
      <c r="I863" s="7">
        <v>2615.1089000000002</v>
      </c>
      <c r="J863" s="8">
        <v>-1.1123000000000001</v>
      </c>
      <c r="K863" s="7">
        <v>1.2249000000000001</v>
      </c>
      <c r="L863" s="7">
        <v>1.161</v>
      </c>
      <c r="M863" s="8">
        <v>45.055700000000002</v>
      </c>
      <c r="N863" s="8">
        <v>5.1847000000000003</v>
      </c>
      <c r="O863" s="7">
        <v>-0.6996</v>
      </c>
      <c r="P863" s="7">
        <v>2717.0383999999999</v>
      </c>
      <c r="Q863" s="7">
        <v>2588.1015000000002</v>
      </c>
      <c r="R863" s="7" t="str">
        <f t="shared" si="196"/>
        <v>Up</v>
      </c>
      <c r="S863" s="7" t="str">
        <f t="shared" si="197"/>
        <v>Hold</v>
      </c>
      <c r="T863" s="8">
        <f t="shared" si="198"/>
        <v>0.22567337662337669</v>
      </c>
      <c r="U863" s="18">
        <f t="shared" si="199"/>
        <v>1416200</v>
      </c>
      <c r="V863" s="7">
        <f t="shared" si="200"/>
        <v>5586.2002000000002</v>
      </c>
      <c r="W863" s="7">
        <f t="shared" si="201"/>
        <v>2582.1001000000001</v>
      </c>
      <c r="X863" s="7">
        <f t="shared" si="202"/>
        <v>2658.3</v>
      </c>
      <c r="Y863" s="7">
        <f t="shared" si="203"/>
        <v>127</v>
      </c>
      <c r="Z863" s="7">
        <f t="shared" si="204"/>
        <v>330905</v>
      </c>
      <c r="AA863" s="7" t="str">
        <f t="shared" si="205"/>
        <v>16-Dec-2024</v>
      </c>
      <c r="AB863" s="7">
        <f t="shared" si="206"/>
        <v>2658.3</v>
      </c>
      <c r="AC863" s="7">
        <f t="shared" si="210"/>
        <v>1</v>
      </c>
      <c r="AD863" s="7">
        <f t="shared" si="207"/>
        <v>2024</v>
      </c>
      <c r="AE863" s="19">
        <f t="shared" si="208"/>
        <v>-1.1100000000000001</v>
      </c>
    </row>
    <row r="864" spans="1:53" x14ac:dyDescent="0.3">
      <c r="A864" s="17">
        <v>45643</v>
      </c>
      <c r="B864" s="8">
        <v>2644.3998999999999</v>
      </c>
      <c r="C864" s="7">
        <v>2652.3</v>
      </c>
      <c r="D864" s="7">
        <v>2632.5</v>
      </c>
      <c r="E864" s="7">
        <v>2651.8</v>
      </c>
      <c r="F864" s="18">
        <v>705</v>
      </c>
      <c r="G864" s="7">
        <v>2674.2285999999999</v>
      </c>
      <c r="H864" s="7">
        <v>2651.36</v>
      </c>
      <c r="I864" s="7">
        <v>2617.6588999999999</v>
      </c>
      <c r="J864" s="8">
        <v>-0.2445</v>
      </c>
      <c r="K864" s="7">
        <v>1.109</v>
      </c>
      <c r="L864" s="7">
        <v>1.1605000000000001</v>
      </c>
      <c r="M864" s="8">
        <v>55.093299999999999</v>
      </c>
      <c r="N864" s="8">
        <v>3.6675</v>
      </c>
      <c r="O864" s="7">
        <v>0.17380000000000001</v>
      </c>
      <c r="P864" s="7">
        <v>2713.3526000000002</v>
      </c>
      <c r="Q864" s="7">
        <v>2597.7973999999999</v>
      </c>
      <c r="R864" s="7" t="str">
        <f t="shared" si="196"/>
        <v>Up</v>
      </c>
      <c r="S864" s="7" t="str">
        <f t="shared" si="197"/>
        <v>Hold</v>
      </c>
      <c r="T864" s="8">
        <f t="shared" si="198"/>
        <v>0.23003159609120538</v>
      </c>
      <c r="U864" s="18">
        <f t="shared" si="199"/>
        <v>1415323</v>
      </c>
      <c r="V864" s="7">
        <f t="shared" si="200"/>
        <v>5586.2002000000002</v>
      </c>
      <c r="W864" s="7">
        <f t="shared" si="201"/>
        <v>2582.1001000000001</v>
      </c>
      <c r="X864" s="7">
        <f t="shared" si="202"/>
        <v>2651.8</v>
      </c>
      <c r="Y864" s="7">
        <f t="shared" si="203"/>
        <v>126</v>
      </c>
      <c r="Z864" s="7">
        <f t="shared" si="204"/>
        <v>330028</v>
      </c>
      <c r="AA864" s="7" t="str">
        <f t="shared" si="205"/>
        <v>17-Dec-2024</v>
      </c>
      <c r="AB864" s="7">
        <f t="shared" si="206"/>
        <v>2651.8</v>
      </c>
      <c r="AC864" s="7">
        <f t="shared" si="210"/>
        <v>1</v>
      </c>
      <c r="AD864" s="7">
        <f t="shared" si="207"/>
        <v>2024</v>
      </c>
      <c r="AE864" s="19">
        <f t="shared" si="208"/>
        <v>-0.24</v>
      </c>
    </row>
    <row r="865" spans="1:31" x14ac:dyDescent="0.3">
      <c r="A865" s="17">
        <v>45644</v>
      </c>
      <c r="B865" s="8">
        <v>2636.5</v>
      </c>
      <c r="C865" s="7">
        <v>2647.1001000000001</v>
      </c>
      <c r="D865" s="7">
        <v>2590.1999999999998</v>
      </c>
      <c r="E865" s="7">
        <v>2644.3</v>
      </c>
      <c r="F865" s="18">
        <v>566</v>
      </c>
      <c r="G865" s="7">
        <v>2675.9715000000001</v>
      </c>
      <c r="H865" s="7">
        <v>2648.07</v>
      </c>
      <c r="I865" s="7">
        <v>2620.0100000000002</v>
      </c>
      <c r="J865" s="8">
        <v>-0.2828</v>
      </c>
      <c r="K865" s="7">
        <v>1.1133</v>
      </c>
      <c r="L865" s="7">
        <v>1.1592</v>
      </c>
      <c r="M865" s="8">
        <v>52.102800000000002</v>
      </c>
      <c r="N865" s="8">
        <v>1.8387</v>
      </c>
      <c r="O865" s="7">
        <v>0.50680000000000003</v>
      </c>
      <c r="P865" s="7">
        <v>2712.5608999999999</v>
      </c>
      <c r="Q865" s="7">
        <v>2600.8292000000001</v>
      </c>
      <c r="R865" s="7" t="str">
        <f t="shared" si="196"/>
        <v>Up</v>
      </c>
      <c r="S865" s="7" t="str">
        <f t="shared" si="197"/>
        <v>Hold</v>
      </c>
      <c r="T865" s="8">
        <f t="shared" si="198"/>
        <v>0.23158235294117666</v>
      </c>
      <c r="U865" s="18">
        <f t="shared" si="199"/>
        <v>1414618</v>
      </c>
      <c r="V865" s="7">
        <f t="shared" si="200"/>
        <v>5586.2002000000002</v>
      </c>
      <c r="W865" s="7">
        <f t="shared" si="201"/>
        <v>2582.1001000000001</v>
      </c>
      <c r="X865" s="7">
        <f t="shared" si="202"/>
        <v>2644.3</v>
      </c>
      <c r="Y865" s="7">
        <f t="shared" si="203"/>
        <v>125</v>
      </c>
      <c r="Z865" s="7">
        <f t="shared" si="204"/>
        <v>329323</v>
      </c>
      <c r="AA865" s="7" t="str">
        <f t="shared" si="205"/>
        <v>18-Dec-2024</v>
      </c>
      <c r="AB865" s="7">
        <f t="shared" si="206"/>
        <v>2644.3</v>
      </c>
      <c r="AC865" s="7">
        <f t="shared" si="210"/>
        <v>1</v>
      </c>
      <c r="AD865" s="7">
        <f t="shared" si="207"/>
        <v>2024</v>
      </c>
      <c r="AE865" s="19">
        <f t="shared" si="208"/>
        <v>-0.28000000000000003</v>
      </c>
    </row>
    <row r="866" spans="1:31" x14ac:dyDescent="0.3">
      <c r="A866" s="17">
        <v>45645</v>
      </c>
      <c r="B866" s="8">
        <v>2592.1999999999998</v>
      </c>
      <c r="C866" s="7">
        <v>2610.3000000000002</v>
      </c>
      <c r="D866" s="7">
        <v>2582.1001000000001</v>
      </c>
      <c r="E866" s="7">
        <v>2582.1001000000001</v>
      </c>
      <c r="F866" s="18">
        <v>238</v>
      </c>
      <c r="G866" s="7">
        <v>2664.5142999999998</v>
      </c>
      <c r="H866" s="7">
        <v>2642.99</v>
      </c>
      <c r="I866" s="7">
        <v>2621.3555999999999</v>
      </c>
      <c r="J866" s="8">
        <v>-2.3521999999999998</v>
      </c>
      <c r="K866" s="7">
        <v>1.3167</v>
      </c>
      <c r="L866" s="7">
        <v>1.2289000000000001</v>
      </c>
      <c r="M866" s="8">
        <v>41.411000000000001</v>
      </c>
      <c r="N866" s="8">
        <v>-4.5769000000000002</v>
      </c>
      <c r="O866" s="7">
        <v>-0.51</v>
      </c>
      <c r="P866" s="7">
        <v>2718.5994999999998</v>
      </c>
      <c r="Q866" s="7">
        <v>2589.1505000000002</v>
      </c>
      <c r="R866" s="7" t="str">
        <f t="shared" si="196"/>
        <v>Down</v>
      </c>
      <c r="S866" s="7" t="str">
        <f t="shared" si="197"/>
        <v>Hold</v>
      </c>
      <c r="T866" s="8">
        <f t="shared" si="198"/>
        <v>0.23326885245901655</v>
      </c>
      <c r="U866" s="18">
        <f t="shared" si="199"/>
        <v>1414052</v>
      </c>
      <c r="V866" s="7">
        <f t="shared" si="200"/>
        <v>5586.2002000000002</v>
      </c>
      <c r="W866" s="7">
        <f t="shared" si="201"/>
        <v>2582.1001000000001</v>
      </c>
      <c r="X866" s="7">
        <f t="shared" si="202"/>
        <v>2582.1001000000001</v>
      </c>
      <c r="Y866" s="7">
        <f t="shared" si="203"/>
        <v>124</v>
      </c>
      <c r="Z866" s="7">
        <f t="shared" si="204"/>
        <v>328757</v>
      </c>
      <c r="AA866" s="7" t="str">
        <f t="shared" si="205"/>
        <v>19-Dec-2024</v>
      </c>
      <c r="AB866" s="7">
        <f t="shared" si="206"/>
        <v>2582.1001000000001</v>
      </c>
      <c r="AC866" s="7">
        <f t="shared" si="210"/>
        <v>1</v>
      </c>
      <c r="AD866" s="7">
        <f t="shared" si="207"/>
        <v>2024</v>
      </c>
      <c r="AE866" s="19">
        <f t="shared" si="208"/>
        <v>-2.35</v>
      </c>
    </row>
    <row r="867" spans="1:31" x14ac:dyDescent="0.3">
      <c r="A867" s="17">
        <v>45646</v>
      </c>
      <c r="B867" s="8">
        <v>2628.7</v>
      </c>
      <c r="C867" s="7">
        <v>2631.6001000000001</v>
      </c>
      <c r="D867" s="7">
        <v>2604.8998999999999</v>
      </c>
      <c r="E867" s="7">
        <v>2605.3000000000002</v>
      </c>
      <c r="F867" s="18">
        <v>592</v>
      </c>
      <c r="G867" s="7">
        <v>2650.7285999999999</v>
      </c>
      <c r="H867" s="7">
        <v>2641.0832999999998</v>
      </c>
      <c r="I867" s="7">
        <v>2622.8811000000001</v>
      </c>
      <c r="J867" s="8">
        <v>0.89849999999999997</v>
      </c>
      <c r="K867" s="7">
        <v>1.1873</v>
      </c>
      <c r="L867" s="7">
        <v>1.153</v>
      </c>
      <c r="M867" s="8">
        <v>43.311900000000001</v>
      </c>
      <c r="N867" s="8">
        <v>-7.7004999999999999</v>
      </c>
      <c r="O867" s="7">
        <v>-1.9480999999999999</v>
      </c>
      <c r="P867" s="7">
        <v>2719.3593999999998</v>
      </c>
      <c r="Q867" s="7">
        <v>2582.9906000000001</v>
      </c>
      <c r="R867" s="7" t="str">
        <f t="shared" si="196"/>
        <v>Down</v>
      </c>
      <c r="S867" s="7" t="str">
        <f t="shared" si="197"/>
        <v>Hold</v>
      </c>
      <c r="T867" s="8">
        <f t="shared" si="198"/>
        <v>0.24177368421052642</v>
      </c>
      <c r="U867" s="18">
        <f t="shared" si="199"/>
        <v>1413814</v>
      </c>
      <c r="V867" s="7">
        <f t="shared" si="200"/>
        <v>5586.2002000000002</v>
      </c>
      <c r="W867" s="7">
        <f t="shared" si="201"/>
        <v>2597</v>
      </c>
      <c r="X867" s="7">
        <f t="shared" si="202"/>
        <v>2605.3000000000002</v>
      </c>
      <c r="Y867" s="7">
        <f t="shared" si="203"/>
        <v>124</v>
      </c>
      <c r="Z867" s="7">
        <f t="shared" si="204"/>
        <v>328757</v>
      </c>
      <c r="AA867" s="7" t="str">
        <f t="shared" si="205"/>
        <v>20-Dec-2024</v>
      </c>
      <c r="AB867" s="7">
        <f t="shared" si="206"/>
        <v>2605.3000000000002</v>
      </c>
      <c r="AC867" s="7">
        <f t="shared" si="210"/>
        <v>1</v>
      </c>
      <c r="AD867" s="7">
        <f t="shared" si="207"/>
        <v>2024</v>
      </c>
      <c r="AE867" s="19">
        <f t="shared" si="208"/>
        <v>0.9</v>
      </c>
    </row>
    <row r="868" spans="1:31" x14ac:dyDescent="0.3">
      <c r="A868" s="17">
        <v>45649</v>
      </c>
      <c r="B868" s="8">
        <v>2612.3000000000002</v>
      </c>
      <c r="C868" s="7">
        <v>2627.7</v>
      </c>
      <c r="D868" s="7">
        <v>2611.1001000000001</v>
      </c>
      <c r="E868" s="7">
        <v>2620</v>
      </c>
      <c r="F868" s="18">
        <v>451</v>
      </c>
      <c r="G868" s="7">
        <v>2635.7143000000001</v>
      </c>
      <c r="H868" s="7">
        <v>2638.8</v>
      </c>
      <c r="I868" s="7">
        <v>2624.75</v>
      </c>
      <c r="J868" s="8">
        <v>0.56420000000000003</v>
      </c>
      <c r="K868" s="7">
        <v>1.1338999999999999</v>
      </c>
      <c r="L868" s="7">
        <v>1.1425000000000001</v>
      </c>
      <c r="M868" s="8">
        <v>47.133400000000002</v>
      </c>
      <c r="N868" s="8">
        <v>-8.8872999999999998</v>
      </c>
      <c r="O868" s="7">
        <v>-3.3359000000000001</v>
      </c>
      <c r="P868" s="7">
        <v>2715.0902000000001</v>
      </c>
      <c r="Q868" s="7">
        <v>2580.5097999999998</v>
      </c>
      <c r="R868" s="7" t="str">
        <f t="shared" si="196"/>
        <v>Up</v>
      </c>
      <c r="S868" s="7" t="str">
        <f t="shared" si="197"/>
        <v>Hold</v>
      </c>
      <c r="T868" s="8">
        <f t="shared" si="198"/>
        <v>0.23960627062706277</v>
      </c>
      <c r="U868" s="18">
        <f t="shared" si="199"/>
        <v>1413222</v>
      </c>
      <c r="V868" s="7">
        <f t="shared" si="200"/>
        <v>5586.2002000000002</v>
      </c>
      <c r="W868" s="7">
        <f t="shared" si="201"/>
        <v>2597</v>
      </c>
      <c r="X868" s="7">
        <f t="shared" si="202"/>
        <v>2620</v>
      </c>
      <c r="Y868" s="7">
        <f t="shared" si="203"/>
        <v>124</v>
      </c>
      <c r="Z868" s="7">
        <f t="shared" si="204"/>
        <v>328757</v>
      </c>
      <c r="AA868" s="7" t="str">
        <f t="shared" si="205"/>
        <v>23-Dec-2024</v>
      </c>
      <c r="AB868" s="7">
        <f t="shared" si="206"/>
        <v>2620</v>
      </c>
      <c r="AC868" s="7">
        <f t="shared" si="210"/>
        <v>1</v>
      </c>
      <c r="AD868" s="7">
        <f t="shared" si="207"/>
        <v>2024</v>
      </c>
      <c r="AE868" s="19">
        <f t="shared" si="208"/>
        <v>0.56000000000000005</v>
      </c>
    </row>
    <row r="869" spans="1:31" x14ac:dyDescent="0.3">
      <c r="A869" s="17">
        <v>45650</v>
      </c>
      <c r="B869" s="8">
        <v>2620</v>
      </c>
      <c r="C869" s="7">
        <v>2620</v>
      </c>
      <c r="D869" s="7">
        <v>2609.5</v>
      </c>
      <c r="E869" s="7">
        <v>2613</v>
      </c>
      <c r="F869" s="18">
        <v>35</v>
      </c>
      <c r="G869" s="7">
        <v>2624.9715000000001</v>
      </c>
      <c r="H869" s="7">
        <v>2636.8433</v>
      </c>
      <c r="I869" s="7">
        <v>2626.5221999999999</v>
      </c>
      <c r="J869" s="8">
        <v>-0.26719999999999999</v>
      </c>
      <c r="K869" s="7">
        <v>1.0792999999999999</v>
      </c>
      <c r="L869" s="7">
        <v>1.1385000000000001</v>
      </c>
      <c r="M869" s="8">
        <v>46.126600000000003</v>
      </c>
      <c r="N869" s="8">
        <v>-10.2743</v>
      </c>
      <c r="O869" s="7">
        <v>-4.7236000000000002</v>
      </c>
      <c r="P869" s="7">
        <v>2709.9888000000001</v>
      </c>
      <c r="Q869" s="7">
        <v>2577.9712</v>
      </c>
      <c r="R869" s="7" t="str">
        <f t="shared" si="196"/>
        <v>Down</v>
      </c>
      <c r="S869" s="7" t="str">
        <f t="shared" si="197"/>
        <v>Hold</v>
      </c>
      <c r="T869" s="8">
        <f t="shared" si="198"/>
        <v>0.23853145695364245</v>
      </c>
      <c r="U869" s="18">
        <f t="shared" si="199"/>
        <v>1412771</v>
      </c>
      <c r="V869" s="7">
        <f t="shared" si="200"/>
        <v>5586.2002000000002</v>
      </c>
      <c r="W869" s="7">
        <f t="shared" si="201"/>
        <v>2597</v>
      </c>
      <c r="X869" s="7">
        <f t="shared" si="202"/>
        <v>2613</v>
      </c>
      <c r="Y869" s="7">
        <f t="shared" si="203"/>
        <v>123</v>
      </c>
      <c r="Z869" s="7">
        <f t="shared" si="204"/>
        <v>328306</v>
      </c>
      <c r="AA869" s="7" t="str">
        <f t="shared" si="205"/>
        <v>24-Dec-2024</v>
      </c>
      <c r="AB869" s="7">
        <f t="shared" si="206"/>
        <v>2613</v>
      </c>
      <c r="AC869" s="7">
        <f t="shared" si="210"/>
        <v>1</v>
      </c>
      <c r="AD869" s="7">
        <f t="shared" si="207"/>
        <v>2024</v>
      </c>
      <c r="AE869" s="19">
        <f t="shared" si="208"/>
        <v>-0.27</v>
      </c>
    </row>
    <row r="870" spans="1:31" x14ac:dyDescent="0.3">
      <c r="A870" s="17">
        <v>45652</v>
      </c>
      <c r="B870" s="8">
        <v>2638.8</v>
      </c>
      <c r="C870" s="7">
        <v>2638.8</v>
      </c>
      <c r="D870" s="7">
        <v>2627.8998999999999</v>
      </c>
      <c r="E870" s="7">
        <v>2628.5</v>
      </c>
      <c r="F870" s="18">
        <v>84</v>
      </c>
      <c r="G870" s="7">
        <v>2620.7143000000001</v>
      </c>
      <c r="H870" s="7">
        <v>2637.61</v>
      </c>
      <c r="I870" s="7">
        <v>2627.8555999999999</v>
      </c>
      <c r="J870" s="8">
        <v>0.59319999999999995</v>
      </c>
      <c r="K870" s="7">
        <v>1.0841000000000001</v>
      </c>
      <c r="L870" s="7">
        <v>1.0488999999999999</v>
      </c>
      <c r="M870" s="8">
        <v>46.490499999999997</v>
      </c>
      <c r="N870" s="8">
        <v>-10.007400000000001</v>
      </c>
      <c r="O870" s="7">
        <v>-5.7804000000000002</v>
      </c>
      <c r="P870" s="7">
        <v>2709.9764</v>
      </c>
      <c r="Q870" s="7">
        <v>2578.2737000000002</v>
      </c>
      <c r="R870" s="7" t="str">
        <f t="shared" si="196"/>
        <v>Down</v>
      </c>
      <c r="S870" s="7" t="str">
        <f t="shared" si="197"/>
        <v>Hold</v>
      </c>
      <c r="T870" s="8">
        <f t="shared" si="198"/>
        <v>0.24021162790697681</v>
      </c>
      <c r="U870" s="18">
        <f t="shared" si="199"/>
        <v>1412736</v>
      </c>
      <c r="V870" s="7">
        <f t="shared" si="200"/>
        <v>5586.2002000000002</v>
      </c>
      <c r="W870" s="7">
        <f t="shared" si="201"/>
        <v>2597</v>
      </c>
      <c r="X870" s="7">
        <f t="shared" si="202"/>
        <v>2628.5</v>
      </c>
      <c r="Y870" s="7">
        <f t="shared" si="203"/>
        <v>123</v>
      </c>
      <c r="Z870" s="7">
        <f t="shared" si="204"/>
        <v>328306</v>
      </c>
      <c r="AA870" s="7" t="str">
        <f t="shared" si="205"/>
        <v>26-Dec-2024</v>
      </c>
      <c r="AB870" s="7">
        <f t="shared" si="206"/>
        <v>2628.5</v>
      </c>
      <c r="AC870" s="7">
        <f t="shared" si="210"/>
        <v>1</v>
      </c>
      <c r="AD870" s="7">
        <f t="shared" si="207"/>
        <v>2024</v>
      </c>
      <c r="AE870" s="19">
        <f t="shared" si="208"/>
        <v>0.59</v>
      </c>
    </row>
    <row r="871" spans="1:31" x14ac:dyDescent="0.3">
      <c r="A871" s="17">
        <v>45653</v>
      </c>
      <c r="B871" s="8">
        <v>2617.1999999999998</v>
      </c>
      <c r="C871" s="7">
        <v>2617.6999999999998</v>
      </c>
      <c r="D871" s="7">
        <v>2616.3998999999999</v>
      </c>
      <c r="E871" s="7">
        <v>2617.6999999999998</v>
      </c>
      <c r="F871" s="18">
        <v>642</v>
      </c>
      <c r="G871" s="7">
        <v>2615.8429000000001</v>
      </c>
      <c r="H871" s="7">
        <v>2637.83</v>
      </c>
      <c r="I871" s="7">
        <v>2629.1244000000002</v>
      </c>
      <c r="J871" s="8">
        <v>-0.41089999999999999</v>
      </c>
      <c r="K871" s="7">
        <v>1.0882000000000001</v>
      </c>
      <c r="L871" s="7">
        <v>1.0513999999999999</v>
      </c>
      <c r="M871" s="8">
        <v>49.6083</v>
      </c>
      <c r="N871" s="8">
        <v>-10.5458</v>
      </c>
      <c r="O871" s="7">
        <v>-6.7335000000000003</v>
      </c>
      <c r="P871" s="7">
        <v>2710.0958999999998</v>
      </c>
      <c r="Q871" s="7">
        <v>2576.5740999999998</v>
      </c>
      <c r="R871" s="7" t="str">
        <f t="shared" si="196"/>
        <v>Up</v>
      </c>
      <c r="S871" s="7" t="str">
        <f t="shared" si="197"/>
        <v>Hold</v>
      </c>
      <c r="T871" s="8">
        <f t="shared" si="198"/>
        <v>0.23903500000000014</v>
      </c>
      <c r="U871" s="18">
        <f t="shared" si="199"/>
        <v>1412652</v>
      </c>
      <c r="V871" s="7">
        <f t="shared" si="200"/>
        <v>5586.2002000000002</v>
      </c>
      <c r="W871" s="7">
        <f t="shared" si="201"/>
        <v>2597</v>
      </c>
      <c r="X871" s="7">
        <f t="shared" si="202"/>
        <v>2617.6999999999998</v>
      </c>
      <c r="Y871" s="7">
        <f t="shared" si="203"/>
        <v>123</v>
      </c>
      <c r="Z871" s="7">
        <f t="shared" si="204"/>
        <v>328306</v>
      </c>
      <c r="AA871" s="7" t="str">
        <f t="shared" si="205"/>
        <v>27-Dec-2024</v>
      </c>
      <c r="AB871" s="7">
        <f t="shared" si="206"/>
        <v>2617.6999999999998</v>
      </c>
      <c r="AC871" s="7">
        <f t="shared" si="210"/>
        <v>1</v>
      </c>
      <c r="AD871" s="7">
        <f t="shared" si="207"/>
        <v>2024</v>
      </c>
      <c r="AE871" s="19">
        <f t="shared" si="208"/>
        <v>-0.41</v>
      </c>
    </row>
    <row r="872" spans="1:31" x14ac:dyDescent="0.3">
      <c r="A872" s="17">
        <v>45656</v>
      </c>
      <c r="B872" s="8">
        <v>2606.1001000000001</v>
      </c>
      <c r="C872" s="7">
        <v>2626.8998999999999</v>
      </c>
      <c r="D872" s="7">
        <v>2597</v>
      </c>
      <c r="E872" s="7">
        <v>2620.6999999999998</v>
      </c>
      <c r="F872" s="18">
        <v>794</v>
      </c>
      <c r="G872" s="7">
        <v>2612.4713999999999</v>
      </c>
      <c r="H872" s="7">
        <v>2640.0167000000001</v>
      </c>
      <c r="I872" s="7">
        <v>2630.3433</v>
      </c>
      <c r="J872" s="8">
        <v>0.11459999999999999</v>
      </c>
      <c r="K872" s="7">
        <v>1.0923</v>
      </c>
      <c r="L872" s="7">
        <v>0.96909999999999996</v>
      </c>
      <c r="M872" s="8">
        <v>48.162500000000001</v>
      </c>
      <c r="N872" s="8">
        <v>-10.6082</v>
      </c>
      <c r="O872" s="7">
        <v>-7.5084</v>
      </c>
      <c r="P872" s="7">
        <v>2710.0196999999998</v>
      </c>
      <c r="Q872" s="7">
        <v>2575.0803000000001</v>
      </c>
      <c r="R872" s="7" t="str">
        <f t="shared" si="196"/>
        <v>Up</v>
      </c>
      <c r="S872" s="7" t="str">
        <f t="shared" si="197"/>
        <v>Hold</v>
      </c>
      <c r="T872" s="8">
        <f t="shared" si="198"/>
        <v>0.24120869565217398</v>
      </c>
      <c r="U872" s="18">
        <f t="shared" si="199"/>
        <v>1412010</v>
      </c>
      <c r="V872" s="7">
        <f t="shared" si="200"/>
        <v>5586.2002000000002</v>
      </c>
      <c r="W872" s="7">
        <f t="shared" si="201"/>
        <v>2597</v>
      </c>
      <c r="X872" s="7">
        <f t="shared" si="202"/>
        <v>2620.6999999999998</v>
      </c>
      <c r="Y872" s="7">
        <f t="shared" si="203"/>
        <v>122</v>
      </c>
      <c r="Z872" s="7">
        <f t="shared" si="204"/>
        <v>327664</v>
      </c>
      <c r="AA872" s="7" t="str">
        <f t="shared" si="205"/>
        <v>30-Dec-2024</v>
      </c>
      <c r="AB872" s="7">
        <f t="shared" si="206"/>
        <v>2620.6999999999998</v>
      </c>
      <c r="AC872" s="7">
        <f t="shared" si="210"/>
        <v>1</v>
      </c>
      <c r="AD872" s="7">
        <f t="shared" si="207"/>
        <v>2024</v>
      </c>
      <c r="AE872" s="19">
        <f t="shared" si="208"/>
        <v>0.11</v>
      </c>
    </row>
    <row r="873" spans="1:31" x14ac:dyDescent="0.3">
      <c r="A873" s="17">
        <v>45657</v>
      </c>
      <c r="B873" s="8">
        <v>2629.2</v>
      </c>
      <c r="C873" s="7">
        <v>2629.2</v>
      </c>
      <c r="D873" s="7">
        <v>2604.8998999999999</v>
      </c>
      <c r="E873" s="7">
        <v>2608.3998999999999</v>
      </c>
      <c r="F873" s="18">
        <v>401</v>
      </c>
      <c r="G873" s="7">
        <v>2616.2285999999999</v>
      </c>
      <c r="H873" s="7">
        <v>2641.44</v>
      </c>
      <c r="I873" s="7">
        <v>2631.5021999999999</v>
      </c>
      <c r="J873" s="8">
        <v>-0.46929999999999999</v>
      </c>
      <c r="K873" s="7">
        <v>0.54800000000000004</v>
      </c>
      <c r="L873" s="7">
        <v>0.97230000000000005</v>
      </c>
      <c r="M873" s="8">
        <v>40.78</v>
      </c>
      <c r="N873" s="8">
        <v>-11.517300000000001</v>
      </c>
      <c r="O873" s="7">
        <v>-8.3102</v>
      </c>
      <c r="P873" s="7">
        <v>2709.5965000000001</v>
      </c>
      <c r="Q873" s="7">
        <v>2571.4434999999999</v>
      </c>
      <c r="R873" s="7" t="str">
        <f t="shared" si="196"/>
        <v>Down</v>
      </c>
      <c r="S873" s="7" t="str">
        <f t="shared" si="197"/>
        <v>Hold</v>
      </c>
      <c r="T873" s="8">
        <f t="shared" si="198"/>
        <v>0.24163355704697992</v>
      </c>
      <c r="U873" s="18">
        <f t="shared" si="199"/>
        <v>1411216</v>
      </c>
      <c r="V873" s="7">
        <f t="shared" si="200"/>
        <v>5586.2002000000002</v>
      </c>
      <c r="W873" s="7">
        <f t="shared" si="201"/>
        <v>2604.8998999999999</v>
      </c>
      <c r="X873" s="7">
        <f t="shared" si="202"/>
        <v>2608.3998999999999</v>
      </c>
      <c r="Y873" s="7">
        <f t="shared" si="203"/>
        <v>121</v>
      </c>
      <c r="Z873" s="7">
        <f t="shared" si="204"/>
        <v>326870</v>
      </c>
      <c r="AA873" s="7" t="str">
        <f t="shared" si="205"/>
        <v>31-Dec-2024</v>
      </c>
      <c r="AB873" s="7">
        <f t="shared" si="206"/>
        <v>2608.3998999999999</v>
      </c>
      <c r="AC873" s="7">
        <f t="shared" si="210"/>
        <v>1</v>
      </c>
      <c r="AD873" s="7">
        <f t="shared" si="207"/>
        <v>2024</v>
      </c>
      <c r="AE873" s="19">
        <f t="shared" si="208"/>
        <v>-0.47</v>
      </c>
    </row>
    <row r="874" spans="1:31" x14ac:dyDescent="0.3">
      <c r="A874" s="17">
        <v>45659</v>
      </c>
      <c r="B874" s="8">
        <v>2658.8998999999999</v>
      </c>
      <c r="C874" s="7">
        <v>2663.1001000000001</v>
      </c>
      <c r="D874" s="7">
        <v>2633</v>
      </c>
      <c r="E874" s="7">
        <v>2633</v>
      </c>
      <c r="F874" s="18">
        <v>1728</v>
      </c>
      <c r="G874" s="7">
        <v>2620.1857</v>
      </c>
      <c r="H874" s="7">
        <v>2642.8166999999999</v>
      </c>
      <c r="I874" s="7">
        <v>2633.13</v>
      </c>
      <c r="J874" s="8">
        <v>0.94310000000000005</v>
      </c>
      <c r="K874" s="7">
        <v>0.55830000000000002</v>
      </c>
      <c r="L874" s="7">
        <v>0.97</v>
      </c>
      <c r="M874" s="8">
        <v>37.5991</v>
      </c>
      <c r="N874" s="8">
        <v>-10.135999999999999</v>
      </c>
      <c r="O874" s="7">
        <v>-8.6753</v>
      </c>
      <c r="P874" s="7">
        <v>2709.3764000000001</v>
      </c>
      <c r="Q874" s="7">
        <v>2571.0636</v>
      </c>
      <c r="R874" s="7" t="str">
        <f t="shared" si="196"/>
        <v>Down</v>
      </c>
      <c r="S874" s="7" t="str">
        <f t="shared" si="197"/>
        <v>Hold</v>
      </c>
      <c r="T874" s="8">
        <f t="shared" si="198"/>
        <v>0.24402727272727284</v>
      </c>
      <c r="U874" s="18">
        <f t="shared" si="199"/>
        <v>1410815</v>
      </c>
      <c r="V874" s="7">
        <f t="shared" si="200"/>
        <v>5586.2002000000002</v>
      </c>
      <c r="W874" s="7">
        <f t="shared" si="201"/>
        <v>2617.3000000000002</v>
      </c>
      <c r="X874" s="7">
        <f t="shared" si="202"/>
        <v>2633</v>
      </c>
      <c r="Y874" s="7">
        <f t="shared" si="203"/>
        <v>121</v>
      </c>
      <c r="Z874" s="7">
        <f t="shared" si="204"/>
        <v>326870</v>
      </c>
      <c r="AA874" s="7" t="str">
        <f t="shared" si="205"/>
        <v>02-Jan-2025</v>
      </c>
      <c r="AB874" s="7">
        <f t="shared" si="206"/>
        <v>2633</v>
      </c>
      <c r="AC874" s="7">
        <f t="shared" si="210"/>
        <v>1</v>
      </c>
      <c r="AD874" s="7">
        <f t="shared" si="207"/>
        <v>2025</v>
      </c>
      <c r="AE874" s="19">
        <f t="shared" si="208"/>
        <v>0.94</v>
      </c>
    </row>
    <row r="875" spans="1:31" x14ac:dyDescent="0.3">
      <c r="A875" s="17">
        <v>45660</v>
      </c>
      <c r="B875" s="8">
        <v>2645</v>
      </c>
      <c r="C875" s="7">
        <v>2658.7</v>
      </c>
      <c r="D875" s="7">
        <v>2641.8</v>
      </c>
      <c r="E875" s="7">
        <v>2658.7</v>
      </c>
      <c r="F875" s="18">
        <v>591</v>
      </c>
      <c r="G875" s="7">
        <v>2625.7143000000001</v>
      </c>
      <c r="H875" s="7">
        <v>2644.0432999999998</v>
      </c>
      <c r="I875" s="7">
        <v>2634.7833000000001</v>
      </c>
      <c r="J875" s="8">
        <v>0.97609999999999997</v>
      </c>
      <c r="K875" s="7">
        <v>0.62649999999999995</v>
      </c>
      <c r="L875" s="7">
        <v>0.96319999999999995</v>
      </c>
      <c r="M875" s="8">
        <v>38.134399999999999</v>
      </c>
      <c r="N875" s="8">
        <v>-6.8880999999999997</v>
      </c>
      <c r="O875" s="7">
        <v>-8.3178999999999998</v>
      </c>
      <c r="P875" s="7">
        <v>2710.8389999999999</v>
      </c>
      <c r="Q875" s="7">
        <v>2571.5509999999999</v>
      </c>
      <c r="R875" s="7" t="str">
        <f t="shared" si="196"/>
        <v>Up</v>
      </c>
      <c r="S875" s="7" t="str">
        <f t="shared" si="197"/>
        <v>Hold</v>
      </c>
      <c r="T875" s="8">
        <f t="shared" si="198"/>
        <v>0.24166554054054068</v>
      </c>
      <c r="U875" s="18">
        <f t="shared" si="199"/>
        <v>1409087</v>
      </c>
      <c r="V875" s="7">
        <f t="shared" si="200"/>
        <v>5586.2002000000002</v>
      </c>
      <c r="W875" s="7">
        <f t="shared" si="201"/>
        <v>2617.3000000000002</v>
      </c>
      <c r="X875" s="7">
        <f t="shared" si="202"/>
        <v>2658.7</v>
      </c>
      <c r="Y875" s="7">
        <f t="shared" si="203"/>
        <v>121</v>
      </c>
      <c r="Z875" s="7">
        <f t="shared" si="204"/>
        <v>326870</v>
      </c>
      <c r="AA875" s="7" t="str">
        <f t="shared" si="205"/>
        <v>03-Jan-2025</v>
      </c>
      <c r="AB875" s="7">
        <f t="shared" si="206"/>
        <v>2658.7</v>
      </c>
      <c r="AC875" s="7">
        <f t="shared" si="210"/>
        <v>1</v>
      </c>
      <c r="AD875" s="7">
        <f t="shared" si="207"/>
        <v>2025</v>
      </c>
      <c r="AE875" s="19">
        <f t="shared" si="208"/>
        <v>0.98</v>
      </c>
    </row>
    <row r="876" spans="1:31" x14ac:dyDescent="0.3">
      <c r="A876" s="17">
        <v>45663</v>
      </c>
      <c r="B876" s="8">
        <v>2638.3998999999999</v>
      </c>
      <c r="C876" s="7">
        <v>2647</v>
      </c>
      <c r="D876" s="7">
        <v>2617.3000000000002</v>
      </c>
      <c r="E876" s="7">
        <v>2645.5</v>
      </c>
      <c r="F876" s="18">
        <v>960</v>
      </c>
      <c r="G876" s="7">
        <v>2630.3571000000002</v>
      </c>
      <c r="H876" s="7">
        <v>2644.2766999999999</v>
      </c>
      <c r="I876" s="7">
        <v>2636.2311</v>
      </c>
      <c r="J876" s="8">
        <v>-0.4965</v>
      </c>
      <c r="K876" s="7">
        <v>0.66069999999999995</v>
      </c>
      <c r="L876" s="7">
        <v>0.9617</v>
      </c>
      <c r="M876" s="8">
        <v>41.663400000000003</v>
      </c>
      <c r="N876" s="8">
        <v>-5.3178999999999998</v>
      </c>
      <c r="O876" s="7">
        <v>-7.7179000000000002</v>
      </c>
      <c r="P876" s="7">
        <v>2710.3283999999999</v>
      </c>
      <c r="Q876" s="7">
        <v>2571.3715999999999</v>
      </c>
      <c r="R876" s="7" t="str">
        <f t="shared" si="196"/>
        <v>Up</v>
      </c>
      <c r="S876" s="7" t="str">
        <f t="shared" si="197"/>
        <v>Hold</v>
      </c>
      <c r="T876" s="8">
        <f t="shared" si="198"/>
        <v>0.23917593220338998</v>
      </c>
      <c r="U876" s="18">
        <f t="shared" si="199"/>
        <v>1408496</v>
      </c>
      <c r="V876" s="7">
        <f t="shared" si="200"/>
        <v>5586.2002000000002</v>
      </c>
      <c r="W876" s="7">
        <f t="shared" si="201"/>
        <v>2617.3000000000002</v>
      </c>
      <c r="X876" s="7">
        <f t="shared" si="202"/>
        <v>2645.5</v>
      </c>
      <c r="Y876" s="7">
        <f t="shared" si="203"/>
        <v>120</v>
      </c>
      <c r="Z876" s="7">
        <f t="shared" si="204"/>
        <v>326279</v>
      </c>
      <c r="AA876" s="7" t="str">
        <f t="shared" si="205"/>
        <v>06-Jan-2025</v>
      </c>
      <c r="AB876" s="7">
        <f t="shared" si="206"/>
        <v>2645.5</v>
      </c>
      <c r="AC876" s="7">
        <f t="shared" si="210"/>
        <v>1</v>
      </c>
      <c r="AD876" s="7">
        <f t="shared" si="207"/>
        <v>2025</v>
      </c>
      <c r="AE876" s="19">
        <f t="shared" si="208"/>
        <v>-0.5</v>
      </c>
    </row>
    <row r="877" spans="1:31" x14ac:dyDescent="0.3">
      <c r="A877" s="17">
        <v>45664</v>
      </c>
      <c r="B877" s="8">
        <v>2656.7</v>
      </c>
      <c r="C877" s="7">
        <v>2657.5</v>
      </c>
      <c r="D877" s="7">
        <v>2653</v>
      </c>
      <c r="E877" s="7">
        <v>2653.3998999999999</v>
      </c>
      <c r="F877" s="18">
        <v>643</v>
      </c>
      <c r="G877" s="7">
        <v>2633.9142000000002</v>
      </c>
      <c r="H877" s="7">
        <v>2644.08</v>
      </c>
      <c r="I877" s="7">
        <v>2637.9243999999999</v>
      </c>
      <c r="J877" s="8">
        <v>0.29859999999999998</v>
      </c>
      <c r="K877" s="7">
        <v>0.63900000000000001</v>
      </c>
      <c r="L877" s="7">
        <v>0.95220000000000005</v>
      </c>
      <c r="M877" s="8">
        <v>48.953400000000002</v>
      </c>
      <c r="N877" s="8">
        <v>-3.3969</v>
      </c>
      <c r="O877" s="7">
        <v>-6.8536999999999999</v>
      </c>
      <c r="P877" s="7">
        <v>2711.4958000000001</v>
      </c>
      <c r="Q877" s="7">
        <v>2573.5243</v>
      </c>
      <c r="R877" s="7" t="str">
        <f t="shared" si="196"/>
        <v>Down</v>
      </c>
      <c r="S877" s="7" t="str">
        <f t="shared" si="197"/>
        <v>Hold</v>
      </c>
      <c r="T877" s="8">
        <f t="shared" si="198"/>
        <v>0.2416782312925172</v>
      </c>
      <c r="U877" s="18">
        <f t="shared" si="199"/>
        <v>1407536</v>
      </c>
      <c r="V877" s="7">
        <f t="shared" si="200"/>
        <v>5586.2002000000002</v>
      </c>
      <c r="W877" s="7">
        <f t="shared" si="201"/>
        <v>2653</v>
      </c>
      <c r="X877" s="7">
        <f t="shared" si="202"/>
        <v>2653.3998999999999</v>
      </c>
      <c r="Y877" s="7">
        <f t="shared" si="203"/>
        <v>119</v>
      </c>
      <c r="Z877" s="7">
        <f t="shared" si="204"/>
        <v>325319</v>
      </c>
      <c r="AA877" s="7" t="str">
        <f t="shared" si="205"/>
        <v>07-Jan-2025</v>
      </c>
      <c r="AB877" s="7">
        <f t="shared" si="206"/>
        <v>2653.3998999999999</v>
      </c>
      <c r="AC877" s="7">
        <f t="shared" si="210"/>
        <v>1</v>
      </c>
      <c r="AD877" s="7">
        <f t="shared" si="207"/>
        <v>2025</v>
      </c>
      <c r="AE877" s="19">
        <f t="shared" si="208"/>
        <v>0.3</v>
      </c>
    </row>
    <row r="878" spans="1:31" x14ac:dyDescent="0.3">
      <c r="A878" s="17">
        <v>45665</v>
      </c>
      <c r="B878" s="8">
        <v>2664.5</v>
      </c>
      <c r="C878" s="7">
        <v>2676.8998999999999</v>
      </c>
      <c r="D878" s="7">
        <v>2653.5</v>
      </c>
      <c r="E878" s="7">
        <v>2655.5</v>
      </c>
      <c r="F878" s="18">
        <v>999</v>
      </c>
      <c r="G878" s="7">
        <v>2639.3141999999998</v>
      </c>
      <c r="H878" s="7">
        <v>2643.0133000000001</v>
      </c>
      <c r="I878" s="7">
        <v>2639.6066999999998</v>
      </c>
      <c r="J878" s="8">
        <v>7.9100000000000004E-2</v>
      </c>
      <c r="K878" s="7">
        <v>0.59430000000000005</v>
      </c>
      <c r="L878" s="7">
        <v>0.93100000000000005</v>
      </c>
      <c r="M878" s="8">
        <v>50.805399999999999</v>
      </c>
      <c r="N878" s="8">
        <v>-1.6856</v>
      </c>
      <c r="O878" s="7">
        <v>-5.8201000000000001</v>
      </c>
      <c r="P878" s="7">
        <v>2712.7161000000001</v>
      </c>
      <c r="Q878" s="7">
        <v>2574.6439</v>
      </c>
      <c r="R878" s="7" t="str">
        <f t="shared" si="196"/>
        <v>Down</v>
      </c>
      <c r="S878" s="7" t="str">
        <f t="shared" si="197"/>
        <v>Hold</v>
      </c>
      <c r="T878" s="8">
        <f t="shared" si="198"/>
        <v>0.24148395904436876</v>
      </c>
      <c r="U878" s="18">
        <f t="shared" si="199"/>
        <v>1406893</v>
      </c>
      <c r="V878" s="7">
        <f t="shared" si="200"/>
        <v>5586.2002000000002</v>
      </c>
      <c r="W878" s="7">
        <f t="shared" si="201"/>
        <v>2653.5</v>
      </c>
      <c r="X878" s="7">
        <f t="shared" si="202"/>
        <v>2655.5</v>
      </c>
      <c r="Y878" s="7">
        <f t="shared" si="203"/>
        <v>119</v>
      </c>
      <c r="Z878" s="7">
        <f t="shared" si="204"/>
        <v>325319</v>
      </c>
      <c r="AA878" s="7" t="str">
        <f t="shared" si="205"/>
        <v>08-Jan-2025</v>
      </c>
      <c r="AB878" s="7">
        <f t="shared" si="206"/>
        <v>2655.5</v>
      </c>
      <c r="AC878" s="7">
        <f t="shared" si="210"/>
        <v>1</v>
      </c>
      <c r="AD878" s="7">
        <f t="shared" si="207"/>
        <v>2025</v>
      </c>
      <c r="AE878" s="19">
        <f t="shared" si="208"/>
        <v>0.08</v>
      </c>
    </row>
    <row r="879" spans="1:31" x14ac:dyDescent="0.3">
      <c r="A879" s="17">
        <v>45666</v>
      </c>
      <c r="B879" s="8">
        <v>2683.8</v>
      </c>
      <c r="C879" s="7">
        <v>2686.3</v>
      </c>
      <c r="D879" s="7">
        <v>2667.8998999999999</v>
      </c>
      <c r="E879" s="7">
        <v>2669.7</v>
      </c>
      <c r="F879" s="18">
        <v>1139</v>
      </c>
      <c r="G879" s="7">
        <v>2646.3141999999998</v>
      </c>
      <c r="H879" s="7">
        <v>2642.3566999999998</v>
      </c>
      <c r="I879" s="7">
        <v>2641.2755999999999</v>
      </c>
      <c r="J879" s="8">
        <v>0.53469999999999995</v>
      </c>
      <c r="K879" s="7">
        <v>0.60460000000000003</v>
      </c>
      <c r="L879" s="7">
        <v>0.93669999999999998</v>
      </c>
      <c r="M879" s="8">
        <v>55.372199999999999</v>
      </c>
      <c r="N879" s="8">
        <v>0.80710000000000004</v>
      </c>
      <c r="O879" s="7">
        <v>-4.4946000000000002</v>
      </c>
      <c r="P879" s="7">
        <v>2713.5837999999999</v>
      </c>
      <c r="Q879" s="7">
        <v>2574.5162</v>
      </c>
      <c r="R879" s="7" t="str">
        <f t="shared" si="196"/>
        <v>Down</v>
      </c>
      <c r="S879" s="7" t="str">
        <f t="shared" si="197"/>
        <v>Hold</v>
      </c>
      <c r="T879" s="8">
        <f t="shared" si="198"/>
        <v>0.24204006849315085</v>
      </c>
      <c r="U879" s="18">
        <f t="shared" si="199"/>
        <v>1405894</v>
      </c>
      <c r="V879" s="7">
        <f t="shared" si="200"/>
        <v>5586.2002000000002</v>
      </c>
      <c r="W879" s="7">
        <f t="shared" si="201"/>
        <v>2667.8998999999999</v>
      </c>
      <c r="X879" s="7">
        <f t="shared" si="202"/>
        <v>2669.7</v>
      </c>
      <c r="Y879" s="7">
        <f t="shared" si="203"/>
        <v>119</v>
      </c>
      <c r="Z879" s="7">
        <f t="shared" si="204"/>
        <v>325319</v>
      </c>
      <c r="AA879" s="7" t="str">
        <f t="shared" si="205"/>
        <v>09-Jan-2025</v>
      </c>
      <c r="AB879" s="7">
        <f t="shared" si="206"/>
        <v>2669.7</v>
      </c>
      <c r="AC879" s="7">
        <f t="shared" si="210"/>
        <v>1</v>
      </c>
      <c r="AD879" s="7">
        <f t="shared" si="207"/>
        <v>2025</v>
      </c>
      <c r="AE879" s="19">
        <f t="shared" si="208"/>
        <v>0.53</v>
      </c>
    </row>
    <row r="880" spans="1:31" x14ac:dyDescent="0.3">
      <c r="A880" s="17">
        <v>45667</v>
      </c>
      <c r="B880" s="8">
        <v>2708.5</v>
      </c>
      <c r="C880" s="7">
        <v>2720.1001000000001</v>
      </c>
      <c r="D880" s="7">
        <v>2683.7</v>
      </c>
      <c r="E880" s="7">
        <v>2686.1001000000001</v>
      </c>
      <c r="F880" s="18">
        <v>403</v>
      </c>
      <c r="G880" s="7">
        <v>2657.4142999999999</v>
      </c>
      <c r="H880" s="7">
        <v>2644.3733000000002</v>
      </c>
      <c r="I880" s="7">
        <v>2643.3256000000001</v>
      </c>
      <c r="J880" s="8">
        <v>0.61429999999999996</v>
      </c>
      <c r="K880" s="7">
        <v>0.5171</v>
      </c>
      <c r="L880" s="7">
        <v>0.83079999999999998</v>
      </c>
      <c r="M880" s="8">
        <v>77.282300000000006</v>
      </c>
      <c r="N880" s="8">
        <v>4.0591999999999997</v>
      </c>
      <c r="O880" s="7">
        <v>-2.7839</v>
      </c>
      <c r="P880" s="7">
        <v>2710.3656000000001</v>
      </c>
      <c r="Q880" s="7">
        <v>2576.1644000000001</v>
      </c>
      <c r="R880" s="7" t="str">
        <f t="shared" si="196"/>
        <v>Down</v>
      </c>
      <c r="S880" s="7" t="str">
        <f t="shared" si="197"/>
        <v>Sell</v>
      </c>
      <c r="T880" s="8">
        <f t="shared" si="198"/>
        <v>0.2410343642611685</v>
      </c>
      <c r="U880" s="18">
        <f t="shared" si="199"/>
        <v>1404755</v>
      </c>
      <c r="V880" s="7">
        <f t="shared" si="200"/>
        <v>5586.2002000000002</v>
      </c>
      <c r="W880" s="7">
        <f t="shared" si="201"/>
        <v>2670.8</v>
      </c>
      <c r="X880" s="7">
        <f t="shared" si="202"/>
        <v>2686.1001000000001</v>
      </c>
      <c r="Y880" s="7">
        <f t="shared" si="203"/>
        <v>119</v>
      </c>
      <c r="Z880" s="7">
        <f t="shared" si="204"/>
        <v>325319</v>
      </c>
      <c r="AA880" s="7" t="str">
        <f t="shared" si="205"/>
        <v>10-Jan-2025</v>
      </c>
      <c r="AB880" s="7">
        <f t="shared" si="206"/>
        <v>2686.1001000000001</v>
      </c>
      <c r="AC880" s="7">
        <f t="shared" si="210"/>
        <v>1</v>
      </c>
      <c r="AD880" s="7">
        <f t="shared" si="207"/>
        <v>2025</v>
      </c>
      <c r="AE880" s="19">
        <f t="shared" si="208"/>
        <v>0.61</v>
      </c>
    </row>
    <row r="881" spans="1:31" x14ac:dyDescent="0.3">
      <c r="A881" s="17">
        <v>45670</v>
      </c>
      <c r="B881" s="8">
        <v>2673.5</v>
      </c>
      <c r="C881" s="7">
        <v>2711.2</v>
      </c>
      <c r="D881" s="7">
        <v>2673.5</v>
      </c>
      <c r="E881" s="7">
        <v>2711.1001000000001</v>
      </c>
      <c r="F881" s="18">
        <v>765</v>
      </c>
      <c r="G881" s="7">
        <v>2668.5713999999998</v>
      </c>
      <c r="H881" s="7">
        <v>2646.96</v>
      </c>
      <c r="I881" s="7">
        <v>2645.7721999999999</v>
      </c>
      <c r="J881" s="8">
        <v>0.93069999999999997</v>
      </c>
      <c r="K881" s="7">
        <v>0.5151</v>
      </c>
      <c r="L881" s="7">
        <v>0.84450000000000003</v>
      </c>
      <c r="M881" s="8">
        <v>77.494799999999998</v>
      </c>
      <c r="N881" s="8">
        <v>8.5550999999999995</v>
      </c>
      <c r="O881" s="7">
        <v>-0.5161</v>
      </c>
      <c r="P881" s="7">
        <v>2706.2775999999999</v>
      </c>
      <c r="Q881" s="7">
        <v>2578.8524000000002</v>
      </c>
      <c r="R881" s="7" t="str">
        <f t="shared" si="196"/>
        <v>Up</v>
      </c>
      <c r="S881" s="7" t="str">
        <f t="shared" si="197"/>
        <v>Sell</v>
      </c>
      <c r="T881" s="8">
        <f t="shared" si="198"/>
        <v>0.23974724137931042</v>
      </c>
      <c r="U881" s="18">
        <f t="shared" si="199"/>
        <v>1404352</v>
      </c>
      <c r="V881" s="7">
        <f t="shared" si="200"/>
        <v>5586.2002000000002</v>
      </c>
      <c r="W881" s="7">
        <f t="shared" si="201"/>
        <v>2670.8</v>
      </c>
      <c r="X881" s="7">
        <f t="shared" si="202"/>
        <v>2711.1001000000001</v>
      </c>
      <c r="Y881" s="7">
        <f t="shared" si="203"/>
        <v>119</v>
      </c>
      <c r="Z881" s="7">
        <f t="shared" si="204"/>
        <v>325319</v>
      </c>
      <c r="AA881" s="7" t="str">
        <f t="shared" si="205"/>
        <v>13-Jan-2025</v>
      </c>
      <c r="AB881" s="7">
        <f t="shared" si="206"/>
        <v>2711.1001000000001</v>
      </c>
      <c r="AC881" s="7">
        <f t="shared" si="210"/>
        <v>1</v>
      </c>
      <c r="AD881" s="7">
        <f t="shared" si="207"/>
        <v>2025</v>
      </c>
      <c r="AE881" s="19">
        <f t="shared" si="208"/>
        <v>0.93</v>
      </c>
    </row>
    <row r="882" spans="1:31" x14ac:dyDescent="0.3">
      <c r="A882" s="17">
        <v>45671</v>
      </c>
      <c r="B882" s="8">
        <v>2677.5</v>
      </c>
      <c r="C882" s="7">
        <v>2688.3</v>
      </c>
      <c r="D882" s="7">
        <v>2670.8</v>
      </c>
      <c r="E882" s="7">
        <v>2673.6001000000001</v>
      </c>
      <c r="F882" s="18">
        <v>794</v>
      </c>
      <c r="G882" s="7">
        <v>2670.7</v>
      </c>
      <c r="H882" s="7">
        <v>2648.2</v>
      </c>
      <c r="I882" s="7">
        <v>2647.7710999999999</v>
      </c>
      <c r="J882" s="8">
        <v>-1.3832</v>
      </c>
      <c r="K882" s="7">
        <v>0.78920000000000001</v>
      </c>
      <c r="L882" s="7">
        <v>0.88680000000000003</v>
      </c>
      <c r="M882" s="8">
        <v>62.453499999999998</v>
      </c>
      <c r="N882" s="8">
        <v>8.9885999999999999</v>
      </c>
      <c r="O882" s="7">
        <v>1.3849</v>
      </c>
      <c r="P882" s="7">
        <v>2703.6523999999999</v>
      </c>
      <c r="Q882" s="7">
        <v>2580.0176000000001</v>
      </c>
      <c r="R882" s="7" t="str">
        <f t="shared" si="196"/>
        <v>Down</v>
      </c>
      <c r="S882" s="7" t="str">
        <f t="shared" si="197"/>
        <v>Hold</v>
      </c>
      <c r="T882" s="8">
        <f t="shared" si="198"/>
        <v>0.23735640138408309</v>
      </c>
      <c r="U882" s="18">
        <f t="shared" si="199"/>
        <v>1403587</v>
      </c>
      <c r="V882" s="7">
        <f t="shared" si="200"/>
        <v>5586.2002000000002</v>
      </c>
      <c r="W882" s="7">
        <f t="shared" si="201"/>
        <v>2670.8</v>
      </c>
      <c r="X882" s="7">
        <f t="shared" si="202"/>
        <v>2673.6001000000001</v>
      </c>
      <c r="Y882" s="7">
        <f t="shared" si="203"/>
        <v>118</v>
      </c>
      <c r="Z882" s="7">
        <f t="shared" si="204"/>
        <v>324554</v>
      </c>
      <c r="AA882" s="7" t="str">
        <f t="shared" si="205"/>
        <v>14-Jan-2025</v>
      </c>
      <c r="AB882" s="7">
        <f t="shared" si="206"/>
        <v>2673.6001000000001</v>
      </c>
      <c r="AC882" s="7">
        <f t="shared" si="210"/>
        <v>1</v>
      </c>
      <c r="AD882" s="7">
        <f t="shared" si="207"/>
        <v>2025</v>
      </c>
      <c r="AE882" s="19">
        <f t="shared" si="208"/>
        <v>-1.38</v>
      </c>
    </row>
    <row r="883" spans="1:31" x14ac:dyDescent="0.3">
      <c r="A883" s="17">
        <v>45672</v>
      </c>
      <c r="B883" s="8">
        <v>2712.5</v>
      </c>
      <c r="C883" s="7">
        <v>2712.5</v>
      </c>
      <c r="D883" s="7">
        <v>2690.8</v>
      </c>
      <c r="E883" s="7">
        <v>2690.8</v>
      </c>
      <c r="F883" s="18">
        <v>930</v>
      </c>
      <c r="G883" s="7">
        <v>2677.1714999999999</v>
      </c>
      <c r="H883" s="7">
        <v>2649.5933</v>
      </c>
      <c r="I883" s="7">
        <v>2649.7766999999999</v>
      </c>
      <c r="J883" s="8">
        <v>0.64329999999999998</v>
      </c>
      <c r="K883" s="7">
        <v>0.7671</v>
      </c>
      <c r="L883" s="7">
        <v>0.8901</v>
      </c>
      <c r="M883" s="8">
        <v>67.258200000000002</v>
      </c>
      <c r="N883" s="8">
        <v>10.597899999999999</v>
      </c>
      <c r="O883" s="7">
        <v>3.2275</v>
      </c>
      <c r="P883" s="7">
        <v>2708.7130000000002</v>
      </c>
      <c r="Q883" s="7">
        <v>2578.2069999999999</v>
      </c>
      <c r="R883" s="7" t="str">
        <f t="shared" si="196"/>
        <v>Down</v>
      </c>
      <c r="S883" s="7" t="str">
        <f t="shared" si="197"/>
        <v>Hold</v>
      </c>
      <c r="T883" s="8">
        <f t="shared" si="198"/>
        <v>0.24298333333333341</v>
      </c>
      <c r="U883" s="18">
        <f t="shared" si="199"/>
        <v>1402793</v>
      </c>
      <c r="V883" s="7">
        <f t="shared" si="200"/>
        <v>5586.2002000000002</v>
      </c>
      <c r="W883" s="7">
        <f t="shared" si="201"/>
        <v>2690.8</v>
      </c>
      <c r="X883" s="7">
        <f t="shared" si="202"/>
        <v>2690.8</v>
      </c>
      <c r="Y883" s="7">
        <f t="shared" si="203"/>
        <v>118</v>
      </c>
      <c r="Z883" s="7">
        <f t="shared" si="204"/>
        <v>324554</v>
      </c>
      <c r="AA883" s="7" t="str">
        <f t="shared" si="205"/>
        <v>15-Jan-2025</v>
      </c>
      <c r="AB883" s="7">
        <f t="shared" si="206"/>
        <v>2690.8</v>
      </c>
      <c r="AC883" s="7">
        <f t="shared" si="210"/>
        <v>1</v>
      </c>
      <c r="AD883" s="7">
        <f t="shared" si="207"/>
        <v>2025</v>
      </c>
      <c r="AE883" s="19">
        <f t="shared" si="208"/>
        <v>0.64</v>
      </c>
    </row>
    <row r="884" spans="1:31" x14ac:dyDescent="0.3">
      <c r="A884" s="17">
        <v>45673</v>
      </c>
      <c r="B884" s="8">
        <v>2746.3998999999999</v>
      </c>
      <c r="C884" s="7">
        <v>2749.8</v>
      </c>
      <c r="D884" s="7">
        <v>2731.7</v>
      </c>
      <c r="E884" s="7">
        <v>2731.7</v>
      </c>
      <c r="F884" s="18">
        <v>1721</v>
      </c>
      <c r="G884" s="7">
        <v>2688.3571999999999</v>
      </c>
      <c r="H884" s="7">
        <v>2652.6833000000001</v>
      </c>
      <c r="I884" s="7">
        <v>2652.4477999999999</v>
      </c>
      <c r="J884" s="8">
        <v>1.52</v>
      </c>
      <c r="K884" s="7">
        <v>0.9073</v>
      </c>
      <c r="L884" s="7">
        <v>0.92500000000000004</v>
      </c>
      <c r="M884" s="8">
        <v>70.574100000000001</v>
      </c>
      <c r="N884" s="8">
        <v>15.0007</v>
      </c>
      <c r="O884" s="7">
        <v>5.5820999999999996</v>
      </c>
      <c r="P884" s="7">
        <v>2723.7132999999999</v>
      </c>
      <c r="Q884" s="7">
        <v>2571.1967</v>
      </c>
      <c r="R884" s="7" t="str">
        <f t="shared" si="196"/>
        <v>Down</v>
      </c>
      <c r="S884" s="7" t="str">
        <f t="shared" si="197"/>
        <v>Sell</v>
      </c>
      <c r="T884" s="8">
        <f t="shared" si="198"/>
        <v>0.24158850174216037</v>
      </c>
      <c r="U884" s="18">
        <f t="shared" si="199"/>
        <v>1401863</v>
      </c>
      <c r="V884" s="7">
        <f t="shared" si="200"/>
        <v>5586.2002000000002</v>
      </c>
      <c r="W884" s="7">
        <f t="shared" si="201"/>
        <v>2724.8</v>
      </c>
      <c r="X884" s="7">
        <f t="shared" si="202"/>
        <v>2731.7</v>
      </c>
      <c r="Y884" s="7">
        <f t="shared" si="203"/>
        <v>118</v>
      </c>
      <c r="Z884" s="7">
        <f t="shared" si="204"/>
        <v>324554</v>
      </c>
      <c r="AA884" s="7" t="str">
        <f t="shared" si="205"/>
        <v>16-Jan-2025</v>
      </c>
      <c r="AB884" s="7">
        <f t="shared" si="206"/>
        <v>2731.7</v>
      </c>
      <c r="AC884" s="7">
        <f t="shared" si="210"/>
        <v>1</v>
      </c>
      <c r="AD884" s="7">
        <f t="shared" si="207"/>
        <v>2025</v>
      </c>
      <c r="AE884" s="19">
        <f t="shared" si="208"/>
        <v>1.52</v>
      </c>
    </row>
    <row r="885" spans="1:31" x14ac:dyDescent="0.3">
      <c r="A885" s="17">
        <v>45674</v>
      </c>
      <c r="B885" s="8">
        <v>2744.3</v>
      </c>
      <c r="C885" s="7">
        <v>2751.6001000000001</v>
      </c>
      <c r="D885" s="7">
        <v>2725.5</v>
      </c>
      <c r="E885" s="7">
        <v>2736</v>
      </c>
      <c r="F885" s="18">
        <v>1214</v>
      </c>
      <c r="G885" s="7">
        <v>2699.8571999999999</v>
      </c>
      <c r="H885" s="7">
        <v>2655.91</v>
      </c>
      <c r="I885" s="7">
        <v>2654.9333000000001</v>
      </c>
      <c r="J885" s="8">
        <v>0.15740000000000001</v>
      </c>
      <c r="K885" s="7">
        <v>0.90290000000000004</v>
      </c>
      <c r="L885" s="7">
        <v>0.92469999999999997</v>
      </c>
      <c r="M885" s="8">
        <v>74.212000000000003</v>
      </c>
      <c r="N885" s="8">
        <v>18.622199999999999</v>
      </c>
      <c r="O885" s="7">
        <v>8.1900999999999993</v>
      </c>
      <c r="P885" s="7">
        <v>2737.9195</v>
      </c>
      <c r="Q885" s="7">
        <v>2566.1605</v>
      </c>
      <c r="R885" s="7" t="str">
        <f t="shared" si="196"/>
        <v>Down</v>
      </c>
      <c r="S885" s="7" t="str">
        <f t="shared" si="197"/>
        <v>Sell</v>
      </c>
      <c r="T885" s="8">
        <f t="shared" si="198"/>
        <v>0.23711853146853157</v>
      </c>
      <c r="U885" s="18">
        <f t="shared" si="199"/>
        <v>1400142</v>
      </c>
      <c r="V885" s="7">
        <f t="shared" si="200"/>
        <v>5586.2002000000002</v>
      </c>
      <c r="W885" s="7">
        <f t="shared" si="201"/>
        <v>2724.8</v>
      </c>
      <c r="X885" s="7">
        <f t="shared" si="202"/>
        <v>2736</v>
      </c>
      <c r="Y885" s="7">
        <f t="shared" si="203"/>
        <v>118</v>
      </c>
      <c r="Z885" s="7">
        <f t="shared" si="204"/>
        <v>324554</v>
      </c>
      <c r="AA885" s="7" t="str">
        <f t="shared" si="205"/>
        <v>17-Jan-2025</v>
      </c>
      <c r="AB885" s="7">
        <f t="shared" si="206"/>
        <v>2736</v>
      </c>
      <c r="AC885" s="7">
        <f t="shared" si="210"/>
        <v>1</v>
      </c>
      <c r="AD885" s="7">
        <f t="shared" si="207"/>
        <v>2025</v>
      </c>
      <c r="AE885" s="19">
        <f t="shared" si="208"/>
        <v>0.16</v>
      </c>
    </row>
    <row r="886" spans="1:31" x14ac:dyDescent="0.3">
      <c r="A886" s="17">
        <v>45678</v>
      </c>
      <c r="B886" s="8">
        <v>2755</v>
      </c>
      <c r="C886" s="7">
        <v>2755</v>
      </c>
      <c r="D886" s="7">
        <v>2724.8</v>
      </c>
      <c r="E886" s="7">
        <v>2746</v>
      </c>
      <c r="F886" s="18">
        <v>1439</v>
      </c>
      <c r="G886" s="7">
        <v>2710.7572</v>
      </c>
      <c r="H886" s="7">
        <v>2659.03</v>
      </c>
      <c r="I886" s="7">
        <v>2657.38</v>
      </c>
      <c r="J886" s="8">
        <v>0.36549999999999999</v>
      </c>
      <c r="K886" s="7">
        <v>0.90190000000000003</v>
      </c>
      <c r="L886" s="7">
        <v>0.92320000000000002</v>
      </c>
      <c r="M886" s="8">
        <v>74.930400000000006</v>
      </c>
      <c r="N886" s="8">
        <v>22.045100000000001</v>
      </c>
      <c r="O886" s="7">
        <v>10.9611</v>
      </c>
      <c r="P886" s="7">
        <v>2749.2368999999999</v>
      </c>
      <c r="Q886" s="7">
        <v>2571.2330999999999</v>
      </c>
      <c r="R886" s="7" t="str">
        <f t="shared" si="196"/>
        <v>Down</v>
      </c>
      <c r="S886" s="7" t="str">
        <f t="shared" si="197"/>
        <v>Sell</v>
      </c>
      <c r="T886" s="8">
        <f t="shared" si="198"/>
        <v>0.23739824561403516</v>
      </c>
      <c r="U886" s="18">
        <f t="shared" si="199"/>
        <v>1398928</v>
      </c>
      <c r="V886" s="7">
        <f t="shared" si="200"/>
        <v>5586.2002000000002</v>
      </c>
      <c r="W886" s="7">
        <f t="shared" si="201"/>
        <v>2724.8</v>
      </c>
      <c r="X886" s="7">
        <f t="shared" si="202"/>
        <v>2746</v>
      </c>
      <c r="Y886" s="7">
        <f t="shared" si="203"/>
        <v>118</v>
      </c>
      <c r="Z886" s="7">
        <f t="shared" si="204"/>
        <v>324554</v>
      </c>
      <c r="AA886" s="7" t="str">
        <f t="shared" si="205"/>
        <v>21-Jan-2025</v>
      </c>
      <c r="AB886" s="7">
        <f t="shared" si="206"/>
        <v>2746</v>
      </c>
      <c r="AC886" s="7">
        <f t="shared" si="210"/>
        <v>1</v>
      </c>
      <c r="AD886" s="7">
        <f t="shared" si="207"/>
        <v>2025</v>
      </c>
      <c r="AE886" s="19">
        <f t="shared" si="208"/>
        <v>0.37</v>
      </c>
    </row>
    <row r="887" spans="1:31" x14ac:dyDescent="0.3">
      <c r="A887" s="17">
        <v>45679</v>
      </c>
      <c r="B887" s="8">
        <v>2767.6001000000001</v>
      </c>
      <c r="C887" s="7">
        <v>2768.8</v>
      </c>
      <c r="D887" s="7">
        <v>2753.5</v>
      </c>
      <c r="E887" s="7">
        <v>2754.5</v>
      </c>
      <c r="F887" s="18">
        <v>2079</v>
      </c>
      <c r="G887" s="7">
        <v>2720.5286000000001</v>
      </c>
      <c r="H887" s="7">
        <v>2663.5066999999999</v>
      </c>
      <c r="I887" s="7">
        <v>2659.8843999999999</v>
      </c>
      <c r="J887" s="8">
        <v>0.3095</v>
      </c>
      <c r="K887" s="7">
        <v>0.89759999999999995</v>
      </c>
      <c r="L887" s="7">
        <v>0.88849999999999996</v>
      </c>
      <c r="M887" s="8">
        <v>79.515199999999993</v>
      </c>
      <c r="N887" s="8">
        <v>25.153600000000001</v>
      </c>
      <c r="O887" s="7">
        <v>13.7996</v>
      </c>
      <c r="P887" s="7">
        <v>2762.1534000000001</v>
      </c>
      <c r="Q887" s="7">
        <v>2573.2366000000002</v>
      </c>
      <c r="R887" s="7" t="str">
        <f t="shared" si="196"/>
        <v>Down</v>
      </c>
      <c r="S887" s="7" t="str">
        <f t="shared" si="197"/>
        <v>Sell</v>
      </c>
      <c r="T887" s="8">
        <f t="shared" si="198"/>
        <v>0.23694718309859161</v>
      </c>
      <c r="U887" s="18">
        <f t="shared" si="199"/>
        <v>1397489</v>
      </c>
      <c r="V887" s="7">
        <f t="shared" si="200"/>
        <v>5586.2002000000002</v>
      </c>
      <c r="W887" s="7">
        <f t="shared" si="201"/>
        <v>2737.5</v>
      </c>
      <c r="X887" s="7">
        <f t="shared" si="202"/>
        <v>2754.5</v>
      </c>
      <c r="Y887" s="7">
        <f t="shared" si="203"/>
        <v>118</v>
      </c>
      <c r="Z887" s="7">
        <f t="shared" si="204"/>
        <v>324554</v>
      </c>
      <c r="AA887" s="7" t="str">
        <f t="shared" si="205"/>
        <v>22-Jan-2025</v>
      </c>
      <c r="AB887" s="7">
        <f t="shared" si="206"/>
        <v>2754.5</v>
      </c>
      <c r="AC887" s="7">
        <f t="shared" si="210"/>
        <v>1</v>
      </c>
      <c r="AD887" s="7">
        <f t="shared" si="207"/>
        <v>2025</v>
      </c>
      <c r="AE887" s="19">
        <f t="shared" si="208"/>
        <v>0.31</v>
      </c>
    </row>
    <row r="888" spans="1:31" x14ac:dyDescent="0.3">
      <c r="A888" s="17">
        <v>45680</v>
      </c>
      <c r="B888" s="8">
        <v>2763.1001000000001</v>
      </c>
      <c r="C888" s="7">
        <v>2765</v>
      </c>
      <c r="D888" s="7">
        <v>2745.3998999999999</v>
      </c>
      <c r="E888" s="7">
        <v>2760</v>
      </c>
      <c r="F888" s="18">
        <v>2201</v>
      </c>
      <c r="G888" s="7">
        <v>2727.5142999999998</v>
      </c>
      <c r="H888" s="7">
        <v>2667.77</v>
      </c>
      <c r="I888" s="7">
        <v>2662.0088999999998</v>
      </c>
      <c r="J888" s="8">
        <v>0.19969999999999999</v>
      </c>
      <c r="K888" s="7">
        <v>0.86240000000000006</v>
      </c>
      <c r="L888" s="7">
        <v>0.88690000000000002</v>
      </c>
      <c r="M888" s="8">
        <v>77.802099999999996</v>
      </c>
      <c r="N888" s="8">
        <v>27.741199999999999</v>
      </c>
      <c r="O888" s="7">
        <v>16.587900000000001</v>
      </c>
      <c r="P888" s="7">
        <v>2774.8494000000001</v>
      </c>
      <c r="Q888" s="7">
        <v>2574.5405999999998</v>
      </c>
      <c r="R888" s="7" t="str">
        <f t="shared" si="196"/>
        <v>Down</v>
      </c>
      <c r="S888" s="7" t="str">
        <f t="shared" si="197"/>
        <v>Sell</v>
      </c>
      <c r="T888" s="8">
        <f t="shared" si="198"/>
        <v>0.23669081272084819</v>
      </c>
      <c r="U888" s="18">
        <f t="shared" si="199"/>
        <v>1395410</v>
      </c>
      <c r="V888" s="7">
        <f t="shared" si="200"/>
        <v>5586.2002000000002</v>
      </c>
      <c r="W888" s="7">
        <f t="shared" si="201"/>
        <v>2737.5</v>
      </c>
      <c r="X888" s="7">
        <f t="shared" si="202"/>
        <v>2760</v>
      </c>
      <c r="Y888" s="7">
        <f t="shared" si="203"/>
        <v>118</v>
      </c>
      <c r="Z888" s="7">
        <f t="shared" si="204"/>
        <v>324554</v>
      </c>
      <c r="AA888" s="7" t="str">
        <f t="shared" si="205"/>
        <v>23-Jan-2025</v>
      </c>
      <c r="AB888" s="7">
        <f t="shared" si="206"/>
        <v>2760</v>
      </c>
      <c r="AC888" s="7">
        <f t="shared" si="210"/>
        <v>1</v>
      </c>
      <c r="AD888" s="7">
        <f t="shared" si="207"/>
        <v>2025</v>
      </c>
      <c r="AE888" s="19">
        <f t="shared" si="208"/>
        <v>0.2</v>
      </c>
    </row>
    <row r="889" spans="1:31" x14ac:dyDescent="0.3">
      <c r="A889" s="17">
        <v>45681</v>
      </c>
      <c r="B889" s="8">
        <v>2777.3</v>
      </c>
      <c r="C889" s="7">
        <v>2792</v>
      </c>
      <c r="D889" s="7">
        <v>2759.8</v>
      </c>
      <c r="E889" s="7">
        <v>2759.8</v>
      </c>
      <c r="F889" s="18">
        <v>1593</v>
      </c>
      <c r="G889" s="7">
        <v>2739.8285999999998</v>
      </c>
      <c r="H889" s="7">
        <v>2671.02</v>
      </c>
      <c r="I889" s="7">
        <v>2664.0021999999999</v>
      </c>
      <c r="J889" s="8">
        <v>-7.1999999999999998E-3</v>
      </c>
      <c r="K889" s="7">
        <v>0.51090000000000002</v>
      </c>
      <c r="L889" s="7">
        <v>0.86750000000000005</v>
      </c>
      <c r="M889" s="8">
        <v>74.913799999999995</v>
      </c>
      <c r="N889" s="8">
        <v>29.436499999999999</v>
      </c>
      <c r="O889" s="7">
        <v>19.157599999999999</v>
      </c>
      <c r="P889" s="7">
        <v>2784.6388000000002</v>
      </c>
      <c r="Q889" s="7">
        <v>2579.4312</v>
      </c>
      <c r="R889" s="7" t="str">
        <f t="shared" si="196"/>
        <v>Down</v>
      </c>
      <c r="S889" s="7" t="str">
        <f t="shared" si="197"/>
        <v>Sell</v>
      </c>
      <c r="T889" s="8">
        <f t="shared" si="198"/>
        <v>0.23682198581560293</v>
      </c>
      <c r="U889" s="18">
        <f t="shared" si="199"/>
        <v>1393209</v>
      </c>
      <c r="V889" s="7">
        <f t="shared" si="200"/>
        <v>5586.2002000000002</v>
      </c>
      <c r="W889" s="7">
        <f t="shared" si="201"/>
        <v>2737.5</v>
      </c>
      <c r="X889" s="7">
        <f t="shared" si="202"/>
        <v>2759.8</v>
      </c>
      <c r="Y889" s="7">
        <f t="shared" si="203"/>
        <v>118</v>
      </c>
      <c r="Z889" s="7">
        <f t="shared" si="204"/>
        <v>324554</v>
      </c>
      <c r="AA889" s="7" t="str">
        <f t="shared" si="205"/>
        <v>24-Jan-2025</v>
      </c>
      <c r="AB889" s="7">
        <f t="shared" si="206"/>
        <v>2759.8</v>
      </c>
      <c r="AC889" s="7">
        <f t="shared" si="210"/>
        <v>1</v>
      </c>
      <c r="AD889" s="7">
        <f t="shared" si="207"/>
        <v>2025</v>
      </c>
      <c r="AE889" s="19">
        <f t="shared" si="208"/>
        <v>-0.01</v>
      </c>
    </row>
    <row r="890" spans="1:31" x14ac:dyDescent="0.3">
      <c r="A890" s="17">
        <v>45684</v>
      </c>
      <c r="B890" s="8">
        <v>2737.5</v>
      </c>
      <c r="C890" s="7">
        <v>2762.2</v>
      </c>
      <c r="D890" s="7">
        <v>2737.5</v>
      </c>
      <c r="E890" s="7">
        <v>2761.1001000000001</v>
      </c>
      <c r="F890" s="18">
        <v>984</v>
      </c>
      <c r="G890" s="7">
        <v>2749.8714</v>
      </c>
      <c r="H890" s="7">
        <v>2672.9967000000001</v>
      </c>
      <c r="I890" s="7">
        <v>2666.0011</v>
      </c>
      <c r="J890" s="8">
        <v>4.7100000000000003E-2</v>
      </c>
      <c r="K890" s="7">
        <v>0.52390000000000003</v>
      </c>
      <c r="L890" s="7">
        <v>0.82869999999999999</v>
      </c>
      <c r="M890" s="8">
        <v>80.261799999999994</v>
      </c>
      <c r="N890" s="8">
        <v>30.532900000000001</v>
      </c>
      <c r="O890" s="7">
        <v>21.432700000000001</v>
      </c>
      <c r="P890" s="7">
        <v>2793.8085000000001</v>
      </c>
      <c r="Q890" s="7">
        <v>2583.5214999999998</v>
      </c>
      <c r="R890" s="7" t="str">
        <f t="shared" si="196"/>
        <v>Up</v>
      </c>
      <c r="S890" s="7" t="str">
        <f t="shared" si="197"/>
        <v>Sell</v>
      </c>
      <c r="T890" s="8">
        <f t="shared" si="198"/>
        <v>0.23769039145907483</v>
      </c>
      <c r="U890" s="18">
        <f t="shared" si="199"/>
        <v>1391616</v>
      </c>
      <c r="V890" s="7">
        <f t="shared" si="200"/>
        <v>5586.2002000000002</v>
      </c>
      <c r="W890" s="7">
        <f t="shared" si="201"/>
        <v>2737.5</v>
      </c>
      <c r="X890" s="7">
        <f t="shared" si="202"/>
        <v>2761.1001000000001</v>
      </c>
      <c r="Y890" s="7">
        <f t="shared" si="203"/>
        <v>118</v>
      </c>
      <c r="Z890" s="7">
        <f t="shared" si="204"/>
        <v>324554</v>
      </c>
      <c r="AA890" s="7" t="str">
        <f t="shared" si="205"/>
        <v>27-Jan-2025</v>
      </c>
      <c r="AB890" s="7">
        <f t="shared" si="206"/>
        <v>2761.1001000000001</v>
      </c>
      <c r="AC890" s="7">
        <f t="shared" si="210"/>
        <v>1</v>
      </c>
      <c r="AD890" s="7">
        <f t="shared" si="207"/>
        <v>2025</v>
      </c>
      <c r="AE890" s="19">
        <f t="shared" si="208"/>
        <v>0.05</v>
      </c>
    </row>
    <row r="891" spans="1:31" x14ac:dyDescent="0.3">
      <c r="A891" s="17">
        <v>45685</v>
      </c>
      <c r="B891" s="8">
        <v>2766.8</v>
      </c>
      <c r="C891" s="7">
        <v>2766.8</v>
      </c>
      <c r="D891" s="7">
        <v>2738</v>
      </c>
      <c r="E891" s="7">
        <v>2738</v>
      </c>
      <c r="F891" s="18">
        <v>2307</v>
      </c>
      <c r="G891" s="7">
        <v>2750.7714000000001</v>
      </c>
      <c r="H891" s="7">
        <v>2673.4267</v>
      </c>
      <c r="I891" s="7">
        <v>2667.86</v>
      </c>
      <c r="J891" s="8">
        <v>-0.83660000000000001</v>
      </c>
      <c r="K891" s="7">
        <v>0.40589999999999998</v>
      </c>
      <c r="L891" s="7">
        <v>0.83109999999999995</v>
      </c>
      <c r="M891" s="8">
        <v>70.514099999999999</v>
      </c>
      <c r="N891" s="8">
        <v>29.2012</v>
      </c>
      <c r="O891" s="7">
        <v>22.9864</v>
      </c>
      <c r="P891" s="7">
        <v>2796.4396000000002</v>
      </c>
      <c r="Q891" s="7">
        <v>2592.9204</v>
      </c>
      <c r="R891" s="7" t="str">
        <f t="shared" si="196"/>
        <v>Down</v>
      </c>
      <c r="S891" s="7" t="str">
        <f t="shared" si="197"/>
        <v>Sell</v>
      </c>
      <c r="T891" s="8">
        <f t="shared" si="198"/>
        <v>0.23837107142857153</v>
      </c>
      <c r="U891" s="18">
        <f t="shared" si="199"/>
        <v>1390632</v>
      </c>
      <c r="V891" s="7">
        <f t="shared" si="200"/>
        <v>5586.2002000000002</v>
      </c>
      <c r="W891" s="7">
        <f t="shared" si="201"/>
        <v>2738</v>
      </c>
      <c r="X891" s="7">
        <f t="shared" si="202"/>
        <v>2738</v>
      </c>
      <c r="Y891" s="7">
        <f t="shared" si="203"/>
        <v>117</v>
      </c>
      <c r="Z891" s="7">
        <f t="shared" si="204"/>
        <v>323570</v>
      </c>
      <c r="AA891" s="7" t="str">
        <f t="shared" si="205"/>
        <v>28-Jan-2025</v>
      </c>
      <c r="AB891" s="7">
        <f t="shared" si="206"/>
        <v>2738</v>
      </c>
      <c r="AC891" s="7">
        <f t="shared" si="210"/>
        <v>1</v>
      </c>
      <c r="AD891" s="7">
        <f t="shared" si="207"/>
        <v>2025</v>
      </c>
      <c r="AE891" s="19">
        <f t="shared" si="208"/>
        <v>-0.84</v>
      </c>
    </row>
    <row r="892" spans="1:31" x14ac:dyDescent="0.3">
      <c r="A892" s="17">
        <v>45686</v>
      </c>
      <c r="B892" s="8">
        <v>2769.1001000000001</v>
      </c>
      <c r="C892" s="7">
        <v>2769.1001000000001</v>
      </c>
      <c r="D892" s="7">
        <v>2769.1001000000001</v>
      </c>
      <c r="E892" s="7">
        <v>2769.1001000000001</v>
      </c>
      <c r="F892" s="18">
        <v>125692</v>
      </c>
      <c r="G892" s="7">
        <v>2755.5</v>
      </c>
      <c r="H892" s="7">
        <v>2676.1233000000002</v>
      </c>
      <c r="I892" s="7">
        <v>2670.1167</v>
      </c>
      <c r="J892" s="8">
        <v>1.1358999999999999</v>
      </c>
      <c r="K892" s="7">
        <v>0.5847</v>
      </c>
      <c r="L892" s="7">
        <v>0.81340000000000001</v>
      </c>
      <c r="M892" s="8">
        <v>74.149699999999996</v>
      </c>
      <c r="N892" s="8">
        <v>30.306000000000001</v>
      </c>
      <c r="O892" s="7">
        <v>24.450299999999999</v>
      </c>
      <c r="P892" s="7">
        <v>2802.7824000000001</v>
      </c>
      <c r="Q892" s="7">
        <v>2601.4176000000002</v>
      </c>
      <c r="R892" s="7" t="str">
        <f t="shared" si="196"/>
        <v>Down</v>
      </c>
      <c r="S892" s="7" t="str">
        <f t="shared" si="197"/>
        <v>Sell</v>
      </c>
      <c r="T892" s="8">
        <f t="shared" si="198"/>
        <v>0.24222401433691768</v>
      </c>
      <c r="U892" s="18">
        <f t="shared" si="199"/>
        <v>1388325</v>
      </c>
      <c r="V892" s="7">
        <f t="shared" si="200"/>
        <v>5586.2002000000002</v>
      </c>
      <c r="W892" s="7">
        <f t="shared" si="201"/>
        <v>2769.1001000000001</v>
      </c>
      <c r="X892" s="7">
        <f t="shared" si="202"/>
        <v>2769.1001000000001</v>
      </c>
      <c r="Y892" s="7">
        <f t="shared" si="203"/>
        <v>117</v>
      </c>
      <c r="Z892" s="7">
        <f t="shared" si="204"/>
        <v>323570</v>
      </c>
      <c r="AA892" s="7" t="str">
        <f t="shared" si="205"/>
        <v>29-Jan-2025</v>
      </c>
      <c r="AB892" s="7">
        <f t="shared" si="206"/>
        <v>2769.1001000000001</v>
      </c>
      <c r="AC892" s="7">
        <f t="shared" si="210"/>
        <v>1</v>
      </c>
      <c r="AD892" s="7">
        <f t="shared" si="207"/>
        <v>2025</v>
      </c>
      <c r="AE892" s="19">
        <f t="shared" si="208"/>
        <v>1.1399999999999999</v>
      </c>
    </row>
    <row r="893" spans="1:31" x14ac:dyDescent="0.3">
      <c r="A893" s="17">
        <v>45687</v>
      </c>
      <c r="B893" s="8">
        <v>2823</v>
      </c>
      <c r="C893" s="7">
        <v>2829.5</v>
      </c>
      <c r="D893" s="7">
        <v>2770</v>
      </c>
      <c r="E893" s="7">
        <v>2772.5</v>
      </c>
      <c r="F893" s="18">
        <v>40141</v>
      </c>
      <c r="G893" s="7">
        <v>2759.2856999999999</v>
      </c>
      <c r="H893" s="7">
        <v>2679.93</v>
      </c>
      <c r="I893" s="7">
        <v>2672.14</v>
      </c>
      <c r="J893" s="8">
        <v>0.12280000000000001</v>
      </c>
      <c r="K893" s="7">
        <v>0.5786</v>
      </c>
      <c r="L893" s="7">
        <v>0.78039999999999998</v>
      </c>
      <c r="M893" s="8">
        <v>72.905500000000004</v>
      </c>
      <c r="N893" s="8">
        <v>31.0974</v>
      </c>
      <c r="O893" s="7">
        <v>25.779699999999998</v>
      </c>
      <c r="P893" s="7">
        <v>2805.4286999999999</v>
      </c>
      <c r="Q893" s="7">
        <v>2615.1813000000002</v>
      </c>
      <c r="R893" s="7" t="str">
        <f t="shared" si="196"/>
        <v>Down</v>
      </c>
      <c r="S893" s="7" t="str">
        <f t="shared" si="197"/>
        <v>Sell</v>
      </c>
      <c r="T893" s="8">
        <f t="shared" si="198"/>
        <v>0.23900935251798569</v>
      </c>
      <c r="U893" s="18">
        <f t="shared" si="199"/>
        <v>1262633</v>
      </c>
      <c r="V893" s="7">
        <f t="shared" si="200"/>
        <v>5586.2002000000002</v>
      </c>
      <c r="W893" s="7">
        <f t="shared" si="201"/>
        <v>2770</v>
      </c>
      <c r="X893" s="7">
        <f t="shared" si="202"/>
        <v>2772.5</v>
      </c>
      <c r="Y893" s="7">
        <f t="shared" si="203"/>
        <v>117</v>
      </c>
      <c r="Z893" s="7">
        <f t="shared" si="204"/>
        <v>323570</v>
      </c>
      <c r="AA893" s="7" t="str">
        <f t="shared" si="205"/>
        <v>30-Jan-2025</v>
      </c>
      <c r="AB893" s="7">
        <f t="shared" si="206"/>
        <v>2772.5</v>
      </c>
      <c r="AC893" s="7">
        <f t="shared" si="210"/>
        <v>1</v>
      </c>
      <c r="AD893" s="7">
        <f t="shared" si="207"/>
        <v>2025</v>
      </c>
      <c r="AE893" s="19">
        <f t="shared" si="208"/>
        <v>0.12</v>
      </c>
    </row>
    <row r="894" spans="1:31" x14ac:dyDescent="0.3">
      <c r="A894" s="17">
        <v>45688</v>
      </c>
      <c r="B894" s="8">
        <v>2812.5</v>
      </c>
      <c r="C894" s="7">
        <v>2838</v>
      </c>
      <c r="D894" s="7">
        <v>2804</v>
      </c>
      <c r="E894" s="7">
        <v>2829</v>
      </c>
      <c r="F894" s="18">
        <v>3443</v>
      </c>
      <c r="G894" s="7">
        <v>2769.9286000000002</v>
      </c>
      <c r="H894" s="7">
        <v>2685.8366999999998</v>
      </c>
      <c r="I894" s="7">
        <v>2674.39</v>
      </c>
      <c r="J894" s="8">
        <v>2.0379</v>
      </c>
      <c r="K894" s="7">
        <v>0.92730000000000001</v>
      </c>
      <c r="L894" s="7">
        <v>0.84950000000000003</v>
      </c>
      <c r="M894" s="8">
        <v>77.013199999999998</v>
      </c>
      <c r="N894" s="8">
        <v>35.870199999999997</v>
      </c>
      <c r="O894" s="7">
        <v>27.797799999999999</v>
      </c>
      <c r="P894" s="7">
        <v>2821.8499000000002</v>
      </c>
      <c r="Q894" s="7">
        <v>2618.3600999999999</v>
      </c>
      <c r="R894" s="7" t="str">
        <f t="shared" si="196"/>
        <v>Up</v>
      </c>
      <c r="S894" s="7" t="str">
        <f t="shared" si="197"/>
        <v>Sell</v>
      </c>
      <c r="T894" s="8">
        <f t="shared" si="198"/>
        <v>0.23942888086642608</v>
      </c>
      <c r="U894" s="18">
        <f t="shared" si="199"/>
        <v>1222492</v>
      </c>
      <c r="V894" s="7">
        <f t="shared" si="200"/>
        <v>5586.2002000000002</v>
      </c>
      <c r="W894" s="7">
        <f t="shared" si="201"/>
        <v>2780.8998999999999</v>
      </c>
      <c r="X894" s="7">
        <f t="shared" si="202"/>
        <v>2829</v>
      </c>
      <c r="Y894" s="7">
        <f t="shared" si="203"/>
        <v>117</v>
      </c>
      <c r="Z894" s="7">
        <f t="shared" si="204"/>
        <v>323570</v>
      </c>
      <c r="AA894" s="7" t="str">
        <f t="shared" si="205"/>
        <v>31-Jan-2025</v>
      </c>
      <c r="AB894" s="7">
        <f t="shared" si="206"/>
        <v>2829</v>
      </c>
      <c r="AC894" s="7">
        <f t="shared" si="210"/>
        <v>1</v>
      </c>
      <c r="AD894" s="7">
        <f t="shared" si="207"/>
        <v>2025</v>
      </c>
      <c r="AE894" s="19">
        <f t="shared" si="208"/>
        <v>2.04</v>
      </c>
    </row>
    <row r="895" spans="1:31" x14ac:dyDescent="0.3">
      <c r="A895" s="17">
        <v>45691</v>
      </c>
      <c r="B895" s="8">
        <v>2833.8998999999999</v>
      </c>
      <c r="C895" s="7">
        <v>2848.3998999999999</v>
      </c>
      <c r="D895" s="7">
        <v>2780.8998999999999</v>
      </c>
      <c r="E895" s="7">
        <v>2818.2</v>
      </c>
      <c r="F895" s="18">
        <v>2649</v>
      </c>
      <c r="G895" s="7">
        <v>2778.2429000000002</v>
      </c>
      <c r="H895" s="7">
        <v>2691.6333</v>
      </c>
      <c r="I895" s="7">
        <v>2676.4056</v>
      </c>
      <c r="J895" s="8">
        <v>-0.38179999999999997</v>
      </c>
      <c r="K895" s="7">
        <v>0.97170000000000001</v>
      </c>
      <c r="L895" s="7">
        <v>0.85170000000000001</v>
      </c>
      <c r="M895" s="8">
        <v>71.394300000000001</v>
      </c>
      <c r="N895" s="8">
        <v>38.339300000000001</v>
      </c>
      <c r="O895" s="7">
        <v>29.906099999999999</v>
      </c>
      <c r="P895" s="7">
        <v>2834.4578000000001</v>
      </c>
      <c r="Q895" s="7">
        <v>2621.7022000000002</v>
      </c>
      <c r="R895" s="7" t="str">
        <f t="shared" si="196"/>
        <v>Down</v>
      </c>
      <c r="S895" s="7" t="str">
        <f t="shared" si="197"/>
        <v>Sell</v>
      </c>
      <c r="T895" s="8">
        <f t="shared" si="198"/>
        <v>0.23291268115942021</v>
      </c>
      <c r="U895" s="18">
        <f t="shared" si="199"/>
        <v>1219049</v>
      </c>
      <c r="V895" s="7">
        <f t="shared" si="200"/>
        <v>5586.2002000000002</v>
      </c>
      <c r="W895" s="7">
        <f t="shared" si="201"/>
        <v>2780.8998999999999</v>
      </c>
      <c r="X895" s="7">
        <f t="shared" si="202"/>
        <v>2818.2</v>
      </c>
      <c r="Y895" s="7">
        <f t="shared" si="203"/>
        <v>116</v>
      </c>
      <c r="Z895" s="7">
        <f t="shared" si="204"/>
        <v>320127</v>
      </c>
      <c r="AA895" s="7" t="str">
        <f t="shared" si="205"/>
        <v>03-Feb-2025</v>
      </c>
      <c r="AB895" s="7">
        <f t="shared" si="206"/>
        <v>2818.2</v>
      </c>
      <c r="AC895" s="7">
        <f t="shared" si="210"/>
        <v>1</v>
      </c>
      <c r="AD895" s="7">
        <f t="shared" si="207"/>
        <v>2025</v>
      </c>
      <c r="AE895" s="19">
        <f t="shared" si="208"/>
        <v>-0.38</v>
      </c>
    </row>
    <row r="896" spans="1:31" x14ac:dyDescent="0.3">
      <c r="A896" s="17">
        <v>45692</v>
      </c>
      <c r="B896" s="8">
        <v>2853.3</v>
      </c>
      <c r="C896" s="7">
        <v>2853.3</v>
      </c>
      <c r="D896" s="7">
        <v>2816.1001000000001</v>
      </c>
      <c r="E896" s="7">
        <v>2827.6001000000001</v>
      </c>
      <c r="F896" s="18">
        <v>2187</v>
      </c>
      <c r="G896" s="7">
        <v>2787.9286000000002</v>
      </c>
      <c r="H896" s="7">
        <v>2699.8166999999999</v>
      </c>
      <c r="I896" s="7">
        <v>2678.3089</v>
      </c>
      <c r="J896" s="8">
        <v>0.33360000000000001</v>
      </c>
      <c r="K896" s="7">
        <v>0.96209999999999996</v>
      </c>
      <c r="L896" s="7">
        <v>0.70009999999999994</v>
      </c>
      <c r="M896" s="8">
        <v>84.653400000000005</v>
      </c>
      <c r="N896" s="8">
        <v>40.5867</v>
      </c>
      <c r="O896" s="7">
        <v>32.042200000000001</v>
      </c>
      <c r="P896" s="7">
        <v>2844.9654</v>
      </c>
      <c r="Q896" s="7">
        <v>2629.4045999999998</v>
      </c>
      <c r="R896" s="7" t="str">
        <f t="shared" si="196"/>
        <v>Down</v>
      </c>
      <c r="S896" s="7" t="str">
        <f t="shared" si="197"/>
        <v>Sell</v>
      </c>
      <c r="T896" s="8">
        <f t="shared" si="198"/>
        <v>0.235148</v>
      </c>
      <c r="U896" s="18">
        <f t="shared" si="199"/>
        <v>1216400</v>
      </c>
      <c r="V896" s="7">
        <f t="shared" si="200"/>
        <v>5586.2002000000002</v>
      </c>
      <c r="W896" s="7">
        <f t="shared" si="201"/>
        <v>2816.1001000000001</v>
      </c>
      <c r="X896" s="7">
        <f t="shared" si="202"/>
        <v>2827.6001000000001</v>
      </c>
      <c r="Y896" s="7">
        <f t="shared" si="203"/>
        <v>116</v>
      </c>
      <c r="Z896" s="7">
        <f t="shared" si="204"/>
        <v>320127</v>
      </c>
      <c r="AA896" s="7" t="str">
        <f t="shared" si="205"/>
        <v>04-Feb-2025</v>
      </c>
      <c r="AB896" s="7">
        <f t="shared" si="206"/>
        <v>2827.6001000000001</v>
      </c>
      <c r="AC896" s="7">
        <f t="shared" si="210"/>
        <v>1</v>
      </c>
      <c r="AD896" s="7">
        <f t="shared" si="207"/>
        <v>2025</v>
      </c>
      <c r="AE896" s="19">
        <f t="shared" si="208"/>
        <v>0.33</v>
      </c>
    </row>
    <row r="897" spans="1:31" x14ac:dyDescent="0.3">
      <c r="A897" s="17">
        <v>45693</v>
      </c>
      <c r="B897" s="8">
        <v>2871.6001000000001</v>
      </c>
      <c r="C897" s="7">
        <v>2880.5</v>
      </c>
      <c r="D897" s="7">
        <v>2848</v>
      </c>
      <c r="E897" s="7">
        <v>2850</v>
      </c>
      <c r="F897" s="18">
        <v>4519</v>
      </c>
      <c r="G897" s="7">
        <v>2800.6286</v>
      </c>
      <c r="H897" s="7">
        <v>2707.9733000000001</v>
      </c>
      <c r="I897" s="7">
        <v>2680.3944000000001</v>
      </c>
      <c r="J897" s="8">
        <v>0.79220000000000002</v>
      </c>
      <c r="K897" s="7">
        <v>0.96399999999999997</v>
      </c>
      <c r="L897" s="7">
        <v>0.69720000000000004</v>
      </c>
      <c r="M897" s="8">
        <v>85.004400000000004</v>
      </c>
      <c r="N897" s="8">
        <v>43.671799999999998</v>
      </c>
      <c r="O897" s="7">
        <v>34.368200000000002</v>
      </c>
      <c r="P897" s="7">
        <v>2858.4209999999998</v>
      </c>
      <c r="Q897" s="7">
        <v>2635.6091000000001</v>
      </c>
      <c r="R897" s="7" t="str">
        <f t="shared" si="196"/>
        <v>Down</v>
      </c>
      <c r="S897" s="7" t="str">
        <f t="shared" si="197"/>
        <v>Sell</v>
      </c>
      <c r="T897" s="8">
        <f t="shared" si="198"/>
        <v>0.23478868613138679</v>
      </c>
      <c r="U897" s="18">
        <f t="shared" si="199"/>
        <v>1214213</v>
      </c>
      <c r="V897" s="7">
        <f t="shared" si="200"/>
        <v>5586.2002000000002</v>
      </c>
      <c r="W897" s="7">
        <f t="shared" si="201"/>
        <v>2834.1001000000001</v>
      </c>
      <c r="X897" s="7">
        <f t="shared" si="202"/>
        <v>2850</v>
      </c>
      <c r="Y897" s="7">
        <f t="shared" si="203"/>
        <v>116</v>
      </c>
      <c r="Z897" s="7">
        <f t="shared" si="204"/>
        <v>320127</v>
      </c>
      <c r="AA897" s="7" t="str">
        <f t="shared" si="205"/>
        <v>05-Feb-2025</v>
      </c>
      <c r="AB897" s="7">
        <f t="shared" si="206"/>
        <v>2850</v>
      </c>
      <c r="AC897" s="7">
        <f t="shared" si="210"/>
        <v>1</v>
      </c>
      <c r="AD897" s="7">
        <f t="shared" si="207"/>
        <v>2025</v>
      </c>
      <c r="AE897" s="19">
        <f t="shared" si="208"/>
        <v>0.79</v>
      </c>
    </row>
    <row r="898" spans="1:31" x14ac:dyDescent="0.3">
      <c r="A898" s="17">
        <v>45694</v>
      </c>
      <c r="B898" s="8">
        <v>2856</v>
      </c>
      <c r="C898" s="7">
        <v>2871.7</v>
      </c>
      <c r="D898" s="7">
        <v>2836.3</v>
      </c>
      <c r="E898" s="7">
        <v>2865.2</v>
      </c>
      <c r="F898" s="18">
        <v>3116</v>
      </c>
      <c r="G898" s="7">
        <v>2818.8</v>
      </c>
      <c r="H898" s="7">
        <v>2716.1466999999998</v>
      </c>
      <c r="I898" s="7">
        <v>2682.5632999999998</v>
      </c>
      <c r="J898" s="8">
        <v>0.5333</v>
      </c>
      <c r="K898" s="7">
        <v>0.77869999999999995</v>
      </c>
      <c r="L898" s="7">
        <v>0.69679999999999997</v>
      </c>
      <c r="M898" s="8">
        <v>83.093699999999998</v>
      </c>
      <c r="N898" s="8">
        <v>46.803800000000003</v>
      </c>
      <c r="O898" s="7">
        <v>36.8553</v>
      </c>
      <c r="P898" s="7">
        <v>2872.0679</v>
      </c>
      <c r="Q898" s="7">
        <v>2642.9321</v>
      </c>
      <c r="R898" s="7" t="str">
        <f t="shared" si="196"/>
        <v>Up</v>
      </c>
      <c r="S898" s="7" t="str">
        <f t="shared" si="197"/>
        <v>Sell</v>
      </c>
      <c r="T898" s="8">
        <f t="shared" si="198"/>
        <v>0.23274688644688643</v>
      </c>
      <c r="U898" s="18">
        <f t="shared" si="199"/>
        <v>1209694</v>
      </c>
      <c r="V898" s="7">
        <f t="shared" si="200"/>
        <v>5586.2002000000002</v>
      </c>
      <c r="W898" s="7">
        <f t="shared" si="201"/>
        <v>2834.1001000000001</v>
      </c>
      <c r="X898" s="7">
        <f t="shared" si="202"/>
        <v>2865.2</v>
      </c>
      <c r="Y898" s="7">
        <f t="shared" si="203"/>
        <v>116</v>
      </c>
      <c r="Z898" s="7">
        <f t="shared" si="204"/>
        <v>320127</v>
      </c>
      <c r="AA898" s="7" t="str">
        <f t="shared" si="205"/>
        <v>06-Feb-2025</v>
      </c>
      <c r="AB898" s="7">
        <f t="shared" si="206"/>
        <v>2865.2</v>
      </c>
      <c r="AC898" s="7">
        <f t="shared" si="210"/>
        <v>1</v>
      </c>
      <c r="AD898" s="7">
        <f t="shared" si="207"/>
        <v>2025</v>
      </c>
      <c r="AE898" s="19">
        <f t="shared" si="208"/>
        <v>0.53</v>
      </c>
    </row>
    <row r="899" spans="1:31" x14ac:dyDescent="0.3">
      <c r="A899" s="17">
        <v>45695</v>
      </c>
      <c r="B899" s="8">
        <v>2867.3</v>
      </c>
      <c r="C899" s="7">
        <v>2889.5</v>
      </c>
      <c r="D899" s="7">
        <v>2857.8</v>
      </c>
      <c r="E899" s="7">
        <v>2859.8998999999999</v>
      </c>
      <c r="F899" s="18">
        <v>1822</v>
      </c>
      <c r="G899" s="7">
        <v>2831.7714000000001</v>
      </c>
      <c r="H899" s="7">
        <v>2724.3766999999998</v>
      </c>
      <c r="I899" s="7">
        <v>2684.7743999999998</v>
      </c>
      <c r="J899" s="8">
        <v>-0.185</v>
      </c>
      <c r="K899" s="7">
        <v>0.80200000000000005</v>
      </c>
      <c r="L899" s="7">
        <v>0.69469999999999998</v>
      </c>
      <c r="M899" s="8">
        <v>80.562399999999997</v>
      </c>
      <c r="N899" s="8">
        <v>48.301499999999997</v>
      </c>
      <c r="O899" s="7">
        <v>39.144500000000001</v>
      </c>
      <c r="P899" s="7">
        <v>2882.4639999999999</v>
      </c>
      <c r="Q899" s="7">
        <v>2651.5560999999998</v>
      </c>
      <c r="R899" s="7" t="str">
        <f t="shared" ref="R899:R962" si="211">IF(E899&gt;B899,"Up","Down")</f>
        <v>Down</v>
      </c>
      <c r="S899" s="7" t="str">
        <f t="shared" ref="S899:S962" si="212">IF(M899&gt;70,"Sell",IF(M899&lt;30,"Buy","Hold"))</f>
        <v>Sell</v>
      </c>
      <c r="T899" s="8">
        <f t="shared" ref="T899:T962" si="213">AVERAGE(J899:J2067)</f>
        <v>0.23164191176470589</v>
      </c>
      <c r="U899" s="18">
        <f t="shared" ref="U899:U962" si="214">SUM(F899:F2067)</f>
        <v>1206578</v>
      </c>
      <c r="V899" s="7">
        <f t="shared" ref="V899:V962" si="215">MAX(C899:C2067)</f>
        <v>5586.2002000000002</v>
      </c>
      <c r="W899" s="7">
        <f t="shared" ref="W899:W962" si="216">MIN(D899:D2067)</f>
        <v>2834.1001000000001</v>
      </c>
      <c r="X899" s="7">
        <f t="shared" ref="X899:X962" si="217">INDEX(E899:E2067,MATCH(A899,A899:A2067,0))</f>
        <v>2859.8998999999999</v>
      </c>
      <c r="Y899" s="7">
        <f t="shared" ref="Y899:Y962" si="218">COUNTIF(R899:R2067,"Up")</f>
        <v>115</v>
      </c>
      <c r="Z899" s="7">
        <f t="shared" ref="Z899:Z962" si="219">SUMIF(R899:R2067,"Up",F899:F2067)</f>
        <v>317011</v>
      </c>
      <c r="AA899" s="7" t="str">
        <f t="shared" ref="AA899:AA962" si="220">TEXT(A899,"DD-MMM-YYYY")</f>
        <v>07-Feb-2025</v>
      </c>
      <c r="AB899" s="7">
        <f t="shared" ref="AB899:AB962" si="221">_xlfn.XLOOKUP(A899,A899:A2067,E899:E2067)</f>
        <v>2859.8998999999999</v>
      </c>
      <c r="AC899" s="7">
        <f t="shared" si="210"/>
        <v>1</v>
      </c>
      <c r="AD899" s="7">
        <f t="shared" ref="AD899:AD962" si="222">YEAR(A899)</f>
        <v>2025</v>
      </c>
      <c r="AE899" s="19">
        <f t="shared" ref="AE899:AE962" si="223">ROUND(J899,2)</f>
        <v>-0.19</v>
      </c>
    </row>
    <row r="900" spans="1:31" x14ac:dyDescent="0.3">
      <c r="A900" s="17">
        <v>45698</v>
      </c>
      <c r="B900" s="8">
        <v>2914.3</v>
      </c>
      <c r="C900" s="7">
        <v>2916.1001000000001</v>
      </c>
      <c r="D900" s="7">
        <v>2863.8</v>
      </c>
      <c r="E900" s="7">
        <v>2864.2</v>
      </c>
      <c r="F900" s="18">
        <v>2237</v>
      </c>
      <c r="G900" s="7">
        <v>2844.8714</v>
      </c>
      <c r="H900" s="7">
        <v>2732.2332999999999</v>
      </c>
      <c r="I900" s="7">
        <v>2687.3611000000001</v>
      </c>
      <c r="J900" s="8">
        <v>0.15040000000000001</v>
      </c>
      <c r="K900" s="7">
        <v>0.80010000000000003</v>
      </c>
      <c r="L900" s="7">
        <v>0.69299999999999995</v>
      </c>
      <c r="M900" s="8">
        <v>80</v>
      </c>
      <c r="N900" s="8">
        <v>49.267400000000002</v>
      </c>
      <c r="O900" s="7">
        <v>41.1691</v>
      </c>
      <c r="P900" s="7">
        <v>2892.5603000000001</v>
      </c>
      <c r="Q900" s="7">
        <v>2659.2696999999998</v>
      </c>
      <c r="R900" s="7" t="str">
        <f t="shared" si="211"/>
        <v>Down</v>
      </c>
      <c r="S900" s="7" t="str">
        <f t="shared" si="212"/>
        <v>Sell</v>
      </c>
      <c r="T900" s="8">
        <f t="shared" si="213"/>
        <v>0.23317933579335795</v>
      </c>
      <c r="U900" s="18">
        <f t="shared" si="214"/>
        <v>1204756</v>
      </c>
      <c r="V900" s="7">
        <f t="shared" si="215"/>
        <v>5586.2002000000002</v>
      </c>
      <c r="W900" s="7">
        <f t="shared" si="216"/>
        <v>2834.1001000000001</v>
      </c>
      <c r="X900" s="7">
        <f t="shared" si="217"/>
        <v>2864.2</v>
      </c>
      <c r="Y900" s="7">
        <f t="shared" si="218"/>
        <v>115</v>
      </c>
      <c r="Z900" s="7">
        <f t="shared" si="219"/>
        <v>317011</v>
      </c>
      <c r="AA900" s="7" t="str">
        <f t="shared" si="220"/>
        <v>10-Feb-2025</v>
      </c>
      <c r="AB900" s="7">
        <f t="shared" si="221"/>
        <v>2864.2</v>
      </c>
      <c r="AC900" s="7">
        <f t="shared" si="210"/>
        <v>1</v>
      </c>
      <c r="AD900" s="7">
        <f t="shared" si="222"/>
        <v>2025</v>
      </c>
      <c r="AE900" s="19">
        <f t="shared" si="223"/>
        <v>0.15</v>
      </c>
    </row>
    <row r="901" spans="1:31" x14ac:dyDescent="0.3">
      <c r="A901" s="17">
        <v>45699</v>
      </c>
      <c r="B901" s="8">
        <v>2912.5</v>
      </c>
      <c r="C901" s="7">
        <v>2945.3998999999999</v>
      </c>
      <c r="D901" s="7">
        <v>2890</v>
      </c>
      <c r="E901" s="7">
        <v>2925.5</v>
      </c>
      <c r="F901" s="18">
        <v>2554</v>
      </c>
      <c r="G901" s="7">
        <v>2858.6570999999999</v>
      </c>
      <c r="H901" s="7">
        <v>2742.4933000000001</v>
      </c>
      <c r="I901" s="7">
        <v>2690.4155999999998</v>
      </c>
      <c r="J901" s="8">
        <v>2.1402000000000001</v>
      </c>
      <c r="K901" s="7">
        <v>0.83379999999999999</v>
      </c>
      <c r="L901" s="7">
        <v>0.75770000000000004</v>
      </c>
      <c r="M901" s="8">
        <v>84.2273</v>
      </c>
      <c r="N901" s="8">
        <v>54.352800000000002</v>
      </c>
      <c r="O901" s="7">
        <v>43.805900000000001</v>
      </c>
      <c r="P901" s="7">
        <v>2916.8215</v>
      </c>
      <c r="Q901" s="7">
        <v>2656.4485</v>
      </c>
      <c r="R901" s="7" t="str">
        <f t="shared" si="211"/>
        <v>Up</v>
      </c>
      <c r="S901" s="7" t="str">
        <f t="shared" si="212"/>
        <v>Sell</v>
      </c>
      <c r="T901" s="8">
        <f t="shared" si="213"/>
        <v>0.2334859259259259</v>
      </c>
      <c r="U901" s="18">
        <f t="shared" si="214"/>
        <v>1202519</v>
      </c>
      <c r="V901" s="7">
        <f t="shared" si="215"/>
        <v>5586.2002000000002</v>
      </c>
      <c r="W901" s="7">
        <f t="shared" si="216"/>
        <v>2834.1001000000001</v>
      </c>
      <c r="X901" s="7">
        <f t="shared" si="217"/>
        <v>2925.5</v>
      </c>
      <c r="Y901" s="7">
        <f t="shared" si="218"/>
        <v>115</v>
      </c>
      <c r="Z901" s="7">
        <f t="shared" si="219"/>
        <v>317011</v>
      </c>
      <c r="AA901" s="7" t="str">
        <f t="shared" si="220"/>
        <v>11-Feb-2025</v>
      </c>
      <c r="AB901" s="7">
        <f t="shared" si="221"/>
        <v>2925.5</v>
      </c>
      <c r="AC901" s="7">
        <f t="shared" ref="AC901:AC964" si="224">_xlfn.XMATCH(A901,A901:A2069)</f>
        <v>1</v>
      </c>
      <c r="AD901" s="7">
        <f t="shared" si="222"/>
        <v>2025</v>
      </c>
      <c r="AE901" s="19">
        <f t="shared" si="223"/>
        <v>2.14</v>
      </c>
    </row>
    <row r="902" spans="1:31" x14ac:dyDescent="0.3">
      <c r="A902" s="17">
        <v>45700</v>
      </c>
      <c r="B902" s="8">
        <v>2909</v>
      </c>
      <c r="C902" s="7">
        <v>2912.3</v>
      </c>
      <c r="D902" s="7">
        <v>2868.6001000000001</v>
      </c>
      <c r="E902" s="7">
        <v>2902</v>
      </c>
      <c r="F902" s="18">
        <v>2504</v>
      </c>
      <c r="G902" s="7">
        <v>2870.6286</v>
      </c>
      <c r="H902" s="7">
        <v>2751.87</v>
      </c>
      <c r="I902" s="7">
        <v>2693.2955999999999</v>
      </c>
      <c r="J902" s="8">
        <v>-0.80330000000000001</v>
      </c>
      <c r="K902" s="7">
        <v>0.91769999999999996</v>
      </c>
      <c r="L902" s="7">
        <v>0.78649999999999998</v>
      </c>
      <c r="M902" s="8">
        <v>76.512299999999996</v>
      </c>
      <c r="N902" s="8">
        <v>55.8431</v>
      </c>
      <c r="O902" s="7">
        <v>46.213299999999997</v>
      </c>
      <c r="P902" s="7">
        <v>2926.5518000000002</v>
      </c>
      <c r="Q902" s="7">
        <v>2669.5581999999999</v>
      </c>
      <c r="R902" s="7" t="str">
        <f t="shared" si="211"/>
        <v>Down</v>
      </c>
      <c r="S902" s="7" t="str">
        <f t="shared" si="212"/>
        <v>Sell</v>
      </c>
      <c r="T902" s="8">
        <f t="shared" si="213"/>
        <v>0.22639776951672869</v>
      </c>
      <c r="U902" s="18">
        <f t="shared" si="214"/>
        <v>1199965</v>
      </c>
      <c r="V902" s="7">
        <f t="shared" si="215"/>
        <v>5586.2002000000002</v>
      </c>
      <c r="W902" s="7">
        <f t="shared" si="216"/>
        <v>2834.1001000000001</v>
      </c>
      <c r="X902" s="7">
        <f t="shared" si="217"/>
        <v>2902</v>
      </c>
      <c r="Y902" s="7">
        <f t="shared" si="218"/>
        <v>114</v>
      </c>
      <c r="Z902" s="7">
        <f t="shared" si="219"/>
        <v>314457</v>
      </c>
      <c r="AA902" s="7" t="str">
        <f t="shared" si="220"/>
        <v>12-Feb-2025</v>
      </c>
      <c r="AB902" s="7">
        <f t="shared" si="221"/>
        <v>2902</v>
      </c>
      <c r="AC902" s="7">
        <f t="shared" si="224"/>
        <v>1</v>
      </c>
      <c r="AD902" s="7">
        <f t="shared" si="222"/>
        <v>2025</v>
      </c>
      <c r="AE902" s="19">
        <f t="shared" si="223"/>
        <v>-0.8</v>
      </c>
    </row>
    <row r="903" spans="1:31" x14ac:dyDescent="0.3">
      <c r="A903" s="17">
        <v>45701</v>
      </c>
      <c r="B903" s="8">
        <v>2925.8998999999999</v>
      </c>
      <c r="C903" s="7">
        <v>2937.7</v>
      </c>
      <c r="D903" s="7">
        <v>2910.6001000000001</v>
      </c>
      <c r="E903" s="7">
        <v>2911.3</v>
      </c>
      <c r="F903" s="18">
        <v>4670</v>
      </c>
      <c r="G903" s="7">
        <v>2882.5857000000001</v>
      </c>
      <c r="H903" s="7">
        <v>2761.9666999999999</v>
      </c>
      <c r="I903" s="7">
        <v>2696.1322</v>
      </c>
      <c r="J903" s="8">
        <v>0.32050000000000001</v>
      </c>
      <c r="K903" s="7">
        <v>0.91790000000000005</v>
      </c>
      <c r="L903" s="7">
        <v>0.77139999999999997</v>
      </c>
      <c r="M903" s="8">
        <v>77.356399999999994</v>
      </c>
      <c r="N903" s="8">
        <v>57.116100000000003</v>
      </c>
      <c r="O903" s="7">
        <v>48.393900000000002</v>
      </c>
      <c r="P903" s="7">
        <v>2936.6641</v>
      </c>
      <c r="Q903" s="7">
        <v>2681.4958999999999</v>
      </c>
      <c r="R903" s="7" t="str">
        <f t="shared" si="211"/>
        <v>Down</v>
      </c>
      <c r="S903" s="7" t="str">
        <f t="shared" si="212"/>
        <v>Sell</v>
      </c>
      <c r="T903" s="8">
        <f t="shared" si="213"/>
        <v>0.23023992537313437</v>
      </c>
      <c r="U903" s="18">
        <f t="shared" si="214"/>
        <v>1197461</v>
      </c>
      <c r="V903" s="7">
        <f t="shared" si="215"/>
        <v>5586.2002000000002</v>
      </c>
      <c r="W903" s="7">
        <f t="shared" si="216"/>
        <v>2834.1001000000001</v>
      </c>
      <c r="X903" s="7">
        <f t="shared" si="217"/>
        <v>2911.3</v>
      </c>
      <c r="Y903" s="7">
        <f t="shared" si="218"/>
        <v>114</v>
      </c>
      <c r="Z903" s="7">
        <f t="shared" si="219"/>
        <v>314457</v>
      </c>
      <c r="AA903" s="7" t="str">
        <f t="shared" si="220"/>
        <v>13-Feb-2025</v>
      </c>
      <c r="AB903" s="7">
        <f t="shared" si="221"/>
        <v>2911.3</v>
      </c>
      <c r="AC903" s="7">
        <f t="shared" si="224"/>
        <v>1</v>
      </c>
      <c r="AD903" s="7">
        <f t="shared" si="222"/>
        <v>2025</v>
      </c>
      <c r="AE903" s="19">
        <f t="shared" si="223"/>
        <v>0.32</v>
      </c>
    </row>
    <row r="904" spans="1:31" x14ac:dyDescent="0.3">
      <c r="A904" s="17">
        <v>45702</v>
      </c>
      <c r="B904" s="8">
        <v>2883.6001000000001</v>
      </c>
      <c r="C904" s="7">
        <v>2944.3998999999999</v>
      </c>
      <c r="D904" s="7">
        <v>2874.8</v>
      </c>
      <c r="E904" s="7">
        <v>2937.3</v>
      </c>
      <c r="F904" s="18">
        <v>1992</v>
      </c>
      <c r="G904" s="7">
        <v>2895.0571</v>
      </c>
      <c r="H904" s="7">
        <v>2772.11</v>
      </c>
      <c r="I904" s="7">
        <v>2699.3389000000002</v>
      </c>
      <c r="J904" s="8">
        <v>0.8931</v>
      </c>
      <c r="K904" s="7">
        <v>0.92549999999999999</v>
      </c>
      <c r="L904" s="7">
        <v>0.7702</v>
      </c>
      <c r="M904" s="8">
        <v>79.210800000000006</v>
      </c>
      <c r="N904" s="8">
        <v>59.536700000000003</v>
      </c>
      <c r="O904" s="7">
        <v>50.622399999999999</v>
      </c>
      <c r="P904" s="7">
        <v>2953.6482000000001</v>
      </c>
      <c r="Q904" s="7">
        <v>2685.0718000000002</v>
      </c>
      <c r="R904" s="7" t="str">
        <f t="shared" si="211"/>
        <v>Up</v>
      </c>
      <c r="S904" s="7" t="str">
        <f t="shared" si="212"/>
        <v>Sell</v>
      </c>
      <c r="T904" s="8">
        <f t="shared" si="213"/>
        <v>0.22990187265917608</v>
      </c>
      <c r="U904" s="18">
        <f t="shared" si="214"/>
        <v>1192791</v>
      </c>
      <c r="V904" s="7">
        <f t="shared" si="215"/>
        <v>5586.2002000000002</v>
      </c>
      <c r="W904" s="7">
        <f t="shared" si="216"/>
        <v>2834.1001000000001</v>
      </c>
      <c r="X904" s="7">
        <f t="shared" si="217"/>
        <v>2937.3</v>
      </c>
      <c r="Y904" s="7">
        <f t="shared" si="218"/>
        <v>114</v>
      </c>
      <c r="Z904" s="7">
        <f t="shared" si="219"/>
        <v>314457</v>
      </c>
      <c r="AA904" s="7" t="str">
        <f t="shared" si="220"/>
        <v>14-Feb-2025</v>
      </c>
      <c r="AB904" s="7">
        <f t="shared" si="221"/>
        <v>2937.3</v>
      </c>
      <c r="AC904" s="7">
        <f t="shared" si="224"/>
        <v>1</v>
      </c>
      <c r="AD904" s="7">
        <f t="shared" si="222"/>
        <v>2025</v>
      </c>
      <c r="AE904" s="19">
        <f t="shared" si="223"/>
        <v>0.89</v>
      </c>
    </row>
    <row r="905" spans="1:31" x14ac:dyDescent="0.3">
      <c r="A905" s="17">
        <v>45706</v>
      </c>
      <c r="B905" s="8">
        <v>2931.6001000000001</v>
      </c>
      <c r="C905" s="7">
        <v>2936.3998999999999</v>
      </c>
      <c r="D905" s="7">
        <v>2873.8</v>
      </c>
      <c r="E905" s="7">
        <v>2879.2</v>
      </c>
      <c r="F905" s="18">
        <v>4010</v>
      </c>
      <c r="G905" s="7">
        <v>2897.0571</v>
      </c>
      <c r="H905" s="7">
        <v>2779.46</v>
      </c>
      <c r="I905" s="7">
        <v>2702.0077999999999</v>
      </c>
      <c r="J905" s="8">
        <v>-1.978</v>
      </c>
      <c r="K905" s="7">
        <v>1.2945</v>
      </c>
      <c r="L905" s="7">
        <v>0.87190000000000001</v>
      </c>
      <c r="M905" s="8">
        <v>70.974400000000003</v>
      </c>
      <c r="N905" s="8">
        <v>56.119900000000001</v>
      </c>
      <c r="O905" s="7">
        <v>51.721899999999998</v>
      </c>
      <c r="P905" s="7">
        <v>2957.3191000000002</v>
      </c>
      <c r="Q905" s="7">
        <v>2695.7208999999998</v>
      </c>
      <c r="R905" s="7" t="str">
        <f t="shared" si="211"/>
        <v>Down</v>
      </c>
      <c r="S905" s="7" t="str">
        <f t="shared" si="212"/>
        <v>Sell</v>
      </c>
      <c r="T905" s="8">
        <f t="shared" si="213"/>
        <v>0.22740864661654145</v>
      </c>
      <c r="U905" s="18">
        <f t="shared" si="214"/>
        <v>1190799</v>
      </c>
      <c r="V905" s="7">
        <f t="shared" si="215"/>
        <v>5586.2002000000002</v>
      </c>
      <c r="W905" s="7">
        <f t="shared" si="216"/>
        <v>2834.1001000000001</v>
      </c>
      <c r="X905" s="7">
        <f t="shared" si="217"/>
        <v>2879.2</v>
      </c>
      <c r="Y905" s="7">
        <f t="shared" si="218"/>
        <v>113</v>
      </c>
      <c r="Z905" s="7">
        <f t="shared" si="219"/>
        <v>312465</v>
      </c>
      <c r="AA905" s="7" t="str">
        <f t="shared" si="220"/>
        <v>18-Feb-2025</v>
      </c>
      <c r="AB905" s="7">
        <f t="shared" si="221"/>
        <v>2879.2</v>
      </c>
      <c r="AC905" s="7">
        <f t="shared" si="224"/>
        <v>1</v>
      </c>
      <c r="AD905" s="7">
        <f t="shared" si="222"/>
        <v>2025</v>
      </c>
      <c r="AE905" s="19">
        <f t="shared" si="223"/>
        <v>-1.98</v>
      </c>
    </row>
    <row r="906" spans="1:31" x14ac:dyDescent="0.3">
      <c r="A906" s="17">
        <v>45707</v>
      </c>
      <c r="B906" s="8">
        <v>2919.3998999999999</v>
      </c>
      <c r="C906" s="7">
        <v>2946</v>
      </c>
      <c r="D906" s="7">
        <v>2917.1001000000001</v>
      </c>
      <c r="E906" s="7">
        <v>2938.7</v>
      </c>
      <c r="F906" s="18">
        <v>2630</v>
      </c>
      <c r="G906" s="7">
        <v>2908.3143</v>
      </c>
      <c r="H906" s="7">
        <v>2789.2332999999999</v>
      </c>
      <c r="I906" s="7">
        <v>2705.7377999999999</v>
      </c>
      <c r="J906" s="8">
        <v>2.0665</v>
      </c>
      <c r="K906" s="7">
        <v>1.4843999999999999</v>
      </c>
      <c r="L906" s="7">
        <v>0.91859999999999997</v>
      </c>
      <c r="M906" s="8">
        <v>73.232799999999997</v>
      </c>
      <c r="N906" s="8">
        <v>57.549900000000001</v>
      </c>
      <c r="O906" s="7">
        <v>52.887500000000003</v>
      </c>
      <c r="P906" s="7">
        <v>2970.3262</v>
      </c>
      <c r="Q906" s="7">
        <v>2701.9838</v>
      </c>
      <c r="R906" s="7" t="str">
        <f t="shared" si="211"/>
        <v>Up</v>
      </c>
      <c r="S906" s="7" t="str">
        <f t="shared" si="212"/>
        <v>Sell</v>
      </c>
      <c r="T906" s="8">
        <f t="shared" si="213"/>
        <v>0.23573094339622644</v>
      </c>
      <c r="U906" s="18">
        <f t="shared" si="214"/>
        <v>1186789</v>
      </c>
      <c r="V906" s="7">
        <f t="shared" si="215"/>
        <v>5586.2002000000002</v>
      </c>
      <c r="W906" s="7">
        <f t="shared" si="216"/>
        <v>2834.1001000000001</v>
      </c>
      <c r="X906" s="7">
        <f t="shared" si="217"/>
        <v>2938.7</v>
      </c>
      <c r="Y906" s="7">
        <f t="shared" si="218"/>
        <v>113</v>
      </c>
      <c r="Z906" s="7">
        <f t="shared" si="219"/>
        <v>312465</v>
      </c>
      <c r="AA906" s="7" t="str">
        <f t="shared" si="220"/>
        <v>19-Feb-2025</v>
      </c>
      <c r="AB906" s="7">
        <f t="shared" si="221"/>
        <v>2938.7</v>
      </c>
      <c r="AC906" s="7">
        <f t="shared" si="224"/>
        <v>1</v>
      </c>
      <c r="AD906" s="7">
        <f t="shared" si="222"/>
        <v>2025</v>
      </c>
      <c r="AE906" s="19">
        <f t="shared" si="223"/>
        <v>2.0699999999999998</v>
      </c>
    </row>
    <row r="907" spans="1:31" x14ac:dyDescent="0.3">
      <c r="A907" s="17">
        <v>45708</v>
      </c>
      <c r="B907" s="8">
        <v>2940</v>
      </c>
      <c r="C907" s="7">
        <v>2955.8</v>
      </c>
      <c r="D907" s="7">
        <v>2924.2</v>
      </c>
      <c r="E907" s="7">
        <v>2949.1001000000001</v>
      </c>
      <c r="F907" s="18">
        <v>656</v>
      </c>
      <c r="G907" s="7">
        <v>2920.4429</v>
      </c>
      <c r="H907" s="7">
        <v>2799.09</v>
      </c>
      <c r="I907" s="7">
        <v>2709.5889000000002</v>
      </c>
      <c r="J907" s="8">
        <v>0.35389999999999999</v>
      </c>
      <c r="K907" s="7">
        <v>1.4806999999999999</v>
      </c>
      <c r="L907" s="7">
        <v>0.91849999999999998</v>
      </c>
      <c r="M907" s="8">
        <v>73.736500000000007</v>
      </c>
      <c r="N907" s="8">
        <v>58.844000000000001</v>
      </c>
      <c r="O907" s="7">
        <v>54.078800000000001</v>
      </c>
      <c r="P907" s="7">
        <v>2983.3083999999999</v>
      </c>
      <c r="Q907" s="7">
        <v>2708.4616000000001</v>
      </c>
      <c r="R907" s="7" t="str">
        <f t="shared" si="211"/>
        <v>Up</v>
      </c>
      <c r="S907" s="7" t="str">
        <f t="shared" si="212"/>
        <v>Sell</v>
      </c>
      <c r="T907" s="8">
        <f t="shared" si="213"/>
        <v>0.22879621212121223</v>
      </c>
      <c r="U907" s="18">
        <f t="shared" si="214"/>
        <v>1184159</v>
      </c>
      <c r="V907" s="7">
        <f t="shared" si="215"/>
        <v>5586.2002000000002</v>
      </c>
      <c r="W907" s="7">
        <f t="shared" si="216"/>
        <v>2834.1001000000001</v>
      </c>
      <c r="X907" s="7">
        <f t="shared" si="217"/>
        <v>2949.1001000000001</v>
      </c>
      <c r="Y907" s="7">
        <f t="shared" si="218"/>
        <v>112</v>
      </c>
      <c r="Z907" s="7">
        <f t="shared" si="219"/>
        <v>309835</v>
      </c>
      <c r="AA907" s="7" t="str">
        <f t="shared" si="220"/>
        <v>20-Feb-2025</v>
      </c>
      <c r="AB907" s="7">
        <f t="shared" si="221"/>
        <v>2949.1001000000001</v>
      </c>
      <c r="AC907" s="7">
        <f t="shared" si="224"/>
        <v>1</v>
      </c>
      <c r="AD907" s="7">
        <f t="shared" si="222"/>
        <v>2025</v>
      </c>
      <c r="AE907" s="19">
        <f t="shared" si="223"/>
        <v>0.35</v>
      </c>
    </row>
    <row r="908" spans="1:31" x14ac:dyDescent="0.3">
      <c r="A908" s="17">
        <v>45709</v>
      </c>
      <c r="B908" s="8">
        <v>2937.6001000000001</v>
      </c>
      <c r="C908" s="7">
        <v>2940</v>
      </c>
      <c r="D908" s="7">
        <v>2917.3</v>
      </c>
      <c r="E908" s="7">
        <v>2938.8</v>
      </c>
      <c r="F908" s="18">
        <v>570</v>
      </c>
      <c r="G908" s="7">
        <v>2922.3429000000001</v>
      </c>
      <c r="H908" s="7">
        <v>2808.5333000000001</v>
      </c>
      <c r="I908" s="7">
        <v>2712.9277999999999</v>
      </c>
      <c r="J908" s="8">
        <v>-0.3493</v>
      </c>
      <c r="K908" s="7">
        <v>1.2870999999999999</v>
      </c>
      <c r="L908" s="7">
        <v>0.92630000000000001</v>
      </c>
      <c r="M908" s="8">
        <v>66.850800000000007</v>
      </c>
      <c r="N908" s="8">
        <v>58.365600000000001</v>
      </c>
      <c r="O908" s="7">
        <v>54.936199999999999</v>
      </c>
      <c r="P908" s="7">
        <v>2991.9866000000002</v>
      </c>
      <c r="Q908" s="7">
        <v>2717.6633999999999</v>
      </c>
      <c r="R908" s="7" t="str">
        <f t="shared" si="211"/>
        <v>Up</v>
      </c>
      <c r="S908" s="7" t="str">
        <f t="shared" si="212"/>
        <v>Hold</v>
      </c>
      <c r="T908" s="8">
        <f t="shared" si="213"/>
        <v>0.22832053231939176</v>
      </c>
      <c r="U908" s="18">
        <f t="shared" si="214"/>
        <v>1183503</v>
      </c>
      <c r="V908" s="7">
        <f t="shared" si="215"/>
        <v>5586.2002000000002</v>
      </c>
      <c r="W908" s="7">
        <f t="shared" si="216"/>
        <v>2834.1001000000001</v>
      </c>
      <c r="X908" s="7">
        <f t="shared" si="217"/>
        <v>2938.8</v>
      </c>
      <c r="Y908" s="7">
        <f t="shared" si="218"/>
        <v>111</v>
      </c>
      <c r="Z908" s="7">
        <f t="shared" si="219"/>
        <v>309179</v>
      </c>
      <c r="AA908" s="7" t="str">
        <f t="shared" si="220"/>
        <v>21-Feb-2025</v>
      </c>
      <c r="AB908" s="7">
        <f t="shared" si="221"/>
        <v>2938.8</v>
      </c>
      <c r="AC908" s="7">
        <f t="shared" si="224"/>
        <v>1</v>
      </c>
      <c r="AD908" s="7">
        <f t="shared" si="222"/>
        <v>2025</v>
      </c>
      <c r="AE908" s="19">
        <f t="shared" si="223"/>
        <v>-0.35</v>
      </c>
    </row>
    <row r="909" spans="1:31" x14ac:dyDescent="0.3">
      <c r="A909" s="17">
        <v>45712</v>
      </c>
      <c r="B909" s="8">
        <v>2947.8998999999999</v>
      </c>
      <c r="C909" s="7">
        <v>2957.8998999999999</v>
      </c>
      <c r="D909" s="7">
        <v>2933.1001000000001</v>
      </c>
      <c r="E909" s="7">
        <v>2933.1001000000001</v>
      </c>
      <c r="F909" s="18">
        <v>415</v>
      </c>
      <c r="G909" s="7">
        <v>2926.7856999999999</v>
      </c>
      <c r="H909" s="7">
        <v>2817.3134</v>
      </c>
      <c r="I909" s="7">
        <v>2716.0178000000001</v>
      </c>
      <c r="J909" s="8">
        <v>-0.19400000000000001</v>
      </c>
      <c r="K909" s="7">
        <v>1.2377</v>
      </c>
      <c r="L909" s="7">
        <v>0.93059999999999998</v>
      </c>
      <c r="M909" s="8">
        <v>67.913899999999998</v>
      </c>
      <c r="N909" s="8">
        <v>56.871099999999998</v>
      </c>
      <c r="O909" s="7">
        <v>55.323099999999997</v>
      </c>
      <c r="P909" s="7">
        <v>2997.2287999999999</v>
      </c>
      <c r="Q909" s="7">
        <v>2729.7512000000002</v>
      </c>
      <c r="R909" s="7" t="str">
        <f t="shared" si="211"/>
        <v>Down</v>
      </c>
      <c r="S909" s="7" t="str">
        <f t="shared" si="212"/>
        <v>Hold</v>
      </c>
      <c r="T909" s="8">
        <f t="shared" si="213"/>
        <v>0.23052519083969478</v>
      </c>
      <c r="U909" s="18">
        <f t="shared" si="214"/>
        <v>1182933</v>
      </c>
      <c r="V909" s="7">
        <f t="shared" si="215"/>
        <v>5586.2002000000002</v>
      </c>
      <c r="W909" s="7">
        <f t="shared" si="216"/>
        <v>2834.1001000000001</v>
      </c>
      <c r="X909" s="7">
        <f t="shared" si="217"/>
        <v>2933.1001000000001</v>
      </c>
      <c r="Y909" s="7">
        <f t="shared" si="218"/>
        <v>110</v>
      </c>
      <c r="Z909" s="7">
        <f t="shared" si="219"/>
        <v>308609</v>
      </c>
      <c r="AA909" s="7" t="str">
        <f t="shared" si="220"/>
        <v>24-Feb-2025</v>
      </c>
      <c r="AB909" s="7">
        <f t="shared" si="221"/>
        <v>2933.1001000000001</v>
      </c>
      <c r="AC909" s="7">
        <f t="shared" si="224"/>
        <v>1</v>
      </c>
      <c r="AD909" s="7">
        <f t="shared" si="222"/>
        <v>2025</v>
      </c>
      <c r="AE909" s="19">
        <f t="shared" si="223"/>
        <v>-0.19</v>
      </c>
    </row>
    <row r="910" spans="1:31" x14ac:dyDescent="0.3">
      <c r="A910" s="17">
        <v>45713</v>
      </c>
      <c r="B910" s="8">
        <v>2904.5</v>
      </c>
      <c r="C910" s="7">
        <v>2943.2</v>
      </c>
      <c r="D910" s="7">
        <v>2890</v>
      </c>
      <c r="E910" s="7">
        <v>2938.7</v>
      </c>
      <c r="F910" s="18">
        <v>1854</v>
      </c>
      <c r="G910" s="7">
        <v>2930.7</v>
      </c>
      <c r="H910" s="7">
        <v>2825.7332999999999</v>
      </c>
      <c r="I910" s="7">
        <v>2719.0989</v>
      </c>
      <c r="J910" s="8">
        <v>0.19089999999999999</v>
      </c>
      <c r="K910" s="7">
        <v>1.2358</v>
      </c>
      <c r="L910" s="7">
        <v>0.92920000000000003</v>
      </c>
      <c r="M910" s="8">
        <v>67.529200000000003</v>
      </c>
      <c r="N910" s="8">
        <v>55.498699999999999</v>
      </c>
      <c r="O910" s="7">
        <v>55.3583</v>
      </c>
      <c r="P910" s="7">
        <v>3000.9694</v>
      </c>
      <c r="Q910" s="7">
        <v>2743.7705999999998</v>
      </c>
      <c r="R910" s="7" t="str">
        <f t="shared" si="211"/>
        <v>Up</v>
      </c>
      <c r="S910" s="7" t="str">
        <f t="shared" si="212"/>
        <v>Hold</v>
      </c>
      <c r="T910" s="8">
        <f t="shared" si="213"/>
        <v>0.23215172413793111</v>
      </c>
      <c r="U910" s="18">
        <f t="shared" si="214"/>
        <v>1182518</v>
      </c>
      <c r="V910" s="7">
        <f t="shared" si="215"/>
        <v>5586.2002000000002</v>
      </c>
      <c r="W910" s="7">
        <f t="shared" si="216"/>
        <v>2834.1001000000001</v>
      </c>
      <c r="X910" s="7">
        <f t="shared" si="217"/>
        <v>2938.7</v>
      </c>
      <c r="Y910" s="7">
        <f t="shared" si="218"/>
        <v>110</v>
      </c>
      <c r="Z910" s="7">
        <f t="shared" si="219"/>
        <v>308609</v>
      </c>
      <c r="AA910" s="7" t="str">
        <f t="shared" si="220"/>
        <v>25-Feb-2025</v>
      </c>
      <c r="AB910" s="7">
        <f t="shared" si="221"/>
        <v>2938.7</v>
      </c>
      <c r="AC910" s="7">
        <f t="shared" si="224"/>
        <v>1</v>
      </c>
      <c r="AD910" s="7">
        <f t="shared" si="222"/>
        <v>2025</v>
      </c>
      <c r="AE910" s="19">
        <f t="shared" si="223"/>
        <v>0.19</v>
      </c>
    </row>
    <row r="911" spans="1:31" x14ac:dyDescent="0.3">
      <c r="A911" s="17">
        <v>45714</v>
      </c>
      <c r="B911" s="8">
        <v>2916.8</v>
      </c>
      <c r="C911" s="7">
        <v>2917</v>
      </c>
      <c r="D911" s="7">
        <v>2913</v>
      </c>
      <c r="E911" s="7">
        <v>2913.5</v>
      </c>
      <c r="F911" s="18">
        <v>2050</v>
      </c>
      <c r="G911" s="7">
        <v>2927.3</v>
      </c>
      <c r="H911" s="7">
        <v>2832.48</v>
      </c>
      <c r="I911" s="7">
        <v>2721.76</v>
      </c>
      <c r="J911" s="8">
        <v>-0.85750000000000004</v>
      </c>
      <c r="K911" s="7">
        <v>1.2353000000000001</v>
      </c>
      <c r="L911" s="7">
        <v>0.94479999999999997</v>
      </c>
      <c r="M911" s="8">
        <v>59.931199999999997</v>
      </c>
      <c r="N911" s="8">
        <v>51.780700000000003</v>
      </c>
      <c r="O911" s="7">
        <v>54.642800000000001</v>
      </c>
      <c r="P911" s="7">
        <v>2994.1433000000002</v>
      </c>
      <c r="Q911" s="7">
        <v>2768.1466999999998</v>
      </c>
      <c r="R911" s="7" t="str">
        <f t="shared" si="211"/>
        <v>Down</v>
      </c>
      <c r="S911" s="7" t="str">
        <f t="shared" si="212"/>
        <v>Hold</v>
      </c>
      <c r="T911" s="8">
        <f t="shared" si="213"/>
        <v>0.2323103846153847</v>
      </c>
      <c r="U911" s="18">
        <f t="shared" si="214"/>
        <v>1180664</v>
      </c>
      <c r="V911" s="7">
        <f t="shared" si="215"/>
        <v>5586.2002000000002</v>
      </c>
      <c r="W911" s="7">
        <f t="shared" si="216"/>
        <v>2834.1001000000001</v>
      </c>
      <c r="X911" s="7">
        <f t="shared" si="217"/>
        <v>2913.5</v>
      </c>
      <c r="Y911" s="7">
        <f t="shared" si="218"/>
        <v>109</v>
      </c>
      <c r="Z911" s="7">
        <f t="shared" si="219"/>
        <v>306755</v>
      </c>
      <c r="AA911" s="7" t="str">
        <f t="shared" si="220"/>
        <v>26-Feb-2025</v>
      </c>
      <c r="AB911" s="7">
        <f t="shared" si="221"/>
        <v>2913.5</v>
      </c>
      <c r="AC911" s="7">
        <f t="shared" si="224"/>
        <v>1</v>
      </c>
      <c r="AD911" s="7">
        <f t="shared" si="222"/>
        <v>2025</v>
      </c>
      <c r="AE911" s="19">
        <f t="shared" si="223"/>
        <v>-0.86</v>
      </c>
    </row>
    <row r="912" spans="1:31" x14ac:dyDescent="0.3">
      <c r="A912" s="17">
        <v>45715</v>
      </c>
      <c r="B912" s="8">
        <v>2883.2</v>
      </c>
      <c r="C912" s="7">
        <v>2922.8</v>
      </c>
      <c r="D912" s="7">
        <v>2870.3998999999999</v>
      </c>
      <c r="E912" s="7">
        <v>2918.5</v>
      </c>
      <c r="F912" s="18">
        <v>3215</v>
      </c>
      <c r="G912" s="7">
        <v>2932.9142999999999</v>
      </c>
      <c r="H912" s="7">
        <v>2840.6433000000002</v>
      </c>
      <c r="I912" s="7">
        <v>2724.4389000000001</v>
      </c>
      <c r="J912" s="8">
        <v>0.1716</v>
      </c>
      <c r="K912" s="7">
        <v>0.92049999999999998</v>
      </c>
      <c r="L912" s="7">
        <v>0.89370000000000005</v>
      </c>
      <c r="M912" s="8">
        <v>58.610700000000001</v>
      </c>
      <c r="N912" s="8">
        <v>48.676600000000001</v>
      </c>
      <c r="O912" s="7">
        <v>53.4495</v>
      </c>
      <c r="P912" s="7">
        <v>2989.5331000000001</v>
      </c>
      <c r="Q912" s="7">
        <v>2787.6968999999999</v>
      </c>
      <c r="R912" s="7" t="str">
        <f t="shared" si="211"/>
        <v>Up</v>
      </c>
      <c r="S912" s="7" t="str">
        <f t="shared" si="212"/>
        <v>Hold</v>
      </c>
      <c r="T912" s="8">
        <f t="shared" si="213"/>
        <v>0.23651814671814675</v>
      </c>
      <c r="U912" s="18">
        <f t="shared" si="214"/>
        <v>1178614</v>
      </c>
      <c r="V912" s="7">
        <f t="shared" si="215"/>
        <v>5586.2002000000002</v>
      </c>
      <c r="W912" s="7">
        <f t="shared" si="216"/>
        <v>2834.1001000000001</v>
      </c>
      <c r="X912" s="7">
        <f t="shared" si="217"/>
        <v>2918.5</v>
      </c>
      <c r="Y912" s="7">
        <f t="shared" si="218"/>
        <v>109</v>
      </c>
      <c r="Z912" s="7">
        <f t="shared" si="219"/>
        <v>306755</v>
      </c>
      <c r="AA912" s="7" t="str">
        <f t="shared" si="220"/>
        <v>27-Feb-2025</v>
      </c>
      <c r="AB912" s="7">
        <f t="shared" si="221"/>
        <v>2918.5</v>
      </c>
      <c r="AC912" s="7">
        <f t="shared" si="224"/>
        <v>1</v>
      </c>
      <c r="AD912" s="7">
        <f t="shared" si="222"/>
        <v>2025</v>
      </c>
      <c r="AE912" s="19">
        <f t="shared" si="223"/>
        <v>0.17</v>
      </c>
    </row>
    <row r="913" spans="1:31" x14ac:dyDescent="0.3">
      <c r="A913" s="17">
        <v>45716</v>
      </c>
      <c r="B913" s="8">
        <v>2836.8</v>
      </c>
      <c r="C913" s="7">
        <v>2877.1001000000001</v>
      </c>
      <c r="D913" s="7">
        <v>2834.1001000000001</v>
      </c>
      <c r="E913" s="7">
        <v>2877.1001000000001</v>
      </c>
      <c r="F913" s="18">
        <v>990</v>
      </c>
      <c r="G913" s="7">
        <v>2924.1143000000002</v>
      </c>
      <c r="H913" s="7">
        <v>2846.8533000000002</v>
      </c>
      <c r="I913" s="7">
        <v>2726.2543999999998</v>
      </c>
      <c r="J913" s="8">
        <v>-1.4185000000000001</v>
      </c>
      <c r="K913" s="7">
        <v>0.64119999999999999</v>
      </c>
      <c r="L913" s="7">
        <v>0.94399999999999995</v>
      </c>
      <c r="M913" s="8">
        <v>52.488500000000002</v>
      </c>
      <c r="N913" s="8">
        <v>42.387300000000003</v>
      </c>
      <c r="O913" s="7">
        <v>51.237099999999998</v>
      </c>
      <c r="P913" s="7">
        <v>2979.0432999999998</v>
      </c>
      <c r="Q913" s="7">
        <v>2808.6466999999998</v>
      </c>
      <c r="R913" s="7" t="str">
        <f t="shared" si="211"/>
        <v>Up</v>
      </c>
      <c r="S913" s="7" t="str">
        <f t="shared" si="212"/>
        <v>Hold</v>
      </c>
      <c r="T913" s="8">
        <f t="shared" si="213"/>
        <v>0.23676976744186051</v>
      </c>
      <c r="U913" s="18">
        <f t="shared" si="214"/>
        <v>1175399</v>
      </c>
      <c r="V913" s="7">
        <f t="shared" si="215"/>
        <v>5586.2002000000002</v>
      </c>
      <c r="W913" s="7">
        <f t="shared" si="216"/>
        <v>2834.1001000000001</v>
      </c>
      <c r="X913" s="7">
        <f t="shared" si="217"/>
        <v>2877.1001000000001</v>
      </c>
      <c r="Y913" s="7">
        <f t="shared" si="218"/>
        <v>108</v>
      </c>
      <c r="Z913" s="7">
        <f t="shared" si="219"/>
        <v>303540</v>
      </c>
      <c r="AA913" s="7" t="str">
        <f t="shared" si="220"/>
        <v>28-Feb-2025</v>
      </c>
      <c r="AB913" s="7">
        <f t="shared" si="221"/>
        <v>2877.1001000000001</v>
      </c>
      <c r="AC913" s="7">
        <f t="shared" si="224"/>
        <v>1</v>
      </c>
      <c r="AD913" s="7">
        <f t="shared" si="222"/>
        <v>2025</v>
      </c>
      <c r="AE913" s="19">
        <f t="shared" si="223"/>
        <v>-1.42</v>
      </c>
    </row>
    <row r="914" spans="1:31" x14ac:dyDescent="0.3">
      <c r="A914" s="17">
        <v>45719</v>
      </c>
      <c r="B914" s="8">
        <v>2890.2</v>
      </c>
      <c r="C914" s="7">
        <v>2891.8</v>
      </c>
      <c r="D914" s="7">
        <v>2863.3998999999999</v>
      </c>
      <c r="E914" s="7">
        <v>2872.7</v>
      </c>
      <c r="F914" s="18">
        <v>423</v>
      </c>
      <c r="G914" s="7">
        <v>2913.2</v>
      </c>
      <c r="H914" s="7">
        <v>2851.5533</v>
      </c>
      <c r="I914" s="7">
        <v>2727.93</v>
      </c>
      <c r="J914" s="8">
        <v>-0.15290000000000001</v>
      </c>
      <c r="K914" s="7">
        <v>0.58069999999999999</v>
      </c>
      <c r="L914" s="7">
        <v>0.91400000000000003</v>
      </c>
      <c r="M914" s="8">
        <v>51.229399999999998</v>
      </c>
      <c r="N914" s="8">
        <v>36.625700000000002</v>
      </c>
      <c r="O914" s="7">
        <v>48.314799999999998</v>
      </c>
      <c r="P914" s="7">
        <v>2976.3265999999999</v>
      </c>
      <c r="Q914" s="7">
        <v>2815.7334000000001</v>
      </c>
      <c r="R914" s="7" t="str">
        <f t="shared" si="211"/>
        <v>Down</v>
      </c>
      <c r="S914" s="7" t="str">
        <f t="shared" si="212"/>
        <v>Hold</v>
      </c>
      <c r="T914" s="8">
        <f t="shared" si="213"/>
        <v>0.24321050583657589</v>
      </c>
      <c r="U914" s="18">
        <f t="shared" si="214"/>
        <v>1174409</v>
      </c>
      <c r="V914" s="7">
        <f t="shared" si="215"/>
        <v>5586.2002000000002</v>
      </c>
      <c r="W914" s="7">
        <f t="shared" si="216"/>
        <v>2863.3998999999999</v>
      </c>
      <c r="X914" s="7">
        <f t="shared" si="217"/>
        <v>2872.7</v>
      </c>
      <c r="Y914" s="7">
        <f t="shared" si="218"/>
        <v>107</v>
      </c>
      <c r="Z914" s="7">
        <f t="shared" si="219"/>
        <v>302550</v>
      </c>
      <c r="AA914" s="7" t="str">
        <f t="shared" si="220"/>
        <v>03-Mar-2025</v>
      </c>
      <c r="AB914" s="7">
        <f t="shared" si="221"/>
        <v>2872.7</v>
      </c>
      <c r="AC914" s="7">
        <f t="shared" si="224"/>
        <v>1</v>
      </c>
      <c r="AD914" s="7">
        <f t="shared" si="222"/>
        <v>2025</v>
      </c>
      <c r="AE914" s="19">
        <f t="shared" si="223"/>
        <v>-0.15</v>
      </c>
    </row>
    <row r="915" spans="1:31" x14ac:dyDescent="0.3">
      <c r="A915" s="17">
        <v>45720</v>
      </c>
      <c r="B915" s="8">
        <v>2909.6001000000001</v>
      </c>
      <c r="C915" s="7">
        <v>2927.8998999999999</v>
      </c>
      <c r="D915" s="7">
        <v>2886.1001000000001</v>
      </c>
      <c r="E915" s="7">
        <v>2886.1001000000001</v>
      </c>
      <c r="F915" s="18">
        <v>885</v>
      </c>
      <c r="G915" s="7">
        <v>2905.6714999999999</v>
      </c>
      <c r="H915" s="7">
        <v>2856.5567000000001</v>
      </c>
      <c r="I915" s="7">
        <v>2729.6455999999998</v>
      </c>
      <c r="J915" s="8">
        <v>0.46650000000000003</v>
      </c>
      <c r="K915" s="7">
        <v>0.66239999999999999</v>
      </c>
      <c r="L915" s="7">
        <v>0.91549999999999998</v>
      </c>
      <c r="M915" s="8">
        <v>43.384799999999998</v>
      </c>
      <c r="N915" s="8">
        <v>32.763300000000001</v>
      </c>
      <c r="O915" s="7">
        <v>45.204500000000003</v>
      </c>
      <c r="P915" s="7">
        <v>2971.1502</v>
      </c>
      <c r="Q915" s="7">
        <v>2827.6997999999999</v>
      </c>
      <c r="R915" s="7" t="str">
        <f t="shared" si="211"/>
        <v>Down</v>
      </c>
      <c r="S915" s="7" t="str">
        <f t="shared" si="212"/>
        <v>Hold</v>
      </c>
      <c r="T915" s="8">
        <f t="shared" si="213"/>
        <v>0.24475781249999998</v>
      </c>
      <c r="U915" s="18">
        <f t="shared" si="214"/>
        <v>1173986</v>
      </c>
      <c r="V915" s="7">
        <f t="shared" si="215"/>
        <v>5586.2002000000002</v>
      </c>
      <c r="W915" s="7">
        <f t="shared" si="216"/>
        <v>2880.2</v>
      </c>
      <c r="X915" s="7">
        <f t="shared" si="217"/>
        <v>2886.1001000000001</v>
      </c>
      <c r="Y915" s="7">
        <f t="shared" si="218"/>
        <v>107</v>
      </c>
      <c r="Z915" s="7">
        <f t="shared" si="219"/>
        <v>302550</v>
      </c>
      <c r="AA915" s="7" t="str">
        <f t="shared" si="220"/>
        <v>04-Mar-2025</v>
      </c>
      <c r="AB915" s="7">
        <f t="shared" si="221"/>
        <v>2886.1001000000001</v>
      </c>
      <c r="AC915" s="7">
        <f t="shared" si="224"/>
        <v>1</v>
      </c>
      <c r="AD915" s="7">
        <f t="shared" si="222"/>
        <v>2025</v>
      </c>
      <c r="AE915" s="19">
        <f t="shared" si="223"/>
        <v>0.47</v>
      </c>
    </row>
    <row r="916" spans="1:31" x14ac:dyDescent="0.3">
      <c r="A916" s="17">
        <v>45721</v>
      </c>
      <c r="B916" s="8">
        <v>2915.3</v>
      </c>
      <c r="C916" s="7">
        <v>2922</v>
      </c>
      <c r="D916" s="7">
        <v>2893</v>
      </c>
      <c r="E916" s="7">
        <v>2916.7</v>
      </c>
      <c r="F916" s="18">
        <v>551</v>
      </c>
      <c r="G916" s="7">
        <v>2903.3285999999998</v>
      </c>
      <c r="H916" s="7">
        <v>2862.2467000000001</v>
      </c>
      <c r="I916" s="7">
        <v>2731.5810999999999</v>
      </c>
      <c r="J916" s="8">
        <v>1.0602</v>
      </c>
      <c r="K916" s="7">
        <v>0.83040000000000003</v>
      </c>
      <c r="L916" s="7">
        <v>0.92900000000000005</v>
      </c>
      <c r="M916" s="8">
        <v>52.410600000000002</v>
      </c>
      <c r="N916" s="8">
        <v>31.8047</v>
      </c>
      <c r="O916" s="7">
        <v>42.5246</v>
      </c>
      <c r="P916" s="7">
        <v>2967.4227999999998</v>
      </c>
      <c r="Q916" s="7">
        <v>2840.3371999999999</v>
      </c>
      <c r="R916" s="7" t="str">
        <f t="shared" si="211"/>
        <v>Up</v>
      </c>
      <c r="S916" s="7" t="str">
        <f t="shared" si="212"/>
        <v>Hold</v>
      </c>
      <c r="T916" s="8">
        <f t="shared" si="213"/>
        <v>0.24388823529411763</v>
      </c>
      <c r="U916" s="18">
        <f t="shared" si="214"/>
        <v>1173101</v>
      </c>
      <c r="V916" s="7">
        <f t="shared" si="215"/>
        <v>5586.2002000000002</v>
      </c>
      <c r="W916" s="7">
        <f t="shared" si="216"/>
        <v>2880.2</v>
      </c>
      <c r="X916" s="7">
        <f t="shared" si="217"/>
        <v>2916.7</v>
      </c>
      <c r="Y916" s="7">
        <f t="shared" si="218"/>
        <v>107</v>
      </c>
      <c r="Z916" s="7">
        <f t="shared" si="219"/>
        <v>302550</v>
      </c>
      <c r="AA916" s="7" t="str">
        <f t="shared" si="220"/>
        <v>05-Mar-2025</v>
      </c>
      <c r="AB916" s="7">
        <f t="shared" si="221"/>
        <v>2916.7</v>
      </c>
      <c r="AC916" s="7">
        <f t="shared" si="224"/>
        <v>1</v>
      </c>
      <c r="AD916" s="7">
        <f t="shared" si="222"/>
        <v>2025</v>
      </c>
      <c r="AE916" s="19">
        <f t="shared" si="223"/>
        <v>1.06</v>
      </c>
    </row>
    <row r="917" spans="1:31" x14ac:dyDescent="0.3">
      <c r="A917" s="17">
        <v>45722</v>
      </c>
      <c r="B917" s="8">
        <v>2916.6001000000001</v>
      </c>
      <c r="C917" s="7">
        <v>2918.6001000000001</v>
      </c>
      <c r="D917" s="7">
        <v>2903.8</v>
      </c>
      <c r="E917" s="7">
        <v>2904</v>
      </c>
      <c r="F917" s="18">
        <v>870</v>
      </c>
      <c r="G917" s="7">
        <v>2898.3714</v>
      </c>
      <c r="H917" s="7">
        <v>2867.23</v>
      </c>
      <c r="I917" s="7">
        <v>2733.5255999999999</v>
      </c>
      <c r="J917" s="8">
        <v>-0.43540000000000001</v>
      </c>
      <c r="K917" s="7">
        <v>0.83040000000000003</v>
      </c>
      <c r="L917" s="7">
        <v>0.93610000000000004</v>
      </c>
      <c r="M917" s="8">
        <v>48.816099999999999</v>
      </c>
      <c r="N917" s="8">
        <v>29.6782</v>
      </c>
      <c r="O917" s="7">
        <v>39.955300000000001</v>
      </c>
      <c r="P917" s="7">
        <v>2964.8537999999999</v>
      </c>
      <c r="Q917" s="7">
        <v>2848.3062</v>
      </c>
      <c r="R917" s="7" t="str">
        <f t="shared" si="211"/>
        <v>Down</v>
      </c>
      <c r="S917" s="7" t="str">
        <f t="shared" si="212"/>
        <v>Hold</v>
      </c>
      <c r="T917" s="8">
        <f t="shared" si="213"/>
        <v>0.24067440944881896</v>
      </c>
      <c r="U917" s="18">
        <f t="shared" si="214"/>
        <v>1172550</v>
      </c>
      <c r="V917" s="7">
        <f t="shared" si="215"/>
        <v>5586.2002000000002</v>
      </c>
      <c r="W917" s="7">
        <f t="shared" si="216"/>
        <v>2880.2</v>
      </c>
      <c r="X917" s="7">
        <f t="shared" si="217"/>
        <v>2904</v>
      </c>
      <c r="Y917" s="7">
        <f t="shared" si="218"/>
        <v>106</v>
      </c>
      <c r="Z917" s="7">
        <f t="shared" si="219"/>
        <v>301999</v>
      </c>
      <c r="AA917" s="7" t="str">
        <f t="shared" si="220"/>
        <v>06-Mar-2025</v>
      </c>
      <c r="AB917" s="7">
        <f t="shared" si="221"/>
        <v>2904</v>
      </c>
      <c r="AC917" s="7">
        <f t="shared" si="224"/>
        <v>1</v>
      </c>
      <c r="AD917" s="7">
        <f t="shared" si="222"/>
        <v>2025</v>
      </c>
      <c r="AE917" s="19">
        <f t="shared" si="223"/>
        <v>-0.44</v>
      </c>
    </row>
    <row r="918" spans="1:31" x14ac:dyDescent="0.3">
      <c r="A918" s="17">
        <v>45723</v>
      </c>
      <c r="B918" s="8">
        <v>2904.7</v>
      </c>
      <c r="C918" s="7">
        <v>2927.3</v>
      </c>
      <c r="D918" s="7">
        <v>2900.5</v>
      </c>
      <c r="E918" s="7">
        <v>2900.8998999999999</v>
      </c>
      <c r="F918" s="18">
        <v>531</v>
      </c>
      <c r="G918" s="7">
        <v>2896.5713999999998</v>
      </c>
      <c r="H918" s="7">
        <v>2871.9267</v>
      </c>
      <c r="I918" s="7">
        <v>2735.4744000000001</v>
      </c>
      <c r="J918" s="8">
        <v>-0.10680000000000001</v>
      </c>
      <c r="K918" s="7">
        <v>0.77280000000000004</v>
      </c>
      <c r="L918" s="7">
        <v>0.9375</v>
      </c>
      <c r="M918" s="8">
        <v>43.622999999999998</v>
      </c>
      <c r="N918" s="8">
        <v>27.426600000000001</v>
      </c>
      <c r="O918" s="7">
        <v>37.449599999999997</v>
      </c>
      <c r="P918" s="7">
        <v>2963.3987999999999</v>
      </c>
      <c r="Q918" s="7">
        <v>2853.3312000000001</v>
      </c>
      <c r="R918" s="7" t="str">
        <f t="shared" si="211"/>
        <v>Down</v>
      </c>
      <c r="S918" s="7" t="str">
        <f t="shared" si="212"/>
        <v>Hold</v>
      </c>
      <c r="T918" s="8">
        <f t="shared" si="213"/>
        <v>0.24334664031620556</v>
      </c>
      <c r="U918" s="18">
        <f t="shared" si="214"/>
        <v>1171680</v>
      </c>
      <c r="V918" s="7">
        <f t="shared" si="215"/>
        <v>5586.2002000000002</v>
      </c>
      <c r="W918" s="7">
        <f t="shared" si="216"/>
        <v>2880.2</v>
      </c>
      <c r="X918" s="7">
        <f t="shared" si="217"/>
        <v>2900.8998999999999</v>
      </c>
      <c r="Y918" s="7">
        <f t="shared" si="218"/>
        <v>106</v>
      </c>
      <c r="Z918" s="7">
        <f t="shared" si="219"/>
        <v>301999</v>
      </c>
      <c r="AA918" s="7" t="str">
        <f t="shared" si="220"/>
        <v>07-Mar-2025</v>
      </c>
      <c r="AB918" s="7">
        <f t="shared" si="221"/>
        <v>2900.8998999999999</v>
      </c>
      <c r="AC918" s="7">
        <f t="shared" si="224"/>
        <v>1</v>
      </c>
      <c r="AD918" s="7">
        <f t="shared" si="222"/>
        <v>2025</v>
      </c>
      <c r="AE918" s="19">
        <f t="shared" si="223"/>
        <v>-0.11</v>
      </c>
    </row>
    <row r="919" spans="1:31" x14ac:dyDescent="0.3">
      <c r="A919" s="17">
        <v>45726</v>
      </c>
      <c r="B919" s="8">
        <v>2891</v>
      </c>
      <c r="C919" s="7">
        <v>2915.1001000000001</v>
      </c>
      <c r="D919" s="7">
        <v>2880.2</v>
      </c>
      <c r="E919" s="7">
        <v>2910.1001000000001</v>
      </c>
      <c r="F919" s="18">
        <v>55</v>
      </c>
      <c r="G919" s="7">
        <v>2895.3714</v>
      </c>
      <c r="H919" s="7">
        <v>2876.9367000000002</v>
      </c>
      <c r="I919" s="7">
        <v>2737.4078</v>
      </c>
      <c r="J919" s="8">
        <v>0.31709999999999999</v>
      </c>
      <c r="K919" s="7">
        <v>0.78190000000000004</v>
      </c>
      <c r="L919" s="7">
        <v>0.93730000000000002</v>
      </c>
      <c r="M919" s="8">
        <v>56.532800000000002</v>
      </c>
      <c r="N919" s="8">
        <v>26.0839</v>
      </c>
      <c r="O919" s="7">
        <v>35.176400000000001</v>
      </c>
      <c r="P919" s="7">
        <v>2960.9582</v>
      </c>
      <c r="Q919" s="7">
        <v>2860.7918</v>
      </c>
      <c r="R919" s="7" t="str">
        <f t="shared" si="211"/>
        <v>Up</v>
      </c>
      <c r="S919" s="7" t="str">
        <f t="shared" si="212"/>
        <v>Hold</v>
      </c>
      <c r="T919" s="8">
        <f t="shared" si="213"/>
        <v>0.24473611111111115</v>
      </c>
      <c r="U919" s="18">
        <f t="shared" si="214"/>
        <v>1171149</v>
      </c>
      <c r="V919" s="7">
        <f t="shared" si="215"/>
        <v>5586.2002000000002</v>
      </c>
      <c r="W919" s="7">
        <f t="shared" si="216"/>
        <v>2880.2</v>
      </c>
      <c r="X919" s="7">
        <f t="shared" si="217"/>
        <v>2910.1001000000001</v>
      </c>
      <c r="Y919" s="7">
        <f t="shared" si="218"/>
        <v>106</v>
      </c>
      <c r="Z919" s="7">
        <f t="shared" si="219"/>
        <v>301999</v>
      </c>
      <c r="AA919" s="7" t="str">
        <f t="shared" si="220"/>
        <v>10-Mar-2025</v>
      </c>
      <c r="AB919" s="7">
        <f t="shared" si="221"/>
        <v>2910.1001000000001</v>
      </c>
      <c r="AC919" s="7">
        <f t="shared" si="224"/>
        <v>1</v>
      </c>
      <c r="AD919" s="7">
        <f t="shared" si="222"/>
        <v>2025</v>
      </c>
      <c r="AE919" s="19">
        <f t="shared" si="223"/>
        <v>0.32</v>
      </c>
    </row>
    <row r="920" spans="1:31" x14ac:dyDescent="0.3">
      <c r="A920" s="17">
        <v>45727</v>
      </c>
      <c r="B920" s="8">
        <v>2912.8998999999999</v>
      </c>
      <c r="C920" s="7">
        <v>2916.7</v>
      </c>
      <c r="D920" s="7">
        <v>2880.3998999999999</v>
      </c>
      <c r="E920" s="7">
        <v>2884.3998999999999</v>
      </c>
      <c r="F920" s="18">
        <v>197</v>
      </c>
      <c r="G920" s="7">
        <v>2896.4142999999999</v>
      </c>
      <c r="H920" s="7">
        <v>2881.0466999999999</v>
      </c>
      <c r="I920" s="7">
        <v>2738.6967</v>
      </c>
      <c r="J920" s="8">
        <v>-0.8831</v>
      </c>
      <c r="K920" s="7">
        <v>0.63729999999999998</v>
      </c>
      <c r="L920" s="7">
        <v>0.95699999999999996</v>
      </c>
      <c r="M920" s="8">
        <v>36.605800000000002</v>
      </c>
      <c r="N920" s="8">
        <v>22.6845</v>
      </c>
      <c r="O920" s="7">
        <v>32.678100000000001</v>
      </c>
      <c r="P920" s="7">
        <v>2958.7139999999999</v>
      </c>
      <c r="Q920" s="7">
        <v>2865.056</v>
      </c>
      <c r="R920" s="7" t="str">
        <f t="shared" si="211"/>
        <v>Down</v>
      </c>
      <c r="S920" s="7" t="str">
        <f t="shared" si="212"/>
        <v>Hold</v>
      </c>
      <c r="T920" s="8">
        <f t="shared" si="213"/>
        <v>0.24444780876494029</v>
      </c>
      <c r="U920" s="18">
        <f t="shared" si="214"/>
        <v>1171094</v>
      </c>
      <c r="V920" s="7">
        <f t="shared" si="215"/>
        <v>5586.2002000000002</v>
      </c>
      <c r="W920" s="7">
        <f t="shared" si="216"/>
        <v>2880.3998999999999</v>
      </c>
      <c r="X920" s="7">
        <f t="shared" si="217"/>
        <v>2884.3998999999999</v>
      </c>
      <c r="Y920" s="7">
        <f t="shared" si="218"/>
        <v>105</v>
      </c>
      <c r="Z920" s="7">
        <f t="shared" si="219"/>
        <v>301944</v>
      </c>
      <c r="AA920" s="7" t="str">
        <f t="shared" si="220"/>
        <v>11-Mar-2025</v>
      </c>
      <c r="AB920" s="7">
        <f t="shared" si="221"/>
        <v>2884.3998999999999</v>
      </c>
      <c r="AC920" s="7">
        <f t="shared" si="224"/>
        <v>1</v>
      </c>
      <c r="AD920" s="7">
        <f t="shared" si="222"/>
        <v>2025</v>
      </c>
      <c r="AE920" s="19">
        <f t="shared" si="223"/>
        <v>-0.88</v>
      </c>
    </row>
    <row r="921" spans="1:31" x14ac:dyDescent="0.3">
      <c r="A921" s="17">
        <v>45728</v>
      </c>
      <c r="B921" s="8">
        <v>2939.1001000000001</v>
      </c>
      <c r="C921" s="7">
        <v>2939.1001000000001</v>
      </c>
      <c r="D921" s="7">
        <v>2910</v>
      </c>
      <c r="E921" s="7">
        <v>2912</v>
      </c>
      <c r="F921" s="18">
        <v>213</v>
      </c>
      <c r="G921" s="7">
        <v>2902.0286000000001</v>
      </c>
      <c r="H921" s="7">
        <v>2886.8467000000001</v>
      </c>
      <c r="I921" s="7">
        <v>2740.2233000000001</v>
      </c>
      <c r="J921" s="8">
        <v>0.95689999999999997</v>
      </c>
      <c r="K921" s="7">
        <v>0.71509999999999996</v>
      </c>
      <c r="L921" s="7">
        <v>0.94930000000000003</v>
      </c>
      <c r="M921" s="8">
        <v>41.564300000000003</v>
      </c>
      <c r="N921" s="8">
        <v>21.964400000000001</v>
      </c>
      <c r="O921" s="7">
        <v>30.535299999999999</v>
      </c>
      <c r="P921" s="7">
        <v>2957.5998</v>
      </c>
      <c r="Q921" s="7">
        <v>2864.8202000000001</v>
      </c>
      <c r="R921" s="7" t="str">
        <f t="shared" si="211"/>
        <v>Down</v>
      </c>
      <c r="S921" s="7" t="str">
        <f t="shared" si="212"/>
        <v>Hold</v>
      </c>
      <c r="T921" s="8">
        <f t="shared" si="213"/>
        <v>0.24895799999999998</v>
      </c>
      <c r="U921" s="18">
        <f t="shared" si="214"/>
        <v>1170897</v>
      </c>
      <c r="V921" s="7">
        <f t="shared" si="215"/>
        <v>5586.2002000000002</v>
      </c>
      <c r="W921" s="7">
        <f t="shared" si="216"/>
        <v>2910</v>
      </c>
      <c r="X921" s="7">
        <f t="shared" si="217"/>
        <v>2912</v>
      </c>
      <c r="Y921" s="7">
        <f t="shared" si="218"/>
        <v>105</v>
      </c>
      <c r="Z921" s="7">
        <f t="shared" si="219"/>
        <v>301944</v>
      </c>
      <c r="AA921" s="7" t="str">
        <f t="shared" si="220"/>
        <v>12-Mar-2025</v>
      </c>
      <c r="AB921" s="7">
        <f t="shared" si="221"/>
        <v>2912</v>
      </c>
      <c r="AC921" s="7">
        <f t="shared" si="224"/>
        <v>1</v>
      </c>
      <c r="AD921" s="7">
        <f t="shared" si="222"/>
        <v>2025</v>
      </c>
      <c r="AE921" s="19">
        <f t="shared" si="223"/>
        <v>0.96</v>
      </c>
    </row>
    <row r="922" spans="1:31" x14ac:dyDescent="0.3">
      <c r="A922" s="17">
        <v>45729</v>
      </c>
      <c r="B922" s="8">
        <v>2984.3</v>
      </c>
      <c r="C922" s="7">
        <v>2988</v>
      </c>
      <c r="D922" s="7">
        <v>2935.2</v>
      </c>
      <c r="E922" s="7">
        <v>2937.1001000000001</v>
      </c>
      <c r="F922" s="18">
        <v>2366</v>
      </c>
      <c r="G922" s="7">
        <v>2909.3143</v>
      </c>
      <c r="H922" s="7">
        <v>2892.4467</v>
      </c>
      <c r="I922" s="7">
        <v>2741.8867</v>
      </c>
      <c r="J922" s="8">
        <v>0.86199999999999999</v>
      </c>
      <c r="K922" s="7">
        <v>0.75460000000000005</v>
      </c>
      <c r="L922" s="7">
        <v>0.94130000000000003</v>
      </c>
      <c r="M922" s="8">
        <v>49.637799999999999</v>
      </c>
      <c r="N922" s="8">
        <v>23.152200000000001</v>
      </c>
      <c r="O922" s="7">
        <v>29.058700000000002</v>
      </c>
      <c r="P922" s="7">
        <v>2960.5286999999998</v>
      </c>
      <c r="Q922" s="7">
        <v>2865.4013</v>
      </c>
      <c r="R922" s="7" t="str">
        <f t="shared" si="211"/>
        <v>Down</v>
      </c>
      <c r="S922" s="7" t="str">
        <f t="shared" si="212"/>
        <v>Hold</v>
      </c>
      <c r="T922" s="8">
        <f t="shared" si="213"/>
        <v>0.24611485943775105</v>
      </c>
      <c r="U922" s="18">
        <f t="shared" si="214"/>
        <v>1170684</v>
      </c>
      <c r="V922" s="7">
        <f t="shared" si="215"/>
        <v>5586.2002000000002</v>
      </c>
      <c r="W922" s="7">
        <f t="shared" si="216"/>
        <v>2935.2</v>
      </c>
      <c r="X922" s="7">
        <f t="shared" si="217"/>
        <v>2937.1001000000001</v>
      </c>
      <c r="Y922" s="7">
        <f t="shared" si="218"/>
        <v>105</v>
      </c>
      <c r="Z922" s="7">
        <f t="shared" si="219"/>
        <v>301944</v>
      </c>
      <c r="AA922" s="7" t="str">
        <f t="shared" si="220"/>
        <v>13-Mar-2025</v>
      </c>
      <c r="AB922" s="7">
        <f t="shared" si="221"/>
        <v>2937.1001000000001</v>
      </c>
      <c r="AC922" s="7">
        <f t="shared" si="224"/>
        <v>1</v>
      </c>
      <c r="AD922" s="7">
        <f t="shared" si="222"/>
        <v>2025</v>
      </c>
      <c r="AE922" s="19">
        <f t="shared" si="223"/>
        <v>0.86</v>
      </c>
    </row>
    <row r="923" spans="1:31" x14ac:dyDescent="0.3">
      <c r="A923" s="17">
        <v>45730</v>
      </c>
      <c r="B923" s="8">
        <v>2994.5</v>
      </c>
      <c r="C923" s="7">
        <v>3004.8</v>
      </c>
      <c r="D923" s="7">
        <v>2986</v>
      </c>
      <c r="E923" s="7">
        <v>2994.3998999999999</v>
      </c>
      <c r="F923" s="18">
        <v>1800</v>
      </c>
      <c r="G923" s="7">
        <v>2920.4142999999999</v>
      </c>
      <c r="H923" s="7">
        <v>2899.8433</v>
      </c>
      <c r="I923" s="7">
        <v>2744.6522</v>
      </c>
      <c r="J923" s="8">
        <v>1.9509000000000001</v>
      </c>
      <c r="K923" s="7">
        <v>0.96040000000000003</v>
      </c>
      <c r="L923" s="7">
        <v>0.99380000000000002</v>
      </c>
      <c r="M923" s="8">
        <v>60.705500000000001</v>
      </c>
      <c r="N923" s="8">
        <v>28.389900000000001</v>
      </c>
      <c r="O923" s="7">
        <v>28.924900000000001</v>
      </c>
      <c r="P923" s="7">
        <v>2976.9962999999998</v>
      </c>
      <c r="Q923" s="7">
        <v>2857.2438000000002</v>
      </c>
      <c r="R923" s="7" t="str">
        <f t="shared" si="211"/>
        <v>Down</v>
      </c>
      <c r="S923" s="7" t="str">
        <f t="shared" si="212"/>
        <v>Hold</v>
      </c>
      <c r="T923" s="8">
        <f t="shared" si="213"/>
        <v>0.24363145161290334</v>
      </c>
      <c r="U923" s="18">
        <f t="shared" si="214"/>
        <v>1168318</v>
      </c>
      <c r="V923" s="7">
        <f t="shared" si="215"/>
        <v>5586.2002000000002</v>
      </c>
      <c r="W923" s="7">
        <f t="shared" si="216"/>
        <v>2949.7</v>
      </c>
      <c r="X923" s="7">
        <f t="shared" si="217"/>
        <v>2994.3998999999999</v>
      </c>
      <c r="Y923" s="7">
        <f t="shared" si="218"/>
        <v>105</v>
      </c>
      <c r="Z923" s="7">
        <f t="shared" si="219"/>
        <v>301944</v>
      </c>
      <c r="AA923" s="7" t="str">
        <f t="shared" si="220"/>
        <v>14-Mar-2025</v>
      </c>
      <c r="AB923" s="7">
        <f t="shared" si="221"/>
        <v>2994.3998999999999</v>
      </c>
      <c r="AC923" s="7">
        <f t="shared" si="224"/>
        <v>1</v>
      </c>
      <c r="AD923" s="7">
        <f t="shared" si="222"/>
        <v>2025</v>
      </c>
      <c r="AE923" s="19">
        <f t="shared" si="223"/>
        <v>1.95</v>
      </c>
    </row>
    <row r="924" spans="1:31" x14ac:dyDescent="0.3">
      <c r="A924" s="17">
        <v>45733</v>
      </c>
      <c r="B924" s="8">
        <v>3000</v>
      </c>
      <c r="C924" s="7">
        <v>3001.5</v>
      </c>
      <c r="D924" s="7">
        <v>2989</v>
      </c>
      <c r="E924" s="7">
        <v>2991</v>
      </c>
      <c r="F924" s="18">
        <v>214</v>
      </c>
      <c r="G924" s="7">
        <v>2932.8427999999999</v>
      </c>
      <c r="H924" s="7">
        <v>2905.2433000000001</v>
      </c>
      <c r="I924" s="7">
        <v>2747.48</v>
      </c>
      <c r="J924" s="8">
        <v>-0.1135</v>
      </c>
      <c r="K924" s="7">
        <v>0.92179999999999995</v>
      </c>
      <c r="L924" s="7">
        <v>0.93720000000000003</v>
      </c>
      <c r="M924" s="8">
        <v>59.204500000000003</v>
      </c>
      <c r="N924" s="8">
        <v>31.898700000000002</v>
      </c>
      <c r="O924" s="7">
        <v>29.5197</v>
      </c>
      <c r="P924" s="7">
        <v>2987.7622000000001</v>
      </c>
      <c r="Q924" s="7">
        <v>2851.8478</v>
      </c>
      <c r="R924" s="7" t="str">
        <f t="shared" si="211"/>
        <v>Down</v>
      </c>
      <c r="S924" s="7" t="str">
        <f t="shared" si="212"/>
        <v>Hold</v>
      </c>
      <c r="T924" s="8">
        <f t="shared" si="213"/>
        <v>0.23671943319838065</v>
      </c>
      <c r="U924" s="18">
        <f t="shared" si="214"/>
        <v>1166518</v>
      </c>
      <c r="V924" s="7">
        <f t="shared" si="215"/>
        <v>5586.2002000000002</v>
      </c>
      <c r="W924" s="7">
        <f t="shared" si="216"/>
        <v>2949.7</v>
      </c>
      <c r="X924" s="7">
        <f t="shared" si="217"/>
        <v>2991</v>
      </c>
      <c r="Y924" s="7">
        <f t="shared" si="218"/>
        <v>105</v>
      </c>
      <c r="Z924" s="7">
        <f t="shared" si="219"/>
        <v>301944</v>
      </c>
      <c r="AA924" s="7" t="str">
        <f t="shared" si="220"/>
        <v>17-Mar-2025</v>
      </c>
      <c r="AB924" s="7">
        <f t="shared" si="221"/>
        <v>2991</v>
      </c>
      <c r="AC924" s="7">
        <f t="shared" si="224"/>
        <v>1</v>
      </c>
      <c r="AD924" s="7">
        <f t="shared" si="222"/>
        <v>2025</v>
      </c>
      <c r="AE924" s="19">
        <f t="shared" si="223"/>
        <v>-0.11</v>
      </c>
    </row>
    <row r="925" spans="1:31" x14ac:dyDescent="0.3">
      <c r="A925" s="17">
        <v>45734</v>
      </c>
      <c r="B925" s="8">
        <v>3035.1001000000001</v>
      </c>
      <c r="C925" s="7">
        <v>3039.2</v>
      </c>
      <c r="D925" s="7">
        <v>3004.3998999999999</v>
      </c>
      <c r="E925" s="7">
        <v>3006.3998999999999</v>
      </c>
      <c r="F925" s="18">
        <v>428</v>
      </c>
      <c r="G925" s="7">
        <v>2947.9142999999999</v>
      </c>
      <c r="H925" s="7">
        <v>2911.5167000000001</v>
      </c>
      <c r="I925" s="7">
        <v>2750.4067</v>
      </c>
      <c r="J925" s="8">
        <v>0.51490000000000002</v>
      </c>
      <c r="K925" s="7">
        <v>0.89129999999999998</v>
      </c>
      <c r="L925" s="7">
        <v>0.93269999999999997</v>
      </c>
      <c r="M925" s="8">
        <v>66.933999999999997</v>
      </c>
      <c r="N925" s="8">
        <v>35.512799999999999</v>
      </c>
      <c r="O925" s="7">
        <v>30.718299999999999</v>
      </c>
      <c r="P925" s="7">
        <v>3001.527</v>
      </c>
      <c r="Q925" s="7">
        <v>2850.8029999999999</v>
      </c>
      <c r="R925" s="7" t="str">
        <f t="shared" si="211"/>
        <v>Down</v>
      </c>
      <c r="S925" s="7" t="str">
        <f t="shared" si="212"/>
        <v>Hold</v>
      </c>
      <c r="T925" s="8">
        <f t="shared" si="213"/>
        <v>0.23814308943089441</v>
      </c>
      <c r="U925" s="18">
        <f t="shared" si="214"/>
        <v>1166304</v>
      </c>
      <c r="V925" s="7">
        <f t="shared" si="215"/>
        <v>5586.2002000000002</v>
      </c>
      <c r="W925" s="7">
        <f t="shared" si="216"/>
        <v>2949.7</v>
      </c>
      <c r="X925" s="7">
        <f t="shared" si="217"/>
        <v>3006.3998999999999</v>
      </c>
      <c r="Y925" s="7">
        <f t="shared" si="218"/>
        <v>105</v>
      </c>
      <c r="Z925" s="7">
        <f t="shared" si="219"/>
        <v>301944</v>
      </c>
      <c r="AA925" s="7" t="str">
        <f t="shared" si="220"/>
        <v>18-Mar-2025</v>
      </c>
      <c r="AB925" s="7">
        <f t="shared" si="221"/>
        <v>3006.3998999999999</v>
      </c>
      <c r="AC925" s="7">
        <f t="shared" si="224"/>
        <v>1</v>
      </c>
      <c r="AD925" s="7">
        <f t="shared" si="222"/>
        <v>2025</v>
      </c>
      <c r="AE925" s="19">
        <f t="shared" si="223"/>
        <v>0.51</v>
      </c>
    </row>
    <row r="926" spans="1:31" x14ac:dyDescent="0.3">
      <c r="A926" s="17">
        <v>45735</v>
      </c>
      <c r="B926" s="8">
        <v>3035.8998999999999</v>
      </c>
      <c r="C926" s="7">
        <v>3050.8998999999999</v>
      </c>
      <c r="D926" s="7">
        <v>3030.8998999999999</v>
      </c>
      <c r="E926" s="7">
        <v>3035.2</v>
      </c>
      <c r="F926" s="18">
        <v>175</v>
      </c>
      <c r="G926" s="7">
        <v>2965.7856999999999</v>
      </c>
      <c r="H926" s="7">
        <v>2918.4367000000002</v>
      </c>
      <c r="I926" s="7">
        <v>2753.7478000000001</v>
      </c>
      <c r="J926" s="8">
        <v>0.95799999999999996</v>
      </c>
      <c r="K926" s="7">
        <v>0.90039999999999998</v>
      </c>
      <c r="L926" s="7">
        <v>0.94220000000000004</v>
      </c>
      <c r="M926" s="8">
        <v>69.573899999999995</v>
      </c>
      <c r="N926" s="8">
        <v>40.237000000000002</v>
      </c>
      <c r="O926" s="7">
        <v>32.622</v>
      </c>
      <c r="P926" s="7">
        <v>3020.7184000000002</v>
      </c>
      <c r="Q926" s="7">
        <v>2841.2615999999998</v>
      </c>
      <c r="R926" s="7" t="str">
        <f t="shared" si="211"/>
        <v>Down</v>
      </c>
      <c r="S926" s="7" t="str">
        <f t="shared" si="212"/>
        <v>Hold</v>
      </c>
      <c r="T926" s="8">
        <f t="shared" si="213"/>
        <v>0.23701346938775522</v>
      </c>
      <c r="U926" s="18">
        <f t="shared" si="214"/>
        <v>1165876</v>
      </c>
      <c r="V926" s="7">
        <f t="shared" si="215"/>
        <v>5586.2002000000002</v>
      </c>
      <c r="W926" s="7">
        <f t="shared" si="216"/>
        <v>2949.7</v>
      </c>
      <c r="X926" s="7">
        <f t="shared" si="217"/>
        <v>3035.2</v>
      </c>
      <c r="Y926" s="7">
        <f t="shared" si="218"/>
        <v>105</v>
      </c>
      <c r="Z926" s="7">
        <f t="shared" si="219"/>
        <v>301944</v>
      </c>
      <c r="AA926" s="7" t="str">
        <f t="shared" si="220"/>
        <v>19-Mar-2025</v>
      </c>
      <c r="AB926" s="7">
        <f t="shared" si="221"/>
        <v>3035.2</v>
      </c>
      <c r="AC926" s="7">
        <f t="shared" si="224"/>
        <v>1</v>
      </c>
      <c r="AD926" s="7">
        <f t="shared" si="222"/>
        <v>2025</v>
      </c>
      <c r="AE926" s="19">
        <f t="shared" si="223"/>
        <v>0.96</v>
      </c>
    </row>
    <row r="927" spans="1:31" x14ac:dyDescent="0.3">
      <c r="A927" s="17">
        <v>45736</v>
      </c>
      <c r="B927" s="8">
        <v>3040</v>
      </c>
      <c r="C927" s="7">
        <v>3047.3</v>
      </c>
      <c r="D927" s="7">
        <v>3034.3998999999999</v>
      </c>
      <c r="E927" s="7">
        <v>3047.3</v>
      </c>
      <c r="F927" s="18">
        <v>185</v>
      </c>
      <c r="G927" s="7">
        <v>2989.0571</v>
      </c>
      <c r="H927" s="7">
        <v>2925.0133000000001</v>
      </c>
      <c r="I927" s="7">
        <v>2758.0232999999998</v>
      </c>
      <c r="J927" s="8">
        <v>0.3987</v>
      </c>
      <c r="K927" s="7">
        <v>0.63959999999999995</v>
      </c>
      <c r="L927" s="7">
        <v>0.93700000000000006</v>
      </c>
      <c r="M927" s="8">
        <v>81.659199999999998</v>
      </c>
      <c r="N927" s="8">
        <v>44.445099999999996</v>
      </c>
      <c r="O927" s="7">
        <v>34.986600000000003</v>
      </c>
      <c r="P927" s="7">
        <v>3039.4792000000002</v>
      </c>
      <c r="Q927" s="7">
        <v>2832.3208</v>
      </c>
      <c r="R927" s="7" t="str">
        <f t="shared" si="211"/>
        <v>Up</v>
      </c>
      <c r="S927" s="7" t="str">
        <f t="shared" si="212"/>
        <v>Sell</v>
      </c>
      <c r="T927" s="8">
        <f t="shared" si="213"/>
        <v>0.23405860655737717</v>
      </c>
      <c r="U927" s="18">
        <f t="shared" si="214"/>
        <v>1165701</v>
      </c>
      <c r="V927" s="7">
        <f t="shared" si="215"/>
        <v>5586.2002000000002</v>
      </c>
      <c r="W927" s="7">
        <f t="shared" si="216"/>
        <v>2949.7</v>
      </c>
      <c r="X927" s="7">
        <f t="shared" si="217"/>
        <v>3047.3</v>
      </c>
      <c r="Y927" s="7">
        <f t="shared" si="218"/>
        <v>105</v>
      </c>
      <c r="Z927" s="7">
        <f t="shared" si="219"/>
        <v>301944</v>
      </c>
      <c r="AA927" s="7" t="str">
        <f t="shared" si="220"/>
        <v>20-Mar-2025</v>
      </c>
      <c r="AB927" s="7">
        <f t="shared" si="221"/>
        <v>3047.3</v>
      </c>
      <c r="AC927" s="7">
        <f t="shared" si="224"/>
        <v>1</v>
      </c>
      <c r="AD927" s="7">
        <f t="shared" si="222"/>
        <v>2025</v>
      </c>
      <c r="AE927" s="19">
        <f t="shared" si="223"/>
        <v>0.4</v>
      </c>
    </row>
    <row r="928" spans="1:31" x14ac:dyDescent="0.3">
      <c r="A928" s="17">
        <v>45737</v>
      </c>
      <c r="B928" s="8">
        <v>3018.2</v>
      </c>
      <c r="C928" s="7">
        <v>3037.5</v>
      </c>
      <c r="D928" s="7">
        <v>3000.8998999999999</v>
      </c>
      <c r="E928" s="7">
        <v>3034.5</v>
      </c>
      <c r="F928" s="18">
        <v>151</v>
      </c>
      <c r="G928" s="7">
        <v>3006.5571</v>
      </c>
      <c r="H928" s="7">
        <v>2930.6567</v>
      </c>
      <c r="I928" s="7">
        <v>2761.8678</v>
      </c>
      <c r="J928" s="8">
        <v>-0.42</v>
      </c>
      <c r="K928" s="7">
        <v>0.77659999999999996</v>
      </c>
      <c r="L928" s="7">
        <v>0.94240000000000002</v>
      </c>
      <c r="M928" s="8">
        <v>79.184700000000007</v>
      </c>
      <c r="N928" s="8">
        <v>46.214399999999998</v>
      </c>
      <c r="O928" s="7">
        <v>37.232199999999999</v>
      </c>
      <c r="P928" s="7">
        <v>3053.2781</v>
      </c>
      <c r="Q928" s="7">
        <v>2828.0918999999999</v>
      </c>
      <c r="R928" s="7" t="str">
        <f t="shared" si="211"/>
        <v>Up</v>
      </c>
      <c r="S928" s="7" t="str">
        <f t="shared" si="212"/>
        <v>Sell</v>
      </c>
      <c r="T928" s="8">
        <f t="shared" si="213"/>
        <v>0.23338106995884789</v>
      </c>
      <c r="U928" s="18">
        <f t="shared" si="214"/>
        <v>1165516</v>
      </c>
      <c r="V928" s="7">
        <f t="shared" si="215"/>
        <v>5586.2002000000002</v>
      </c>
      <c r="W928" s="7">
        <f t="shared" si="216"/>
        <v>2949.7</v>
      </c>
      <c r="X928" s="7">
        <f t="shared" si="217"/>
        <v>3034.5</v>
      </c>
      <c r="Y928" s="7">
        <f t="shared" si="218"/>
        <v>104</v>
      </c>
      <c r="Z928" s="7">
        <f t="shared" si="219"/>
        <v>301759</v>
      </c>
      <c r="AA928" s="7" t="str">
        <f t="shared" si="220"/>
        <v>21-Mar-2025</v>
      </c>
      <c r="AB928" s="7">
        <f t="shared" si="221"/>
        <v>3034.5</v>
      </c>
      <c r="AC928" s="7">
        <f t="shared" si="224"/>
        <v>1</v>
      </c>
      <c r="AD928" s="7">
        <f t="shared" si="222"/>
        <v>2025</v>
      </c>
      <c r="AE928" s="19">
        <f t="shared" si="223"/>
        <v>-0.42</v>
      </c>
    </row>
    <row r="929" spans="1:31" x14ac:dyDescent="0.3">
      <c r="A929" s="17">
        <v>45740</v>
      </c>
      <c r="B929" s="8">
        <v>3013.1001000000001</v>
      </c>
      <c r="C929" s="7">
        <v>3024.3</v>
      </c>
      <c r="D929" s="7">
        <v>3006</v>
      </c>
      <c r="E929" s="7">
        <v>3024.3</v>
      </c>
      <c r="F929" s="18">
        <v>137</v>
      </c>
      <c r="G929" s="7">
        <v>3019.0142999999998</v>
      </c>
      <c r="H929" s="7">
        <v>2936.1367</v>
      </c>
      <c r="I929" s="7">
        <v>2765.7856000000002</v>
      </c>
      <c r="J929" s="8">
        <v>-0.33610000000000001</v>
      </c>
      <c r="K929" s="7">
        <v>0.83709999999999996</v>
      </c>
      <c r="L929" s="7">
        <v>0.94489999999999996</v>
      </c>
      <c r="M929" s="8">
        <v>75.218900000000005</v>
      </c>
      <c r="N929" s="8">
        <v>46.260300000000001</v>
      </c>
      <c r="O929" s="7">
        <v>39.037799999999997</v>
      </c>
      <c r="P929" s="7">
        <v>3063.7752999999998</v>
      </c>
      <c r="Q929" s="7">
        <v>2826.7147</v>
      </c>
      <c r="R929" s="7" t="str">
        <f t="shared" si="211"/>
        <v>Up</v>
      </c>
      <c r="S929" s="7" t="str">
        <f t="shared" si="212"/>
        <v>Sell</v>
      </c>
      <c r="T929" s="8">
        <f t="shared" si="213"/>
        <v>0.23608099173553732</v>
      </c>
      <c r="U929" s="18">
        <f t="shared" si="214"/>
        <v>1165365</v>
      </c>
      <c r="V929" s="7">
        <f t="shared" si="215"/>
        <v>5586.2002000000002</v>
      </c>
      <c r="W929" s="7">
        <f t="shared" si="216"/>
        <v>2949.7</v>
      </c>
      <c r="X929" s="7">
        <f t="shared" si="217"/>
        <v>3024.3</v>
      </c>
      <c r="Y929" s="7">
        <f t="shared" si="218"/>
        <v>103</v>
      </c>
      <c r="Z929" s="7">
        <f t="shared" si="219"/>
        <v>301608</v>
      </c>
      <c r="AA929" s="7" t="str">
        <f t="shared" si="220"/>
        <v>24-Mar-2025</v>
      </c>
      <c r="AB929" s="7">
        <f t="shared" si="221"/>
        <v>3024.3</v>
      </c>
      <c r="AC929" s="7">
        <f t="shared" si="224"/>
        <v>1</v>
      </c>
      <c r="AD929" s="7">
        <f t="shared" si="222"/>
        <v>2025</v>
      </c>
      <c r="AE929" s="19">
        <f t="shared" si="223"/>
        <v>-0.34</v>
      </c>
    </row>
    <row r="930" spans="1:31" x14ac:dyDescent="0.3">
      <c r="A930" s="17">
        <v>45741</v>
      </c>
      <c r="B930" s="8">
        <v>3023.7</v>
      </c>
      <c r="C930" s="7">
        <v>3028.8</v>
      </c>
      <c r="D930" s="7">
        <v>3023.7</v>
      </c>
      <c r="E930" s="7">
        <v>3026.3998999999999</v>
      </c>
      <c r="F930" s="18">
        <v>74</v>
      </c>
      <c r="G930" s="7">
        <v>3023.5857000000001</v>
      </c>
      <c r="H930" s="7">
        <v>2941.5432999999998</v>
      </c>
      <c r="I930" s="7">
        <v>2770.4621999999999</v>
      </c>
      <c r="J930" s="8">
        <v>6.9400000000000003E-2</v>
      </c>
      <c r="K930" s="7">
        <v>0.4975</v>
      </c>
      <c r="L930" s="7">
        <v>0.94520000000000004</v>
      </c>
      <c r="M930" s="8">
        <v>72.342100000000002</v>
      </c>
      <c r="N930" s="8">
        <v>45.936599999999999</v>
      </c>
      <c r="O930" s="7">
        <v>40.4176</v>
      </c>
      <c r="P930" s="7">
        <v>3073.5088999999998</v>
      </c>
      <c r="Q930" s="7">
        <v>2825.7510000000002</v>
      </c>
      <c r="R930" s="7" t="str">
        <f t="shared" si="211"/>
        <v>Up</v>
      </c>
      <c r="S930" s="7" t="str">
        <f t="shared" si="212"/>
        <v>Sell</v>
      </c>
      <c r="T930" s="8">
        <f t="shared" si="213"/>
        <v>0.23845518672199181</v>
      </c>
      <c r="U930" s="18">
        <f t="shared" si="214"/>
        <v>1165228</v>
      </c>
      <c r="V930" s="7">
        <f t="shared" si="215"/>
        <v>5586.2002000000002</v>
      </c>
      <c r="W930" s="7">
        <f t="shared" si="216"/>
        <v>2949.7</v>
      </c>
      <c r="X930" s="7">
        <f t="shared" si="217"/>
        <v>3026.3998999999999</v>
      </c>
      <c r="Y930" s="7">
        <f t="shared" si="218"/>
        <v>102</v>
      </c>
      <c r="Z930" s="7">
        <f t="shared" si="219"/>
        <v>301471</v>
      </c>
      <c r="AA930" s="7" t="str">
        <f t="shared" si="220"/>
        <v>25-Mar-2025</v>
      </c>
      <c r="AB930" s="7">
        <f t="shared" si="221"/>
        <v>3026.3998999999999</v>
      </c>
      <c r="AC930" s="7">
        <f t="shared" si="224"/>
        <v>1</v>
      </c>
      <c r="AD930" s="7">
        <f t="shared" si="222"/>
        <v>2025</v>
      </c>
      <c r="AE930" s="19">
        <f t="shared" si="223"/>
        <v>7.0000000000000007E-2</v>
      </c>
    </row>
    <row r="931" spans="1:31" x14ac:dyDescent="0.3">
      <c r="A931" s="17">
        <v>45742</v>
      </c>
      <c r="B931" s="8">
        <v>3020.8998999999999</v>
      </c>
      <c r="C931" s="7">
        <v>3033.2</v>
      </c>
      <c r="D931" s="7">
        <v>3019.5</v>
      </c>
      <c r="E931" s="7">
        <v>3033.2</v>
      </c>
      <c r="F931" s="18">
        <v>83</v>
      </c>
      <c r="G931" s="7">
        <v>3029.6143000000002</v>
      </c>
      <c r="H931" s="7">
        <v>2945.1333</v>
      </c>
      <c r="I931" s="7">
        <v>2775.1522</v>
      </c>
      <c r="J931" s="8">
        <v>0.22470000000000001</v>
      </c>
      <c r="K931" s="7">
        <v>0.48349999999999999</v>
      </c>
      <c r="L931" s="7">
        <v>0.87050000000000005</v>
      </c>
      <c r="M931" s="8">
        <v>76.961600000000004</v>
      </c>
      <c r="N931" s="8">
        <v>45.701900000000002</v>
      </c>
      <c r="O931" s="7">
        <v>41.474400000000003</v>
      </c>
      <c r="P931" s="7">
        <v>3083.6410000000001</v>
      </c>
      <c r="Q931" s="7">
        <v>2827.5889999999999</v>
      </c>
      <c r="R931" s="7" t="str">
        <f t="shared" si="211"/>
        <v>Up</v>
      </c>
      <c r="S931" s="7" t="str">
        <f t="shared" si="212"/>
        <v>Sell</v>
      </c>
      <c r="T931" s="8">
        <f t="shared" si="213"/>
        <v>0.23915958333333345</v>
      </c>
      <c r="U931" s="18">
        <f t="shared" si="214"/>
        <v>1165154</v>
      </c>
      <c r="V931" s="7">
        <f t="shared" si="215"/>
        <v>5586.2002000000002</v>
      </c>
      <c r="W931" s="7">
        <f t="shared" si="216"/>
        <v>2949.7</v>
      </c>
      <c r="X931" s="7">
        <f t="shared" si="217"/>
        <v>3033.2</v>
      </c>
      <c r="Y931" s="7">
        <f t="shared" si="218"/>
        <v>101</v>
      </c>
      <c r="Z931" s="7">
        <f t="shared" si="219"/>
        <v>301397</v>
      </c>
      <c r="AA931" s="7" t="str">
        <f t="shared" si="220"/>
        <v>26-Mar-2025</v>
      </c>
      <c r="AB931" s="7">
        <f t="shared" si="221"/>
        <v>3033.2</v>
      </c>
      <c r="AC931" s="7">
        <f t="shared" si="224"/>
        <v>1</v>
      </c>
      <c r="AD931" s="7">
        <f t="shared" si="222"/>
        <v>2025</v>
      </c>
      <c r="AE931" s="19">
        <f t="shared" si="223"/>
        <v>0.22</v>
      </c>
    </row>
    <row r="932" spans="1:31" x14ac:dyDescent="0.3">
      <c r="A932" s="17">
        <v>45743</v>
      </c>
      <c r="B932" s="8">
        <v>3060.2</v>
      </c>
      <c r="C932" s="7">
        <v>3065</v>
      </c>
      <c r="D932" s="7">
        <v>3025.5</v>
      </c>
      <c r="E932" s="7">
        <v>3025.5</v>
      </c>
      <c r="F932" s="18">
        <v>124359</v>
      </c>
      <c r="G932" s="7">
        <v>3032.3427999999999</v>
      </c>
      <c r="H932" s="7">
        <v>2949.25</v>
      </c>
      <c r="I932" s="7">
        <v>2780.3789000000002</v>
      </c>
      <c r="J932" s="8">
        <v>-0.25390000000000001</v>
      </c>
      <c r="K932" s="7">
        <v>0.48770000000000002</v>
      </c>
      <c r="L932" s="7">
        <v>0.85599999999999998</v>
      </c>
      <c r="M932" s="8">
        <v>75.511899999999997</v>
      </c>
      <c r="N932" s="8">
        <v>44.383000000000003</v>
      </c>
      <c r="O932" s="7">
        <v>42.056100000000001</v>
      </c>
      <c r="P932" s="7">
        <v>3091.3809999999999</v>
      </c>
      <c r="Q932" s="7">
        <v>2830.549</v>
      </c>
      <c r="R932" s="7" t="str">
        <f t="shared" si="211"/>
        <v>Down</v>
      </c>
      <c r="S932" s="7" t="str">
        <f t="shared" si="212"/>
        <v>Sell</v>
      </c>
      <c r="T932" s="8">
        <f t="shared" si="213"/>
        <v>0.23922008368200848</v>
      </c>
      <c r="U932" s="18">
        <f t="shared" si="214"/>
        <v>1165071</v>
      </c>
      <c r="V932" s="7">
        <f t="shared" si="215"/>
        <v>5586.2002000000002</v>
      </c>
      <c r="W932" s="7">
        <f t="shared" si="216"/>
        <v>2949.7</v>
      </c>
      <c r="X932" s="7">
        <f t="shared" si="217"/>
        <v>3025.5</v>
      </c>
      <c r="Y932" s="7">
        <f t="shared" si="218"/>
        <v>100</v>
      </c>
      <c r="Z932" s="7">
        <f t="shared" si="219"/>
        <v>301314</v>
      </c>
      <c r="AA932" s="7" t="str">
        <f t="shared" si="220"/>
        <v>27-Mar-2025</v>
      </c>
      <c r="AB932" s="7">
        <f t="shared" si="221"/>
        <v>3025.5</v>
      </c>
      <c r="AC932" s="7">
        <f t="shared" si="224"/>
        <v>1</v>
      </c>
      <c r="AD932" s="7">
        <f t="shared" si="222"/>
        <v>2025</v>
      </c>
      <c r="AE932" s="19">
        <f t="shared" si="223"/>
        <v>-0.25</v>
      </c>
    </row>
    <row r="933" spans="1:31" x14ac:dyDescent="0.3">
      <c r="A933" s="17">
        <v>45744</v>
      </c>
      <c r="B933" s="8">
        <v>3086.5</v>
      </c>
      <c r="C933" s="7">
        <v>3094.8998999999999</v>
      </c>
      <c r="D933" s="7">
        <v>3066.8</v>
      </c>
      <c r="E933" s="7">
        <v>3069.7</v>
      </c>
      <c r="F933" s="18">
        <v>31206</v>
      </c>
      <c r="G933" s="7">
        <v>3037.2714000000001</v>
      </c>
      <c r="H933" s="7">
        <v>2954.53</v>
      </c>
      <c r="I933" s="7">
        <v>2785.9789000000001</v>
      </c>
      <c r="J933" s="8">
        <v>1.4609000000000001</v>
      </c>
      <c r="K933" s="7">
        <v>0.64749999999999996</v>
      </c>
      <c r="L933" s="7">
        <v>0.88880000000000003</v>
      </c>
      <c r="M933" s="8">
        <v>78.581599999999995</v>
      </c>
      <c r="N933" s="8">
        <v>46.369799999999998</v>
      </c>
      <c r="O933" s="7">
        <v>42.918900000000001</v>
      </c>
      <c r="P933" s="7">
        <v>3103.3589999999999</v>
      </c>
      <c r="Q933" s="7">
        <v>2837.8310000000001</v>
      </c>
      <c r="R933" s="7" t="str">
        <f t="shared" si="211"/>
        <v>Down</v>
      </c>
      <c r="S933" s="7" t="str">
        <f t="shared" si="212"/>
        <v>Sell</v>
      </c>
      <c r="T933" s="8">
        <f t="shared" si="213"/>
        <v>0.24129201680672283</v>
      </c>
      <c r="U933" s="18">
        <f t="shared" si="214"/>
        <v>1040712</v>
      </c>
      <c r="V933" s="7">
        <f t="shared" si="215"/>
        <v>5586.2002000000002</v>
      </c>
      <c r="W933" s="7">
        <f t="shared" si="216"/>
        <v>2949.7</v>
      </c>
      <c r="X933" s="7">
        <f t="shared" si="217"/>
        <v>3069.7</v>
      </c>
      <c r="Y933" s="7">
        <f t="shared" si="218"/>
        <v>100</v>
      </c>
      <c r="Z933" s="7">
        <f t="shared" si="219"/>
        <v>301314</v>
      </c>
      <c r="AA933" s="7" t="str">
        <f t="shared" si="220"/>
        <v>28-Mar-2025</v>
      </c>
      <c r="AB933" s="7">
        <f t="shared" si="221"/>
        <v>3069.7</v>
      </c>
      <c r="AC933" s="7">
        <f t="shared" si="224"/>
        <v>1</v>
      </c>
      <c r="AD933" s="7">
        <f t="shared" si="222"/>
        <v>2025</v>
      </c>
      <c r="AE933" s="19">
        <f t="shared" si="223"/>
        <v>1.46</v>
      </c>
    </row>
    <row r="934" spans="1:31" x14ac:dyDescent="0.3">
      <c r="A934" s="17">
        <v>45747</v>
      </c>
      <c r="B934" s="8">
        <v>3122.8</v>
      </c>
      <c r="C934" s="7">
        <v>3132.5</v>
      </c>
      <c r="D934" s="7">
        <v>3086</v>
      </c>
      <c r="E934" s="7">
        <v>3091</v>
      </c>
      <c r="F934" s="18">
        <v>3438</v>
      </c>
      <c r="G934" s="7">
        <v>3043.5142999999998</v>
      </c>
      <c r="H934" s="7">
        <v>2959.6532999999999</v>
      </c>
      <c r="I934" s="7">
        <v>2791.5266999999999</v>
      </c>
      <c r="J934" s="8">
        <v>0.69389999999999996</v>
      </c>
      <c r="K934" s="7">
        <v>0.6744</v>
      </c>
      <c r="L934" s="7">
        <v>0.88400000000000001</v>
      </c>
      <c r="M934" s="8">
        <v>87.590999999999994</v>
      </c>
      <c r="N934" s="8">
        <v>49.097099999999998</v>
      </c>
      <c r="O934" s="7">
        <v>44.154499999999999</v>
      </c>
      <c r="P934" s="7">
        <v>3116.2658999999999</v>
      </c>
      <c r="Q934" s="7">
        <v>2846.7541000000001</v>
      </c>
      <c r="R934" s="7" t="str">
        <f t="shared" si="211"/>
        <v>Down</v>
      </c>
      <c r="S934" s="7" t="str">
        <f t="shared" si="212"/>
        <v>Sell</v>
      </c>
      <c r="T934" s="8">
        <f t="shared" si="213"/>
        <v>0.23614599156118152</v>
      </c>
      <c r="U934" s="18">
        <f t="shared" si="214"/>
        <v>1009506</v>
      </c>
      <c r="V934" s="7">
        <f t="shared" si="215"/>
        <v>5586.2002000000002</v>
      </c>
      <c r="W934" s="7">
        <f t="shared" si="216"/>
        <v>2949.7</v>
      </c>
      <c r="X934" s="7">
        <f t="shared" si="217"/>
        <v>3091</v>
      </c>
      <c r="Y934" s="7">
        <f t="shared" si="218"/>
        <v>100</v>
      </c>
      <c r="Z934" s="7">
        <f t="shared" si="219"/>
        <v>301314</v>
      </c>
      <c r="AA934" s="7" t="str">
        <f t="shared" si="220"/>
        <v>31-Mar-2025</v>
      </c>
      <c r="AB934" s="7">
        <f t="shared" si="221"/>
        <v>3091</v>
      </c>
      <c r="AC934" s="7">
        <f t="shared" si="224"/>
        <v>1</v>
      </c>
      <c r="AD934" s="7">
        <f t="shared" si="222"/>
        <v>2025</v>
      </c>
      <c r="AE934" s="19">
        <f t="shared" si="223"/>
        <v>0.69</v>
      </c>
    </row>
    <row r="935" spans="1:31" x14ac:dyDescent="0.3">
      <c r="A935" s="17">
        <v>45748</v>
      </c>
      <c r="B935" s="8">
        <v>3118.8998999999999</v>
      </c>
      <c r="C935" s="7">
        <v>3149.5</v>
      </c>
      <c r="D935" s="7">
        <v>3104</v>
      </c>
      <c r="E935" s="7">
        <v>3129.7</v>
      </c>
      <c r="F935" s="18">
        <v>1721</v>
      </c>
      <c r="G935" s="7">
        <v>3057.1143000000002</v>
      </c>
      <c r="H935" s="7">
        <v>2968.0032999999999</v>
      </c>
      <c r="I935" s="7">
        <v>2797.1689000000001</v>
      </c>
      <c r="J935" s="8">
        <v>1.252</v>
      </c>
      <c r="K935" s="7">
        <v>0.71099999999999997</v>
      </c>
      <c r="L935" s="7">
        <v>0.80620000000000003</v>
      </c>
      <c r="M935" s="8">
        <v>88.072800000000001</v>
      </c>
      <c r="N935" s="8">
        <v>53.761600000000001</v>
      </c>
      <c r="O935" s="7">
        <v>46.075899999999997</v>
      </c>
      <c r="P935" s="7">
        <v>3135.9618999999998</v>
      </c>
      <c r="Q935" s="7">
        <v>2851.4180999999999</v>
      </c>
      <c r="R935" s="7" t="str">
        <f t="shared" si="211"/>
        <v>Up</v>
      </c>
      <c r="S935" s="7" t="str">
        <f t="shared" si="212"/>
        <v>Sell</v>
      </c>
      <c r="T935" s="8">
        <f t="shared" si="213"/>
        <v>0.23420635593220349</v>
      </c>
      <c r="U935" s="18">
        <f t="shared" si="214"/>
        <v>1006068</v>
      </c>
      <c r="V935" s="7">
        <f t="shared" si="215"/>
        <v>5586.2002000000002</v>
      </c>
      <c r="W935" s="7">
        <f t="shared" si="216"/>
        <v>2949.7</v>
      </c>
      <c r="X935" s="7">
        <f t="shared" si="217"/>
        <v>3129.7</v>
      </c>
      <c r="Y935" s="7">
        <f t="shared" si="218"/>
        <v>100</v>
      </c>
      <c r="Z935" s="7">
        <f t="shared" si="219"/>
        <v>301314</v>
      </c>
      <c r="AA935" s="7" t="str">
        <f t="shared" si="220"/>
        <v>01-Apr-2025</v>
      </c>
      <c r="AB935" s="7">
        <f t="shared" si="221"/>
        <v>3129.7</v>
      </c>
      <c r="AC935" s="7">
        <f t="shared" si="224"/>
        <v>1</v>
      </c>
      <c r="AD935" s="7">
        <f t="shared" si="222"/>
        <v>2025</v>
      </c>
      <c r="AE935" s="19">
        <f t="shared" si="223"/>
        <v>1.25</v>
      </c>
    </row>
    <row r="936" spans="1:31" x14ac:dyDescent="0.3">
      <c r="A936" s="17">
        <v>45749</v>
      </c>
      <c r="B936" s="8">
        <v>3139.8998999999999</v>
      </c>
      <c r="C936" s="7">
        <v>3168.6001000000001</v>
      </c>
      <c r="D936" s="7">
        <v>3117.3998999999999</v>
      </c>
      <c r="E936" s="7">
        <v>3120.7</v>
      </c>
      <c r="F936" s="18">
        <v>5946</v>
      </c>
      <c r="G936" s="7">
        <v>3070.8856999999998</v>
      </c>
      <c r="H936" s="7">
        <v>2974.07</v>
      </c>
      <c r="I936" s="7">
        <v>2802.5266999999999</v>
      </c>
      <c r="J936" s="8">
        <v>-0.28760000000000002</v>
      </c>
      <c r="K936" s="7">
        <v>0.70230000000000004</v>
      </c>
      <c r="L936" s="7">
        <v>0.73819999999999997</v>
      </c>
      <c r="M936" s="8">
        <v>84.025199999999998</v>
      </c>
      <c r="N936" s="8">
        <v>56.0854</v>
      </c>
      <c r="O936" s="7">
        <v>48.077800000000003</v>
      </c>
      <c r="P936" s="7">
        <v>3152.0502000000001</v>
      </c>
      <c r="Q936" s="7">
        <v>2855.7296999999999</v>
      </c>
      <c r="R936" s="7" t="str">
        <f t="shared" si="211"/>
        <v>Down</v>
      </c>
      <c r="S936" s="7" t="str">
        <f t="shared" si="212"/>
        <v>Sell</v>
      </c>
      <c r="T936" s="8">
        <f t="shared" si="213"/>
        <v>0.22987531914893627</v>
      </c>
      <c r="U936" s="18">
        <f t="shared" si="214"/>
        <v>1004347</v>
      </c>
      <c r="V936" s="7">
        <f t="shared" si="215"/>
        <v>5586.2002000000002</v>
      </c>
      <c r="W936" s="7">
        <f t="shared" si="216"/>
        <v>2949.7</v>
      </c>
      <c r="X936" s="7">
        <f t="shared" si="217"/>
        <v>3120.7</v>
      </c>
      <c r="Y936" s="7">
        <f t="shared" si="218"/>
        <v>99</v>
      </c>
      <c r="Z936" s="7">
        <f t="shared" si="219"/>
        <v>299593</v>
      </c>
      <c r="AA936" s="7" t="str">
        <f t="shared" si="220"/>
        <v>02-Apr-2025</v>
      </c>
      <c r="AB936" s="7">
        <f t="shared" si="221"/>
        <v>3120.7</v>
      </c>
      <c r="AC936" s="7">
        <f t="shared" si="224"/>
        <v>1</v>
      </c>
      <c r="AD936" s="7">
        <f t="shared" si="222"/>
        <v>2025</v>
      </c>
      <c r="AE936" s="19">
        <f t="shared" si="223"/>
        <v>-0.28999999999999998</v>
      </c>
    </row>
    <row r="937" spans="1:31" x14ac:dyDescent="0.3">
      <c r="A937" s="17">
        <v>45750</v>
      </c>
      <c r="B937" s="8">
        <v>3097</v>
      </c>
      <c r="C937" s="7">
        <v>3166.8998999999999</v>
      </c>
      <c r="D937" s="7">
        <v>3052</v>
      </c>
      <c r="E937" s="7">
        <v>3150</v>
      </c>
      <c r="F937" s="18">
        <v>5516</v>
      </c>
      <c r="G937" s="7">
        <v>3088.5428000000002</v>
      </c>
      <c r="H937" s="7">
        <v>2980.7667000000001</v>
      </c>
      <c r="I937" s="7">
        <v>2807.9789000000001</v>
      </c>
      <c r="J937" s="8">
        <v>0.93889999999999996</v>
      </c>
      <c r="K937" s="7">
        <v>0.70040000000000002</v>
      </c>
      <c r="L937" s="7">
        <v>0.74990000000000001</v>
      </c>
      <c r="M937" s="8">
        <v>82.175399999999996</v>
      </c>
      <c r="N937" s="8">
        <v>59.604300000000002</v>
      </c>
      <c r="O937" s="7">
        <v>50.383099999999999</v>
      </c>
      <c r="P937" s="7">
        <v>3170.1644999999999</v>
      </c>
      <c r="Q937" s="7">
        <v>2862.2154</v>
      </c>
      <c r="R937" s="7" t="str">
        <f t="shared" si="211"/>
        <v>Up</v>
      </c>
      <c r="S937" s="7" t="str">
        <f t="shared" si="212"/>
        <v>Sell</v>
      </c>
      <c r="T937" s="8">
        <f t="shared" si="213"/>
        <v>0.23208675213675217</v>
      </c>
      <c r="U937" s="18">
        <f t="shared" si="214"/>
        <v>998401</v>
      </c>
      <c r="V937" s="7">
        <f t="shared" si="215"/>
        <v>5586.2002000000002</v>
      </c>
      <c r="W937" s="7">
        <f t="shared" si="216"/>
        <v>2949.7</v>
      </c>
      <c r="X937" s="7">
        <f t="shared" si="217"/>
        <v>3150</v>
      </c>
      <c r="Y937" s="7">
        <f t="shared" si="218"/>
        <v>99</v>
      </c>
      <c r="Z937" s="7">
        <f t="shared" si="219"/>
        <v>299593</v>
      </c>
      <c r="AA937" s="7" t="str">
        <f t="shared" si="220"/>
        <v>03-Apr-2025</v>
      </c>
      <c r="AB937" s="7">
        <f t="shared" si="221"/>
        <v>3150</v>
      </c>
      <c r="AC937" s="7">
        <f t="shared" si="224"/>
        <v>1</v>
      </c>
      <c r="AD937" s="7">
        <f t="shared" si="222"/>
        <v>2025</v>
      </c>
      <c r="AE937" s="19">
        <f t="shared" si="223"/>
        <v>0.94</v>
      </c>
    </row>
    <row r="938" spans="1:31" x14ac:dyDescent="0.3">
      <c r="A938" s="17">
        <v>45751</v>
      </c>
      <c r="B938" s="8">
        <v>3012</v>
      </c>
      <c r="C938" s="7">
        <v>3127.7</v>
      </c>
      <c r="D938" s="7">
        <v>3011</v>
      </c>
      <c r="E938" s="7">
        <v>3110.5</v>
      </c>
      <c r="F938" s="18">
        <v>3247</v>
      </c>
      <c r="G938" s="7">
        <v>3099.5857000000001</v>
      </c>
      <c r="H938" s="7">
        <v>2986.49</v>
      </c>
      <c r="I938" s="7">
        <v>2812.6788999999999</v>
      </c>
      <c r="J938" s="8">
        <v>-1.254</v>
      </c>
      <c r="K938" s="7">
        <v>0.9879</v>
      </c>
      <c r="L938" s="7">
        <v>0.79079999999999995</v>
      </c>
      <c r="M938" s="8">
        <v>71.500500000000002</v>
      </c>
      <c r="N938" s="8">
        <v>58.530999999999999</v>
      </c>
      <c r="O938" s="7">
        <v>52.012700000000002</v>
      </c>
      <c r="P938" s="7">
        <v>3176.0686000000001</v>
      </c>
      <c r="Q938" s="7">
        <v>2877.2714000000001</v>
      </c>
      <c r="R938" s="7" t="str">
        <f t="shared" si="211"/>
        <v>Up</v>
      </c>
      <c r="S938" s="7" t="str">
        <f t="shared" si="212"/>
        <v>Sell</v>
      </c>
      <c r="T938" s="8">
        <f t="shared" si="213"/>
        <v>0.22905321888412025</v>
      </c>
      <c r="U938" s="18">
        <f t="shared" si="214"/>
        <v>992885</v>
      </c>
      <c r="V938" s="7">
        <f t="shared" si="215"/>
        <v>5586.2002000000002</v>
      </c>
      <c r="W938" s="7">
        <f t="shared" si="216"/>
        <v>2949.7</v>
      </c>
      <c r="X938" s="7">
        <f t="shared" si="217"/>
        <v>3110.5</v>
      </c>
      <c r="Y938" s="7">
        <f t="shared" si="218"/>
        <v>98</v>
      </c>
      <c r="Z938" s="7">
        <f t="shared" si="219"/>
        <v>294077</v>
      </c>
      <c r="AA938" s="7" t="str">
        <f t="shared" si="220"/>
        <v>04-Apr-2025</v>
      </c>
      <c r="AB938" s="7">
        <f t="shared" si="221"/>
        <v>3110.5</v>
      </c>
      <c r="AC938" s="7">
        <f t="shared" si="224"/>
        <v>1</v>
      </c>
      <c r="AD938" s="7">
        <f t="shared" si="222"/>
        <v>2025</v>
      </c>
      <c r="AE938" s="19">
        <f t="shared" si="223"/>
        <v>-1.25</v>
      </c>
    </row>
    <row r="939" spans="1:31" x14ac:dyDescent="0.3">
      <c r="A939" s="17">
        <v>45754</v>
      </c>
      <c r="B939" s="8">
        <v>2951.3</v>
      </c>
      <c r="C939" s="7">
        <v>3050.8</v>
      </c>
      <c r="D939" s="7">
        <v>2949.7</v>
      </c>
      <c r="E939" s="7">
        <v>3016.3998999999999</v>
      </c>
      <c r="F939" s="18">
        <v>4424</v>
      </c>
      <c r="G939" s="7">
        <v>3098.2856999999999</v>
      </c>
      <c r="H939" s="7">
        <v>2989.2667000000001</v>
      </c>
      <c r="I939" s="7">
        <v>2816.3121999999998</v>
      </c>
      <c r="J939" s="8">
        <v>-3.0251999999999999</v>
      </c>
      <c r="K939" s="7">
        <v>1.6261000000000001</v>
      </c>
      <c r="L939" s="7">
        <v>0.9839</v>
      </c>
      <c r="M939" s="8">
        <v>51.402099999999997</v>
      </c>
      <c r="N939" s="8">
        <v>49.516500000000001</v>
      </c>
      <c r="O939" s="7">
        <v>51.513500000000001</v>
      </c>
      <c r="P939" s="7">
        <v>3171.134</v>
      </c>
      <c r="Q939" s="7">
        <v>2892.8359</v>
      </c>
      <c r="R939" s="7" t="str">
        <f t="shared" si="211"/>
        <v>Up</v>
      </c>
      <c r="S939" s="7" t="str">
        <f t="shared" si="212"/>
        <v>Hold</v>
      </c>
      <c r="T939" s="8">
        <f t="shared" si="213"/>
        <v>0.23544568965517246</v>
      </c>
      <c r="U939" s="18">
        <f t="shared" si="214"/>
        <v>989638</v>
      </c>
      <c r="V939" s="7">
        <f t="shared" si="215"/>
        <v>5586.2002000000002</v>
      </c>
      <c r="W939" s="7">
        <f t="shared" si="216"/>
        <v>2949.7</v>
      </c>
      <c r="X939" s="7">
        <f t="shared" si="217"/>
        <v>3016.3998999999999</v>
      </c>
      <c r="Y939" s="7">
        <f t="shared" si="218"/>
        <v>97</v>
      </c>
      <c r="Z939" s="7">
        <f t="shared" si="219"/>
        <v>290830</v>
      </c>
      <c r="AA939" s="7" t="str">
        <f t="shared" si="220"/>
        <v>07-Apr-2025</v>
      </c>
      <c r="AB939" s="7">
        <f t="shared" si="221"/>
        <v>3016.3998999999999</v>
      </c>
      <c r="AC939" s="7">
        <f t="shared" si="224"/>
        <v>1</v>
      </c>
      <c r="AD939" s="7">
        <f t="shared" si="222"/>
        <v>2025</v>
      </c>
      <c r="AE939" s="19">
        <f t="shared" si="223"/>
        <v>-3.03</v>
      </c>
    </row>
    <row r="940" spans="1:31" x14ac:dyDescent="0.3">
      <c r="A940" s="17">
        <v>45755</v>
      </c>
      <c r="B940" s="8">
        <v>2968.3998999999999</v>
      </c>
      <c r="C940" s="7">
        <v>3014.5</v>
      </c>
      <c r="D940" s="7">
        <v>2968.3998999999999</v>
      </c>
      <c r="E940" s="7">
        <v>2994</v>
      </c>
      <c r="F940" s="18">
        <v>3213</v>
      </c>
      <c r="G940" s="7">
        <v>3087.4713999999999</v>
      </c>
      <c r="H940" s="7">
        <v>2991.11</v>
      </c>
      <c r="I940" s="7">
        <v>2820.4056</v>
      </c>
      <c r="J940" s="8">
        <v>-0.74260000000000004</v>
      </c>
      <c r="K940" s="7">
        <v>1.4972000000000001</v>
      </c>
      <c r="L940" s="7">
        <v>0.99550000000000005</v>
      </c>
      <c r="M940" s="8">
        <v>44.117699999999999</v>
      </c>
      <c r="N940" s="8">
        <v>40.102699999999999</v>
      </c>
      <c r="O940" s="7">
        <v>49.231299999999997</v>
      </c>
      <c r="P940" s="7">
        <v>3159.7525000000001</v>
      </c>
      <c r="Q940" s="7">
        <v>2915.1774999999998</v>
      </c>
      <c r="R940" s="7" t="str">
        <f t="shared" si="211"/>
        <v>Up</v>
      </c>
      <c r="S940" s="7" t="str">
        <f t="shared" si="212"/>
        <v>Hold</v>
      </c>
      <c r="T940" s="8">
        <f t="shared" si="213"/>
        <v>0.24956103896103912</v>
      </c>
      <c r="U940" s="18">
        <f t="shared" si="214"/>
        <v>985214</v>
      </c>
      <c r="V940" s="7">
        <f t="shared" si="215"/>
        <v>5586.2002000000002</v>
      </c>
      <c r="W940" s="7">
        <f t="shared" si="216"/>
        <v>2965.8</v>
      </c>
      <c r="X940" s="7">
        <f t="shared" si="217"/>
        <v>2994</v>
      </c>
      <c r="Y940" s="7">
        <f t="shared" si="218"/>
        <v>96</v>
      </c>
      <c r="Z940" s="7">
        <f t="shared" si="219"/>
        <v>286406</v>
      </c>
      <c r="AA940" s="7" t="str">
        <f t="shared" si="220"/>
        <v>08-Apr-2025</v>
      </c>
      <c r="AB940" s="7">
        <f t="shared" si="221"/>
        <v>2994</v>
      </c>
      <c r="AC940" s="7">
        <f t="shared" si="224"/>
        <v>1</v>
      </c>
      <c r="AD940" s="7">
        <f t="shared" si="222"/>
        <v>2025</v>
      </c>
      <c r="AE940" s="19">
        <f t="shared" si="223"/>
        <v>-0.74</v>
      </c>
    </row>
    <row r="941" spans="1:31" x14ac:dyDescent="0.3">
      <c r="A941" s="17">
        <v>45756</v>
      </c>
      <c r="B941" s="8">
        <v>3056.5</v>
      </c>
      <c r="C941" s="7">
        <v>3090.3998999999999</v>
      </c>
      <c r="D941" s="7">
        <v>2965.8</v>
      </c>
      <c r="E941" s="7">
        <v>2965.8</v>
      </c>
      <c r="F941" s="18">
        <v>2175</v>
      </c>
      <c r="G941" s="7">
        <v>3069.5857000000001</v>
      </c>
      <c r="H941" s="7">
        <v>2992.8533000000002</v>
      </c>
      <c r="I941" s="7">
        <v>2824.0978</v>
      </c>
      <c r="J941" s="8">
        <v>-0.94189999999999996</v>
      </c>
      <c r="K941" s="7">
        <v>1.4340999999999999</v>
      </c>
      <c r="L941" s="7">
        <v>0.99829999999999997</v>
      </c>
      <c r="M941" s="8">
        <v>38.8752</v>
      </c>
      <c r="N941" s="8">
        <v>30.020700000000001</v>
      </c>
      <c r="O941" s="7">
        <v>45.389200000000002</v>
      </c>
      <c r="P941" s="7">
        <v>3152.8092999999999</v>
      </c>
      <c r="Q941" s="7">
        <v>2927.5005999999998</v>
      </c>
      <c r="R941" s="7" t="str">
        <f t="shared" si="211"/>
        <v>Down</v>
      </c>
      <c r="S941" s="7" t="str">
        <f t="shared" si="212"/>
        <v>Hold</v>
      </c>
      <c r="T941" s="8">
        <f t="shared" si="213"/>
        <v>0.25387478260869578</v>
      </c>
      <c r="U941" s="18">
        <f t="shared" si="214"/>
        <v>982001</v>
      </c>
      <c r="V941" s="7">
        <f t="shared" si="215"/>
        <v>5586.2002000000002</v>
      </c>
      <c r="W941" s="7">
        <f t="shared" si="216"/>
        <v>2965.8</v>
      </c>
      <c r="X941" s="7">
        <f t="shared" si="217"/>
        <v>2965.8</v>
      </c>
      <c r="Y941" s="7">
        <f t="shared" si="218"/>
        <v>95</v>
      </c>
      <c r="Z941" s="7">
        <f t="shared" si="219"/>
        <v>283193</v>
      </c>
      <c r="AA941" s="7" t="str">
        <f t="shared" si="220"/>
        <v>09-Apr-2025</v>
      </c>
      <c r="AB941" s="7">
        <f t="shared" si="221"/>
        <v>2965.8</v>
      </c>
      <c r="AC941" s="7">
        <f t="shared" si="224"/>
        <v>1</v>
      </c>
      <c r="AD941" s="7">
        <f t="shared" si="222"/>
        <v>2025</v>
      </c>
      <c r="AE941" s="19">
        <f t="shared" si="223"/>
        <v>-0.94</v>
      </c>
    </row>
    <row r="942" spans="1:31" x14ac:dyDescent="0.3">
      <c r="A942" s="17">
        <v>45757</v>
      </c>
      <c r="B942" s="8">
        <v>3155.2</v>
      </c>
      <c r="C942" s="7">
        <v>3167</v>
      </c>
      <c r="D942" s="7">
        <v>3072.1001000000001</v>
      </c>
      <c r="E942" s="7">
        <v>3073.8998999999999</v>
      </c>
      <c r="F942" s="18">
        <v>3456</v>
      </c>
      <c r="G942" s="7">
        <v>3061.6143000000002</v>
      </c>
      <c r="H942" s="7">
        <v>2998.0333000000001</v>
      </c>
      <c r="I942" s="7">
        <v>2828.9589000000001</v>
      </c>
      <c r="J942" s="8">
        <v>3.6448999999999998</v>
      </c>
      <c r="K942" s="7">
        <v>2.0823</v>
      </c>
      <c r="L942" s="7">
        <v>1.1935</v>
      </c>
      <c r="M942" s="8">
        <v>54.267800000000001</v>
      </c>
      <c r="N942" s="8">
        <v>30.402799999999999</v>
      </c>
      <c r="O942" s="7">
        <v>42.3919</v>
      </c>
      <c r="P942" s="7">
        <v>3149.4542000000001</v>
      </c>
      <c r="Q942" s="7">
        <v>2944.5358000000001</v>
      </c>
      <c r="R942" s="7" t="str">
        <f t="shared" si="211"/>
        <v>Down</v>
      </c>
      <c r="S942" s="7" t="str">
        <f t="shared" si="212"/>
        <v>Hold</v>
      </c>
      <c r="T942" s="8">
        <f t="shared" si="213"/>
        <v>0.25909650655021843</v>
      </c>
      <c r="U942" s="18">
        <f t="shared" si="214"/>
        <v>979826</v>
      </c>
      <c r="V942" s="7">
        <f t="shared" si="215"/>
        <v>5586.2002000000002</v>
      </c>
      <c r="W942" s="7">
        <f t="shared" si="216"/>
        <v>3072.1001000000001</v>
      </c>
      <c r="X942" s="7">
        <f t="shared" si="217"/>
        <v>3073.8998999999999</v>
      </c>
      <c r="Y942" s="7">
        <f t="shared" si="218"/>
        <v>95</v>
      </c>
      <c r="Z942" s="7">
        <f t="shared" si="219"/>
        <v>283193</v>
      </c>
      <c r="AA942" s="7" t="str">
        <f t="shared" si="220"/>
        <v>10-Apr-2025</v>
      </c>
      <c r="AB942" s="7">
        <f t="shared" si="221"/>
        <v>3073.8998999999999</v>
      </c>
      <c r="AC942" s="7">
        <f t="shared" si="224"/>
        <v>1</v>
      </c>
      <c r="AD942" s="7">
        <f t="shared" si="222"/>
        <v>2025</v>
      </c>
      <c r="AE942" s="19">
        <f t="shared" si="223"/>
        <v>3.64</v>
      </c>
    </row>
    <row r="943" spans="1:31" x14ac:dyDescent="0.3">
      <c r="A943" s="17">
        <v>45758</v>
      </c>
      <c r="B943" s="8">
        <v>3222.2</v>
      </c>
      <c r="C943" s="7">
        <v>3235</v>
      </c>
      <c r="D943" s="7">
        <v>3182.1001000000001</v>
      </c>
      <c r="E943" s="7">
        <v>3182.1001000000001</v>
      </c>
      <c r="F943" s="18">
        <v>862</v>
      </c>
      <c r="G943" s="7">
        <v>3070.3856999999998</v>
      </c>
      <c r="H943" s="7">
        <v>3008.2</v>
      </c>
      <c r="I943" s="7">
        <v>2834.8822</v>
      </c>
      <c r="J943" s="8">
        <v>3.52</v>
      </c>
      <c r="K943" s="7">
        <v>2.5188000000000001</v>
      </c>
      <c r="L943" s="7">
        <v>1.3011999999999999</v>
      </c>
      <c r="M943" s="8">
        <v>64.099400000000003</v>
      </c>
      <c r="N943" s="8">
        <v>38.987099999999998</v>
      </c>
      <c r="O943" s="7">
        <v>41.710999999999999</v>
      </c>
      <c r="P943" s="7">
        <v>3172.0843</v>
      </c>
      <c r="Q943" s="7">
        <v>2940.6756999999998</v>
      </c>
      <c r="R943" s="7" t="str">
        <f t="shared" si="211"/>
        <v>Down</v>
      </c>
      <c r="S943" s="7" t="str">
        <f t="shared" si="212"/>
        <v>Hold</v>
      </c>
      <c r="T943" s="8">
        <f t="shared" si="213"/>
        <v>0.24424649122807024</v>
      </c>
      <c r="U943" s="18">
        <f t="shared" si="214"/>
        <v>976370</v>
      </c>
      <c r="V943" s="7">
        <f t="shared" si="215"/>
        <v>5586.2002000000002</v>
      </c>
      <c r="W943" s="7">
        <f t="shared" si="216"/>
        <v>3125</v>
      </c>
      <c r="X943" s="7">
        <f t="shared" si="217"/>
        <v>3182.1001000000001</v>
      </c>
      <c r="Y943" s="7">
        <f t="shared" si="218"/>
        <v>95</v>
      </c>
      <c r="Z943" s="7">
        <f t="shared" si="219"/>
        <v>283193</v>
      </c>
      <c r="AA943" s="7" t="str">
        <f t="shared" si="220"/>
        <v>11-Apr-2025</v>
      </c>
      <c r="AB943" s="7">
        <f t="shared" si="221"/>
        <v>3182.1001000000001</v>
      </c>
      <c r="AC943" s="7">
        <f t="shared" si="224"/>
        <v>1</v>
      </c>
      <c r="AD943" s="7">
        <f t="shared" si="222"/>
        <v>2025</v>
      </c>
      <c r="AE943" s="19">
        <f t="shared" si="223"/>
        <v>3.52</v>
      </c>
    </row>
    <row r="944" spans="1:31" x14ac:dyDescent="0.3">
      <c r="A944" s="17">
        <v>45761</v>
      </c>
      <c r="B944" s="8">
        <v>3204.8</v>
      </c>
      <c r="C944" s="7">
        <v>3228.8</v>
      </c>
      <c r="D944" s="7">
        <v>3194.5</v>
      </c>
      <c r="E944" s="7">
        <v>3215.5</v>
      </c>
      <c r="F944" s="18">
        <v>263</v>
      </c>
      <c r="G944" s="7">
        <v>3079.7429000000002</v>
      </c>
      <c r="H944" s="7">
        <v>3019.6266999999998</v>
      </c>
      <c r="I944" s="7">
        <v>2841.2878000000001</v>
      </c>
      <c r="J944" s="8">
        <v>1.0496000000000001</v>
      </c>
      <c r="K944" s="7">
        <v>2.5238</v>
      </c>
      <c r="L944" s="7">
        <v>1.3039000000000001</v>
      </c>
      <c r="M944" s="8">
        <v>66.001000000000005</v>
      </c>
      <c r="N944" s="8">
        <v>47.9328</v>
      </c>
      <c r="O944" s="7">
        <v>42.955300000000001</v>
      </c>
      <c r="P944" s="7">
        <v>3199.0866000000001</v>
      </c>
      <c r="Q944" s="7">
        <v>2936.1233999999999</v>
      </c>
      <c r="R944" s="7" t="str">
        <f t="shared" si="211"/>
        <v>Up</v>
      </c>
      <c r="S944" s="7" t="str">
        <f t="shared" si="212"/>
        <v>Hold</v>
      </c>
      <c r="T944" s="8">
        <f t="shared" si="213"/>
        <v>0.22981585903083709</v>
      </c>
      <c r="U944" s="18">
        <f t="shared" si="214"/>
        <v>975508</v>
      </c>
      <c r="V944" s="7">
        <f t="shared" si="215"/>
        <v>5586.2002000000002</v>
      </c>
      <c r="W944" s="7">
        <f t="shared" si="216"/>
        <v>3125</v>
      </c>
      <c r="X944" s="7">
        <f t="shared" si="217"/>
        <v>3215.5</v>
      </c>
      <c r="Y944" s="7">
        <f t="shared" si="218"/>
        <v>95</v>
      </c>
      <c r="Z944" s="7">
        <f t="shared" si="219"/>
        <v>283193</v>
      </c>
      <c r="AA944" s="7" t="str">
        <f t="shared" si="220"/>
        <v>14-Apr-2025</v>
      </c>
      <c r="AB944" s="7">
        <f t="shared" si="221"/>
        <v>3215.5</v>
      </c>
      <c r="AC944" s="7">
        <f t="shared" si="224"/>
        <v>1</v>
      </c>
      <c r="AD944" s="7">
        <f t="shared" si="222"/>
        <v>2025</v>
      </c>
      <c r="AE944" s="19">
        <f t="shared" si="223"/>
        <v>1.05</v>
      </c>
    </row>
    <row r="945" spans="1:31" x14ac:dyDescent="0.3">
      <c r="A945" s="17">
        <v>45762</v>
      </c>
      <c r="B945" s="8">
        <v>3218.7</v>
      </c>
      <c r="C945" s="7">
        <v>3218.7</v>
      </c>
      <c r="D945" s="7">
        <v>3214</v>
      </c>
      <c r="E945" s="7">
        <v>3216</v>
      </c>
      <c r="F945" s="18">
        <v>390</v>
      </c>
      <c r="G945" s="7">
        <v>3094.8143</v>
      </c>
      <c r="H945" s="7">
        <v>3030.6233000000002</v>
      </c>
      <c r="I945" s="7">
        <v>2847.6967</v>
      </c>
      <c r="J945" s="8">
        <v>1.55E-2</v>
      </c>
      <c r="K945" s="7">
        <v>2.4358</v>
      </c>
      <c r="L945" s="7">
        <v>1.3055000000000001</v>
      </c>
      <c r="M945" s="8">
        <v>65.634600000000006</v>
      </c>
      <c r="N945" s="8">
        <v>54.435200000000002</v>
      </c>
      <c r="O945" s="7">
        <v>45.251300000000001</v>
      </c>
      <c r="P945" s="7">
        <v>3221.8638000000001</v>
      </c>
      <c r="Q945" s="7">
        <v>2934.3062</v>
      </c>
      <c r="R945" s="7" t="str">
        <f t="shared" si="211"/>
        <v>Down</v>
      </c>
      <c r="S945" s="7" t="str">
        <f t="shared" si="212"/>
        <v>Hold</v>
      </c>
      <c r="T945" s="8">
        <f t="shared" si="213"/>
        <v>0.22618849557522128</v>
      </c>
      <c r="U945" s="18">
        <f t="shared" si="214"/>
        <v>975245</v>
      </c>
      <c r="V945" s="7">
        <f t="shared" si="215"/>
        <v>5586.2002000000002</v>
      </c>
      <c r="W945" s="7">
        <f t="shared" si="216"/>
        <v>3125</v>
      </c>
      <c r="X945" s="7">
        <f t="shared" si="217"/>
        <v>3216</v>
      </c>
      <c r="Y945" s="7">
        <f t="shared" si="218"/>
        <v>94</v>
      </c>
      <c r="Z945" s="7">
        <f t="shared" si="219"/>
        <v>282930</v>
      </c>
      <c r="AA945" s="7" t="str">
        <f t="shared" si="220"/>
        <v>15-Apr-2025</v>
      </c>
      <c r="AB945" s="7">
        <f t="shared" si="221"/>
        <v>3216</v>
      </c>
      <c r="AC945" s="7">
        <f t="shared" si="224"/>
        <v>1</v>
      </c>
      <c r="AD945" s="7">
        <f t="shared" si="222"/>
        <v>2025</v>
      </c>
      <c r="AE945" s="19">
        <f t="shared" si="223"/>
        <v>0.02</v>
      </c>
    </row>
    <row r="946" spans="1:31" x14ac:dyDescent="0.3">
      <c r="A946" s="17">
        <v>45763</v>
      </c>
      <c r="B946" s="8">
        <v>3326.6001000000001</v>
      </c>
      <c r="C946" s="7">
        <v>3334.8998999999999</v>
      </c>
      <c r="D946" s="7">
        <v>3238.3</v>
      </c>
      <c r="E946" s="7">
        <v>3238.3</v>
      </c>
      <c r="F946" s="18">
        <v>1874</v>
      </c>
      <c r="G946" s="7">
        <v>3126.5142999999998</v>
      </c>
      <c r="H946" s="7">
        <v>3041.3433</v>
      </c>
      <c r="I946" s="7">
        <v>2854.2067000000002</v>
      </c>
      <c r="J946" s="8">
        <v>0.69340000000000002</v>
      </c>
      <c r="K946" s="7">
        <v>1.8802000000000001</v>
      </c>
      <c r="L946" s="7">
        <v>1.3005</v>
      </c>
      <c r="M946" s="8">
        <v>67.757000000000005</v>
      </c>
      <c r="N946" s="8">
        <v>60.688200000000002</v>
      </c>
      <c r="O946" s="7">
        <v>48.338700000000003</v>
      </c>
      <c r="P946" s="7">
        <v>3247.1579000000002</v>
      </c>
      <c r="Q946" s="7">
        <v>2929.3220000000001</v>
      </c>
      <c r="R946" s="7" t="str">
        <f t="shared" si="211"/>
        <v>Down</v>
      </c>
      <c r="S946" s="7" t="str">
        <f t="shared" si="212"/>
        <v>Hold</v>
      </c>
      <c r="T946" s="8">
        <f t="shared" si="213"/>
        <v>0.2271248888888889</v>
      </c>
      <c r="U946" s="18">
        <f t="shared" si="214"/>
        <v>974855</v>
      </c>
      <c r="V946" s="7">
        <f t="shared" si="215"/>
        <v>5586.2002000000002</v>
      </c>
      <c r="W946" s="7">
        <f t="shared" si="216"/>
        <v>3125</v>
      </c>
      <c r="X946" s="7">
        <f t="shared" si="217"/>
        <v>3238.3</v>
      </c>
      <c r="Y946" s="7">
        <f t="shared" si="218"/>
        <v>94</v>
      </c>
      <c r="Z946" s="7">
        <f t="shared" si="219"/>
        <v>282930</v>
      </c>
      <c r="AA946" s="7" t="str">
        <f t="shared" si="220"/>
        <v>16-Apr-2025</v>
      </c>
      <c r="AB946" s="7">
        <f t="shared" si="221"/>
        <v>3238.3</v>
      </c>
      <c r="AC946" s="7">
        <f t="shared" si="224"/>
        <v>1</v>
      </c>
      <c r="AD946" s="7">
        <f t="shared" si="222"/>
        <v>2025</v>
      </c>
      <c r="AE946" s="19">
        <f t="shared" si="223"/>
        <v>0.69</v>
      </c>
    </row>
    <row r="947" spans="1:31" x14ac:dyDescent="0.3">
      <c r="A947" s="17">
        <v>45764</v>
      </c>
      <c r="B947" s="8">
        <v>3308.7</v>
      </c>
      <c r="C947" s="7">
        <v>3345</v>
      </c>
      <c r="D947" s="7">
        <v>3287.8</v>
      </c>
      <c r="E947" s="7">
        <v>3345</v>
      </c>
      <c r="F947" s="18">
        <v>824</v>
      </c>
      <c r="G947" s="7">
        <v>3176.6572000000001</v>
      </c>
      <c r="H947" s="7">
        <v>3056.0432999999998</v>
      </c>
      <c r="I947" s="7">
        <v>2862.26</v>
      </c>
      <c r="J947" s="8">
        <v>3.2949000000000002</v>
      </c>
      <c r="K947" s="7">
        <v>1.8634999999999999</v>
      </c>
      <c r="L947" s="7">
        <v>1.3968</v>
      </c>
      <c r="M947" s="8">
        <v>70.802499999999995</v>
      </c>
      <c r="N947" s="8">
        <v>73.407399999999996</v>
      </c>
      <c r="O947" s="7">
        <v>53.352400000000003</v>
      </c>
      <c r="P947" s="7">
        <v>3297.6713</v>
      </c>
      <c r="Q947" s="7">
        <v>2908.5787</v>
      </c>
      <c r="R947" s="7" t="str">
        <f t="shared" si="211"/>
        <v>Up</v>
      </c>
      <c r="S947" s="7" t="str">
        <f t="shared" si="212"/>
        <v>Sell</v>
      </c>
      <c r="T947" s="8">
        <f t="shared" si="213"/>
        <v>0.22504330357142868</v>
      </c>
      <c r="U947" s="18">
        <f t="shared" si="214"/>
        <v>972981</v>
      </c>
      <c r="V947" s="7">
        <f t="shared" si="215"/>
        <v>5586.2002000000002</v>
      </c>
      <c r="W947" s="7">
        <f t="shared" si="216"/>
        <v>3125</v>
      </c>
      <c r="X947" s="7">
        <f t="shared" si="217"/>
        <v>3345</v>
      </c>
      <c r="Y947" s="7">
        <f t="shared" si="218"/>
        <v>94</v>
      </c>
      <c r="Z947" s="7">
        <f t="shared" si="219"/>
        <v>282930</v>
      </c>
      <c r="AA947" s="7" t="str">
        <f t="shared" si="220"/>
        <v>17-Apr-2025</v>
      </c>
      <c r="AB947" s="7">
        <f t="shared" si="221"/>
        <v>3345</v>
      </c>
      <c r="AC947" s="7">
        <f t="shared" si="224"/>
        <v>1</v>
      </c>
      <c r="AD947" s="7">
        <f t="shared" si="222"/>
        <v>2025</v>
      </c>
      <c r="AE947" s="19">
        <f t="shared" si="223"/>
        <v>3.29</v>
      </c>
    </row>
    <row r="948" spans="1:31" x14ac:dyDescent="0.3">
      <c r="A948" s="17">
        <v>45768</v>
      </c>
      <c r="B948" s="8">
        <v>3406.2</v>
      </c>
      <c r="C948" s="7">
        <v>3418.5</v>
      </c>
      <c r="D948" s="7">
        <v>3342.2</v>
      </c>
      <c r="E948" s="7">
        <v>3342.2</v>
      </c>
      <c r="F948" s="18">
        <v>78</v>
      </c>
      <c r="G948" s="7">
        <v>3230.4286000000002</v>
      </c>
      <c r="H948" s="7">
        <v>3070.7532999999999</v>
      </c>
      <c r="I948" s="7">
        <v>2870.15</v>
      </c>
      <c r="J948" s="8">
        <v>-8.3699999999999997E-2</v>
      </c>
      <c r="K948" s="7">
        <v>1.6875</v>
      </c>
      <c r="L948" s="7">
        <v>1.3965000000000001</v>
      </c>
      <c r="M948" s="8">
        <v>69.5274</v>
      </c>
      <c r="N948" s="8">
        <v>82.312600000000003</v>
      </c>
      <c r="O948" s="7">
        <v>59.144500000000001</v>
      </c>
      <c r="P948" s="7">
        <v>3337.3551000000002</v>
      </c>
      <c r="Q948" s="7">
        <v>2899.6648</v>
      </c>
      <c r="R948" s="7" t="str">
        <f t="shared" si="211"/>
        <v>Down</v>
      </c>
      <c r="S948" s="7" t="str">
        <f t="shared" si="212"/>
        <v>Hold</v>
      </c>
      <c r="T948" s="8">
        <f t="shared" si="213"/>
        <v>0.21127713004484303</v>
      </c>
      <c r="U948" s="18">
        <f t="shared" si="214"/>
        <v>972157</v>
      </c>
      <c r="V948" s="7">
        <f t="shared" si="215"/>
        <v>5586.2002000000002</v>
      </c>
      <c r="W948" s="7">
        <f t="shared" si="216"/>
        <v>3125</v>
      </c>
      <c r="X948" s="7">
        <f t="shared" si="217"/>
        <v>3342.2</v>
      </c>
      <c r="Y948" s="7">
        <f t="shared" si="218"/>
        <v>93</v>
      </c>
      <c r="Z948" s="7">
        <f t="shared" si="219"/>
        <v>282106</v>
      </c>
      <c r="AA948" s="7" t="str">
        <f t="shared" si="220"/>
        <v>21-Apr-2025</v>
      </c>
      <c r="AB948" s="7">
        <f t="shared" si="221"/>
        <v>3342.2</v>
      </c>
      <c r="AC948" s="7">
        <f t="shared" si="224"/>
        <v>1</v>
      </c>
      <c r="AD948" s="7">
        <f t="shared" si="222"/>
        <v>2025</v>
      </c>
      <c r="AE948" s="19">
        <f t="shared" si="223"/>
        <v>-0.08</v>
      </c>
    </row>
    <row r="949" spans="1:31" x14ac:dyDescent="0.3">
      <c r="A949" s="17">
        <v>45769</v>
      </c>
      <c r="B949" s="8">
        <v>3400.8</v>
      </c>
      <c r="C949" s="7">
        <v>3485.6001000000001</v>
      </c>
      <c r="D949" s="7">
        <v>3361.7</v>
      </c>
      <c r="E949" s="7">
        <v>3422.2</v>
      </c>
      <c r="F949" s="18">
        <v>785</v>
      </c>
      <c r="G949" s="7">
        <v>3280.1857</v>
      </c>
      <c r="H949" s="7">
        <v>3087.8233</v>
      </c>
      <c r="I949" s="7">
        <v>2878.5933</v>
      </c>
      <c r="J949" s="8">
        <v>2.3936000000000002</v>
      </c>
      <c r="K949" s="7">
        <v>1.508</v>
      </c>
      <c r="L949" s="7">
        <v>1.4389000000000001</v>
      </c>
      <c r="M949" s="8">
        <v>71.366</v>
      </c>
      <c r="N949" s="8">
        <v>94.733400000000003</v>
      </c>
      <c r="O949" s="7">
        <v>66.262299999999996</v>
      </c>
      <c r="P949" s="7">
        <v>3390.9409999999998</v>
      </c>
      <c r="Q949" s="7">
        <v>2885.8690000000001</v>
      </c>
      <c r="R949" s="7" t="str">
        <f t="shared" si="211"/>
        <v>Up</v>
      </c>
      <c r="S949" s="7" t="str">
        <f t="shared" si="212"/>
        <v>Sell</v>
      </c>
      <c r="T949" s="8">
        <f t="shared" si="213"/>
        <v>0.21260585585585587</v>
      </c>
      <c r="U949" s="18">
        <f t="shared" si="214"/>
        <v>972079</v>
      </c>
      <c r="V949" s="7">
        <f t="shared" si="215"/>
        <v>5586.2002000000002</v>
      </c>
      <c r="W949" s="7">
        <f t="shared" si="216"/>
        <v>3125</v>
      </c>
      <c r="X949" s="7">
        <f t="shared" si="217"/>
        <v>3422.2</v>
      </c>
      <c r="Y949" s="7">
        <f t="shared" si="218"/>
        <v>93</v>
      </c>
      <c r="Z949" s="7">
        <f t="shared" si="219"/>
        <v>282106</v>
      </c>
      <c r="AA949" s="7" t="str">
        <f t="shared" si="220"/>
        <v>22-Apr-2025</v>
      </c>
      <c r="AB949" s="7">
        <f t="shared" si="221"/>
        <v>3422.2</v>
      </c>
      <c r="AC949" s="7">
        <f t="shared" si="224"/>
        <v>1</v>
      </c>
      <c r="AD949" s="7">
        <f t="shared" si="222"/>
        <v>2025</v>
      </c>
      <c r="AE949" s="19">
        <f t="shared" si="223"/>
        <v>2.39</v>
      </c>
    </row>
    <row r="950" spans="1:31" x14ac:dyDescent="0.3">
      <c r="A950" s="17">
        <v>45770</v>
      </c>
      <c r="B950" s="8">
        <v>3276.3</v>
      </c>
      <c r="C950" s="7">
        <v>3370.3</v>
      </c>
      <c r="D950" s="7">
        <v>3256.2</v>
      </c>
      <c r="E950" s="7">
        <v>3321.2</v>
      </c>
      <c r="F950" s="18">
        <v>331</v>
      </c>
      <c r="G950" s="7">
        <v>3300.0571</v>
      </c>
      <c r="H950" s="7">
        <v>3102.3833</v>
      </c>
      <c r="I950" s="7">
        <v>2885.4756000000002</v>
      </c>
      <c r="J950" s="8">
        <v>-2.9512999999999998</v>
      </c>
      <c r="K950" s="7">
        <v>2.0044</v>
      </c>
      <c r="L950" s="7">
        <v>1.5548</v>
      </c>
      <c r="M950" s="8">
        <v>62.910499999999999</v>
      </c>
      <c r="N950" s="8">
        <v>95.328199999999995</v>
      </c>
      <c r="O950" s="7">
        <v>72.075400000000002</v>
      </c>
      <c r="P950" s="7">
        <v>3412.4769000000001</v>
      </c>
      <c r="Q950" s="7">
        <v>2893.8130000000001</v>
      </c>
      <c r="R950" s="7" t="str">
        <f t="shared" si="211"/>
        <v>Up</v>
      </c>
      <c r="S950" s="7" t="str">
        <f t="shared" si="212"/>
        <v>Hold</v>
      </c>
      <c r="T950" s="8">
        <f t="shared" si="213"/>
        <v>0.20273710407239817</v>
      </c>
      <c r="U950" s="18">
        <f t="shared" si="214"/>
        <v>971294</v>
      </c>
      <c r="V950" s="7">
        <f t="shared" si="215"/>
        <v>5586.2002000000002</v>
      </c>
      <c r="W950" s="7">
        <f t="shared" si="216"/>
        <v>3125</v>
      </c>
      <c r="X950" s="7">
        <f t="shared" si="217"/>
        <v>3321.2</v>
      </c>
      <c r="Y950" s="7">
        <f t="shared" si="218"/>
        <v>92</v>
      </c>
      <c r="Z950" s="7">
        <f t="shared" si="219"/>
        <v>281321</v>
      </c>
      <c r="AA950" s="7" t="str">
        <f t="shared" si="220"/>
        <v>23-Apr-2025</v>
      </c>
      <c r="AB950" s="7">
        <f t="shared" si="221"/>
        <v>3321.2</v>
      </c>
      <c r="AC950" s="7">
        <f t="shared" si="224"/>
        <v>1</v>
      </c>
      <c r="AD950" s="7">
        <f t="shared" si="222"/>
        <v>2025</v>
      </c>
      <c r="AE950" s="19">
        <f t="shared" si="223"/>
        <v>-2.95</v>
      </c>
    </row>
    <row r="951" spans="1:31" x14ac:dyDescent="0.3">
      <c r="A951" s="17">
        <v>45771</v>
      </c>
      <c r="B951" s="8">
        <v>3332</v>
      </c>
      <c r="C951" s="7">
        <v>3353.8998999999999</v>
      </c>
      <c r="D951" s="7">
        <v>3304.8998999999999</v>
      </c>
      <c r="E951" s="7">
        <v>3305.3998999999999</v>
      </c>
      <c r="F951" s="18">
        <v>560</v>
      </c>
      <c r="G951" s="7">
        <v>3312.9</v>
      </c>
      <c r="H951" s="7">
        <v>3115.4965999999999</v>
      </c>
      <c r="I951" s="7">
        <v>2891.9232999999999</v>
      </c>
      <c r="J951" s="8">
        <v>-0.47570000000000001</v>
      </c>
      <c r="K951" s="7">
        <v>2.0339</v>
      </c>
      <c r="L951" s="7">
        <v>1.5618000000000001</v>
      </c>
      <c r="M951" s="8">
        <v>60.183500000000002</v>
      </c>
      <c r="N951" s="8">
        <v>93.447500000000005</v>
      </c>
      <c r="O951" s="7">
        <v>76.349900000000005</v>
      </c>
      <c r="P951" s="7">
        <v>3428.1448999999998</v>
      </c>
      <c r="Q951" s="7">
        <v>2905.3651</v>
      </c>
      <c r="R951" s="7" t="str">
        <f t="shared" si="211"/>
        <v>Down</v>
      </c>
      <c r="S951" s="7" t="str">
        <f t="shared" si="212"/>
        <v>Hold</v>
      </c>
      <c r="T951" s="8">
        <f t="shared" si="213"/>
        <v>0.21707363636363636</v>
      </c>
      <c r="U951" s="18">
        <f t="shared" si="214"/>
        <v>970963</v>
      </c>
      <c r="V951" s="7">
        <f t="shared" si="215"/>
        <v>5586.2002000000002</v>
      </c>
      <c r="W951" s="7">
        <f t="shared" si="216"/>
        <v>3125</v>
      </c>
      <c r="X951" s="7">
        <f t="shared" si="217"/>
        <v>3305.3998999999999</v>
      </c>
      <c r="Y951" s="7">
        <f t="shared" si="218"/>
        <v>91</v>
      </c>
      <c r="Z951" s="7">
        <f t="shared" si="219"/>
        <v>280990</v>
      </c>
      <c r="AA951" s="7" t="str">
        <f t="shared" si="220"/>
        <v>24-Apr-2025</v>
      </c>
      <c r="AB951" s="7">
        <f t="shared" si="221"/>
        <v>3305.3998999999999</v>
      </c>
      <c r="AC951" s="7">
        <f t="shared" si="224"/>
        <v>1</v>
      </c>
      <c r="AD951" s="7">
        <f t="shared" si="222"/>
        <v>2025</v>
      </c>
      <c r="AE951" s="19">
        <f t="shared" si="223"/>
        <v>-0.48</v>
      </c>
    </row>
    <row r="952" spans="1:31" x14ac:dyDescent="0.3">
      <c r="A952" s="17">
        <v>45772</v>
      </c>
      <c r="B952" s="8">
        <v>3282.3998999999999</v>
      </c>
      <c r="C952" s="7">
        <v>3355.5</v>
      </c>
      <c r="D952" s="7">
        <v>3266.1001000000001</v>
      </c>
      <c r="E952" s="7">
        <v>3355.5</v>
      </c>
      <c r="F952" s="18">
        <v>162</v>
      </c>
      <c r="G952" s="7">
        <v>3332.8285000000001</v>
      </c>
      <c r="H952" s="7">
        <v>3129.4432999999999</v>
      </c>
      <c r="I952" s="7">
        <v>2899.3377999999998</v>
      </c>
      <c r="J952" s="8">
        <v>1.5157</v>
      </c>
      <c r="K952" s="7">
        <v>2.0638999999999998</v>
      </c>
      <c r="L952" s="7">
        <v>1.5724</v>
      </c>
      <c r="M952" s="8">
        <v>65.835099999999997</v>
      </c>
      <c r="N952" s="8">
        <v>94.905600000000007</v>
      </c>
      <c r="O952" s="7">
        <v>80.061000000000007</v>
      </c>
      <c r="P952" s="7">
        <v>3448.7312999999999</v>
      </c>
      <c r="Q952" s="7">
        <v>2917.7786999999998</v>
      </c>
      <c r="R952" s="7" t="str">
        <f t="shared" si="211"/>
        <v>Up</v>
      </c>
      <c r="S952" s="7" t="str">
        <f t="shared" si="212"/>
        <v>Hold</v>
      </c>
      <c r="T952" s="8">
        <f t="shared" si="213"/>
        <v>0.22023698630136987</v>
      </c>
      <c r="U952" s="18">
        <f t="shared" si="214"/>
        <v>970403</v>
      </c>
      <c r="V952" s="7">
        <f t="shared" si="215"/>
        <v>5586.2002000000002</v>
      </c>
      <c r="W952" s="7">
        <f t="shared" si="216"/>
        <v>3125</v>
      </c>
      <c r="X952" s="7">
        <f t="shared" si="217"/>
        <v>3355.5</v>
      </c>
      <c r="Y952" s="7">
        <f t="shared" si="218"/>
        <v>91</v>
      </c>
      <c r="Z952" s="7">
        <f t="shared" si="219"/>
        <v>280990</v>
      </c>
      <c r="AA952" s="7" t="str">
        <f t="shared" si="220"/>
        <v>25-Apr-2025</v>
      </c>
      <c r="AB952" s="7">
        <f t="shared" si="221"/>
        <v>3355.5</v>
      </c>
      <c r="AC952" s="7">
        <f t="shared" si="224"/>
        <v>1</v>
      </c>
      <c r="AD952" s="7">
        <f t="shared" si="222"/>
        <v>2025</v>
      </c>
      <c r="AE952" s="19">
        <f t="shared" si="223"/>
        <v>1.52</v>
      </c>
    </row>
    <row r="953" spans="1:31" x14ac:dyDescent="0.3">
      <c r="A953" s="17">
        <v>45775</v>
      </c>
      <c r="B953" s="8">
        <v>3332.5</v>
      </c>
      <c r="C953" s="7">
        <v>3332.5</v>
      </c>
      <c r="D953" s="7">
        <v>3284.5</v>
      </c>
      <c r="E953" s="7">
        <v>3284.5</v>
      </c>
      <c r="F953" s="18">
        <v>1300</v>
      </c>
      <c r="G953" s="7">
        <v>3339.4285</v>
      </c>
      <c r="H953" s="7">
        <v>3139.1133</v>
      </c>
      <c r="I953" s="7">
        <v>2906.2955999999999</v>
      </c>
      <c r="J953" s="8">
        <v>-2.1158999999999999</v>
      </c>
      <c r="K953" s="7">
        <v>2.3075000000000001</v>
      </c>
      <c r="L953" s="7">
        <v>1.6140000000000001</v>
      </c>
      <c r="M953" s="8">
        <v>67.861400000000003</v>
      </c>
      <c r="N953" s="8">
        <v>89.302700000000002</v>
      </c>
      <c r="O953" s="7">
        <v>81.909300000000002</v>
      </c>
      <c r="P953" s="7">
        <v>3457.5007999999998</v>
      </c>
      <c r="Q953" s="7">
        <v>2930.4892</v>
      </c>
      <c r="R953" s="7" t="str">
        <f t="shared" si="211"/>
        <v>Down</v>
      </c>
      <c r="S953" s="7" t="str">
        <f t="shared" si="212"/>
        <v>Hold</v>
      </c>
      <c r="T953" s="8">
        <f t="shared" si="213"/>
        <v>0.21429449541284401</v>
      </c>
      <c r="U953" s="18">
        <f t="shared" si="214"/>
        <v>970241</v>
      </c>
      <c r="V953" s="7">
        <f t="shared" si="215"/>
        <v>5586.2002000000002</v>
      </c>
      <c r="W953" s="7">
        <f t="shared" si="216"/>
        <v>3125</v>
      </c>
      <c r="X953" s="7">
        <f t="shared" si="217"/>
        <v>3284.5</v>
      </c>
      <c r="Y953" s="7">
        <f t="shared" si="218"/>
        <v>90</v>
      </c>
      <c r="Z953" s="7">
        <f t="shared" si="219"/>
        <v>280828</v>
      </c>
      <c r="AA953" s="7" t="str">
        <f t="shared" si="220"/>
        <v>28-Apr-2025</v>
      </c>
      <c r="AB953" s="7">
        <f t="shared" si="221"/>
        <v>3284.5</v>
      </c>
      <c r="AC953" s="7">
        <f t="shared" si="224"/>
        <v>1</v>
      </c>
      <c r="AD953" s="7">
        <f t="shared" si="222"/>
        <v>2025</v>
      </c>
      <c r="AE953" s="19">
        <f t="shared" si="223"/>
        <v>-2.12</v>
      </c>
    </row>
    <row r="954" spans="1:31" x14ac:dyDescent="0.3">
      <c r="A954" s="17">
        <v>45776</v>
      </c>
      <c r="B954" s="8">
        <v>3318.8</v>
      </c>
      <c r="C954" s="7">
        <v>3340</v>
      </c>
      <c r="D954" s="7">
        <v>3299.8998999999999</v>
      </c>
      <c r="E954" s="7">
        <v>3340</v>
      </c>
      <c r="F954" s="18">
        <v>1278</v>
      </c>
      <c r="G954" s="7">
        <v>3338.7143000000001</v>
      </c>
      <c r="H954" s="7">
        <v>3150.7465999999999</v>
      </c>
      <c r="I954" s="7">
        <v>2913.9422</v>
      </c>
      <c r="J954" s="8">
        <v>1.6898</v>
      </c>
      <c r="K954" s="7">
        <v>2.0125999999999999</v>
      </c>
      <c r="L954" s="7">
        <v>1.6307</v>
      </c>
      <c r="M954" s="8">
        <v>72.077600000000004</v>
      </c>
      <c r="N954" s="8">
        <v>88.322599999999994</v>
      </c>
      <c r="O954" s="7">
        <v>83.191999999999993</v>
      </c>
      <c r="P954" s="7">
        <v>3472.9731999999999</v>
      </c>
      <c r="Q954" s="7">
        <v>2939.9167000000002</v>
      </c>
      <c r="R954" s="7" t="str">
        <f t="shared" si="211"/>
        <v>Up</v>
      </c>
      <c r="S954" s="7" t="str">
        <f t="shared" si="212"/>
        <v>Sell</v>
      </c>
      <c r="T954" s="8">
        <f t="shared" si="213"/>
        <v>0.22503271889400925</v>
      </c>
      <c r="U954" s="18">
        <f t="shared" si="214"/>
        <v>968941</v>
      </c>
      <c r="V954" s="7">
        <f t="shared" si="215"/>
        <v>5586.2002000000002</v>
      </c>
      <c r="W954" s="7">
        <f t="shared" si="216"/>
        <v>3125</v>
      </c>
      <c r="X954" s="7">
        <f t="shared" si="217"/>
        <v>3340</v>
      </c>
      <c r="Y954" s="7">
        <f t="shared" si="218"/>
        <v>90</v>
      </c>
      <c r="Z954" s="7">
        <f t="shared" si="219"/>
        <v>280828</v>
      </c>
      <c r="AA954" s="7" t="str">
        <f t="shared" si="220"/>
        <v>29-Apr-2025</v>
      </c>
      <c r="AB954" s="7">
        <f t="shared" si="221"/>
        <v>3340</v>
      </c>
      <c r="AC954" s="7">
        <f t="shared" si="224"/>
        <v>1</v>
      </c>
      <c r="AD954" s="7">
        <f t="shared" si="222"/>
        <v>2025</v>
      </c>
      <c r="AE954" s="19">
        <f t="shared" si="223"/>
        <v>1.69</v>
      </c>
    </row>
    <row r="955" spans="1:31" x14ac:dyDescent="0.3">
      <c r="A955" s="17">
        <v>45777</v>
      </c>
      <c r="B955" s="8">
        <v>3305</v>
      </c>
      <c r="C955" s="7">
        <v>3318.7</v>
      </c>
      <c r="D955" s="7">
        <v>3268</v>
      </c>
      <c r="E955" s="7">
        <v>3318.7</v>
      </c>
      <c r="F955" s="18">
        <v>207</v>
      </c>
      <c r="G955" s="7">
        <v>3335.3571000000002</v>
      </c>
      <c r="H955" s="7">
        <v>3161.1565999999998</v>
      </c>
      <c r="I955" s="7">
        <v>2921.4355999999998</v>
      </c>
      <c r="J955" s="8">
        <v>-0.63770000000000004</v>
      </c>
      <c r="K955" s="7">
        <v>2.0270999999999999</v>
      </c>
      <c r="L955" s="7">
        <v>1.641</v>
      </c>
      <c r="M955" s="8">
        <v>72.7179</v>
      </c>
      <c r="N955" s="8">
        <v>84.849000000000004</v>
      </c>
      <c r="O955" s="7">
        <v>83.523399999999995</v>
      </c>
      <c r="P955" s="7">
        <v>3484.3613999999998</v>
      </c>
      <c r="Q955" s="7">
        <v>2947.4286000000002</v>
      </c>
      <c r="R955" s="7" t="str">
        <f t="shared" si="211"/>
        <v>Up</v>
      </c>
      <c r="S955" s="7" t="str">
        <f t="shared" si="212"/>
        <v>Sell</v>
      </c>
      <c r="T955" s="8">
        <f t="shared" si="213"/>
        <v>0.21825138888888887</v>
      </c>
      <c r="U955" s="18">
        <f t="shared" si="214"/>
        <v>967663</v>
      </c>
      <c r="V955" s="7">
        <f t="shared" si="215"/>
        <v>5586.2002000000002</v>
      </c>
      <c r="W955" s="7">
        <f t="shared" si="216"/>
        <v>3125</v>
      </c>
      <c r="X955" s="7">
        <f t="shared" si="217"/>
        <v>3318.7</v>
      </c>
      <c r="Y955" s="7">
        <f t="shared" si="218"/>
        <v>89</v>
      </c>
      <c r="Z955" s="7">
        <f t="shared" si="219"/>
        <v>279550</v>
      </c>
      <c r="AA955" s="7" t="str">
        <f t="shared" si="220"/>
        <v>30-Apr-2025</v>
      </c>
      <c r="AB955" s="7">
        <f t="shared" si="221"/>
        <v>3318.7</v>
      </c>
      <c r="AC955" s="7">
        <f t="shared" si="224"/>
        <v>1</v>
      </c>
      <c r="AD955" s="7">
        <f t="shared" si="222"/>
        <v>2025</v>
      </c>
      <c r="AE955" s="19">
        <f t="shared" si="223"/>
        <v>-0.64</v>
      </c>
    </row>
    <row r="956" spans="1:31" x14ac:dyDescent="0.3">
      <c r="A956" s="17">
        <v>45778</v>
      </c>
      <c r="B956" s="8">
        <v>3210</v>
      </c>
      <c r="C956" s="7">
        <v>3275</v>
      </c>
      <c r="D956" s="7">
        <v>3198.6001000000001</v>
      </c>
      <c r="E956" s="7">
        <v>3272.8998999999999</v>
      </c>
      <c r="F956" s="18">
        <v>2131</v>
      </c>
      <c r="G956" s="7">
        <v>3314.0284999999999</v>
      </c>
      <c r="H956" s="7">
        <v>3169.08</v>
      </c>
      <c r="I956" s="7">
        <v>2929.1111000000001</v>
      </c>
      <c r="J956" s="8">
        <v>-1.3801000000000001</v>
      </c>
      <c r="K956" s="7">
        <v>1.7401</v>
      </c>
      <c r="L956" s="7">
        <v>1.6660999999999999</v>
      </c>
      <c r="M956" s="8">
        <v>63.927799999999998</v>
      </c>
      <c r="N956" s="8">
        <v>77.507000000000005</v>
      </c>
      <c r="O956" s="7">
        <v>82.320099999999996</v>
      </c>
      <c r="P956" s="7">
        <v>3489.2242000000001</v>
      </c>
      <c r="Q956" s="7">
        <v>2957.7858000000001</v>
      </c>
      <c r="R956" s="7" t="str">
        <f t="shared" si="211"/>
        <v>Up</v>
      </c>
      <c r="S956" s="7" t="str">
        <f t="shared" si="212"/>
        <v>Hold</v>
      </c>
      <c r="T956" s="8">
        <f t="shared" si="213"/>
        <v>0.22223255813953485</v>
      </c>
      <c r="U956" s="18">
        <f t="shared" si="214"/>
        <v>967456</v>
      </c>
      <c r="V956" s="7">
        <f t="shared" si="215"/>
        <v>5586.2002000000002</v>
      </c>
      <c r="W956" s="7">
        <f t="shared" si="216"/>
        <v>3125</v>
      </c>
      <c r="X956" s="7">
        <f t="shared" si="217"/>
        <v>3272.8998999999999</v>
      </c>
      <c r="Y956" s="7">
        <f t="shared" si="218"/>
        <v>88</v>
      </c>
      <c r="Z956" s="7">
        <f t="shared" si="219"/>
        <v>279343</v>
      </c>
      <c r="AA956" s="7" t="str">
        <f t="shared" si="220"/>
        <v>01-May-2025</v>
      </c>
      <c r="AB956" s="7">
        <f t="shared" si="221"/>
        <v>3272.8998999999999</v>
      </c>
      <c r="AC956" s="7">
        <f t="shared" si="224"/>
        <v>1</v>
      </c>
      <c r="AD956" s="7">
        <f t="shared" si="222"/>
        <v>2025</v>
      </c>
      <c r="AE956" s="19">
        <f t="shared" si="223"/>
        <v>-1.38</v>
      </c>
    </row>
    <row r="957" spans="1:31" x14ac:dyDescent="0.3">
      <c r="A957" s="17">
        <v>45779</v>
      </c>
      <c r="B957" s="8">
        <v>3231.8998999999999</v>
      </c>
      <c r="C957" s="7">
        <v>3257</v>
      </c>
      <c r="D957" s="7">
        <v>3225</v>
      </c>
      <c r="E957" s="7">
        <v>3239.8998999999999</v>
      </c>
      <c r="F957" s="18">
        <v>1349</v>
      </c>
      <c r="G957" s="7">
        <v>3302.4142000000002</v>
      </c>
      <c r="H957" s="7">
        <v>3175.5</v>
      </c>
      <c r="I957" s="7">
        <v>2936.1622000000002</v>
      </c>
      <c r="J957" s="8">
        <v>-1.0083</v>
      </c>
      <c r="K957" s="7">
        <v>1.4348000000000001</v>
      </c>
      <c r="L957" s="7">
        <v>1.6819</v>
      </c>
      <c r="M957" s="8">
        <v>54.521299999999997</v>
      </c>
      <c r="N957" s="8">
        <v>68.239000000000004</v>
      </c>
      <c r="O957" s="7">
        <v>79.503900000000002</v>
      </c>
      <c r="P957" s="7">
        <v>3491.5160999999998</v>
      </c>
      <c r="Q957" s="7">
        <v>2964.4839000000002</v>
      </c>
      <c r="R957" s="7" t="str">
        <f t="shared" si="211"/>
        <v>Up</v>
      </c>
      <c r="S957" s="7" t="str">
        <f t="shared" si="212"/>
        <v>Hold</v>
      </c>
      <c r="T957" s="8">
        <f t="shared" si="213"/>
        <v>0.22972009345794395</v>
      </c>
      <c r="U957" s="18">
        <f t="shared" si="214"/>
        <v>965325</v>
      </c>
      <c r="V957" s="7">
        <f t="shared" si="215"/>
        <v>5586.2002000000002</v>
      </c>
      <c r="W957" s="7">
        <f t="shared" si="216"/>
        <v>3125</v>
      </c>
      <c r="X957" s="7">
        <f t="shared" si="217"/>
        <v>3239.8998999999999</v>
      </c>
      <c r="Y957" s="7">
        <f t="shared" si="218"/>
        <v>87</v>
      </c>
      <c r="Z957" s="7">
        <f t="shared" si="219"/>
        <v>277212</v>
      </c>
      <c r="AA957" s="7" t="str">
        <f t="shared" si="220"/>
        <v>02-May-2025</v>
      </c>
      <c r="AB957" s="7">
        <f t="shared" si="221"/>
        <v>3239.8998999999999</v>
      </c>
      <c r="AC957" s="7">
        <f t="shared" si="224"/>
        <v>1</v>
      </c>
      <c r="AD957" s="7">
        <f t="shared" si="222"/>
        <v>2025</v>
      </c>
      <c r="AE957" s="19">
        <f t="shared" si="223"/>
        <v>-1.01</v>
      </c>
    </row>
    <row r="958" spans="1:31" x14ac:dyDescent="0.3">
      <c r="A958" s="17">
        <v>45782</v>
      </c>
      <c r="B958" s="8">
        <v>3311.3</v>
      </c>
      <c r="C958" s="7">
        <v>3315.7</v>
      </c>
      <c r="D958" s="7">
        <v>3239.7</v>
      </c>
      <c r="E958" s="7">
        <v>3242.7</v>
      </c>
      <c r="F958" s="18">
        <v>244</v>
      </c>
      <c r="G958" s="7">
        <v>3293.4571000000001</v>
      </c>
      <c r="H958" s="7">
        <v>3182.44</v>
      </c>
      <c r="I958" s="7">
        <v>2943.0810999999999</v>
      </c>
      <c r="J958" s="8">
        <v>8.6400000000000005E-2</v>
      </c>
      <c r="K958" s="7">
        <v>1.4419999999999999</v>
      </c>
      <c r="L958" s="7">
        <v>1.6778</v>
      </c>
      <c r="M958" s="8">
        <v>52.2346</v>
      </c>
      <c r="N958" s="8">
        <v>60.423499999999997</v>
      </c>
      <c r="O958" s="7">
        <v>75.687799999999996</v>
      </c>
      <c r="P958" s="7">
        <v>3492.2836000000002</v>
      </c>
      <c r="Q958" s="7">
        <v>2976.9364</v>
      </c>
      <c r="R958" s="7" t="str">
        <f t="shared" si="211"/>
        <v>Down</v>
      </c>
      <c r="S958" s="7" t="str">
        <f t="shared" si="212"/>
        <v>Hold</v>
      </c>
      <c r="T958" s="8">
        <f t="shared" si="213"/>
        <v>0.23553239436619725</v>
      </c>
      <c r="U958" s="18">
        <f t="shared" si="214"/>
        <v>963976</v>
      </c>
      <c r="V958" s="7">
        <f t="shared" si="215"/>
        <v>5586.2002000000002</v>
      </c>
      <c r="W958" s="7">
        <f t="shared" si="216"/>
        <v>3125</v>
      </c>
      <c r="X958" s="7">
        <f t="shared" si="217"/>
        <v>3242.7</v>
      </c>
      <c r="Y958" s="7">
        <f t="shared" si="218"/>
        <v>86</v>
      </c>
      <c r="Z958" s="7">
        <f t="shared" si="219"/>
        <v>275863</v>
      </c>
      <c r="AA958" s="7" t="str">
        <f t="shared" si="220"/>
        <v>05-May-2025</v>
      </c>
      <c r="AB958" s="7">
        <f t="shared" si="221"/>
        <v>3242.7</v>
      </c>
      <c r="AC958" s="7">
        <f t="shared" si="224"/>
        <v>1</v>
      </c>
      <c r="AD958" s="7">
        <f t="shared" si="222"/>
        <v>2025</v>
      </c>
      <c r="AE958" s="19">
        <f t="shared" si="223"/>
        <v>0.09</v>
      </c>
    </row>
    <row r="959" spans="1:31" x14ac:dyDescent="0.3">
      <c r="A959" s="17">
        <v>45783</v>
      </c>
      <c r="B959" s="8">
        <v>3411.3998999999999</v>
      </c>
      <c r="C959" s="7">
        <v>3430.8998999999999</v>
      </c>
      <c r="D959" s="7">
        <v>3356.8</v>
      </c>
      <c r="E959" s="7">
        <v>3365.5</v>
      </c>
      <c r="F959" s="18">
        <v>2357</v>
      </c>
      <c r="G959" s="7">
        <v>3294.8856999999998</v>
      </c>
      <c r="H959" s="7">
        <v>3193.8132999999998</v>
      </c>
      <c r="I959" s="7">
        <v>2951.4422</v>
      </c>
      <c r="J959" s="8">
        <v>3.7869999999999999</v>
      </c>
      <c r="K959" s="7">
        <v>2.0406</v>
      </c>
      <c r="L959" s="7">
        <v>1.7943</v>
      </c>
      <c r="M959" s="8">
        <v>60.2271</v>
      </c>
      <c r="N959" s="8">
        <v>63.407600000000002</v>
      </c>
      <c r="O959" s="7">
        <v>73.231800000000007</v>
      </c>
      <c r="P959" s="7">
        <v>3494.3359999999998</v>
      </c>
      <c r="Q959" s="7">
        <v>3009.7939000000001</v>
      </c>
      <c r="R959" s="7" t="str">
        <f t="shared" si="211"/>
        <v>Down</v>
      </c>
      <c r="S959" s="7" t="str">
        <f t="shared" si="212"/>
        <v>Hold</v>
      </c>
      <c r="T959" s="8">
        <f t="shared" si="213"/>
        <v>0.23623584905660383</v>
      </c>
      <c r="U959" s="18">
        <f t="shared" si="214"/>
        <v>963732</v>
      </c>
      <c r="V959" s="7">
        <f t="shared" si="215"/>
        <v>5586.2002000000002</v>
      </c>
      <c r="W959" s="7">
        <f t="shared" si="216"/>
        <v>3125</v>
      </c>
      <c r="X959" s="7">
        <f t="shared" si="217"/>
        <v>3365.5</v>
      </c>
      <c r="Y959" s="7">
        <f t="shared" si="218"/>
        <v>86</v>
      </c>
      <c r="Z959" s="7">
        <f t="shared" si="219"/>
        <v>275863</v>
      </c>
      <c r="AA959" s="7" t="str">
        <f t="shared" si="220"/>
        <v>06-May-2025</v>
      </c>
      <c r="AB959" s="7">
        <f t="shared" si="221"/>
        <v>3365.5</v>
      </c>
      <c r="AC959" s="7">
        <f t="shared" si="224"/>
        <v>1</v>
      </c>
      <c r="AD959" s="7">
        <f t="shared" si="222"/>
        <v>2025</v>
      </c>
      <c r="AE959" s="19">
        <f t="shared" si="223"/>
        <v>3.79</v>
      </c>
    </row>
    <row r="960" spans="1:31" x14ac:dyDescent="0.3">
      <c r="A960" s="17">
        <v>45784</v>
      </c>
      <c r="B960" s="8">
        <v>3381.3998999999999</v>
      </c>
      <c r="C960" s="7">
        <v>3418.7</v>
      </c>
      <c r="D960" s="7">
        <v>3364.7</v>
      </c>
      <c r="E960" s="7">
        <v>3418.7</v>
      </c>
      <c r="F960" s="18">
        <v>1080</v>
      </c>
      <c r="G960" s="7">
        <v>3314.0571</v>
      </c>
      <c r="H960" s="7">
        <v>3206.89</v>
      </c>
      <c r="I960" s="7">
        <v>2960.2222000000002</v>
      </c>
      <c r="J960" s="8">
        <v>1.5807</v>
      </c>
      <c r="K960" s="7">
        <v>1.8532999999999999</v>
      </c>
      <c r="L960" s="7">
        <v>1.8066</v>
      </c>
      <c r="M960" s="8">
        <v>61.840400000000002</v>
      </c>
      <c r="N960" s="8">
        <v>69.266900000000007</v>
      </c>
      <c r="O960" s="7">
        <v>72.438800000000001</v>
      </c>
      <c r="P960" s="7">
        <v>3493.8035</v>
      </c>
      <c r="Q960" s="7">
        <v>3052.7964000000002</v>
      </c>
      <c r="R960" s="7" t="str">
        <f t="shared" si="211"/>
        <v>Up</v>
      </c>
      <c r="S960" s="7" t="str">
        <f t="shared" si="212"/>
        <v>Hold</v>
      </c>
      <c r="T960" s="8">
        <f t="shared" si="213"/>
        <v>0.21940758293838861</v>
      </c>
      <c r="U960" s="18">
        <f t="shared" si="214"/>
        <v>961375</v>
      </c>
      <c r="V960" s="7">
        <f t="shared" si="215"/>
        <v>5586.2002000000002</v>
      </c>
      <c r="W960" s="7">
        <f t="shared" si="216"/>
        <v>3125</v>
      </c>
      <c r="X960" s="7">
        <f t="shared" si="217"/>
        <v>3418.7</v>
      </c>
      <c r="Y960" s="7">
        <f t="shared" si="218"/>
        <v>86</v>
      </c>
      <c r="Z960" s="7">
        <f t="shared" si="219"/>
        <v>275863</v>
      </c>
      <c r="AA960" s="7" t="str">
        <f t="shared" si="220"/>
        <v>07-May-2025</v>
      </c>
      <c r="AB960" s="7">
        <f t="shared" si="221"/>
        <v>3418.7</v>
      </c>
      <c r="AC960" s="7">
        <f t="shared" si="224"/>
        <v>1</v>
      </c>
      <c r="AD960" s="7">
        <f t="shared" si="222"/>
        <v>2025</v>
      </c>
      <c r="AE960" s="19">
        <f t="shared" si="223"/>
        <v>1.58</v>
      </c>
    </row>
    <row r="961" spans="1:31" x14ac:dyDescent="0.3">
      <c r="A961" s="17">
        <v>45785</v>
      </c>
      <c r="B961" s="8">
        <v>3296.6001000000001</v>
      </c>
      <c r="C961" s="7">
        <v>3390</v>
      </c>
      <c r="D961" s="7">
        <v>3288.7</v>
      </c>
      <c r="E961" s="7">
        <v>3390</v>
      </c>
      <c r="F961" s="18">
        <v>200</v>
      </c>
      <c r="G961" s="7">
        <v>3321.2</v>
      </c>
      <c r="H961" s="7">
        <v>3218.7833000000001</v>
      </c>
      <c r="I961" s="7">
        <v>2968.8033</v>
      </c>
      <c r="J961" s="8">
        <v>-0.83950000000000002</v>
      </c>
      <c r="K961" s="7">
        <v>1.8492999999999999</v>
      </c>
      <c r="L961" s="7">
        <v>1.8210999999999999</v>
      </c>
      <c r="M961" s="8">
        <v>53.290399999999998</v>
      </c>
      <c r="N961" s="8">
        <v>70.778700000000001</v>
      </c>
      <c r="O961" s="7">
        <v>72.106800000000007</v>
      </c>
      <c r="P961" s="7">
        <v>3466.8126999999999</v>
      </c>
      <c r="Q961" s="7">
        <v>3122.2073</v>
      </c>
      <c r="R961" s="7" t="str">
        <f t="shared" si="211"/>
        <v>Up</v>
      </c>
      <c r="S961" s="7" t="str">
        <f t="shared" si="212"/>
        <v>Hold</v>
      </c>
      <c r="T961" s="8">
        <f t="shared" si="213"/>
        <v>0.21292523809523803</v>
      </c>
      <c r="U961" s="18">
        <f t="shared" si="214"/>
        <v>960295</v>
      </c>
      <c r="V961" s="7">
        <f t="shared" si="215"/>
        <v>5586.2002000000002</v>
      </c>
      <c r="W961" s="7">
        <f t="shared" si="216"/>
        <v>3125</v>
      </c>
      <c r="X961" s="7">
        <f t="shared" si="217"/>
        <v>3390</v>
      </c>
      <c r="Y961" s="7">
        <f t="shared" si="218"/>
        <v>85</v>
      </c>
      <c r="Z961" s="7">
        <f t="shared" si="219"/>
        <v>274783</v>
      </c>
      <c r="AA961" s="7" t="str">
        <f t="shared" si="220"/>
        <v>08-May-2025</v>
      </c>
      <c r="AB961" s="7">
        <f t="shared" si="221"/>
        <v>3390</v>
      </c>
      <c r="AC961" s="7">
        <f t="shared" si="224"/>
        <v>1</v>
      </c>
      <c r="AD961" s="7">
        <f t="shared" si="222"/>
        <v>2025</v>
      </c>
      <c r="AE961" s="19">
        <f t="shared" si="223"/>
        <v>-0.84</v>
      </c>
    </row>
    <row r="962" spans="1:31" x14ac:dyDescent="0.3">
      <c r="A962" s="17">
        <v>45786</v>
      </c>
      <c r="B962" s="8">
        <v>3335.3998999999999</v>
      </c>
      <c r="C962" s="7">
        <v>3335.5</v>
      </c>
      <c r="D962" s="7">
        <v>3299</v>
      </c>
      <c r="E962" s="7">
        <v>3299</v>
      </c>
      <c r="F962" s="18">
        <v>216</v>
      </c>
      <c r="G962" s="7">
        <v>3318.3856999999998</v>
      </c>
      <c r="H962" s="7">
        <v>3227.9</v>
      </c>
      <c r="I962" s="7">
        <v>2976.34</v>
      </c>
      <c r="J962" s="8">
        <v>-2.6844000000000001</v>
      </c>
      <c r="K962" s="7">
        <v>2.1467000000000001</v>
      </c>
      <c r="L962" s="7">
        <v>1.9028</v>
      </c>
      <c r="M962" s="8">
        <v>47.202100000000002</v>
      </c>
      <c r="N962" s="8">
        <v>63.897300000000001</v>
      </c>
      <c r="O962" s="7">
        <v>70.4649</v>
      </c>
      <c r="P962" s="7">
        <v>3443.2896999999998</v>
      </c>
      <c r="Q962" s="7">
        <v>3168.2402999999999</v>
      </c>
      <c r="R962" s="7" t="str">
        <f t="shared" si="211"/>
        <v>Down</v>
      </c>
      <c r="S962" s="7" t="str">
        <f t="shared" si="212"/>
        <v>Hold</v>
      </c>
      <c r="T962" s="8">
        <f t="shared" si="213"/>
        <v>0.21796076555023924</v>
      </c>
      <c r="U962" s="18">
        <f t="shared" si="214"/>
        <v>960095</v>
      </c>
      <c r="V962" s="7">
        <f t="shared" si="215"/>
        <v>5586.2002000000002</v>
      </c>
      <c r="W962" s="7">
        <f t="shared" si="216"/>
        <v>3125</v>
      </c>
      <c r="X962" s="7">
        <f t="shared" si="217"/>
        <v>3299</v>
      </c>
      <c r="Y962" s="7">
        <f t="shared" si="218"/>
        <v>84</v>
      </c>
      <c r="Z962" s="7">
        <f t="shared" si="219"/>
        <v>274583</v>
      </c>
      <c r="AA962" s="7" t="str">
        <f t="shared" si="220"/>
        <v>09-May-2025</v>
      </c>
      <c r="AB962" s="7">
        <f t="shared" si="221"/>
        <v>3299</v>
      </c>
      <c r="AC962" s="7">
        <f t="shared" si="224"/>
        <v>1</v>
      </c>
      <c r="AD962" s="7">
        <f t="shared" si="222"/>
        <v>2025</v>
      </c>
      <c r="AE962" s="19">
        <f t="shared" si="223"/>
        <v>-2.68</v>
      </c>
    </row>
    <row r="963" spans="1:31" x14ac:dyDescent="0.3">
      <c r="A963" s="17">
        <v>45789</v>
      </c>
      <c r="B963" s="8">
        <v>3220</v>
      </c>
      <c r="C963" s="7">
        <v>3300.7</v>
      </c>
      <c r="D963" s="7">
        <v>3205</v>
      </c>
      <c r="E963" s="7">
        <v>3300.7</v>
      </c>
      <c r="F963" s="18">
        <v>886</v>
      </c>
      <c r="G963" s="7">
        <v>3322.3571000000002</v>
      </c>
      <c r="H963" s="7">
        <v>3235.6</v>
      </c>
      <c r="I963" s="7">
        <v>2984.0322000000001</v>
      </c>
      <c r="J963" s="8">
        <v>5.1499999999999997E-2</v>
      </c>
      <c r="K963" s="7">
        <v>2.0672999999999999</v>
      </c>
      <c r="L963" s="7">
        <v>1.8907</v>
      </c>
      <c r="M963" s="8">
        <v>41.242600000000003</v>
      </c>
      <c r="N963" s="8">
        <v>57.9133</v>
      </c>
      <c r="O963" s="7">
        <v>67.954599999999999</v>
      </c>
      <c r="P963" s="7">
        <v>3436.3978000000002</v>
      </c>
      <c r="Q963" s="7">
        <v>3186.9920999999999</v>
      </c>
      <c r="R963" s="7" t="str">
        <f t="shared" ref="R963:R1026" si="225">IF(E963&gt;B963,"Up","Down")</f>
        <v>Up</v>
      </c>
      <c r="S963" s="7" t="str">
        <f t="shared" ref="S963:S1026" si="226">IF(M963&gt;70,"Sell",IF(M963&lt;30,"Buy","Hold"))</f>
        <v>Hold</v>
      </c>
      <c r="T963" s="8">
        <f t="shared" ref="T963:T1026" si="227">AVERAGE(J963:J2131)</f>
        <v>0.23191442307692306</v>
      </c>
      <c r="U963" s="18">
        <f t="shared" ref="U963:U1026" si="228">SUM(F963:F2131)</f>
        <v>959879</v>
      </c>
      <c r="V963" s="7">
        <f t="shared" ref="V963:V1026" si="229">MAX(C963:C2131)</f>
        <v>5586.2002000000002</v>
      </c>
      <c r="W963" s="7">
        <f t="shared" ref="W963:W1026" si="230">MIN(D963:D2131)</f>
        <v>3125</v>
      </c>
      <c r="X963" s="7">
        <f t="shared" ref="X963:X1026" si="231">INDEX(E963:E2131,MATCH(A963,A963:A2131,0))</f>
        <v>3300.7</v>
      </c>
      <c r="Y963" s="7">
        <f t="shared" ref="Y963:Y1026" si="232">COUNTIF(R963:R2131,"Up")</f>
        <v>84</v>
      </c>
      <c r="Z963" s="7">
        <f t="shared" ref="Z963:Z1026" si="233">SUMIF(R963:R2131,"Up",F963:F2131)</f>
        <v>274583</v>
      </c>
      <c r="AA963" s="7" t="str">
        <f t="shared" ref="AA963:AA1026" si="234">TEXT(A963,"DD-MMM-YYYY")</f>
        <v>12-May-2025</v>
      </c>
      <c r="AB963" s="7">
        <f t="shared" ref="AB963:AB1026" si="235">_xlfn.XLOOKUP(A963,A963:A2131,E963:E2131)</f>
        <v>3300.7</v>
      </c>
      <c r="AC963" s="7">
        <f t="shared" si="224"/>
        <v>1</v>
      </c>
      <c r="AD963" s="7">
        <f t="shared" ref="AD963:AD1026" si="236">YEAR(A963)</f>
        <v>2025</v>
      </c>
      <c r="AE963" s="19">
        <f t="shared" ref="AE963:AE1026" si="237">ROUND(J963,2)</f>
        <v>0.05</v>
      </c>
    </row>
    <row r="964" spans="1:31" x14ac:dyDescent="0.3">
      <c r="A964" s="17">
        <v>45790</v>
      </c>
      <c r="B964" s="8">
        <v>3240.3</v>
      </c>
      <c r="C964" s="7">
        <v>3251.3998999999999</v>
      </c>
      <c r="D964" s="7">
        <v>3223.5</v>
      </c>
      <c r="E964" s="7">
        <v>3232</v>
      </c>
      <c r="F964" s="18">
        <v>2424</v>
      </c>
      <c r="G964" s="7">
        <v>3321.2285999999999</v>
      </c>
      <c r="H964" s="7">
        <v>3240.3</v>
      </c>
      <c r="I964" s="7">
        <v>2990.6878000000002</v>
      </c>
      <c r="J964" s="8">
        <v>-2.0813999999999999</v>
      </c>
      <c r="K964" s="7">
        <v>2.2019000000000002</v>
      </c>
      <c r="L964" s="7">
        <v>1.9359999999999999</v>
      </c>
      <c r="M964" s="8">
        <v>43.256700000000002</v>
      </c>
      <c r="N964" s="8">
        <v>47.084699999999998</v>
      </c>
      <c r="O964" s="7">
        <v>63.7806</v>
      </c>
      <c r="P964" s="7">
        <v>3434.7368000000001</v>
      </c>
      <c r="Q964" s="7">
        <v>3190.3031999999998</v>
      </c>
      <c r="R964" s="7" t="str">
        <f t="shared" si="225"/>
        <v>Down</v>
      </c>
      <c r="S964" s="7" t="str">
        <f t="shared" si="226"/>
        <v>Hold</v>
      </c>
      <c r="T964" s="8">
        <f t="shared" si="227"/>
        <v>0.23278599033816422</v>
      </c>
      <c r="U964" s="18">
        <f t="shared" si="228"/>
        <v>958993</v>
      </c>
      <c r="V964" s="7">
        <f t="shared" si="229"/>
        <v>5586.2002000000002</v>
      </c>
      <c r="W964" s="7">
        <f t="shared" si="230"/>
        <v>3125</v>
      </c>
      <c r="X964" s="7">
        <f t="shared" si="231"/>
        <v>3232</v>
      </c>
      <c r="Y964" s="7">
        <f t="shared" si="232"/>
        <v>83</v>
      </c>
      <c r="Z964" s="7">
        <f t="shared" si="233"/>
        <v>273697</v>
      </c>
      <c r="AA964" s="7" t="str">
        <f t="shared" si="234"/>
        <v>13-May-2025</v>
      </c>
      <c r="AB964" s="7">
        <f t="shared" si="235"/>
        <v>3232</v>
      </c>
      <c r="AC964" s="7">
        <f t="shared" si="224"/>
        <v>1</v>
      </c>
      <c r="AD964" s="7">
        <f t="shared" si="236"/>
        <v>2025</v>
      </c>
      <c r="AE964" s="19">
        <f t="shared" si="237"/>
        <v>-2.08</v>
      </c>
    </row>
    <row r="965" spans="1:31" x14ac:dyDescent="0.3">
      <c r="A965" s="17">
        <v>45791</v>
      </c>
      <c r="B965" s="8">
        <v>3181.3998999999999</v>
      </c>
      <c r="C965" s="7">
        <v>3233</v>
      </c>
      <c r="D965" s="7">
        <v>3171.7</v>
      </c>
      <c r="E965" s="7">
        <v>3233</v>
      </c>
      <c r="F965" s="18">
        <v>3518</v>
      </c>
      <c r="G965" s="7">
        <v>3319.8427999999999</v>
      </c>
      <c r="H965" s="7">
        <v>3243.7433000000001</v>
      </c>
      <c r="I965" s="7">
        <v>2997.0689000000002</v>
      </c>
      <c r="J965" s="8">
        <v>3.09E-2</v>
      </c>
      <c r="K965" s="7">
        <v>2.2016</v>
      </c>
      <c r="L965" s="7">
        <v>1.9252</v>
      </c>
      <c r="M965" s="8">
        <v>44.401499999999999</v>
      </c>
      <c r="N965" s="8">
        <v>38.143900000000002</v>
      </c>
      <c r="O965" s="7">
        <v>58.653199999999998</v>
      </c>
      <c r="P965" s="7">
        <v>3432.9686999999999</v>
      </c>
      <c r="Q965" s="7">
        <v>3193.7712000000001</v>
      </c>
      <c r="R965" s="7" t="str">
        <f t="shared" si="225"/>
        <v>Up</v>
      </c>
      <c r="S965" s="7" t="str">
        <f t="shared" si="226"/>
        <v>Hold</v>
      </c>
      <c r="T965" s="8">
        <f t="shared" si="227"/>
        <v>0.24401990291262141</v>
      </c>
      <c r="U965" s="18">
        <f t="shared" si="228"/>
        <v>956569</v>
      </c>
      <c r="V965" s="7">
        <f t="shared" si="229"/>
        <v>5586.2002000000002</v>
      </c>
      <c r="W965" s="7">
        <f t="shared" si="230"/>
        <v>3125</v>
      </c>
      <c r="X965" s="7">
        <f t="shared" si="231"/>
        <v>3233</v>
      </c>
      <c r="Y965" s="7">
        <f t="shared" si="232"/>
        <v>83</v>
      </c>
      <c r="Z965" s="7">
        <f t="shared" si="233"/>
        <v>273697</v>
      </c>
      <c r="AA965" s="7" t="str">
        <f t="shared" si="234"/>
        <v>14-May-2025</v>
      </c>
      <c r="AB965" s="7">
        <f t="shared" si="235"/>
        <v>3233</v>
      </c>
      <c r="AC965" s="7">
        <f t="shared" ref="AC965:AC1028" si="238">_xlfn.XMATCH(A965,A965:A2133)</f>
        <v>1</v>
      </c>
      <c r="AD965" s="7">
        <f t="shared" si="236"/>
        <v>2025</v>
      </c>
      <c r="AE965" s="19">
        <f t="shared" si="237"/>
        <v>0.03</v>
      </c>
    </row>
    <row r="966" spans="1:31" x14ac:dyDescent="0.3">
      <c r="A966" s="17">
        <v>45792</v>
      </c>
      <c r="B966" s="8">
        <v>3220.7</v>
      </c>
      <c r="C966" s="7">
        <v>3228.1001000000001</v>
      </c>
      <c r="D966" s="7">
        <v>3125</v>
      </c>
      <c r="E966" s="7">
        <v>3151</v>
      </c>
      <c r="F966" s="18">
        <v>652</v>
      </c>
      <c r="G966" s="7">
        <v>3289.2</v>
      </c>
      <c r="H966" s="7">
        <v>3244.7532999999999</v>
      </c>
      <c r="I966" s="7">
        <v>3002.6855</v>
      </c>
      <c r="J966" s="8">
        <v>-2.5363000000000002</v>
      </c>
      <c r="K966" s="7">
        <v>1.5907</v>
      </c>
      <c r="L966" s="7">
        <v>1.9847999999999999</v>
      </c>
      <c r="M966" s="8">
        <v>34.93</v>
      </c>
      <c r="N966" s="8">
        <v>24.163</v>
      </c>
      <c r="O966" s="7">
        <v>51.755200000000002</v>
      </c>
      <c r="P966" s="7">
        <v>3445.3411000000001</v>
      </c>
      <c r="Q966" s="7">
        <v>3172.6687999999999</v>
      </c>
      <c r="R966" s="7" t="str">
        <f t="shared" si="225"/>
        <v>Down</v>
      </c>
      <c r="S966" s="7" t="str">
        <f t="shared" si="226"/>
        <v>Hold</v>
      </c>
      <c r="T966" s="8">
        <f t="shared" si="227"/>
        <v>0.24505951219512198</v>
      </c>
      <c r="U966" s="18">
        <f t="shared" si="228"/>
        <v>953051</v>
      </c>
      <c r="V966" s="7">
        <f t="shared" si="229"/>
        <v>5586.2002000000002</v>
      </c>
      <c r="W966" s="7">
        <f t="shared" si="230"/>
        <v>3125</v>
      </c>
      <c r="X966" s="7">
        <f t="shared" si="231"/>
        <v>3151</v>
      </c>
      <c r="Y966" s="7">
        <f t="shared" si="232"/>
        <v>82</v>
      </c>
      <c r="Z966" s="7">
        <f t="shared" si="233"/>
        <v>270179</v>
      </c>
      <c r="AA966" s="7" t="str">
        <f t="shared" si="234"/>
        <v>15-May-2025</v>
      </c>
      <c r="AB966" s="7">
        <f t="shared" si="235"/>
        <v>3151</v>
      </c>
      <c r="AC966" s="7">
        <f t="shared" si="238"/>
        <v>1</v>
      </c>
      <c r="AD966" s="7">
        <f t="shared" si="236"/>
        <v>2025</v>
      </c>
      <c r="AE966" s="19">
        <f t="shared" si="237"/>
        <v>-2.54</v>
      </c>
    </row>
    <row r="967" spans="1:31" x14ac:dyDescent="0.3">
      <c r="A967" s="17">
        <v>45793</v>
      </c>
      <c r="B967" s="8">
        <v>3182</v>
      </c>
      <c r="C967" s="7">
        <v>3228.1001000000001</v>
      </c>
      <c r="D967" s="7">
        <v>3173.8998999999999</v>
      </c>
      <c r="E967" s="7">
        <v>3227.7</v>
      </c>
      <c r="F967" s="18">
        <v>199</v>
      </c>
      <c r="G967" s="7">
        <v>3261.9142999999999</v>
      </c>
      <c r="H967" s="7">
        <v>3247.3433</v>
      </c>
      <c r="I967" s="7">
        <v>3009.0666999999999</v>
      </c>
      <c r="J967" s="8">
        <v>2.4340999999999999</v>
      </c>
      <c r="K967" s="7">
        <v>1.8295999999999999</v>
      </c>
      <c r="L967" s="7">
        <v>2.0261999999999998</v>
      </c>
      <c r="M967" s="8">
        <v>45.849200000000003</v>
      </c>
      <c r="N967" s="8">
        <v>19.052499999999998</v>
      </c>
      <c r="O967" s="7">
        <v>45.214700000000001</v>
      </c>
      <c r="P967" s="7">
        <v>3443.0028000000002</v>
      </c>
      <c r="Q967" s="7">
        <v>3163.2770999999998</v>
      </c>
      <c r="R967" s="7" t="str">
        <f t="shared" si="225"/>
        <v>Up</v>
      </c>
      <c r="S967" s="7" t="str">
        <f t="shared" si="226"/>
        <v>Hold</v>
      </c>
      <c r="T967" s="8">
        <f t="shared" si="227"/>
        <v>0.25869362745098051</v>
      </c>
      <c r="U967" s="18">
        <f t="shared" si="228"/>
        <v>952399</v>
      </c>
      <c r="V967" s="7">
        <f t="shared" si="229"/>
        <v>5586.2002000000002</v>
      </c>
      <c r="W967" s="7">
        <f t="shared" si="230"/>
        <v>3173.8998999999999</v>
      </c>
      <c r="X967" s="7">
        <f t="shared" si="231"/>
        <v>3227.7</v>
      </c>
      <c r="Y967" s="7">
        <f t="shared" si="232"/>
        <v>82</v>
      </c>
      <c r="Z967" s="7">
        <f t="shared" si="233"/>
        <v>270179</v>
      </c>
      <c r="AA967" s="7" t="str">
        <f t="shared" si="234"/>
        <v>16-May-2025</v>
      </c>
      <c r="AB967" s="7">
        <f t="shared" si="235"/>
        <v>3227.7</v>
      </c>
      <c r="AC967" s="7">
        <f t="shared" si="238"/>
        <v>1</v>
      </c>
      <c r="AD967" s="7">
        <f t="shared" si="236"/>
        <v>2025</v>
      </c>
      <c r="AE967" s="19">
        <f t="shared" si="237"/>
        <v>2.4300000000000002</v>
      </c>
    </row>
    <row r="968" spans="1:31" x14ac:dyDescent="0.3">
      <c r="A968" s="17">
        <v>45796</v>
      </c>
      <c r="B968" s="8">
        <v>3228.8998999999999</v>
      </c>
      <c r="C968" s="7">
        <v>3241</v>
      </c>
      <c r="D968" s="7">
        <v>3228.3</v>
      </c>
      <c r="E968" s="7">
        <v>3234.3998999999999</v>
      </c>
      <c r="F968" s="18">
        <v>266</v>
      </c>
      <c r="G968" s="7">
        <v>3239.6857</v>
      </c>
      <c r="H968" s="7">
        <v>3251.4733000000001</v>
      </c>
      <c r="I968" s="7">
        <v>3015.4989</v>
      </c>
      <c r="J968" s="8">
        <v>0.20760000000000001</v>
      </c>
      <c r="K968" s="7">
        <v>1.8686</v>
      </c>
      <c r="L968" s="7">
        <v>2.0099999999999998</v>
      </c>
      <c r="M968" s="8">
        <v>41.690300000000001</v>
      </c>
      <c r="N968" s="8">
        <v>15.3659</v>
      </c>
      <c r="O968" s="7">
        <v>39.244900000000001</v>
      </c>
      <c r="P968" s="7">
        <v>3439.5698000000002</v>
      </c>
      <c r="Q968" s="7">
        <v>3155.9301</v>
      </c>
      <c r="R968" s="7" t="str">
        <f t="shared" si="225"/>
        <v>Up</v>
      </c>
      <c r="S968" s="7" t="str">
        <f t="shared" si="226"/>
        <v>Hold</v>
      </c>
      <c r="T968" s="8">
        <f t="shared" si="227"/>
        <v>0.24797733990147794</v>
      </c>
      <c r="U968" s="18">
        <f t="shared" si="228"/>
        <v>952200</v>
      </c>
      <c r="V968" s="7">
        <f t="shared" si="229"/>
        <v>5586.2002000000002</v>
      </c>
      <c r="W968" s="7">
        <f t="shared" si="230"/>
        <v>3207.5</v>
      </c>
      <c r="X968" s="7">
        <f t="shared" si="231"/>
        <v>3234.3998999999999</v>
      </c>
      <c r="Y968" s="7">
        <f t="shared" si="232"/>
        <v>81</v>
      </c>
      <c r="Z968" s="7">
        <f t="shared" si="233"/>
        <v>269980</v>
      </c>
      <c r="AA968" s="7" t="str">
        <f t="shared" si="234"/>
        <v>19-May-2025</v>
      </c>
      <c r="AB968" s="7">
        <f t="shared" si="235"/>
        <v>3234.3998999999999</v>
      </c>
      <c r="AC968" s="7">
        <f t="shared" si="238"/>
        <v>1</v>
      </c>
      <c r="AD968" s="7">
        <f t="shared" si="236"/>
        <v>2025</v>
      </c>
      <c r="AE968" s="19">
        <f t="shared" si="237"/>
        <v>0.21</v>
      </c>
    </row>
    <row r="969" spans="1:31" x14ac:dyDescent="0.3">
      <c r="A969" s="17">
        <v>45797</v>
      </c>
      <c r="B969" s="8">
        <v>3280.3</v>
      </c>
      <c r="C969" s="7">
        <v>3293.2</v>
      </c>
      <c r="D969" s="7">
        <v>3207.5</v>
      </c>
      <c r="E969" s="7">
        <v>3219</v>
      </c>
      <c r="F969" s="18">
        <v>356</v>
      </c>
      <c r="G969" s="7">
        <v>3228.2570999999998</v>
      </c>
      <c r="H969" s="7">
        <v>3258.2266</v>
      </c>
      <c r="I969" s="7">
        <v>3021.6021999999998</v>
      </c>
      <c r="J969" s="8">
        <v>-0.47610000000000002</v>
      </c>
      <c r="K969" s="7">
        <v>1.6412</v>
      </c>
      <c r="L969" s="7">
        <v>1.9231</v>
      </c>
      <c r="M969" s="8">
        <v>42.081000000000003</v>
      </c>
      <c r="N969" s="8">
        <v>11.0739</v>
      </c>
      <c r="O969" s="7">
        <v>33.610700000000001</v>
      </c>
      <c r="P969" s="7">
        <v>3420.7186999999999</v>
      </c>
      <c r="Q969" s="7">
        <v>3154.4612999999999</v>
      </c>
      <c r="R969" s="7" t="str">
        <f t="shared" si="225"/>
        <v>Down</v>
      </c>
      <c r="S969" s="7" t="str">
        <f t="shared" si="226"/>
        <v>Hold</v>
      </c>
      <c r="T969" s="8">
        <f t="shared" si="227"/>
        <v>0.24817722772277237</v>
      </c>
      <c r="U969" s="18">
        <f t="shared" si="228"/>
        <v>951934</v>
      </c>
      <c r="V969" s="7">
        <f t="shared" si="229"/>
        <v>5586.2002000000002</v>
      </c>
      <c r="W969" s="7">
        <f t="shared" si="230"/>
        <v>3207.5</v>
      </c>
      <c r="X969" s="7">
        <f t="shared" si="231"/>
        <v>3219</v>
      </c>
      <c r="Y969" s="7">
        <f t="shared" si="232"/>
        <v>80</v>
      </c>
      <c r="Z969" s="7">
        <f t="shared" si="233"/>
        <v>269714</v>
      </c>
      <c r="AA969" s="7" t="str">
        <f t="shared" si="234"/>
        <v>20-May-2025</v>
      </c>
      <c r="AB969" s="7">
        <f t="shared" si="235"/>
        <v>3219</v>
      </c>
      <c r="AC969" s="7">
        <f t="shared" si="238"/>
        <v>1</v>
      </c>
      <c r="AD969" s="7">
        <f t="shared" si="236"/>
        <v>2025</v>
      </c>
      <c r="AE969" s="19">
        <f t="shared" si="237"/>
        <v>-0.48</v>
      </c>
    </row>
    <row r="970" spans="1:31" x14ac:dyDescent="0.3">
      <c r="A970" s="17">
        <v>45798</v>
      </c>
      <c r="B970" s="8">
        <v>3309.3</v>
      </c>
      <c r="C970" s="7">
        <v>3317.5</v>
      </c>
      <c r="D970" s="7">
        <v>3290.2</v>
      </c>
      <c r="E970" s="7">
        <v>3293.3998999999999</v>
      </c>
      <c r="F970" s="18">
        <v>979</v>
      </c>
      <c r="G970" s="7">
        <v>3227.2143000000001</v>
      </c>
      <c r="H970" s="7">
        <v>3268.2066</v>
      </c>
      <c r="I970" s="7">
        <v>3028.35</v>
      </c>
      <c r="J970" s="8">
        <v>2.3113000000000001</v>
      </c>
      <c r="K970" s="7">
        <v>1.9278999999999999</v>
      </c>
      <c r="L970" s="7">
        <v>1.9501999999999999</v>
      </c>
      <c r="M970" s="8">
        <v>51.557499999999997</v>
      </c>
      <c r="N970" s="8">
        <v>13.520099999999999</v>
      </c>
      <c r="O970" s="7">
        <v>29.592600000000001</v>
      </c>
      <c r="P970" s="7">
        <v>3418.4286000000002</v>
      </c>
      <c r="Q970" s="7">
        <v>3153.9713999999999</v>
      </c>
      <c r="R970" s="7" t="str">
        <f t="shared" si="225"/>
        <v>Down</v>
      </c>
      <c r="S970" s="7" t="str">
        <f t="shared" si="226"/>
        <v>Hold</v>
      </c>
      <c r="T970" s="8">
        <f t="shared" si="227"/>
        <v>0.2517805970149255</v>
      </c>
      <c r="U970" s="18">
        <f t="shared" si="228"/>
        <v>951578</v>
      </c>
      <c r="V970" s="7">
        <f t="shared" si="229"/>
        <v>5586.2002000000002</v>
      </c>
      <c r="W970" s="7">
        <f t="shared" si="230"/>
        <v>3242.3998999999999</v>
      </c>
      <c r="X970" s="7">
        <f t="shared" si="231"/>
        <v>3293.3998999999999</v>
      </c>
      <c r="Y970" s="7">
        <f t="shared" si="232"/>
        <v>80</v>
      </c>
      <c r="Z970" s="7">
        <f t="shared" si="233"/>
        <v>269714</v>
      </c>
      <c r="AA970" s="7" t="str">
        <f t="shared" si="234"/>
        <v>21-May-2025</v>
      </c>
      <c r="AB970" s="7">
        <f t="shared" si="235"/>
        <v>3293.3998999999999</v>
      </c>
      <c r="AC970" s="7">
        <f t="shared" si="238"/>
        <v>1</v>
      </c>
      <c r="AD970" s="7">
        <f t="shared" si="236"/>
        <v>2025</v>
      </c>
      <c r="AE970" s="19">
        <f t="shared" si="237"/>
        <v>2.31</v>
      </c>
    </row>
    <row r="971" spans="1:31" x14ac:dyDescent="0.3">
      <c r="A971" s="17">
        <v>45799</v>
      </c>
      <c r="B971" s="8">
        <v>3292.3</v>
      </c>
      <c r="C971" s="7">
        <v>3328</v>
      </c>
      <c r="D971" s="7">
        <v>3282.7</v>
      </c>
      <c r="E971" s="7">
        <v>3327.3</v>
      </c>
      <c r="F971" s="18">
        <v>1210</v>
      </c>
      <c r="G971" s="7">
        <v>3240.8285000000001</v>
      </c>
      <c r="H971" s="7">
        <v>3280.2566000000002</v>
      </c>
      <c r="I971" s="7">
        <v>3035.1967</v>
      </c>
      <c r="J971" s="8">
        <v>1.0293000000000001</v>
      </c>
      <c r="K971" s="7">
        <v>1.7197</v>
      </c>
      <c r="L971" s="7">
        <v>1.9389000000000001</v>
      </c>
      <c r="M971" s="8">
        <v>56.631300000000003</v>
      </c>
      <c r="N971" s="8">
        <v>17.986799999999999</v>
      </c>
      <c r="O971" s="7">
        <v>27.2714</v>
      </c>
      <c r="P971" s="7">
        <v>3420.5518000000002</v>
      </c>
      <c r="Q971" s="7">
        <v>3154.0382</v>
      </c>
      <c r="R971" s="7" t="str">
        <f t="shared" si="225"/>
        <v>Up</v>
      </c>
      <c r="S971" s="7" t="str">
        <f t="shared" si="226"/>
        <v>Hold</v>
      </c>
      <c r="T971" s="8">
        <f t="shared" si="227"/>
        <v>0.24148300000000003</v>
      </c>
      <c r="U971" s="18">
        <f t="shared" si="228"/>
        <v>950599</v>
      </c>
      <c r="V971" s="7">
        <f t="shared" si="229"/>
        <v>5586.2002000000002</v>
      </c>
      <c r="W971" s="7">
        <f t="shared" si="230"/>
        <v>3242.3998999999999</v>
      </c>
      <c r="X971" s="7">
        <f t="shared" si="231"/>
        <v>3327.3</v>
      </c>
      <c r="Y971" s="7">
        <f t="shared" si="232"/>
        <v>80</v>
      </c>
      <c r="Z971" s="7">
        <f t="shared" si="233"/>
        <v>269714</v>
      </c>
      <c r="AA971" s="7" t="str">
        <f t="shared" si="234"/>
        <v>22-May-2025</v>
      </c>
      <c r="AB971" s="7">
        <f t="shared" si="235"/>
        <v>3327.3</v>
      </c>
      <c r="AC971" s="7">
        <f t="shared" si="238"/>
        <v>1</v>
      </c>
      <c r="AD971" s="7">
        <f t="shared" si="236"/>
        <v>2025</v>
      </c>
      <c r="AE971" s="19">
        <f t="shared" si="237"/>
        <v>1.03</v>
      </c>
    </row>
    <row r="972" spans="1:31" x14ac:dyDescent="0.3">
      <c r="A972" s="17">
        <v>45800</v>
      </c>
      <c r="B972" s="8">
        <v>3363.6001000000001</v>
      </c>
      <c r="C972" s="7">
        <v>3363.6001000000001</v>
      </c>
      <c r="D972" s="7">
        <v>3323.5</v>
      </c>
      <c r="E972" s="7">
        <v>3328</v>
      </c>
      <c r="F972" s="18">
        <v>47</v>
      </c>
      <c r="G972" s="7">
        <v>3254.4</v>
      </c>
      <c r="H972" s="7">
        <v>3288.7266</v>
      </c>
      <c r="I972" s="7">
        <v>3042.4677999999999</v>
      </c>
      <c r="J972" s="8">
        <v>2.1000000000000001E-2</v>
      </c>
      <c r="K972" s="7">
        <v>1.7201</v>
      </c>
      <c r="L972" s="7">
        <v>1.8402000000000001</v>
      </c>
      <c r="M972" s="8">
        <v>56.492600000000003</v>
      </c>
      <c r="N972" s="8">
        <v>21.337199999999999</v>
      </c>
      <c r="O972" s="7">
        <v>26.084599999999998</v>
      </c>
      <c r="P972" s="7">
        <v>3416.7591000000002</v>
      </c>
      <c r="Q972" s="7">
        <v>3155.0808000000002</v>
      </c>
      <c r="R972" s="7" t="str">
        <f t="shared" si="225"/>
        <v>Down</v>
      </c>
      <c r="S972" s="7" t="str">
        <f t="shared" si="226"/>
        <v>Hold</v>
      </c>
      <c r="T972" s="8">
        <f t="shared" si="227"/>
        <v>0.23752412060301506</v>
      </c>
      <c r="U972" s="18">
        <f t="shared" si="228"/>
        <v>949389</v>
      </c>
      <c r="V972" s="7">
        <f t="shared" si="229"/>
        <v>5586.2002000000002</v>
      </c>
      <c r="W972" s="7">
        <f t="shared" si="230"/>
        <v>3242.3998999999999</v>
      </c>
      <c r="X972" s="7">
        <f t="shared" si="231"/>
        <v>3328</v>
      </c>
      <c r="Y972" s="7">
        <f t="shared" si="232"/>
        <v>79</v>
      </c>
      <c r="Z972" s="7">
        <f t="shared" si="233"/>
        <v>268504</v>
      </c>
      <c r="AA972" s="7" t="str">
        <f t="shared" si="234"/>
        <v>23-May-2025</v>
      </c>
      <c r="AB972" s="7">
        <f t="shared" si="235"/>
        <v>3328</v>
      </c>
      <c r="AC972" s="7">
        <f t="shared" si="238"/>
        <v>1</v>
      </c>
      <c r="AD972" s="7">
        <f t="shared" si="236"/>
        <v>2025</v>
      </c>
      <c r="AE972" s="19">
        <f t="shared" si="237"/>
        <v>0.02</v>
      </c>
    </row>
    <row r="973" spans="1:31" x14ac:dyDescent="0.3">
      <c r="A973" s="17">
        <v>45804</v>
      </c>
      <c r="B973" s="8">
        <v>3299.1001000000001</v>
      </c>
      <c r="C973" s="7">
        <v>3341</v>
      </c>
      <c r="D973" s="7">
        <v>3296.3</v>
      </c>
      <c r="E973" s="7">
        <v>3332.5</v>
      </c>
      <c r="F973" s="18">
        <v>189</v>
      </c>
      <c r="G973" s="7">
        <v>3280.3285000000001</v>
      </c>
      <c r="H973" s="7">
        <v>3293.74</v>
      </c>
      <c r="I973" s="7">
        <v>3049.5978</v>
      </c>
      <c r="J973" s="8">
        <v>0.13519999999999999</v>
      </c>
      <c r="K973" s="7">
        <v>1.1572</v>
      </c>
      <c r="L973" s="7">
        <v>1.7356</v>
      </c>
      <c r="M973" s="8">
        <v>46.936500000000002</v>
      </c>
      <c r="N973" s="8">
        <v>24.077999999999999</v>
      </c>
      <c r="O973" s="7">
        <v>25.683299999999999</v>
      </c>
      <c r="P973" s="7">
        <v>3420.8000999999999</v>
      </c>
      <c r="Q973" s="7">
        <v>3155.8398999999999</v>
      </c>
      <c r="R973" s="7" t="str">
        <f t="shared" si="225"/>
        <v>Up</v>
      </c>
      <c r="S973" s="7" t="str">
        <f t="shared" si="226"/>
        <v>Hold</v>
      </c>
      <c r="T973" s="8">
        <f t="shared" si="227"/>
        <v>0.23861767676767676</v>
      </c>
      <c r="U973" s="18">
        <f t="shared" si="228"/>
        <v>949342</v>
      </c>
      <c r="V973" s="7">
        <f t="shared" si="229"/>
        <v>5586.2002000000002</v>
      </c>
      <c r="W973" s="7">
        <f t="shared" si="230"/>
        <v>3242.3998999999999</v>
      </c>
      <c r="X973" s="7">
        <f t="shared" si="231"/>
        <v>3332.5</v>
      </c>
      <c r="Y973" s="7">
        <f t="shared" si="232"/>
        <v>79</v>
      </c>
      <c r="Z973" s="7">
        <f t="shared" si="233"/>
        <v>268504</v>
      </c>
      <c r="AA973" s="7" t="str">
        <f t="shared" si="234"/>
        <v>27-May-2025</v>
      </c>
      <c r="AB973" s="7">
        <f t="shared" si="235"/>
        <v>3332.5</v>
      </c>
      <c r="AC973" s="7">
        <f t="shared" si="238"/>
        <v>1</v>
      </c>
      <c r="AD973" s="7">
        <f t="shared" si="236"/>
        <v>2025</v>
      </c>
      <c r="AE973" s="19">
        <f t="shared" si="237"/>
        <v>0.14000000000000001</v>
      </c>
    </row>
    <row r="974" spans="1:31" x14ac:dyDescent="0.3">
      <c r="A974" s="17">
        <v>45805</v>
      </c>
      <c r="B974" s="8">
        <v>3293.6001000000001</v>
      </c>
      <c r="C974" s="7">
        <v>3293.6001000000001</v>
      </c>
      <c r="D974" s="7">
        <v>3293.6001000000001</v>
      </c>
      <c r="E974" s="7">
        <v>3293.6001000000001</v>
      </c>
      <c r="F974" s="18">
        <v>127758</v>
      </c>
      <c r="G974" s="7">
        <v>3289.7429000000002</v>
      </c>
      <c r="H974" s="7">
        <v>3296.3433</v>
      </c>
      <c r="I974" s="7">
        <v>3055.8411000000001</v>
      </c>
      <c r="J974" s="8">
        <v>-1.1673</v>
      </c>
      <c r="K974" s="7">
        <v>1.1140000000000001</v>
      </c>
      <c r="L974" s="7">
        <v>1.744</v>
      </c>
      <c r="M974" s="8">
        <v>38.069800000000001</v>
      </c>
      <c r="N974" s="8">
        <v>22.847899999999999</v>
      </c>
      <c r="O974" s="7">
        <v>25.116199999999999</v>
      </c>
      <c r="P974" s="7">
        <v>3416.2761999999998</v>
      </c>
      <c r="Q974" s="7">
        <v>3155.7237</v>
      </c>
      <c r="R974" s="7" t="str">
        <f t="shared" si="225"/>
        <v>Down</v>
      </c>
      <c r="S974" s="7" t="str">
        <f t="shared" si="226"/>
        <v>Hold</v>
      </c>
      <c r="T974" s="8">
        <f t="shared" si="227"/>
        <v>0.23914263959390863</v>
      </c>
      <c r="U974" s="18">
        <f t="shared" si="228"/>
        <v>949153</v>
      </c>
      <c r="V974" s="7">
        <f t="shared" si="229"/>
        <v>5586.2002000000002</v>
      </c>
      <c r="W974" s="7">
        <f t="shared" si="230"/>
        <v>3242.3998999999999</v>
      </c>
      <c r="X974" s="7">
        <f t="shared" si="231"/>
        <v>3293.6001000000001</v>
      </c>
      <c r="Y974" s="7">
        <f t="shared" si="232"/>
        <v>78</v>
      </c>
      <c r="Z974" s="7">
        <f t="shared" si="233"/>
        <v>268315</v>
      </c>
      <c r="AA974" s="7" t="str">
        <f t="shared" si="234"/>
        <v>28-May-2025</v>
      </c>
      <c r="AB974" s="7">
        <f t="shared" si="235"/>
        <v>3293.6001000000001</v>
      </c>
      <c r="AC974" s="7">
        <f t="shared" si="238"/>
        <v>1</v>
      </c>
      <c r="AD974" s="7">
        <f t="shared" si="236"/>
        <v>2025</v>
      </c>
      <c r="AE974" s="19">
        <f t="shared" si="237"/>
        <v>-1.17</v>
      </c>
    </row>
    <row r="975" spans="1:31" x14ac:dyDescent="0.3">
      <c r="A975" s="17">
        <v>45806</v>
      </c>
      <c r="B975" s="8">
        <v>3317.1001000000001</v>
      </c>
      <c r="C975" s="7">
        <v>3328.8</v>
      </c>
      <c r="D975" s="7">
        <v>3242.3998999999999</v>
      </c>
      <c r="E975" s="7">
        <v>3283.7</v>
      </c>
      <c r="F975" s="18">
        <v>24370</v>
      </c>
      <c r="G975" s="7">
        <v>3296.7856999999999</v>
      </c>
      <c r="H975" s="7">
        <v>3298.6</v>
      </c>
      <c r="I975" s="7">
        <v>3061.9267</v>
      </c>
      <c r="J975" s="8">
        <v>-0.30059999999999998</v>
      </c>
      <c r="K975" s="7">
        <v>1.1369</v>
      </c>
      <c r="L975" s="7">
        <v>1.7454000000000001</v>
      </c>
      <c r="M975" s="8">
        <v>39.485599999999998</v>
      </c>
      <c r="N975" s="8">
        <v>20.8339</v>
      </c>
      <c r="O975" s="7">
        <v>24.259699999999999</v>
      </c>
      <c r="P975" s="7">
        <v>3413.6138999999998</v>
      </c>
      <c r="Q975" s="7">
        <v>3154.8861000000002</v>
      </c>
      <c r="R975" s="7" t="str">
        <f t="shared" si="225"/>
        <v>Down</v>
      </c>
      <c r="S975" s="7" t="str">
        <f t="shared" si="226"/>
        <v>Hold</v>
      </c>
      <c r="T975" s="8">
        <f t="shared" si="227"/>
        <v>0.24631836734693877</v>
      </c>
      <c r="U975" s="18">
        <f t="shared" si="228"/>
        <v>821395</v>
      </c>
      <c r="V975" s="7">
        <f t="shared" si="229"/>
        <v>5586.2002000000002</v>
      </c>
      <c r="W975" s="7">
        <f t="shared" si="230"/>
        <v>3242.3998999999999</v>
      </c>
      <c r="X975" s="7">
        <f t="shared" si="231"/>
        <v>3283.7</v>
      </c>
      <c r="Y975" s="7">
        <f t="shared" si="232"/>
        <v>78</v>
      </c>
      <c r="Z975" s="7">
        <f t="shared" si="233"/>
        <v>268315</v>
      </c>
      <c r="AA975" s="7" t="str">
        <f t="shared" si="234"/>
        <v>29-May-2025</v>
      </c>
      <c r="AB975" s="7">
        <f t="shared" si="235"/>
        <v>3283.7</v>
      </c>
      <c r="AC975" s="7">
        <f t="shared" si="238"/>
        <v>1</v>
      </c>
      <c r="AD975" s="7">
        <f t="shared" si="236"/>
        <v>2025</v>
      </c>
      <c r="AE975" s="19">
        <f t="shared" si="237"/>
        <v>-0.3</v>
      </c>
    </row>
    <row r="976" spans="1:31" x14ac:dyDescent="0.3">
      <c r="A976" s="17">
        <v>45807</v>
      </c>
      <c r="B976" s="8">
        <v>3288.8998999999999</v>
      </c>
      <c r="C976" s="7">
        <v>3318</v>
      </c>
      <c r="D976" s="7">
        <v>3270.8998999999999</v>
      </c>
      <c r="E976" s="7">
        <v>3315.1001000000001</v>
      </c>
      <c r="F976" s="18">
        <v>2213</v>
      </c>
      <c r="G976" s="7">
        <v>3310.5142999999998</v>
      </c>
      <c r="H976" s="7">
        <v>3301.16</v>
      </c>
      <c r="I976" s="7">
        <v>3068.25</v>
      </c>
      <c r="J976" s="8">
        <v>0.95620000000000005</v>
      </c>
      <c r="K976" s="7">
        <v>1.1191</v>
      </c>
      <c r="L976" s="7">
        <v>1.7493000000000001</v>
      </c>
      <c r="M976" s="8">
        <v>51.805300000000003</v>
      </c>
      <c r="N976" s="8">
        <v>21.523499999999999</v>
      </c>
      <c r="O976" s="7">
        <v>23.712499999999999</v>
      </c>
      <c r="P976" s="7">
        <v>3416.3195999999998</v>
      </c>
      <c r="Q976" s="7">
        <v>3156.4002999999998</v>
      </c>
      <c r="R976" s="7" t="str">
        <f t="shared" si="225"/>
        <v>Up</v>
      </c>
      <c r="S976" s="7" t="str">
        <f t="shared" si="226"/>
        <v>Hold</v>
      </c>
      <c r="T976" s="8">
        <f t="shared" si="227"/>
        <v>0.24912307692307692</v>
      </c>
      <c r="U976" s="18">
        <f t="shared" si="228"/>
        <v>797025</v>
      </c>
      <c r="V976" s="7">
        <f t="shared" si="229"/>
        <v>5586.2002000000002</v>
      </c>
      <c r="W976" s="7">
        <f t="shared" si="230"/>
        <v>3253.8</v>
      </c>
      <c r="X976" s="7">
        <f t="shared" si="231"/>
        <v>3315.1001000000001</v>
      </c>
      <c r="Y976" s="7">
        <f t="shared" si="232"/>
        <v>78</v>
      </c>
      <c r="Z976" s="7">
        <f t="shared" si="233"/>
        <v>268315</v>
      </c>
      <c r="AA976" s="7" t="str">
        <f t="shared" si="234"/>
        <v>30-May-2025</v>
      </c>
      <c r="AB976" s="7">
        <f t="shared" si="235"/>
        <v>3315.1001000000001</v>
      </c>
      <c r="AC976" s="7">
        <f t="shared" si="238"/>
        <v>1</v>
      </c>
      <c r="AD976" s="7">
        <f t="shared" si="236"/>
        <v>2025</v>
      </c>
      <c r="AE976" s="19">
        <f t="shared" si="237"/>
        <v>0.96</v>
      </c>
    </row>
    <row r="977" spans="1:31" x14ac:dyDescent="0.3">
      <c r="A977" s="17">
        <v>45810</v>
      </c>
      <c r="B977" s="8">
        <v>3370.6001000000001</v>
      </c>
      <c r="C977" s="7">
        <v>3380.8</v>
      </c>
      <c r="D977" s="7">
        <v>3296.8998999999999</v>
      </c>
      <c r="E977" s="7">
        <v>3296.8998999999999</v>
      </c>
      <c r="F977" s="18">
        <v>976</v>
      </c>
      <c r="G977" s="7">
        <v>3311.0142999999998</v>
      </c>
      <c r="H977" s="7">
        <v>3299.5565999999999</v>
      </c>
      <c r="I977" s="7">
        <v>3074.2766999999999</v>
      </c>
      <c r="J977" s="8">
        <v>-0.54900000000000004</v>
      </c>
      <c r="K977" s="7">
        <v>0.79</v>
      </c>
      <c r="L977" s="7">
        <v>1.6443000000000001</v>
      </c>
      <c r="M977" s="8">
        <v>49.589100000000002</v>
      </c>
      <c r="N977" s="8">
        <v>20.366599999999998</v>
      </c>
      <c r="O977" s="7">
        <v>23.043299999999999</v>
      </c>
      <c r="P977" s="7">
        <v>3417.3672000000001</v>
      </c>
      <c r="Q977" s="7">
        <v>3161.0527999999999</v>
      </c>
      <c r="R977" s="7" t="str">
        <f t="shared" si="225"/>
        <v>Down</v>
      </c>
      <c r="S977" s="7" t="str">
        <f t="shared" si="226"/>
        <v>Hold</v>
      </c>
      <c r="T977" s="8">
        <f t="shared" si="227"/>
        <v>0.24547835051546388</v>
      </c>
      <c r="U977" s="18">
        <f t="shared" si="228"/>
        <v>794812</v>
      </c>
      <c r="V977" s="7">
        <f t="shared" si="229"/>
        <v>5586.2002000000002</v>
      </c>
      <c r="W977" s="7">
        <f t="shared" si="230"/>
        <v>3253.8</v>
      </c>
      <c r="X977" s="7">
        <f t="shared" si="231"/>
        <v>3296.8998999999999</v>
      </c>
      <c r="Y977" s="7">
        <f t="shared" si="232"/>
        <v>77</v>
      </c>
      <c r="Z977" s="7">
        <f t="shared" si="233"/>
        <v>266102</v>
      </c>
      <c r="AA977" s="7" t="str">
        <f t="shared" si="234"/>
        <v>02-Jun-2025</v>
      </c>
      <c r="AB977" s="7">
        <f t="shared" si="235"/>
        <v>3296.8998999999999</v>
      </c>
      <c r="AC977" s="7">
        <f t="shared" si="238"/>
        <v>1</v>
      </c>
      <c r="AD977" s="7">
        <f t="shared" si="236"/>
        <v>2025</v>
      </c>
      <c r="AE977" s="19">
        <f t="shared" si="237"/>
        <v>-0.55000000000000004</v>
      </c>
    </row>
    <row r="978" spans="1:31" x14ac:dyDescent="0.3">
      <c r="A978" s="17">
        <v>45811</v>
      </c>
      <c r="B978" s="8">
        <v>3350.2</v>
      </c>
      <c r="C978" s="7">
        <v>3390</v>
      </c>
      <c r="D978" s="7">
        <v>3331.3</v>
      </c>
      <c r="E978" s="7">
        <v>3385.1001000000001</v>
      </c>
      <c r="F978" s="18">
        <v>6410</v>
      </c>
      <c r="G978" s="7">
        <v>3319.2714000000001</v>
      </c>
      <c r="H978" s="7">
        <v>3300.9866000000002</v>
      </c>
      <c r="I978" s="7">
        <v>3081.2222000000002</v>
      </c>
      <c r="J978" s="8">
        <v>2.6751999999999998</v>
      </c>
      <c r="K978" s="7">
        <v>1.2514000000000001</v>
      </c>
      <c r="L978" s="7">
        <v>1.7170000000000001</v>
      </c>
      <c r="M978" s="8">
        <v>65.885000000000005</v>
      </c>
      <c r="N978" s="8">
        <v>26.263999999999999</v>
      </c>
      <c r="O978" s="7">
        <v>23.6875</v>
      </c>
      <c r="P978" s="7">
        <v>3429.3382000000001</v>
      </c>
      <c r="Q978" s="7">
        <v>3163.3218000000002</v>
      </c>
      <c r="R978" s="7" t="str">
        <f t="shared" si="225"/>
        <v>Up</v>
      </c>
      <c r="S978" s="7" t="str">
        <f t="shared" si="226"/>
        <v>Hold</v>
      </c>
      <c r="T978" s="8">
        <f t="shared" si="227"/>
        <v>0.24959481865284971</v>
      </c>
      <c r="U978" s="18">
        <f t="shared" si="228"/>
        <v>793836</v>
      </c>
      <c r="V978" s="7">
        <f t="shared" si="229"/>
        <v>5586.2002000000002</v>
      </c>
      <c r="W978" s="7">
        <f t="shared" si="230"/>
        <v>3253.8</v>
      </c>
      <c r="X978" s="7">
        <f t="shared" si="231"/>
        <v>3385.1001000000001</v>
      </c>
      <c r="Y978" s="7">
        <f t="shared" si="232"/>
        <v>77</v>
      </c>
      <c r="Z978" s="7">
        <f t="shared" si="233"/>
        <v>266102</v>
      </c>
      <c r="AA978" s="7" t="str">
        <f t="shared" si="234"/>
        <v>03-Jun-2025</v>
      </c>
      <c r="AB978" s="7">
        <f t="shared" si="235"/>
        <v>3385.1001000000001</v>
      </c>
      <c r="AC978" s="7">
        <f t="shared" si="238"/>
        <v>1</v>
      </c>
      <c r="AD978" s="7">
        <f t="shared" si="236"/>
        <v>2025</v>
      </c>
      <c r="AE978" s="19">
        <f t="shared" si="237"/>
        <v>2.68</v>
      </c>
    </row>
    <row r="979" spans="1:31" x14ac:dyDescent="0.3">
      <c r="A979" s="17">
        <v>45812</v>
      </c>
      <c r="B979" s="8">
        <v>3373.5</v>
      </c>
      <c r="C979" s="7">
        <v>3380</v>
      </c>
      <c r="D979" s="7">
        <v>3344</v>
      </c>
      <c r="E979" s="7">
        <v>3355</v>
      </c>
      <c r="F979" s="18">
        <v>207</v>
      </c>
      <c r="G979" s="7">
        <v>3323.1286</v>
      </c>
      <c r="H979" s="7">
        <v>3298.7465999999999</v>
      </c>
      <c r="I979" s="7">
        <v>3087.8355000000001</v>
      </c>
      <c r="J979" s="8">
        <v>-0.88919999999999999</v>
      </c>
      <c r="K979" s="7">
        <v>1.3247</v>
      </c>
      <c r="L979" s="7">
        <v>1.6668000000000001</v>
      </c>
      <c r="M979" s="8">
        <v>61.937399999999997</v>
      </c>
      <c r="N979" s="8">
        <v>28.184000000000001</v>
      </c>
      <c r="O979" s="7">
        <v>24.5868</v>
      </c>
      <c r="P979" s="7">
        <v>3427.7422000000001</v>
      </c>
      <c r="Q979" s="7">
        <v>3163.8678</v>
      </c>
      <c r="R979" s="7" t="str">
        <f t="shared" si="225"/>
        <v>Down</v>
      </c>
      <c r="S979" s="7" t="str">
        <f t="shared" si="226"/>
        <v>Hold</v>
      </c>
      <c r="T979" s="8">
        <f t="shared" si="227"/>
        <v>0.23696145833333329</v>
      </c>
      <c r="U979" s="18">
        <f t="shared" si="228"/>
        <v>787426</v>
      </c>
      <c r="V979" s="7">
        <f t="shared" si="229"/>
        <v>5586.2002000000002</v>
      </c>
      <c r="W979" s="7">
        <f t="shared" si="230"/>
        <v>3253.8</v>
      </c>
      <c r="X979" s="7">
        <f t="shared" si="231"/>
        <v>3355</v>
      </c>
      <c r="Y979" s="7">
        <f t="shared" si="232"/>
        <v>76</v>
      </c>
      <c r="Z979" s="7">
        <f t="shared" si="233"/>
        <v>259692</v>
      </c>
      <c r="AA979" s="7" t="str">
        <f t="shared" si="234"/>
        <v>04-Jun-2025</v>
      </c>
      <c r="AB979" s="7">
        <f t="shared" si="235"/>
        <v>3355</v>
      </c>
      <c r="AC979" s="7">
        <f t="shared" si="238"/>
        <v>1</v>
      </c>
      <c r="AD979" s="7">
        <f t="shared" si="236"/>
        <v>2025</v>
      </c>
      <c r="AE979" s="19">
        <f t="shared" si="237"/>
        <v>-0.89</v>
      </c>
    </row>
    <row r="980" spans="1:31" x14ac:dyDescent="0.3">
      <c r="A980" s="17">
        <v>45813</v>
      </c>
      <c r="B980" s="8">
        <v>3350.7</v>
      </c>
      <c r="C980" s="7">
        <v>3400</v>
      </c>
      <c r="D980" s="7">
        <v>3343.7</v>
      </c>
      <c r="E980" s="7">
        <v>3371.5</v>
      </c>
      <c r="F980" s="18">
        <v>731</v>
      </c>
      <c r="G980" s="7">
        <v>3328.7</v>
      </c>
      <c r="H980" s="7">
        <v>3300.4232999999999</v>
      </c>
      <c r="I980" s="7">
        <v>3094.6178</v>
      </c>
      <c r="J980" s="8">
        <v>0.49180000000000001</v>
      </c>
      <c r="K980" s="7">
        <v>1.3321000000000001</v>
      </c>
      <c r="L980" s="7">
        <v>1.5764</v>
      </c>
      <c r="M980" s="8">
        <v>74.747399999999999</v>
      </c>
      <c r="N980" s="8">
        <v>30.683399999999999</v>
      </c>
      <c r="O980" s="7">
        <v>25.806100000000001</v>
      </c>
      <c r="P980" s="7">
        <v>3417.5844999999999</v>
      </c>
      <c r="Q980" s="7">
        <v>3169.3054999999999</v>
      </c>
      <c r="R980" s="7" t="str">
        <f t="shared" si="225"/>
        <v>Up</v>
      </c>
      <c r="S980" s="7" t="str">
        <f t="shared" si="226"/>
        <v>Sell</v>
      </c>
      <c r="T980" s="8">
        <f t="shared" si="227"/>
        <v>0.24285759162303663</v>
      </c>
      <c r="U980" s="18">
        <f t="shared" si="228"/>
        <v>787219</v>
      </c>
      <c r="V980" s="7">
        <f t="shared" si="229"/>
        <v>5586.2002000000002</v>
      </c>
      <c r="W980" s="7">
        <f t="shared" si="230"/>
        <v>3253.8</v>
      </c>
      <c r="X980" s="7">
        <f t="shared" si="231"/>
        <v>3371.5</v>
      </c>
      <c r="Y980" s="7">
        <f t="shared" si="232"/>
        <v>76</v>
      </c>
      <c r="Z980" s="7">
        <f t="shared" si="233"/>
        <v>259692</v>
      </c>
      <c r="AA980" s="7" t="str">
        <f t="shared" si="234"/>
        <v>05-Jun-2025</v>
      </c>
      <c r="AB980" s="7">
        <f t="shared" si="235"/>
        <v>3371.5</v>
      </c>
      <c r="AC980" s="7">
        <f t="shared" si="238"/>
        <v>1</v>
      </c>
      <c r="AD980" s="7">
        <f t="shared" si="236"/>
        <v>2025</v>
      </c>
      <c r="AE980" s="19">
        <f t="shared" si="237"/>
        <v>0.49</v>
      </c>
    </row>
    <row r="981" spans="1:31" x14ac:dyDescent="0.3">
      <c r="A981" s="17">
        <v>45814</v>
      </c>
      <c r="B981" s="8">
        <v>3322.7</v>
      </c>
      <c r="C981" s="7">
        <v>3364.3</v>
      </c>
      <c r="D981" s="7">
        <v>3306</v>
      </c>
      <c r="E981" s="7">
        <v>3364.3</v>
      </c>
      <c r="F981" s="18">
        <v>81</v>
      </c>
      <c r="G981" s="7">
        <v>3338.8</v>
      </c>
      <c r="H981" s="7">
        <v>3302.3867</v>
      </c>
      <c r="I981" s="7">
        <v>3101.5767000000001</v>
      </c>
      <c r="J981" s="8">
        <v>-0.21360000000000001</v>
      </c>
      <c r="K981" s="7">
        <v>1.2157</v>
      </c>
      <c r="L981" s="7">
        <v>1.5741000000000001</v>
      </c>
      <c r="M981" s="8">
        <v>68.164900000000003</v>
      </c>
      <c r="N981" s="8">
        <v>31.717600000000001</v>
      </c>
      <c r="O981" s="7">
        <v>26.988399999999999</v>
      </c>
      <c r="P981" s="7">
        <v>3412.5672</v>
      </c>
      <c r="Q981" s="7">
        <v>3171.7528000000002</v>
      </c>
      <c r="R981" s="7" t="str">
        <f t="shared" si="225"/>
        <v>Up</v>
      </c>
      <c r="S981" s="7" t="str">
        <f t="shared" si="226"/>
        <v>Hold</v>
      </c>
      <c r="T981" s="8">
        <f t="shared" si="227"/>
        <v>0.24154736842105262</v>
      </c>
      <c r="U981" s="18">
        <f t="shared" si="228"/>
        <v>786488</v>
      </c>
      <c r="V981" s="7">
        <f t="shared" si="229"/>
        <v>5586.2002000000002</v>
      </c>
      <c r="W981" s="7">
        <f t="shared" si="230"/>
        <v>3253.8</v>
      </c>
      <c r="X981" s="7">
        <f t="shared" si="231"/>
        <v>3364.3</v>
      </c>
      <c r="Y981" s="7">
        <f t="shared" si="232"/>
        <v>75</v>
      </c>
      <c r="Z981" s="7">
        <f t="shared" si="233"/>
        <v>258961</v>
      </c>
      <c r="AA981" s="7" t="str">
        <f t="shared" si="234"/>
        <v>06-Jun-2025</v>
      </c>
      <c r="AB981" s="7">
        <f t="shared" si="235"/>
        <v>3364.3</v>
      </c>
      <c r="AC981" s="7">
        <f t="shared" si="238"/>
        <v>1</v>
      </c>
      <c r="AD981" s="7">
        <f t="shared" si="236"/>
        <v>2025</v>
      </c>
      <c r="AE981" s="19">
        <f t="shared" si="237"/>
        <v>-0.21</v>
      </c>
    </row>
    <row r="982" spans="1:31" x14ac:dyDescent="0.3">
      <c r="A982" s="17">
        <v>45817</v>
      </c>
      <c r="B982" s="8">
        <v>3332.1001000000001</v>
      </c>
      <c r="C982" s="7">
        <v>3334.6001000000001</v>
      </c>
      <c r="D982" s="7">
        <v>3290</v>
      </c>
      <c r="E982" s="7">
        <v>3315.6001000000001</v>
      </c>
      <c r="F982" s="18">
        <v>1887</v>
      </c>
      <c r="G982" s="7">
        <v>3343.3571999999999</v>
      </c>
      <c r="H982" s="7">
        <v>3301.0567000000001</v>
      </c>
      <c r="I982" s="7">
        <v>3107.6489000000001</v>
      </c>
      <c r="J982" s="8">
        <v>-1.4476</v>
      </c>
      <c r="K982" s="7">
        <v>1.3782000000000001</v>
      </c>
      <c r="L982" s="7">
        <v>1.5731999999999999</v>
      </c>
      <c r="M982" s="8">
        <v>59.712899999999998</v>
      </c>
      <c r="N982" s="8">
        <v>28.281400000000001</v>
      </c>
      <c r="O982" s="7">
        <v>27.247</v>
      </c>
      <c r="P982" s="7">
        <v>3413.8238000000001</v>
      </c>
      <c r="Q982" s="7">
        <v>3172.1561999999999</v>
      </c>
      <c r="R982" s="7" t="str">
        <f t="shared" si="225"/>
        <v>Down</v>
      </c>
      <c r="S982" s="7" t="str">
        <f t="shared" si="226"/>
        <v>Hold</v>
      </c>
      <c r="T982" s="8">
        <f t="shared" si="227"/>
        <v>0.24395555555555554</v>
      </c>
      <c r="U982" s="18">
        <f t="shared" si="228"/>
        <v>786407</v>
      </c>
      <c r="V982" s="7">
        <f t="shared" si="229"/>
        <v>5586.2002000000002</v>
      </c>
      <c r="W982" s="7">
        <f t="shared" si="230"/>
        <v>3253.8</v>
      </c>
      <c r="X982" s="7">
        <f t="shared" si="231"/>
        <v>3315.6001000000001</v>
      </c>
      <c r="Y982" s="7">
        <f t="shared" si="232"/>
        <v>74</v>
      </c>
      <c r="Z982" s="7">
        <f t="shared" si="233"/>
        <v>258880</v>
      </c>
      <c r="AA982" s="7" t="str">
        <f t="shared" si="234"/>
        <v>09-Jun-2025</v>
      </c>
      <c r="AB982" s="7">
        <f t="shared" si="235"/>
        <v>3315.6001000000001</v>
      </c>
      <c r="AC982" s="7">
        <f t="shared" si="238"/>
        <v>1</v>
      </c>
      <c r="AD982" s="7">
        <f t="shared" si="236"/>
        <v>2025</v>
      </c>
      <c r="AE982" s="19">
        <f t="shared" si="237"/>
        <v>-1.45</v>
      </c>
    </row>
    <row r="983" spans="1:31" x14ac:dyDescent="0.3">
      <c r="A983" s="17">
        <v>45818</v>
      </c>
      <c r="B983" s="8">
        <v>3320.8998999999999</v>
      </c>
      <c r="C983" s="7">
        <v>3344.3</v>
      </c>
      <c r="D983" s="7">
        <v>3302</v>
      </c>
      <c r="E983" s="7">
        <v>3302</v>
      </c>
      <c r="F983" s="18">
        <v>65</v>
      </c>
      <c r="G983" s="7">
        <v>3341.4857000000002</v>
      </c>
      <c r="H983" s="7">
        <v>3301.64</v>
      </c>
      <c r="I983" s="7">
        <v>3113.5322000000001</v>
      </c>
      <c r="J983" s="8">
        <v>-0.41020000000000001</v>
      </c>
      <c r="K983" s="7">
        <v>1.3406</v>
      </c>
      <c r="L983" s="7">
        <v>1.5253000000000001</v>
      </c>
      <c r="M983" s="8">
        <v>59.971200000000003</v>
      </c>
      <c r="N983" s="8">
        <v>24.182099999999998</v>
      </c>
      <c r="O983" s="7">
        <v>26.634</v>
      </c>
      <c r="P983" s="7">
        <v>3413.9077000000002</v>
      </c>
      <c r="Q983" s="7">
        <v>3172.2022999999999</v>
      </c>
      <c r="R983" s="7" t="str">
        <f t="shared" si="225"/>
        <v>Down</v>
      </c>
      <c r="S983" s="7" t="str">
        <f t="shared" si="226"/>
        <v>Hold</v>
      </c>
      <c r="T983" s="8">
        <f t="shared" si="227"/>
        <v>0.25295319148936168</v>
      </c>
      <c r="U983" s="18">
        <f t="shared" si="228"/>
        <v>784520</v>
      </c>
      <c r="V983" s="7">
        <f t="shared" si="229"/>
        <v>5586.2002000000002</v>
      </c>
      <c r="W983" s="7">
        <f t="shared" si="230"/>
        <v>3253.8</v>
      </c>
      <c r="X983" s="7">
        <f t="shared" si="231"/>
        <v>3302</v>
      </c>
      <c r="Y983" s="7">
        <f t="shared" si="232"/>
        <v>74</v>
      </c>
      <c r="Z983" s="7">
        <f t="shared" si="233"/>
        <v>258880</v>
      </c>
      <c r="AA983" s="7" t="str">
        <f t="shared" si="234"/>
        <v>10-Jun-2025</v>
      </c>
      <c r="AB983" s="7">
        <f t="shared" si="235"/>
        <v>3302</v>
      </c>
      <c r="AC983" s="7">
        <f t="shared" si="238"/>
        <v>1</v>
      </c>
      <c r="AD983" s="7">
        <f t="shared" si="236"/>
        <v>2025</v>
      </c>
      <c r="AE983" s="19">
        <f t="shared" si="237"/>
        <v>-0.41</v>
      </c>
    </row>
    <row r="984" spans="1:31" x14ac:dyDescent="0.3">
      <c r="A984" s="17">
        <v>45819</v>
      </c>
      <c r="B984" s="8">
        <v>3321.3</v>
      </c>
      <c r="C984" s="7">
        <v>3356</v>
      </c>
      <c r="D984" s="7">
        <v>3321.3</v>
      </c>
      <c r="E984" s="7">
        <v>3328</v>
      </c>
      <c r="F984" s="18">
        <v>2106</v>
      </c>
      <c r="G984" s="7">
        <v>3345.9286000000002</v>
      </c>
      <c r="H984" s="7">
        <v>3301.24</v>
      </c>
      <c r="I984" s="7">
        <v>3119.0767000000001</v>
      </c>
      <c r="J984" s="8">
        <v>0.78739999999999999</v>
      </c>
      <c r="K984" s="7">
        <v>1.3526</v>
      </c>
      <c r="L984" s="7">
        <v>1.5001</v>
      </c>
      <c r="M984" s="8">
        <v>54.703600000000002</v>
      </c>
      <c r="N984" s="8">
        <v>22.768899999999999</v>
      </c>
      <c r="O984" s="7">
        <v>25.861000000000001</v>
      </c>
      <c r="P984" s="7">
        <v>3416.0949000000001</v>
      </c>
      <c r="Q984" s="7">
        <v>3179.6151</v>
      </c>
      <c r="R984" s="7" t="str">
        <f t="shared" si="225"/>
        <v>Up</v>
      </c>
      <c r="S984" s="7" t="str">
        <f t="shared" si="226"/>
        <v>Hold</v>
      </c>
      <c r="T984" s="8">
        <f t="shared" si="227"/>
        <v>0.25649946524064171</v>
      </c>
      <c r="U984" s="18">
        <f t="shared" si="228"/>
        <v>784455</v>
      </c>
      <c r="V984" s="7">
        <f t="shared" si="229"/>
        <v>5586.2002000000002</v>
      </c>
      <c r="W984" s="7">
        <f t="shared" si="230"/>
        <v>3253.8</v>
      </c>
      <c r="X984" s="7">
        <f t="shared" si="231"/>
        <v>3328</v>
      </c>
      <c r="Y984" s="7">
        <f t="shared" si="232"/>
        <v>74</v>
      </c>
      <c r="Z984" s="7">
        <f t="shared" si="233"/>
        <v>258880</v>
      </c>
      <c r="AA984" s="7" t="str">
        <f t="shared" si="234"/>
        <v>11-Jun-2025</v>
      </c>
      <c r="AB984" s="7">
        <f t="shared" si="235"/>
        <v>3328</v>
      </c>
      <c r="AC984" s="7">
        <f t="shared" si="238"/>
        <v>1</v>
      </c>
      <c r="AD984" s="7">
        <f t="shared" si="236"/>
        <v>2025</v>
      </c>
      <c r="AE984" s="19">
        <f t="shared" si="237"/>
        <v>0.79</v>
      </c>
    </row>
    <row r="985" spans="1:31" x14ac:dyDescent="0.3">
      <c r="A985" s="17">
        <v>45820</v>
      </c>
      <c r="B985" s="8">
        <v>3380.8998999999999</v>
      </c>
      <c r="C985" s="7">
        <v>3395.8998999999999</v>
      </c>
      <c r="D985" s="7">
        <v>3353.3998999999999</v>
      </c>
      <c r="E985" s="7">
        <v>3363</v>
      </c>
      <c r="F985" s="18">
        <v>1818</v>
      </c>
      <c r="G985" s="7">
        <v>3342.7714000000001</v>
      </c>
      <c r="H985" s="7">
        <v>3302.7166999999999</v>
      </c>
      <c r="I985" s="7">
        <v>3125.13</v>
      </c>
      <c r="J985" s="8">
        <v>1.0517000000000001</v>
      </c>
      <c r="K985" s="7">
        <v>0.91390000000000005</v>
      </c>
      <c r="L985" s="7">
        <v>1.5071000000000001</v>
      </c>
      <c r="M985" s="8">
        <v>54.838700000000003</v>
      </c>
      <c r="N985" s="8">
        <v>24.194199999999999</v>
      </c>
      <c r="O985" s="7">
        <v>25.5276</v>
      </c>
      <c r="P985" s="7">
        <v>3421.8739999999998</v>
      </c>
      <c r="Q985" s="7">
        <v>3186.8359999999998</v>
      </c>
      <c r="R985" s="7" t="str">
        <f t="shared" si="225"/>
        <v>Down</v>
      </c>
      <c r="S985" s="7" t="str">
        <f t="shared" si="226"/>
        <v>Hold</v>
      </c>
      <c r="T985" s="8">
        <f t="shared" si="227"/>
        <v>0.25364516129032261</v>
      </c>
      <c r="U985" s="18">
        <f t="shared" si="228"/>
        <v>782349</v>
      </c>
      <c r="V985" s="7">
        <f t="shared" si="229"/>
        <v>5586.2002000000002</v>
      </c>
      <c r="W985" s="7">
        <f t="shared" si="230"/>
        <v>3253.8</v>
      </c>
      <c r="X985" s="7">
        <f t="shared" si="231"/>
        <v>3363</v>
      </c>
      <c r="Y985" s="7">
        <f t="shared" si="232"/>
        <v>73</v>
      </c>
      <c r="Z985" s="7">
        <f t="shared" si="233"/>
        <v>256774</v>
      </c>
      <c r="AA985" s="7" t="str">
        <f t="shared" si="234"/>
        <v>12-Jun-2025</v>
      </c>
      <c r="AB985" s="7">
        <f t="shared" si="235"/>
        <v>3363</v>
      </c>
      <c r="AC985" s="7">
        <f t="shared" si="238"/>
        <v>1</v>
      </c>
      <c r="AD985" s="7">
        <f t="shared" si="236"/>
        <v>2025</v>
      </c>
      <c r="AE985" s="19">
        <f t="shared" si="237"/>
        <v>1.05</v>
      </c>
    </row>
    <row r="986" spans="1:31" x14ac:dyDescent="0.3">
      <c r="A986" s="17">
        <v>45821</v>
      </c>
      <c r="B986" s="8">
        <v>3431.2</v>
      </c>
      <c r="C986" s="7">
        <v>3444</v>
      </c>
      <c r="D986" s="7">
        <v>3407.3</v>
      </c>
      <c r="E986" s="7">
        <v>3407.3</v>
      </c>
      <c r="F986" s="18">
        <v>499</v>
      </c>
      <c r="G986" s="7">
        <v>3350.2429000000002</v>
      </c>
      <c r="H986" s="7">
        <v>3307.1967</v>
      </c>
      <c r="I986" s="7">
        <v>3131.5711000000001</v>
      </c>
      <c r="J986" s="8">
        <v>1.3172999999999999</v>
      </c>
      <c r="K986" s="7">
        <v>0.97099999999999997</v>
      </c>
      <c r="L986" s="7">
        <v>1.4988999999999999</v>
      </c>
      <c r="M986" s="8">
        <v>59.612099999999998</v>
      </c>
      <c r="N986" s="8">
        <v>28.569099999999999</v>
      </c>
      <c r="O986" s="7">
        <v>26.135899999999999</v>
      </c>
      <c r="P986" s="7">
        <v>3419.1466</v>
      </c>
      <c r="Q986" s="7">
        <v>3215.1934000000001</v>
      </c>
      <c r="R986" s="7" t="str">
        <f t="shared" si="225"/>
        <v>Down</v>
      </c>
      <c r="S986" s="7" t="str">
        <f t="shared" si="226"/>
        <v>Hold</v>
      </c>
      <c r="T986" s="8">
        <f t="shared" si="227"/>
        <v>0.24933135135135132</v>
      </c>
      <c r="U986" s="18">
        <f t="shared" si="228"/>
        <v>780531</v>
      </c>
      <c r="V986" s="7">
        <f t="shared" si="229"/>
        <v>5586.2002000000002</v>
      </c>
      <c r="W986" s="7">
        <f t="shared" si="230"/>
        <v>3253.8</v>
      </c>
      <c r="X986" s="7">
        <f t="shared" si="231"/>
        <v>3407.3</v>
      </c>
      <c r="Y986" s="7">
        <f t="shared" si="232"/>
        <v>73</v>
      </c>
      <c r="Z986" s="7">
        <f t="shared" si="233"/>
        <v>256774</v>
      </c>
      <c r="AA986" s="7" t="str">
        <f t="shared" si="234"/>
        <v>13-Jun-2025</v>
      </c>
      <c r="AB986" s="7">
        <f t="shared" si="235"/>
        <v>3407.3</v>
      </c>
      <c r="AC986" s="7">
        <f t="shared" si="238"/>
        <v>1</v>
      </c>
      <c r="AD986" s="7">
        <f t="shared" si="236"/>
        <v>2025</v>
      </c>
      <c r="AE986" s="19">
        <f t="shared" si="237"/>
        <v>1.32</v>
      </c>
    </row>
    <row r="987" spans="1:31" x14ac:dyDescent="0.3">
      <c r="A987" s="17">
        <v>45824</v>
      </c>
      <c r="B987" s="8">
        <v>3396.3998999999999</v>
      </c>
      <c r="C987" s="7">
        <v>3442</v>
      </c>
      <c r="D987" s="7">
        <v>3385.3998999999999</v>
      </c>
      <c r="E987" s="7">
        <v>3442</v>
      </c>
      <c r="F987" s="18">
        <v>480</v>
      </c>
      <c r="G987" s="7">
        <v>3360.3143</v>
      </c>
      <c r="H987" s="7">
        <v>3313.9333000000001</v>
      </c>
      <c r="I987" s="7">
        <v>3138.1489000000001</v>
      </c>
      <c r="J987" s="8">
        <v>1.0184</v>
      </c>
      <c r="K987" s="7">
        <v>1.0145</v>
      </c>
      <c r="L987" s="7">
        <v>1.4907999999999999</v>
      </c>
      <c r="M987" s="8">
        <v>62.3673</v>
      </c>
      <c r="N987" s="8">
        <v>34.439300000000003</v>
      </c>
      <c r="O987" s="7">
        <v>27.796600000000002</v>
      </c>
      <c r="P987" s="7">
        <v>3435.1747999999998</v>
      </c>
      <c r="Q987" s="7">
        <v>3220.5952000000002</v>
      </c>
      <c r="R987" s="7" t="str">
        <f t="shared" si="225"/>
        <v>Up</v>
      </c>
      <c r="S987" s="7" t="str">
        <f t="shared" si="226"/>
        <v>Hold</v>
      </c>
      <c r="T987" s="8">
        <f t="shared" si="227"/>
        <v>0.24352717391304343</v>
      </c>
      <c r="U987" s="18">
        <f t="shared" si="228"/>
        <v>780032</v>
      </c>
      <c r="V987" s="7">
        <f t="shared" si="229"/>
        <v>5586.2002000000002</v>
      </c>
      <c r="W987" s="7">
        <f t="shared" si="230"/>
        <v>3253.8</v>
      </c>
      <c r="X987" s="7">
        <f t="shared" si="231"/>
        <v>3442</v>
      </c>
      <c r="Y987" s="7">
        <f t="shared" si="232"/>
        <v>73</v>
      </c>
      <c r="Z987" s="7">
        <f t="shared" si="233"/>
        <v>256774</v>
      </c>
      <c r="AA987" s="7" t="str">
        <f t="shared" si="234"/>
        <v>16-Jun-2025</v>
      </c>
      <c r="AB987" s="7">
        <f t="shared" si="235"/>
        <v>3442</v>
      </c>
      <c r="AC987" s="7">
        <f t="shared" si="238"/>
        <v>1</v>
      </c>
      <c r="AD987" s="7">
        <f t="shared" si="236"/>
        <v>2025</v>
      </c>
      <c r="AE987" s="19">
        <f t="shared" si="237"/>
        <v>1.02</v>
      </c>
    </row>
    <row r="988" spans="1:31" x14ac:dyDescent="0.3">
      <c r="A988" s="17">
        <v>45825</v>
      </c>
      <c r="B988" s="8">
        <v>3386.6001000000001</v>
      </c>
      <c r="C988" s="7">
        <v>3398.3</v>
      </c>
      <c r="D988" s="7">
        <v>3376.1001000000001</v>
      </c>
      <c r="E988" s="7">
        <v>3398.3</v>
      </c>
      <c r="F988" s="18">
        <v>1477</v>
      </c>
      <c r="G988" s="7">
        <v>3365.1714999999999</v>
      </c>
      <c r="H988" s="7">
        <v>3319.12</v>
      </c>
      <c r="I988" s="7">
        <v>3144.0722000000001</v>
      </c>
      <c r="J988" s="8">
        <v>-1.2696000000000001</v>
      </c>
      <c r="K988" s="7">
        <v>1.1702999999999999</v>
      </c>
      <c r="L988" s="7">
        <v>1.5150999999999999</v>
      </c>
      <c r="M988" s="8">
        <v>61.698300000000003</v>
      </c>
      <c r="N988" s="8">
        <v>35.1599</v>
      </c>
      <c r="O988" s="7">
        <v>29.269300000000001</v>
      </c>
      <c r="P988" s="7">
        <v>3438.2186000000002</v>
      </c>
      <c r="Q988" s="7">
        <v>3233.9414999999999</v>
      </c>
      <c r="R988" s="7" t="str">
        <f t="shared" si="225"/>
        <v>Up</v>
      </c>
      <c r="S988" s="7" t="str">
        <f t="shared" si="226"/>
        <v>Hold</v>
      </c>
      <c r="T988" s="8">
        <f t="shared" si="227"/>
        <v>0.23929289617486332</v>
      </c>
      <c r="U988" s="18">
        <f t="shared" si="228"/>
        <v>779552</v>
      </c>
      <c r="V988" s="7">
        <f t="shared" si="229"/>
        <v>5586.2002000000002</v>
      </c>
      <c r="W988" s="7">
        <f t="shared" si="230"/>
        <v>3253.8</v>
      </c>
      <c r="X988" s="7">
        <f t="shared" si="231"/>
        <v>3398.3</v>
      </c>
      <c r="Y988" s="7">
        <f t="shared" si="232"/>
        <v>72</v>
      </c>
      <c r="Z988" s="7">
        <f t="shared" si="233"/>
        <v>256294</v>
      </c>
      <c r="AA988" s="7" t="str">
        <f t="shared" si="234"/>
        <v>17-Jun-2025</v>
      </c>
      <c r="AB988" s="7">
        <f t="shared" si="235"/>
        <v>3398.3</v>
      </c>
      <c r="AC988" s="7">
        <f t="shared" si="238"/>
        <v>1</v>
      </c>
      <c r="AD988" s="7">
        <f t="shared" si="236"/>
        <v>2025</v>
      </c>
      <c r="AE988" s="19">
        <f t="shared" si="237"/>
        <v>-1.27</v>
      </c>
    </row>
    <row r="989" spans="1:31" x14ac:dyDescent="0.3">
      <c r="A989" s="17">
        <v>45826</v>
      </c>
      <c r="B989" s="8">
        <v>3389.8</v>
      </c>
      <c r="C989" s="7">
        <v>3391.8998999999999</v>
      </c>
      <c r="D989" s="7">
        <v>3365.1001000000001</v>
      </c>
      <c r="E989" s="7">
        <v>3385.3</v>
      </c>
      <c r="F989" s="18">
        <v>0</v>
      </c>
      <c r="G989" s="7">
        <v>3375.1286</v>
      </c>
      <c r="H989" s="7">
        <v>3319.78</v>
      </c>
      <c r="I989" s="7">
        <v>3149.91</v>
      </c>
      <c r="J989" s="8">
        <v>-0.38250000000000001</v>
      </c>
      <c r="K989" s="7">
        <v>0.98209999999999997</v>
      </c>
      <c r="L989" s="7">
        <v>1.3543000000000001</v>
      </c>
      <c r="M989" s="8">
        <v>61.273899999999998</v>
      </c>
      <c r="N989" s="8">
        <v>34.286700000000003</v>
      </c>
      <c r="O989" s="7">
        <v>30.2728</v>
      </c>
      <c r="P989" s="7">
        <v>3432.5162999999998</v>
      </c>
      <c r="Q989" s="7">
        <v>3256.2737000000002</v>
      </c>
      <c r="R989" s="7" t="str">
        <f t="shared" si="225"/>
        <v>Down</v>
      </c>
      <c r="S989" s="7" t="str">
        <f t="shared" si="226"/>
        <v>Hold</v>
      </c>
      <c r="T989" s="8">
        <f t="shared" si="227"/>
        <v>0.24758351648351648</v>
      </c>
      <c r="U989" s="18">
        <f t="shared" si="228"/>
        <v>778075</v>
      </c>
      <c r="V989" s="7">
        <f t="shared" si="229"/>
        <v>5586.2002000000002</v>
      </c>
      <c r="W989" s="7">
        <f t="shared" si="230"/>
        <v>3253.8</v>
      </c>
      <c r="X989" s="7">
        <f t="shared" si="231"/>
        <v>3385.3</v>
      </c>
      <c r="Y989" s="7">
        <f t="shared" si="232"/>
        <v>71</v>
      </c>
      <c r="Z989" s="7">
        <f t="shared" si="233"/>
        <v>254817</v>
      </c>
      <c r="AA989" s="7" t="str">
        <f t="shared" si="234"/>
        <v>18-Jun-2025</v>
      </c>
      <c r="AB989" s="7">
        <f t="shared" si="235"/>
        <v>3385.3</v>
      </c>
      <c r="AC989" s="7">
        <f t="shared" si="238"/>
        <v>1</v>
      </c>
      <c r="AD989" s="7">
        <f t="shared" si="236"/>
        <v>2025</v>
      </c>
      <c r="AE989" s="19">
        <f t="shared" si="237"/>
        <v>-0.38</v>
      </c>
    </row>
    <row r="990" spans="1:31" x14ac:dyDescent="0.3">
      <c r="A990" s="17">
        <v>45828</v>
      </c>
      <c r="B990" s="8">
        <v>3368.1001000000001</v>
      </c>
      <c r="C990" s="7">
        <v>3372.8998999999999</v>
      </c>
      <c r="D990" s="7">
        <v>3341</v>
      </c>
      <c r="E990" s="7">
        <v>3350</v>
      </c>
      <c r="F990" s="18">
        <v>709</v>
      </c>
      <c r="G990" s="7">
        <v>3381.9857000000002</v>
      </c>
      <c r="H990" s="7">
        <v>3317.49</v>
      </c>
      <c r="I990" s="7">
        <v>3155.3078</v>
      </c>
      <c r="J990" s="8">
        <v>-1.0427</v>
      </c>
      <c r="K990" s="7">
        <v>1.0825</v>
      </c>
      <c r="L990" s="7">
        <v>1.3351999999999999</v>
      </c>
      <c r="M990" s="8">
        <v>53.839399999999998</v>
      </c>
      <c r="N990" s="8">
        <v>30.396000000000001</v>
      </c>
      <c r="O990" s="7">
        <v>30.2974</v>
      </c>
      <c r="P990" s="7">
        <v>3432.0234999999998</v>
      </c>
      <c r="Q990" s="7">
        <v>3262.4265999999998</v>
      </c>
      <c r="R990" s="7" t="str">
        <f t="shared" si="225"/>
        <v>Down</v>
      </c>
      <c r="S990" s="7" t="str">
        <f t="shared" si="226"/>
        <v>Hold</v>
      </c>
      <c r="T990" s="8">
        <f t="shared" si="227"/>
        <v>0.2510646408839779</v>
      </c>
      <c r="U990" s="18">
        <f t="shared" si="228"/>
        <v>778075</v>
      </c>
      <c r="V990" s="7">
        <f t="shared" si="229"/>
        <v>5586.2002000000002</v>
      </c>
      <c r="W990" s="7">
        <f t="shared" si="230"/>
        <v>3253.8</v>
      </c>
      <c r="X990" s="7">
        <f t="shared" si="231"/>
        <v>3350</v>
      </c>
      <c r="Y990" s="7">
        <f t="shared" si="232"/>
        <v>71</v>
      </c>
      <c r="Z990" s="7">
        <f t="shared" si="233"/>
        <v>254817</v>
      </c>
      <c r="AA990" s="7" t="str">
        <f t="shared" si="234"/>
        <v>20-Jun-2025</v>
      </c>
      <c r="AB990" s="7">
        <f t="shared" si="235"/>
        <v>3350</v>
      </c>
      <c r="AC990" s="7">
        <f t="shared" si="238"/>
        <v>1</v>
      </c>
      <c r="AD990" s="7">
        <f t="shared" si="236"/>
        <v>2025</v>
      </c>
      <c r="AE990" s="19">
        <f t="shared" si="237"/>
        <v>-1.04</v>
      </c>
    </row>
    <row r="991" spans="1:31" x14ac:dyDescent="0.3">
      <c r="A991" s="17">
        <v>45831</v>
      </c>
      <c r="B991" s="8">
        <v>3377.7</v>
      </c>
      <c r="C991" s="7">
        <v>3387.8998999999999</v>
      </c>
      <c r="D991" s="7">
        <v>3350</v>
      </c>
      <c r="E991" s="7">
        <v>3365.8998999999999</v>
      </c>
      <c r="F991" s="18">
        <v>30</v>
      </c>
      <c r="G991" s="7">
        <v>3387.4</v>
      </c>
      <c r="H991" s="7">
        <v>3316.6867000000002</v>
      </c>
      <c r="I991" s="7">
        <v>3160.2011000000002</v>
      </c>
      <c r="J991" s="8">
        <v>0.47460000000000002</v>
      </c>
      <c r="K991" s="7">
        <v>1.0609999999999999</v>
      </c>
      <c r="L991" s="7">
        <v>1.3303</v>
      </c>
      <c r="M991" s="8">
        <v>57.629399999999997</v>
      </c>
      <c r="N991" s="8">
        <v>28.269600000000001</v>
      </c>
      <c r="O991" s="7">
        <v>29.8918</v>
      </c>
      <c r="P991" s="7">
        <v>3433.8009999999999</v>
      </c>
      <c r="Q991" s="7">
        <v>3264.5091000000002</v>
      </c>
      <c r="R991" s="7" t="str">
        <f t="shared" si="225"/>
        <v>Down</v>
      </c>
      <c r="S991" s="7" t="str">
        <f t="shared" si="226"/>
        <v>Hold</v>
      </c>
      <c r="T991" s="8">
        <f t="shared" si="227"/>
        <v>0.25825222222222216</v>
      </c>
      <c r="U991" s="18">
        <f t="shared" si="228"/>
        <v>777366</v>
      </c>
      <c r="V991" s="7">
        <f t="shared" si="229"/>
        <v>5586.2002000000002</v>
      </c>
      <c r="W991" s="7">
        <f t="shared" si="230"/>
        <v>3253.8</v>
      </c>
      <c r="X991" s="7">
        <f t="shared" si="231"/>
        <v>3365.8998999999999</v>
      </c>
      <c r="Y991" s="7">
        <f t="shared" si="232"/>
        <v>71</v>
      </c>
      <c r="Z991" s="7">
        <f t="shared" si="233"/>
        <v>254817</v>
      </c>
      <c r="AA991" s="7" t="str">
        <f t="shared" si="234"/>
        <v>23-Jun-2025</v>
      </c>
      <c r="AB991" s="7">
        <f t="shared" si="235"/>
        <v>3365.8998999999999</v>
      </c>
      <c r="AC991" s="7">
        <f t="shared" si="238"/>
        <v>1</v>
      </c>
      <c r="AD991" s="7">
        <f t="shared" si="236"/>
        <v>2025</v>
      </c>
      <c r="AE991" s="19">
        <f t="shared" si="237"/>
        <v>0.47</v>
      </c>
    </row>
    <row r="992" spans="1:31" x14ac:dyDescent="0.3">
      <c r="A992" s="17">
        <v>45832</v>
      </c>
      <c r="B992" s="8">
        <v>3317.3998999999999</v>
      </c>
      <c r="C992" s="7">
        <v>3358</v>
      </c>
      <c r="D992" s="7">
        <v>3301</v>
      </c>
      <c r="E992" s="7">
        <v>3358</v>
      </c>
      <c r="F992" s="18">
        <v>538</v>
      </c>
      <c r="G992" s="7">
        <v>3386.6857</v>
      </c>
      <c r="H992" s="7">
        <v>3318.6532999999999</v>
      </c>
      <c r="I992" s="7">
        <v>3165.2678000000001</v>
      </c>
      <c r="J992" s="8">
        <v>-0.23469999999999999</v>
      </c>
      <c r="K992" s="7">
        <v>0.99129999999999996</v>
      </c>
      <c r="L992" s="7">
        <v>1.2323999999999999</v>
      </c>
      <c r="M992" s="8">
        <v>46.356499999999997</v>
      </c>
      <c r="N992" s="8">
        <v>25.651299999999999</v>
      </c>
      <c r="O992" s="7">
        <v>29.043700000000001</v>
      </c>
      <c r="P992" s="7">
        <v>3434.7842000000001</v>
      </c>
      <c r="Q992" s="7">
        <v>3266.5259000000001</v>
      </c>
      <c r="R992" s="7" t="str">
        <f t="shared" si="225"/>
        <v>Up</v>
      </c>
      <c r="S992" s="7" t="str">
        <f t="shared" si="226"/>
        <v>Hold</v>
      </c>
      <c r="T992" s="8">
        <f t="shared" si="227"/>
        <v>0.25704357541899442</v>
      </c>
      <c r="U992" s="18">
        <f t="shared" si="228"/>
        <v>777336</v>
      </c>
      <c r="V992" s="7">
        <f t="shared" si="229"/>
        <v>5586.2002000000002</v>
      </c>
      <c r="W992" s="7">
        <f t="shared" si="230"/>
        <v>3253.8</v>
      </c>
      <c r="X992" s="7">
        <f t="shared" si="231"/>
        <v>3358</v>
      </c>
      <c r="Y992" s="7">
        <f t="shared" si="232"/>
        <v>71</v>
      </c>
      <c r="Z992" s="7">
        <f t="shared" si="233"/>
        <v>254817</v>
      </c>
      <c r="AA992" s="7" t="str">
        <f t="shared" si="234"/>
        <v>24-Jun-2025</v>
      </c>
      <c r="AB992" s="7">
        <f t="shared" si="235"/>
        <v>3358</v>
      </c>
      <c r="AC992" s="7">
        <f t="shared" si="238"/>
        <v>1</v>
      </c>
      <c r="AD992" s="7">
        <f t="shared" si="236"/>
        <v>2025</v>
      </c>
      <c r="AE992" s="19">
        <f t="shared" si="237"/>
        <v>-0.23</v>
      </c>
    </row>
    <row r="993" spans="1:31" x14ac:dyDescent="0.3">
      <c r="A993" s="17">
        <v>45833</v>
      </c>
      <c r="B993" s="8">
        <v>3327.1001000000001</v>
      </c>
      <c r="C993" s="7">
        <v>3331.2</v>
      </c>
      <c r="D993" s="7">
        <v>3310.6001000000001</v>
      </c>
      <c r="E993" s="7">
        <v>3321.6001000000001</v>
      </c>
      <c r="F993" s="18">
        <v>373</v>
      </c>
      <c r="G993" s="7">
        <v>3374.4429</v>
      </c>
      <c r="H993" s="7">
        <v>3319.35</v>
      </c>
      <c r="I993" s="7">
        <v>3169.8267000000001</v>
      </c>
      <c r="J993" s="8">
        <v>-1.0840000000000001</v>
      </c>
      <c r="K993" s="7">
        <v>0.85929999999999995</v>
      </c>
      <c r="L993" s="7">
        <v>1.2502</v>
      </c>
      <c r="M993" s="8">
        <v>45.584400000000002</v>
      </c>
      <c r="N993" s="8">
        <v>20.4039</v>
      </c>
      <c r="O993" s="7">
        <v>27.315799999999999</v>
      </c>
      <c r="P993" s="7">
        <v>3434.8732</v>
      </c>
      <c r="Q993" s="7">
        <v>3265.3467999999998</v>
      </c>
      <c r="R993" s="7" t="str">
        <f t="shared" si="225"/>
        <v>Down</v>
      </c>
      <c r="S993" s="7" t="str">
        <f t="shared" si="226"/>
        <v>Hold</v>
      </c>
      <c r="T993" s="8">
        <f t="shared" si="227"/>
        <v>0.25980617977528092</v>
      </c>
      <c r="U993" s="18">
        <f t="shared" si="228"/>
        <v>776798</v>
      </c>
      <c r="V993" s="7">
        <f t="shared" si="229"/>
        <v>5586.2002000000002</v>
      </c>
      <c r="W993" s="7">
        <f t="shared" si="230"/>
        <v>3253.8</v>
      </c>
      <c r="X993" s="7">
        <f t="shared" si="231"/>
        <v>3321.6001000000001</v>
      </c>
      <c r="Y993" s="7">
        <f t="shared" si="232"/>
        <v>70</v>
      </c>
      <c r="Z993" s="7">
        <f t="shared" si="233"/>
        <v>254279</v>
      </c>
      <c r="AA993" s="7" t="str">
        <f t="shared" si="234"/>
        <v>25-Jun-2025</v>
      </c>
      <c r="AB993" s="7">
        <f t="shared" si="235"/>
        <v>3321.6001000000001</v>
      </c>
      <c r="AC993" s="7">
        <f t="shared" si="238"/>
        <v>1</v>
      </c>
      <c r="AD993" s="7">
        <f t="shared" si="236"/>
        <v>2025</v>
      </c>
      <c r="AE993" s="19">
        <f t="shared" si="237"/>
        <v>-1.08</v>
      </c>
    </row>
    <row r="994" spans="1:31" x14ac:dyDescent="0.3">
      <c r="A994" s="17">
        <v>45834</v>
      </c>
      <c r="B994" s="8">
        <v>3333.5</v>
      </c>
      <c r="C994" s="7">
        <v>3333.5</v>
      </c>
      <c r="D994" s="7">
        <v>3332.3998999999999</v>
      </c>
      <c r="E994" s="7">
        <v>3332.3998999999999</v>
      </c>
      <c r="F994" s="18">
        <v>2058</v>
      </c>
      <c r="G994" s="7">
        <v>3358.7856999999999</v>
      </c>
      <c r="H994" s="7">
        <v>3322.6967</v>
      </c>
      <c r="I994" s="7">
        <v>3174.2166999999999</v>
      </c>
      <c r="J994" s="8">
        <v>0.3251</v>
      </c>
      <c r="K994" s="7">
        <v>0.69889999999999997</v>
      </c>
      <c r="L994" s="7">
        <v>1.1856</v>
      </c>
      <c r="M994" s="8">
        <v>44.7517</v>
      </c>
      <c r="N994" s="8">
        <v>16.921700000000001</v>
      </c>
      <c r="O994" s="7">
        <v>25.236999999999998</v>
      </c>
      <c r="P994" s="7">
        <v>3433.0605</v>
      </c>
      <c r="Q994" s="7">
        <v>3271.0396000000001</v>
      </c>
      <c r="R994" s="7" t="str">
        <f t="shared" si="225"/>
        <v>Down</v>
      </c>
      <c r="S994" s="7" t="str">
        <f t="shared" si="226"/>
        <v>Hold</v>
      </c>
      <c r="T994" s="8">
        <f t="shared" si="227"/>
        <v>0.26739830508474577</v>
      </c>
      <c r="U994" s="18">
        <f t="shared" si="228"/>
        <v>776425</v>
      </c>
      <c r="V994" s="7">
        <f t="shared" si="229"/>
        <v>5586.2002000000002</v>
      </c>
      <c r="W994" s="7">
        <f t="shared" si="230"/>
        <v>3253.8</v>
      </c>
      <c r="X994" s="7">
        <f t="shared" si="231"/>
        <v>3332.3998999999999</v>
      </c>
      <c r="Y994" s="7">
        <f t="shared" si="232"/>
        <v>70</v>
      </c>
      <c r="Z994" s="7">
        <f t="shared" si="233"/>
        <v>254279</v>
      </c>
      <c r="AA994" s="7" t="str">
        <f t="shared" si="234"/>
        <v>26-Jun-2025</v>
      </c>
      <c r="AB994" s="7">
        <f t="shared" si="235"/>
        <v>3332.3998999999999</v>
      </c>
      <c r="AC994" s="7">
        <f t="shared" si="238"/>
        <v>1</v>
      </c>
      <c r="AD994" s="7">
        <f t="shared" si="236"/>
        <v>2025</v>
      </c>
      <c r="AE994" s="19">
        <f t="shared" si="237"/>
        <v>0.33</v>
      </c>
    </row>
    <row r="995" spans="1:31" x14ac:dyDescent="0.3">
      <c r="A995" s="17">
        <v>45835</v>
      </c>
      <c r="B995" s="8">
        <v>3273.7</v>
      </c>
      <c r="C995" s="7">
        <v>3318.7</v>
      </c>
      <c r="D995" s="7">
        <v>3253.8</v>
      </c>
      <c r="E995" s="7">
        <v>3318.7</v>
      </c>
      <c r="F995" s="18">
        <v>284</v>
      </c>
      <c r="G995" s="7">
        <v>3347.4142999999999</v>
      </c>
      <c r="H995" s="7">
        <v>3325.5533</v>
      </c>
      <c r="I995" s="7">
        <v>3179.1</v>
      </c>
      <c r="J995" s="8">
        <v>-0.41110000000000002</v>
      </c>
      <c r="K995" s="7">
        <v>0.60160000000000002</v>
      </c>
      <c r="L995" s="7">
        <v>1.1894</v>
      </c>
      <c r="M995" s="8">
        <v>43.984099999999998</v>
      </c>
      <c r="N995" s="8">
        <v>12.9078</v>
      </c>
      <c r="O995" s="7">
        <v>22.771100000000001</v>
      </c>
      <c r="P995" s="7">
        <v>3429.9605999999999</v>
      </c>
      <c r="Q995" s="7">
        <v>3277.6395000000002</v>
      </c>
      <c r="R995" s="7" t="str">
        <f t="shared" si="225"/>
        <v>Up</v>
      </c>
      <c r="S995" s="7" t="str">
        <f t="shared" si="226"/>
        <v>Hold</v>
      </c>
      <c r="T995" s="8">
        <f t="shared" si="227"/>
        <v>0.26707045454545453</v>
      </c>
      <c r="U995" s="18">
        <f t="shared" si="228"/>
        <v>774367</v>
      </c>
      <c r="V995" s="7">
        <f t="shared" si="229"/>
        <v>5586.2002000000002</v>
      </c>
      <c r="W995" s="7">
        <f t="shared" si="230"/>
        <v>3253.8</v>
      </c>
      <c r="X995" s="7">
        <f t="shared" si="231"/>
        <v>3318.7</v>
      </c>
      <c r="Y995" s="7">
        <f t="shared" si="232"/>
        <v>70</v>
      </c>
      <c r="Z995" s="7">
        <f t="shared" si="233"/>
        <v>254279</v>
      </c>
      <c r="AA995" s="7" t="str">
        <f t="shared" si="234"/>
        <v>27-Jun-2025</v>
      </c>
      <c r="AB995" s="7">
        <f t="shared" si="235"/>
        <v>3318.7</v>
      </c>
      <c r="AC995" s="7">
        <f t="shared" si="238"/>
        <v>1</v>
      </c>
      <c r="AD995" s="7">
        <f t="shared" si="236"/>
        <v>2025</v>
      </c>
      <c r="AE995" s="19">
        <f t="shared" si="237"/>
        <v>-0.41</v>
      </c>
    </row>
    <row r="996" spans="1:31" x14ac:dyDescent="0.3">
      <c r="A996" s="17">
        <v>45838</v>
      </c>
      <c r="B996" s="8">
        <v>3294.3998999999999</v>
      </c>
      <c r="C996" s="7">
        <v>3306.8998999999999</v>
      </c>
      <c r="D996" s="7">
        <v>3262</v>
      </c>
      <c r="E996" s="7">
        <v>3265.8998999999999</v>
      </c>
      <c r="F996" s="18">
        <v>1242</v>
      </c>
      <c r="G996" s="7">
        <v>3330.3571000000002</v>
      </c>
      <c r="H996" s="7">
        <v>3329.3833</v>
      </c>
      <c r="I996" s="7">
        <v>3182.7354999999998</v>
      </c>
      <c r="J996" s="8">
        <v>-1.591</v>
      </c>
      <c r="K996" s="7">
        <v>0.76749999999999996</v>
      </c>
      <c r="L996" s="7">
        <v>1.1282000000000001</v>
      </c>
      <c r="M996" s="8">
        <v>43.513399999999997</v>
      </c>
      <c r="N996" s="8">
        <v>5.4039000000000001</v>
      </c>
      <c r="O996" s="7">
        <v>19.297699999999999</v>
      </c>
      <c r="P996" s="7">
        <v>3435.5198999999998</v>
      </c>
      <c r="Q996" s="7">
        <v>3267.1601000000001</v>
      </c>
      <c r="R996" s="7" t="str">
        <f t="shared" si="225"/>
        <v>Down</v>
      </c>
      <c r="S996" s="7" t="str">
        <f t="shared" si="226"/>
        <v>Hold</v>
      </c>
      <c r="T996" s="8">
        <f t="shared" si="227"/>
        <v>0.27094571428571429</v>
      </c>
      <c r="U996" s="18">
        <f t="shared" si="228"/>
        <v>774083</v>
      </c>
      <c r="V996" s="7">
        <f t="shared" si="229"/>
        <v>5586.2002000000002</v>
      </c>
      <c r="W996" s="7">
        <f t="shared" si="230"/>
        <v>3262</v>
      </c>
      <c r="X996" s="7">
        <f t="shared" si="231"/>
        <v>3265.8998999999999</v>
      </c>
      <c r="Y996" s="7">
        <f t="shared" si="232"/>
        <v>69</v>
      </c>
      <c r="Z996" s="7">
        <f t="shared" si="233"/>
        <v>253995</v>
      </c>
      <c r="AA996" s="7" t="str">
        <f t="shared" si="234"/>
        <v>30-Jun-2025</v>
      </c>
      <c r="AB996" s="7">
        <f t="shared" si="235"/>
        <v>3265.8998999999999</v>
      </c>
      <c r="AC996" s="7">
        <f t="shared" si="238"/>
        <v>1</v>
      </c>
      <c r="AD996" s="7">
        <f t="shared" si="236"/>
        <v>2025</v>
      </c>
      <c r="AE996" s="19">
        <f t="shared" si="237"/>
        <v>-1.59</v>
      </c>
    </row>
    <row r="997" spans="1:31" x14ac:dyDescent="0.3">
      <c r="A997" s="17">
        <v>45839</v>
      </c>
      <c r="B997" s="8">
        <v>3336.7</v>
      </c>
      <c r="C997" s="7">
        <v>3354.1001000000001</v>
      </c>
      <c r="D997" s="7">
        <v>3310.1001000000001</v>
      </c>
      <c r="E997" s="7">
        <v>3310.1001000000001</v>
      </c>
      <c r="F997" s="18">
        <v>371</v>
      </c>
      <c r="G997" s="7">
        <v>3324.6570999999999</v>
      </c>
      <c r="H997" s="7">
        <v>3332.13</v>
      </c>
      <c r="I997" s="7">
        <v>3186.7467000000001</v>
      </c>
      <c r="J997" s="8">
        <v>1.3533999999999999</v>
      </c>
      <c r="K997" s="7">
        <v>0.99150000000000005</v>
      </c>
      <c r="L997" s="7">
        <v>1.0676000000000001</v>
      </c>
      <c r="M997" s="8">
        <v>50.978999999999999</v>
      </c>
      <c r="N997" s="8">
        <v>2.9891000000000001</v>
      </c>
      <c r="O997" s="7">
        <v>16.036000000000001</v>
      </c>
      <c r="P997" s="7">
        <v>3434.5744</v>
      </c>
      <c r="Q997" s="7">
        <v>3269.4256</v>
      </c>
      <c r="R997" s="7" t="str">
        <f t="shared" si="225"/>
        <v>Down</v>
      </c>
      <c r="S997" s="7" t="str">
        <f t="shared" si="226"/>
        <v>Hold</v>
      </c>
      <c r="T997" s="8">
        <f t="shared" si="227"/>
        <v>0.28164655172413799</v>
      </c>
      <c r="U997" s="18">
        <f t="shared" si="228"/>
        <v>772841</v>
      </c>
      <c r="V997" s="7">
        <f t="shared" si="229"/>
        <v>5586.2002000000002</v>
      </c>
      <c r="W997" s="7">
        <f t="shared" si="230"/>
        <v>3263.8998999999999</v>
      </c>
      <c r="X997" s="7">
        <f t="shared" si="231"/>
        <v>3310.1001000000001</v>
      </c>
      <c r="Y997" s="7">
        <f t="shared" si="232"/>
        <v>69</v>
      </c>
      <c r="Z997" s="7">
        <f t="shared" si="233"/>
        <v>253995</v>
      </c>
      <c r="AA997" s="7" t="str">
        <f t="shared" si="234"/>
        <v>01-Jul-2025</v>
      </c>
      <c r="AB997" s="7">
        <f t="shared" si="235"/>
        <v>3310.1001000000001</v>
      </c>
      <c r="AC997" s="7">
        <f t="shared" si="238"/>
        <v>1</v>
      </c>
      <c r="AD997" s="7">
        <f t="shared" si="236"/>
        <v>2025</v>
      </c>
      <c r="AE997" s="19">
        <f t="shared" si="237"/>
        <v>1.35</v>
      </c>
    </row>
    <row r="998" spans="1:31" x14ac:dyDescent="0.3">
      <c r="A998" s="17">
        <v>45840</v>
      </c>
      <c r="B998" s="8">
        <v>3348</v>
      </c>
      <c r="C998" s="7">
        <v>3357.5</v>
      </c>
      <c r="D998" s="7">
        <v>3329</v>
      </c>
      <c r="E998" s="7">
        <v>3329</v>
      </c>
      <c r="F998" s="18">
        <v>39</v>
      </c>
      <c r="G998" s="7">
        <v>3319.3856999999998</v>
      </c>
      <c r="H998" s="7">
        <v>3335.2833000000001</v>
      </c>
      <c r="I998" s="7">
        <v>3191.0821999999998</v>
      </c>
      <c r="J998" s="8">
        <v>0.57099999999999995</v>
      </c>
      <c r="K998" s="7">
        <v>1.0024999999999999</v>
      </c>
      <c r="L998" s="7">
        <v>1.0710999999999999</v>
      </c>
      <c r="M998" s="8">
        <v>50.122999999999998</v>
      </c>
      <c r="N998" s="8">
        <v>2.5708000000000002</v>
      </c>
      <c r="O998" s="7">
        <v>13.3429</v>
      </c>
      <c r="P998" s="7">
        <v>3430.8413</v>
      </c>
      <c r="Q998" s="7">
        <v>3267.5486999999998</v>
      </c>
      <c r="R998" s="7" t="str">
        <f t="shared" si="225"/>
        <v>Down</v>
      </c>
      <c r="S998" s="7" t="str">
        <f t="shared" si="226"/>
        <v>Hold</v>
      </c>
      <c r="T998" s="8">
        <f t="shared" si="227"/>
        <v>0.27545144508670522</v>
      </c>
      <c r="U998" s="18">
        <f t="shared" si="228"/>
        <v>772470</v>
      </c>
      <c r="V998" s="7">
        <f t="shared" si="229"/>
        <v>5586.2002000000002</v>
      </c>
      <c r="W998" s="7">
        <f t="shared" si="230"/>
        <v>3263.8998999999999</v>
      </c>
      <c r="X998" s="7">
        <f t="shared" si="231"/>
        <v>3329</v>
      </c>
      <c r="Y998" s="7">
        <f t="shared" si="232"/>
        <v>69</v>
      </c>
      <c r="Z998" s="7">
        <f t="shared" si="233"/>
        <v>253995</v>
      </c>
      <c r="AA998" s="7" t="str">
        <f t="shared" si="234"/>
        <v>02-Jul-2025</v>
      </c>
      <c r="AB998" s="7">
        <f t="shared" si="235"/>
        <v>3329</v>
      </c>
      <c r="AC998" s="7">
        <f t="shared" si="238"/>
        <v>1</v>
      </c>
      <c r="AD998" s="7">
        <f t="shared" si="236"/>
        <v>2025</v>
      </c>
      <c r="AE998" s="19">
        <f t="shared" si="237"/>
        <v>0.56999999999999995</v>
      </c>
    </row>
    <row r="999" spans="1:31" x14ac:dyDescent="0.3">
      <c r="A999" s="17">
        <v>45841</v>
      </c>
      <c r="B999" s="8">
        <v>3331.6001000000001</v>
      </c>
      <c r="C999" s="7">
        <v>3362</v>
      </c>
      <c r="D999" s="7">
        <v>3322.3</v>
      </c>
      <c r="E999" s="7">
        <v>3362</v>
      </c>
      <c r="F999" s="18">
        <v>0</v>
      </c>
      <c r="G999" s="7">
        <v>3319.9571000000001</v>
      </c>
      <c r="H999" s="7">
        <v>3340.05</v>
      </c>
      <c r="I999" s="7">
        <v>3195.8478</v>
      </c>
      <c r="J999" s="8">
        <v>0.99129999999999996</v>
      </c>
      <c r="K999" s="7">
        <v>1.0891999999999999</v>
      </c>
      <c r="L999" s="7">
        <v>1.0771999999999999</v>
      </c>
      <c r="M999" s="8">
        <v>49.876399999999997</v>
      </c>
      <c r="N999" s="8">
        <v>4.8463000000000003</v>
      </c>
      <c r="O999" s="7">
        <v>11.643599999999999</v>
      </c>
      <c r="P999" s="7">
        <v>3431.3559</v>
      </c>
      <c r="Q999" s="7">
        <v>3267.7341000000001</v>
      </c>
      <c r="R999" s="7" t="str">
        <f t="shared" si="225"/>
        <v>Up</v>
      </c>
      <c r="S999" s="7" t="str">
        <f t="shared" si="226"/>
        <v>Hold</v>
      </c>
      <c r="T999" s="8">
        <f t="shared" si="227"/>
        <v>0.27373313953488376</v>
      </c>
      <c r="U999" s="18">
        <f t="shared" si="228"/>
        <v>772431</v>
      </c>
      <c r="V999" s="7">
        <f t="shared" si="229"/>
        <v>5586.2002000000002</v>
      </c>
      <c r="W999" s="7">
        <f t="shared" si="230"/>
        <v>3263.8998999999999</v>
      </c>
      <c r="X999" s="7">
        <f t="shared" si="231"/>
        <v>3362</v>
      </c>
      <c r="Y999" s="7">
        <f t="shared" si="232"/>
        <v>69</v>
      </c>
      <c r="Z999" s="7">
        <f t="shared" si="233"/>
        <v>253995</v>
      </c>
      <c r="AA999" s="7" t="str">
        <f t="shared" si="234"/>
        <v>03-Jul-2025</v>
      </c>
      <c r="AB999" s="7">
        <f t="shared" si="235"/>
        <v>3362</v>
      </c>
      <c r="AC999" s="7">
        <f t="shared" si="238"/>
        <v>1</v>
      </c>
      <c r="AD999" s="7">
        <f t="shared" si="236"/>
        <v>2025</v>
      </c>
      <c r="AE999" s="19">
        <f t="shared" si="237"/>
        <v>0.99</v>
      </c>
    </row>
    <row r="1000" spans="1:31" x14ac:dyDescent="0.3">
      <c r="A1000" s="17">
        <v>45842</v>
      </c>
      <c r="B1000" s="8">
        <v>3332.5</v>
      </c>
      <c r="C1000" s="7">
        <v>3342</v>
      </c>
      <c r="D1000" s="7">
        <v>3332.5</v>
      </c>
      <c r="E1000" s="7">
        <v>3342</v>
      </c>
      <c r="F1000" s="18">
        <v>0</v>
      </c>
      <c r="G1000" s="7">
        <v>3322.8714</v>
      </c>
      <c r="H1000" s="7">
        <v>3341.67</v>
      </c>
      <c r="I1000" s="7">
        <v>3200.3289</v>
      </c>
      <c r="J1000" s="8">
        <v>-0.59489999999999998</v>
      </c>
      <c r="K1000" s="7">
        <v>1.0199</v>
      </c>
      <c r="L1000" s="7">
        <v>1.0044999999999999</v>
      </c>
      <c r="M1000" s="8">
        <v>41.414700000000003</v>
      </c>
      <c r="N1000" s="8">
        <v>4.9783999999999997</v>
      </c>
      <c r="O1000" s="7">
        <v>10.310600000000001</v>
      </c>
      <c r="P1000" s="7">
        <v>3429.2757999999999</v>
      </c>
      <c r="Q1000" s="7">
        <v>3266.8643000000002</v>
      </c>
      <c r="R1000" s="7" t="str">
        <f t="shared" si="225"/>
        <v>Up</v>
      </c>
      <c r="S1000" s="7" t="str">
        <f t="shared" si="226"/>
        <v>Hold</v>
      </c>
      <c r="T1000" s="8">
        <f t="shared" si="227"/>
        <v>0.26953684210526313</v>
      </c>
      <c r="U1000" s="18">
        <f t="shared" si="228"/>
        <v>772431</v>
      </c>
      <c r="V1000" s="7">
        <f t="shared" si="229"/>
        <v>5586.2002000000002</v>
      </c>
      <c r="W1000" s="7">
        <f t="shared" si="230"/>
        <v>3263.8998999999999</v>
      </c>
      <c r="X1000" s="7">
        <f t="shared" si="231"/>
        <v>3342</v>
      </c>
      <c r="Y1000" s="7">
        <f t="shared" si="232"/>
        <v>68</v>
      </c>
      <c r="Z1000" s="7">
        <f t="shared" si="233"/>
        <v>253995</v>
      </c>
      <c r="AA1000" s="7" t="str">
        <f t="shared" si="234"/>
        <v>04-Jul-2025</v>
      </c>
      <c r="AB1000" s="7">
        <f t="shared" si="235"/>
        <v>3342</v>
      </c>
      <c r="AC1000" s="7">
        <f t="shared" si="238"/>
        <v>1</v>
      </c>
      <c r="AD1000" s="7">
        <f t="shared" si="236"/>
        <v>2025</v>
      </c>
      <c r="AE1000" s="19">
        <f t="shared" si="237"/>
        <v>-0.59</v>
      </c>
    </row>
    <row r="1001" spans="1:31" x14ac:dyDescent="0.3">
      <c r="A1001" s="17">
        <v>45845</v>
      </c>
      <c r="B1001" s="8">
        <v>3332.2</v>
      </c>
      <c r="C1001" s="7">
        <v>3333.3</v>
      </c>
      <c r="D1001" s="7">
        <v>3299.2</v>
      </c>
      <c r="E1001" s="7">
        <v>3305.5</v>
      </c>
      <c r="F1001" s="18">
        <v>254</v>
      </c>
      <c r="G1001" s="7">
        <v>3319.0286000000001</v>
      </c>
      <c r="H1001" s="7">
        <v>3340.9432999999999</v>
      </c>
      <c r="I1001" s="7">
        <v>3204.6844000000001</v>
      </c>
      <c r="J1001" s="8">
        <v>-1.0922000000000001</v>
      </c>
      <c r="K1001" s="7">
        <v>1.1032</v>
      </c>
      <c r="L1001" s="7">
        <v>1.0081</v>
      </c>
      <c r="M1001" s="8">
        <v>32.138199999999998</v>
      </c>
      <c r="N1001" s="8">
        <v>2.1135000000000002</v>
      </c>
      <c r="O1001" s="7">
        <v>8.6712000000000007</v>
      </c>
      <c r="P1001" s="7">
        <v>3428.1001000000001</v>
      </c>
      <c r="Q1001" s="7">
        <v>3262.1599000000001</v>
      </c>
      <c r="R1001" s="7" t="str">
        <f t="shared" si="225"/>
        <v>Down</v>
      </c>
      <c r="S1001" s="7" t="str">
        <f t="shared" si="226"/>
        <v>Hold</v>
      </c>
      <c r="T1001" s="8">
        <f t="shared" si="227"/>
        <v>0.2746217647058824</v>
      </c>
      <c r="U1001" s="18">
        <f t="shared" si="228"/>
        <v>772431</v>
      </c>
      <c r="V1001" s="7">
        <f t="shared" si="229"/>
        <v>5586.2002000000002</v>
      </c>
      <c r="W1001" s="7">
        <f t="shared" si="230"/>
        <v>3263.8998999999999</v>
      </c>
      <c r="X1001" s="7">
        <f t="shared" si="231"/>
        <v>3305.5</v>
      </c>
      <c r="Y1001" s="7">
        <f t="shared" si="232"/>
        <v>67</v>
      </c>
      <c r="Z1001" s="7">
        <f t="shared" si="233"/>
        <v>253995</v>
      </c>
      <c r="AA1001" s="7" t="str">
        <f t="shared" si="234"/>
        <v>07-Jul-2025</v>
      </c>
      <c r="AB1001" s="7">
        <f t="shared" si="235"/>
        <v>3305.5</v>
      </c>
      <c r="AC1001" s="7">
        <f t="shared" si="238"/>
        <v>1</v>
      </c>
      <c r="AD1001" s="7">
        <f t="shared" si="236"/>
        <v>2025</v>
      </c>
      <c r="AE1001" s="19">
        <f t="shared" si="237"/>
        <v>-1.0900000000000001</v>
      </c>
    </row>
    <row r="1002" spans="1:31" x14ac:dyDescent="0.3">
      <c r="A1002" s="17">
        <v>45846</v>
      </c>
      <c r="B1002" s="8">
        <v>3307</v>
      </c>
      <c r="C1002" s="7">
        <v>3334.5</v>
      </c>
      <c r="D1002" s="7">
        <v>3287.6001000000001</v>
      </c>
      <c r="E1002" s="7">
        <v>3330.3998999999999</v>
      </c>
      <c r="F1002" s="18">
        <v>909</v>
      </c>
      <c r="G1002" s="7">
        <v>3320.7</v>
      </c>
      <c r="H1002" s="7">
        <v>3341.0232999999998</v>
      </c>
      <c r="I1002" s="7">
        <v>3209.2611000000002</v>
      </c>
      <c r="J1002" s="8">
        <v>0.75329999999999997</v>
      </c>
      <c r="K1002" s="7">
        <v>1.1375</v>
      </c>
      <c r="L1002" s="7">
        <v>1.0178</v>
      </c>
      <c r="M1002" s="8">
        <v>40.655099999999997</v>
      </c>
      <c r="N1002" s="8">
        <v>1.8310999999999999</v>
      </c>
      <c r="O1002" s="7">
        <v>7.3030999999999997</v>
      </c>
      <c r="P1002" s="7">
        <v>3427.9908</v>
      </c>
      <c r="Q1002" s="7">
        <v>3263.7492000000002</v>
      </c>
      <c r="R1002" s="7" t="str">
        <f t="shared" si="225"/>
        <v>Up</v>
      </c>
      <c r="S1002" s="7" t="str">
        <f t="shared" si="226"/>
        <v>Hold</v>
      </c>
      <c r="T1002" s="8">
        <f t="shared" si="227"/>
        <v>0.28270946745562126</v>
      </c>
      <c r="U1002" s="18">
        <f t="shared" si="228"/>
        <v>772177</v>
      </c>
      <c r="V1002" s="7">
        <f t="shared" si="229"/>
        <v>5586.2002000000002</v>
      </c>
      <c r="W1002" s="7">
        <f t="shared" si="230"/>
        <v>3263.8998999999999</v>
      </c>
      <c r="X1002" s="7">
        <f t="shared" si="231"/>
        <v>3330.3998999999999</v>
      </c>
      <c r="Y1002" s="7">
        <f t="shared" si="232"/>
        <v>67</v>
      </c>
      <c r="Z1002" s="7">
        <f t="shared" si="233"/>
        <v>253995</v>
      </c>
      <c r="AA1002" s="7" t="str">
        <f t="shared" si="234"/>
        <v>08-Jul-2025</v>
      </c>
      <c r="AB1002" s="7">
        <f t="shared" si="235"/>
        <v>3330.3998999999999</v>
      </c>
      <c r="AC1002" s="7">
        <f t="shared" si="238"/>
        <v>1</v>
      </c>
      <c r="AD1002" s="7">
        <f t="shared" si="236"/>
        <v>2025</v>
      </c>
      <c r="AE1002" s="19">
        <f t="shared" si="237"/>
        <v>0.75</v>
      </c>
    </row>
    <row r="1003" spans="1:31" x14ac:dyDescent="0.3">
      <c r="A1003" s="17">
        <v>45847</v>
      </c>
      <c r="B1003" s="8">
        <v>3311.6001000000001</v>
      </c>
      <c r="C1003" s="7">
        <v>3314</v>
      </c>
      <c r="D1003" s="7">
        <v>3282</v>
      </c>
      <c r="E1003" s="7">
        <v>3289.3998999999999</v>
      </c>
      <c r="F1003" s="18">
        <v>114</v>
      </c>
      <c r="G1003" s="7">
        <v>3324.0571</v>
      </c>
      <c r="H1003" s="7">
        <v>3339.5866999999998</v>
      </c>
      <c r="I1003" s="7">
        <v>3213.8422</v>
      </c>
      <c r="J1003" s="8">
        <v>-1.2311000000000001</v>
      </c>
      <c r="K1003" s="7">
        <v>1.0559000000000001</v>
      </c>
      <c r="L1003" s="7">
        <v>1.0422</v>
      </c>
      <c r="M1003" s="8">
        <v>37.745899999999999</v>
      </c>
      <c r="N1003" s="8">
        <v>-1.6816</v>
      </c>
      <c r="O1003" s="7">
        <v>5.5061999999999998</v>
      </c>
      <c r="P1003" s="7">
        <v>3428.9558000000002</v>
      </c>
      <c r="Q1003" s="7">
        <v>3261.5241999999998</v>
      </c>
      <c r="R1003" s="7" t="str">
        <f t="shared" si="225"/>
        <v>Down</v>
      </c>
      <c r="S1003" s="7" t="str">
        <f t="shared" si="226"/>
        <v>Hold</v>
      </c>
      <c r="T1003" s="8">
        <f t="shared" si="227"/>
        <v>0.27990833333333331</v>
      </c>
      <c r="U1003" s="18">
        <f t="shared" si="228"/>
        <v>771268</v>
      </c>
      <c r="V1003" s="7">
        <f t="shared" si="229"/>
        <v>5586.2002000000002</v>
      </c>
      <c r="W1003" s="7">
        <f t="shared" si="230"/>
        <v>3263.8998999999999</v>
      </c>
      <c r="X1003" s="7">
        <f t="shared" si="231"/>
        <v>3289.3998999999999</v>
      </c>
      <c r="Y1003" s="7">
        <f t="shared" si="232"/>
        <v>66</v>
      </c>
      <c r="Z1003" s="7">
        <f t="shared" si="233"/>
        <v>253086</v>
      </c>
      <c r="AA1003" s="7" t="str">
        <f t="shared" si="234"/>
        <v>09-Jul-2025</v>
      </c>
      <c r="AB1003" s="7">
        <f t="shared" si="235"/>
        <v>3289.3998999999999</v>
      </c>
      <c r="AC1003" s="7">
        <f t="shared" si="238"/>
        <v>1</v>
      </c>
      <c r="AD1003" s="7">
        <f t="shared" si="236"/>
        <v>2025</v>
      </c>
      <c r="AE1003" s="19">
        <f t="shared" si="237"/>
        <v>-1.23</v>
      </c>
    </row>
    <row r="1004" spans="1:31" x14ac:dyDescent="0.3">
      <c r="A1004" s="17">
        <v>45848</v>
      </c>
      <c r="B1004" s="8">
        <v>3317.3998999999999</v>
      </c>
      <c r="C1004" s="7">
        <v>3330.5</v>
      </c>
      <c r="D1004" s="7">
        <v>3311.6001000000001</v>
      </c>
      <c r="E1004" s="7">
        <v>3323.6001000000001</v>
      </c>
      <c r="F1004" s="18">
        <v>209</v>
      </c>
      <c r="G1004" s="7">
        <v>3325.9857000000002</v>
      </c>
      <c r="H1004" s="7">
        <v>3340.5866999999998</v>
      </c>
      <c r="I1004" s="7">
        <v>3218.8521999999998</v>
      </c>
      <c r="J1004" s="8">
        <v>1.0397000000000001</v>
      </c>
      <c r="K1004" s="7">
        <v>0.99929999999999997</v>
      </c>
      <c r="L1004" s="7">
        <v>1.0376000000000001</v>
      </c>
      <c r="M1004" s="8">
        <v>46.617100000000001</v>
      </c>
      <c r="N1004" s="8">
        <v>-1.6863999999999999</v>
      </c>
      <c r="O1004" s="7">
        <v>4.0677000000000003</v>
      </c>
      <c r="P1004" s="7">
        <v>3428.9494</v>
      </c>
      <c r="Q1004" s="7">
        <v>3261.0906</v>
      </c>
      <c r="R1004" s="7" t="str">
        <f t="shared" si="225"/>
        <v>Up</v>
      </c>
      <c r="S1004" s="7" t="str">
        <f t="shared" si="226"/>
        <v>Hold</v>
      </c>
      <c r="T1004" s="8">
        <f t="shared" si="227"/>
        <v>0.28895628742514967</v>
      </c>
      <c r="U1004" s="18">
        <f t="shared" si="228"/>
        <v>771154</v>
      </c>
      <c r="V1004" s="7">
        <f t="shared" si="229"/>
        <v>5586.2002000000002</v>
      </c>
      <c r="W1004" s="7">
        <f t="shared" si="230"/>
        <v>3263.8998999999999</v>
      </c>
      <c r="X1004" s="7">
        <f t="shared" si="231"/>
        <v>3323.6001000000001</v>
      </c>
      <c r="Y1004" s="7">
        <f t="shared" si="232"/>
        <v>66</v>
      </c>
      <c r="Z1004" s="7">
        <f t="shared" si="233"/>
        <v>253086</v>
      </c>
      <c r="AA1004" s="7" t="str">
        <f t="shared" si="234"/>
        <v>10-Jul-2025</v>
      </c>
      <c r="AB1004" s="7">
        <f t="shared" si="235"/>
        <v>3323.6001000000001</v>
      </c>
      <c r="AC1004" s="7">
        <f t="shared" si="238"/>
        <v>1</v>
      </c>
      <c r="AD1004" s="7">
        <f t="shared" si="236"/>
        <v>2025</v>
      </c>
      <c r="AE1004" s="19">
        <f t="shared" si="237"/>
        <v>1.04</v>
      </c>
    </row>
    <row r="1005" spans="1:31" x14ac:dyDescent="0.3">
      <c r="A1005" s="17">
        <v>45849</v>
      </c>
      <c r="B1005" s="8">
        <v>3356</v>
      </c>
      <c r="C1005" s="7">
        <v>3370</v>
      </c>
      <c r="D1005" s="7">
        <v>3330.5</v>
      </c>
      <c r="E1005" s="7">
        <v>3330.5</v>
      </c>
      <c r="F1005" s="18">
        <v>776</v>
      </c>
      <c r="G1005" s="7">
        <v>3326.2</v>
      </c>
      <c r="H1005" s="7">
        <v>3342.1466999999998</v>
      </c>
      <c r="I1005" s="7">
        <v>3223.79</v>
      </c>
      <c r="J1005" s="8">
        <v>0.20760000000000001</v>
      </c>
      <c r="K1005" s="7">
        <v>0.97770000000000001</v>
      </c>
      <c r="L1005" s="7">
        <v>1.0361</v>
      </c>
      <c r="M1005" s="8">
        <v>45.3568</v>
      </c>
      <c r="N1005" s="8">
        <v>-1.1205000000000001</v>
      </c>
      <c r="O1005" s="7">
        <v>3.03</v>
      </c>
      <c r="P1005" s="7">
        <v>3427.1167999999998</v>
      </c>
      <c r="Q1005" s="7">
        <v>3259.6732000000002</v>
      </c>
      <c r="R1005" s="7" t="str">
        <f t="shared" si="225"/>
        <v>Down</v>
      </c>
      <c r="S1005" s="7" t="str">
        <f t="shared" si="226"/>
        <v>Hold</v>
      </c>
      <c r="T1005" s="8">
        <f t="shared" si="227"/>
        <v>0.28443373493975904</v>
      </c>
      <c r="U1005" s="18">
        <f t="shared" si="228"/>
        <v>770945</v>
      </c>
      <c r="V1005" s="7">
        <f t="shared" si="229"/>
        <v>5586.2002000000002</v>
      </c>
      <c r="W1005" s="7">
        <f t="shared" si="230"/>
        <v>3263.8998999999999</v>
      </c>
      <c r="X1005" s="7">
        <f t="shared" si="231"/>
        <v>3330.5</v>
      </c>
      <c r="Y1005" s="7">
        <f t="shared" si="232"/>
        <v>65</v>
      </c>
      <c r="Z1005" s="7">
        <f t="shared" si="233"/>
        <v>252877</v>
      </c>
      <c r="AA1005" s="7" t="str">
        <f t="shared" si="234"/>
        <v>11-Jul-2025</v>
      </c>
      <c r="AB1005" s="7">
        <f t="shared" si="235"/>
        <v>3330.5</v>
      </c>
      <c r="AC1005" s="7">
        <f t="shared" si="238"/>
        <v>1</v>
      </c>
      <c r="AD1005" s="7">
        <f t="shared" si="236"/>
        <v>2025</v>
      </c>
      <c r="AE1005" s="19">
        <f t="shared" si="237"/>
        <v>0.21</v>
      </c>
    </row>
    <row r="1006" spans="1:31" x14ac:dyDescent="0.3">
      <c r="A1006" s="17">
        <v>45852</v>
      </c>
      <c r="B1006" s="8">
        <v>3351.5</v>
      </c>
      <c r="C1006" s="7">
        <v>3375.5</v>
      </c>
      <c r="D1006" s="7">
        <v>3350</v>
      </c>
      <c r="E1006" s="7">
        <v>3367</v>
      </c>
      <c r="F1006" s="18">
        <v>583</v>
      </c>
      <c r="G1006" s="7">
        <v>3326.9142999999999</v>
      </c>
      <c r="H1006" s="7">
        <v>3343.8766999999998</v>
      </c>
      <c r="I1006" s="7">
        <v>3228.7932999999998</v>
      </c>
      <c r="J1006" s="8">
        <v>1.0959000000000001</v>
      </c>
      <c r="K1006" s="7">
        <v>0.99590000000000001</v>
      </c>
      <c r="L1006" s="7">
        <v>1.0406</v>
      </c>
      <c r="M1006" s="8">
        <v>51.098100000000002</v>
      </c>
      <c r="N1006" s="8">
        <v>2.2473000000000001</v>
      </c>
      <c r="O1006" s="7">
        <v>2.8734999999999999</v>
      </c>
      <c r="P1006" s="7">
        <v>3420.4355999999998</v>
      </c>
      <c r="Q1006" s="7">
        <v>3262.3243000000002</v>
      </c>
      <c r="R1006" s="7" t="str">
        <f t="shared" si="225"/>
        <v>Up</v>
      </c>
      <c r="S1006" s="7" t="str">
        <f t="shared" si="226"/>
        <v>Hold</v>
      </c>
      <c r="T1006" s="8">
        <f t="shared" si="227"/>
        <v>0.28489939393939395</v>
      </c>
      <c r="U1006" s="18">
        <f t="shared" si="228"/>
        <v>770169</v>
      </c>
      <c r="V1006" s="7">
        <f t="shared" si="229"/>
        <v>5586.2002000000002</v>
      </c>
      <c r="W1006" s="7">
        <f t="shared" si="230"/>
        <v>3263.8998999999999</v>
      </c>
      <c r="X1006" s="7">
        <f t="shared" si="231"/>
        <v>3367</v>
      </c>
      <c r="Y1006" s="7">
        <f t="shared" si="232"/>
        <v>65</v>
      </c>
      <c r="Z1006" s="7">
        <f t="shared" si="233"/>
        <v>252877</v>
      </c>
      <c r="AA1006" s="7" t="str">
        <f t="shared" si="234"/>
        <v>14-Jul-2025</v>
      </c>
      <c r="AB1006" s="7">
        <f t="shared" si="235"/>
        <v>3367</v>
      </c>
      <c r="AC1006" s="7">
        <f t="shared" si="238"/>
        <v>1</v>
      </c>
      <c r="AD1006" s="7">
        <f t="shared" si="236"/>
        <v>2025</v>
      </c>
      <c r="AE1006" s="19">
        <f t="shared" si="237"/>
        <v>1.1000000000000001</v>
      </c>
    </row>
    <row r="1007" spans="1:31" x14ac:dyDescent="0.3">
      <c r="A1007" s="17">
        <v>45853</v>
      </c>
      <c r="B1007" s="8">
        <v>3329.8</v>
      </c>
      <c r="C1007" s="7">
        <v>3341</v>
      </c>
      <c r="D1007" s="7">
        <v>3329.8</v>
      </c>
      <c r="E1007" s="7">
        <v>3341</v>
      </c>
      <c r="F1007" s="18">
        <v>210</v>
      </c>
      <c r="G1007" s="7">
        <v>3326.7714000000001</v>
      </c>
      <c r="H1007" s="7">
        <v>3345.3467000000001</v>
      </c>
      <c r="I1007" s="7">
        <v>3233.6489000000001</v>
      </c>
      <c r="J1007" s="8">
        <v>-0.7722</v>
      </c>
      <c r="K1007" s="7">
        <v>1.0163</v>
      </c>
      <c r="L1007" s="7">
        <v>1.0459000000000001</v>
      </c>
      <c r="M1007" s="8">
        <v>52.428600000000003</v>
      </c>
      <c r="N1007" s="8">
        <v>2.7863000000000002</v>
      </c>
      <c r="O1007" s="7">
        <v>2.8561000000000001</v>
      </c>
      <c r="P1007" s="7">
        <v>3399.6624000000002</v>
      </c>
      <c r="Q1007" s="7">
        <v>3272.9974999999999</v>
      </c>
      <c r="R1007" s="7" t="str">
        <f t="shared" si="225"/>
        <v>Up</v>
      </c>
      <c r="S1007" s="7" t="str">
        <f t="shared" si="226"/>
        <v>Hold</v>
      </c>
      <c r="T1007" s="8">
        <f t="shared" si="227"/>
        <v>0.27995426829268294</v>
      </c>
      <c r="U1007" s="18">
        <f t="shared" si="228"/>
        <v>769586</v>
      </c>
      <c r="V1007" s="7">
        <f t="shared" si="229"/>
        <v>5586.2002000000002</v>
      </c>
      <c r="W1007" s="7">
        <f t="shared" si="230"/>
        <v>3263.8998999999999</v>
      </c>
      <c r="X1007" s="7">
        <f t="shared" si="231"/>
        <v>3341</v>
      </c>
      <c r="Y1007" s="7">
        <f t="shared" si="232"/>
        <v>64</v>
      </c>
      <c r="Z1007" s="7">
        <f t="shared" si="233"/>
        <v>252294</v>
      </c>
      <c r="AA1007" s="7" t="str">
        <f t="shared" si="234"/>
        <v>15-Jul-2025</v>
      </c>
      <c r="AB1007" s="7">
        <f t="shared" si="235"/>
        <v>3341</v>
      </c>
      <c r="AC1007" s="7">
        <f t="shared" si="238"/>
        <v>1</v>
      </c>
      <c r="AD1007" s="7">
        <f t="shared" si="236"/>
        <v>2025</v>
      </c>
      <c r="AE1007" s="19">
        <f t="shared" si="237"/>
        <v>-0.77</v>
      </c>
    </row>
    <row r="1008" spans="1:31" x14ac:dyDescent="0.3">
      <c r="A1008" s="17">
        <v>45854</v>
      </c>
      <c r="B1008" s="8">
        <v>3352.5</v>
      </c>
      <c r="C1008" s="7">
        <v>3352.8998999999999</v>
      </c>
      <c r="D1008" s="7">
        <v>3329.5</v>
      </c>
      <c r="E1008" s="7">
        <v>3341.2</v>
      </c>
      <c r="F1008" s="18">
        <v>10</v>
      </c>
      <c r="G1008" s="7">
        <v>3331.8714</v>
      </c>
      <c r="H1008" s="7">
        <v>3343.8833</v>
      </c>
      <c r="I1008" s="7">
        <v>3238.5410999999999</v>
      </c>
      <c r="J1008" s="8">
        <v>6.0000000000000001E-3</v>
      </c>
      <c r="K1008" s="7">
        <v>0.89739999999999998</v>
      </c>
      <c r="L1008" s="7">
        <v>0.92090000000000005</v>
      </c>
      <c r="M1008" s="8">
        <v>51.131700000000002</v>
      </c>
      <c r="N1008" s="8">
        <v>3.1926999999999999</v>
      </c>
      <c r="O1008" s="7">
        <v>2.9234</v>
      </c>
      <c r="P1008" s="7">
        <v>3389.8060999999998</v>
      </c>
      <c r="Q1008" s="7">
        <v>3277.1439</v>
      </c>
      <c r="R1008" s="7" t="str">
        <f t="shared" si="225"/>
        <v>Down</v>
      </c>
      <c r="S1008" s="7" t="str">
        <f t="shared" si="226"/>
        <v>Hold</v>
      </c>
      <c r="T1008" s="8">
        <f t="shared" si="227"/>
        <v>0.28640920245398771</v>
      </c>
      <c r="U1008" s="18">
        <f t="shared" si="228"/>
        <v>769376</v>
      </c>
      <c r="V1008" s="7">
        <f t="shared" si="229"/>
        <v>5586.2002000000002</v>
      </c>
      <c r="W1008" s="7">
        <f t="shared" si="230"/>
        <v>3263.8998999999999</v>
      </c>
      <c r="X1008" s="7">
        <f t="shared" si="231"/>
        <v>3341.2</v>
      </c>
      <c r="Y1008" s="7">
        <f t="shared" si="232"/>
        <v>63</v>
      </c>
      <c r="Z1008" s="7">
        <f t="shared" si="233"/>
        <v>252084</v>
      </c>
      <c r="AA1008" s="7" t="str">
        <f t="shared" si="234"/>
        <v>16-Jul-2025</v>
      </c>
      <c r="AB1008" s="7">
        <f t="shared" si="235"/>
        <v>3341.2</v>
      </c>
      <c r="AC1008" s="7">
        <f t="shared" si="238"/>
        <v>1</v>
      </c>
      <c r="AD1008" s="7">
        <f t="shared" si="236"/>
        <v>2025</v>
      </c>
      <c r="AE1008" s="19">
        <f t="shared" si="237"/>
        <v>0.01</v>
      </c>
    </row>
    <row r="1009" spans="1:31" x14ac:dyDescent="0.3">
      <c r="A1009" s="17">
        <v>45855</v>
      </c>
      <c r="B1009" s="8">
        <v>3340.1001000000001</v>
      </c>
      <c r="C1009" s="7">
        <v>3340.8</v>
      </c>
      <c r="D1009" s="7">
        <v>3313.8</v>
      </c>
      <c r="E1009" s="7">
        <v>3313.8</v>
      </c>
      <c r="F1009" s="18">
        <v>667</v>
      </c>
      <c r="G1009" s="7">
        <v>3329.5</v>
      </c>
      <c r="H1009" s="7">
        <v>3342.51</v>
      </c>
      <c r="I1009" s="7">
        <v>3243.0266999999999</v>
      </c>
      <c r="J1009" s="8">
        <v>-0.82010000000000005</v>
      </c>
      <c r="K1009" s="7">
        <v>0.91990000000000005</v>
      </c>
      <c r="L1009" s="7">
        <v>0.91879999999999995</v>
      </c>
      <c r="M1009" s="8">
        <v>49.391300000000001</v>
      </c>
      <c r="N1009" s="8">
        <v>1.2889999999999999</v>
      </c>
      <c r="O1009" s="7">
        <v>2.5964999999999998</v>
      </c>
      <c r="P1009" s="7">
        <v>3381.2365</v>
      </c>
      <c r="Q1009" s="7">
        <v>3278.5635000000002</v>
      </c>
      <c r="R1009" s="7" t="str">
        <f t="shared" si="225"/>
        <v>Down</v>
      </c>
      <c r="S1009" s="7" t="str">
        <f t="shared" si="226"/>
        <v>Hold</v>
      </c>
      <c r="T1009" s="8">
        <f t="shared" si="227"/>
        <v>0.28814012345679013</v>
      </c>
      <c r="U1009" s="18">
        <f t="shared" si="228"/>
        <v>769366</v>
      </c>
      <c r="V1009" s="7">
        <f t="shared" si="229"/>
        <v>5586.2002000000002</v>
      </c>
      <c r="W1009" s="7">
        <f t="shared" si="230"/>
        <v>3263.8998999999999</v>
      </c>
      <c r="X1009" s="7">
        <f t="shared" si="231"/>
        <v>3313.8</v>
      </c>
      <c r="Y1009" s="7">
        <f t="shared" si="232"/>
        <v>63</v>
      </c>
      <c r="Z1009" s="7">
        <f t="shared" si="233"/>
        <v>252084</v>
      </c>
      <c r="AA1009" s="7" t="str">
        <f t="shared" si="234"/>
        <v>17-Jul-2025</v>
      </c>
      <c r="AB1009" s="7">
        <f t="shared" si="235"/>
        <v>3313.8</v>
      </c>
      <c r="AC1009" s="7">
        <f t="shared" si="238"/>
        <v>1</v>
      </c>
      <c r="AD1009" s="7">
        <f t="shared" si="236"/>
        <v>2025</v>
      </c>
      <c r="AE1009" s="19">
        <f t="shared" si="237"/>
        <v>-0.82</v>
      </c>
    </row>
    <row r="1010" spans="1:31" x14ac:dyDescent="0.3">
      <c r="A1010" s="17">
        <v>45856</v>
      </c>
      <c r="B1010" s="8">
        <v>3353</v>
      </c>
      <c r="C1010" s="7">
        <v>3353</v>
      </c>
      <c r="D1010" s="7">
        <v>3338.2</v>
      </c>
      <c r="E1010" s="7">
        <v>3338.2</v>
      </c>
      <c r="F1010" s="18">
        <v>602</v>
      </c>
      <c r="G1010" s="7">
        <v>3336.4713999999999</v>
      </c>
      <c r="H1010" s="7">
        <v>3341.4</v>
      </c>
      <c r="I1010" s="7">
        <v>3248.0689000000002</v>
      </c>
      <c r="J1010" s="8">
        <v>0.73629999999999995</v>
      </c>
      <c r="K1010" s="7">
        <v>0.79769999999999996</v>
      </c>
      <c r="L1010" s="7">
        <v>0.92469999999999997</v>
      </c>
      <c r="M1010" s="8">
        <v>59.663200000000003</v>
      </c>
      <c r="N1010" s="8">
        <v>1.7292000000000001</v>
      </c>
      <c r="O1010" s="7">
        <v>2.4230999999999998</v>
      </c>
      <c r="P1010" s="7">
        <v>3379.9402</v>
      </c>
      <c r="Q1010" s="7">
        <v>3278.6797999999999</v>
      </c>
      <c r="R1010" s="7" t="str">
        <f t="shared" si="225"/>
        <v>Down</v>
      </c>
      <c r="S1010" s="7" t="str">
        <f t="shared" si="226"/>
        <v>Hold</v>
      </c>
      <c r="T1010" s="8">
        <f t="shared" si="227"/>
        <v>0.29502360248447201</v>
      </c>
      <c r="U1010" s="18">
        <f t="shared" si="228"/>
        <v>768699</v>
      </c>
      <c r="V1010" s="7">
        <f t="shared" si="229"/>
        <v>5586.2002000000002</v>
      </c>
      <c r="W1010" s="7">
        <f t="shared" si="230"/>
        <v>3263.8998999999999</v>
      </c>
      <c r="X1010" s="7">
        <f t="shared" si="231"/>
        <v>3338.2</v>
      </c>
      <c r="Y1010" s="7">
        <f t="shared" si="232"/>
        <v>63</v>
      </c>
      <c r="Z1010" s="7">
        <f t="shared" si="233"/>
        <v>252084</v>
      </c>
      <c r="AA1010" s="7" t="str">
        <f t="shared" si="234"/>
        <v>18-Jul-2025</v>
      </c>
      <c r="AB1010" s="7">
        <f t="shared" si="235"/>
        <v>3338.2</v>
      </c>
      <c r="AC1010" s="7">
        <f t="shared" si="238"/>
        <v>1</v>
      </c>
      <c r="AD1010" s="7">
        <f t="shared" si="236"/>
        <v>2025</v>
      </c>
      <c r="AE1010" s="19">
        <f t="shared" si="237"/>
        <v>0.74</v>
      </c>
    </row>
    <row r="1011" spans="1:31" x14ac:dyDescent="0.3">
      <c r="A1011" s="17">
        <v>45859</v>
      </c>
      <c r="B1011" s="8">
        <v>3401.8998999999999</v>
      </c>
      <c r="C1011" s="7">
        <v>3411.7</v>
      </c>
      <c r="D1011" s="7">
        <v>3350.3</v>
      </c>
      <c r="E1011" s="7">
        <v>3350.3</v>
      </c>
      <c r="F1011" s="18">
        <v>53</v>
      </c>
      <c r="G1011" s="7">
        <v>3340.2856999999999</v>
      </c>
      <c r="H1011" s="7">
        <v>3340.9333000000001</v>
      </c>
      <c r="I1011" s="7">
        <v>3252.9389000000001</v>
      </c>
      <c r="J1011" s="8">
        <v>0.36249999999999999</v>
      </c>
      <c r="K1011" s="7">
        <v>0.71779999999999999</v>
      </c>
      <c r="L1011" s="7">
        <v>0.92669999999999997</v>
      </c>
      <c r="M1011" s="8">
        <v>55.877200000000002</v>
      </c>
      <c r="N1011" s="8">
        <v>3.0196999999999998</v>
      </c>
      <c r="O1011" s="7">
        <v>2.5424000000000002</v>
      </c>
      <c r="P1011" s="7">
        <v>3377.2305999999999</v>
      </c>
      <c r="Q1011" s="7">
        <v>3279.8294000000001</v>
      </c>
      <c r="R1011" s="7" t="str">
        <f t="shared" si="225"/>
        <v>Down</v>
      </c>
      <c r="S1011" s="7" t="str">
        <f t="shared" si="226"/>
        <v>Hold</v>
      </c>
      <c r="T1011" s="8">
        <f t="shared" si="227"/>
        <v>0.29226562499999997</v>
      </c>
      <c r="U1011" s="18">
        <f t="shared" si="228"/>
        <v>768097</v>
      </c>
      <c r="V1011" s="7">
        <f t="shared" si="229"/>
        <v>5586.2002000000002</v>
      </c>
      <c r="W1011" s="7">
        <f t="shared" si="230"/>
        <v>3263.8998999999999</v>
      </c>
      <c r="X1011" s="7">
        <f t="shared" si="231"/>
        <v>3350.3</v>
      </c>
      <c r="Y1011" s="7">
        <f t="shared" si="232"/>
        <v>63</v>
      </c>
      <c r="Z1011" s="7">
        <f t="shared" si="233"/>
        <v>252084</v>
      </c>
      <c r="AA1011" s="7" t="str">
        <f t="shared" si="234"/>
        <v>21-Jul-2025</v>
      </c>
      <c r="AB1011" s="7">
        <f t="shared" si="235"/>
        <v>3350.3</v>
      </c>
      <c r="AC1011" s="7">
        <f t="shared" si="238"/>
        <v>1</v>
      </c>
      <c r="AD1011" s="7">
        <f t="shared" si="236"/>
        <v>2025</v>
      </c>
      <c r="AE1011" s="19">
        <f t="shared" si="237"/>
        <v>0.36</v>
      </c>
    </row>
    <row r="1012" spans="1:31" x14ac:dyDescent="0.3">
      <c r="A1012" s="17">
        <v>45860</v>
      </c>
      <c r="B1012" s="8">
        <v>3439.2</v>
      </c>
      <c r="C1012" s="7">
        <v>3441</v>
      </c>
      <c r="D1012" s="7">
        <v>3395.6001000000001</v>
      </c>
      <c r="E1012" s="7">
        <v>3411</v>
      </c>
      <c r="F1012" s="18">
        <v>39</v>
      </c>
      <c r="G1012" s="7">
        <v>3351.7856999999999</v>
      </c>
      <c r="H1012" s="7">
        <v>3344.1133</v>
      </c>
      <c r="I1012" s="7">
        <v>3258.2044000000001</v>
      </c>
      <c r="J1012" s="8">
        <v>1.8118000000000001</v>
      </c>
      <c r="K1012" s="7">
        <v>0.96519999999999995</v>
      </c>
      <c r="L1012" s="7">
        <v>0.94320000000000004</v>
      </c>
      <c r="M1012" s="8">
        <v>60.682699999999997</v>
      </c>
      <c r="N1012" s="8">
        <v>8.8384999999999998</v>
      </c>
      <c r="O1012" s="7">
        <v>3.8016000000000001</v>
      </c>
      <c r="P1012" s="7">
        <v>3391.1066000000001</v>
      </c>
      <c r="Q1012" s="7">
        <v>3271.2534000000001</v>
      </c>
      <c r="R1012" s="7" t="str">
        <f t="shared" si="225"/>
        <v>Down</v>
      </c>
      <c r="S1012" s="7" t="str">
        <f t="shared" si="226"/>
        <v>Hold</v>
      </c>
      <c r="T1012" s="8">
        <f t="shared" si="227"/>
        <v>0.29182389937106917</v>
      </c>
      <c r="U1012" s="18">
        <f t="shared" si="228"/>
        <v>768044</v>
      </c>
      <c r="V1012" s="7">
        <f t="shared" si="229"/>
        <v>5586.2002000000002</v>
      </c>
      <c r="W1012" s="7">
        <f t="shared" si="230"/>
        <v>3263.8998999999999</v>
      </c>
      <c r="X1012" s="7">
        <f t="shared" si="231"/>
        <v>3411</v>
      </c>
      <c r="Y1012" s="7">
        <f t="shared" si="232"/>
        <v>63</v>
      </c>
      <c r="Z1012" s="7">
        <f t="shared" si="233"/>
        <v>252084</v>
      </c>
      <c r="AA1012" s="7" t="str">
        <f t="shared" si="234"/>
        <v>22-Jul-2025</v>
      </c>
      <c r="AB1012" s="7">
        <f t="shared" si="235"/>
        <v>3411</v>
      </c>
      <c r="AC1012" s="7">
        <f t="shared" si="238"/>
        <v>1</v>
      </c>
      <c r="AD1012" s="7">
        <f t="shared" si="236"/>
        <v>2025</v>
      </c>
      <c r="AE1012" s="19">
        <f t="shared" si="237"/>
        <v>1.81</v>
      </c>
    </row>
    <row r="1013" spans="1:31" x14ac:dyDescent="0.3">
      <c r="A1013" s="17">
        <v>45861</v>
      </c>
      <c r="B1013" s="8">
        <v>3394.1001000000001</v>
      </c>
      <c r="C1013" s="7">
        <v>3433.8998999999999</v>
      </c>
      <c r="D1013" s="7">
        <v>3388.1001000000001</v>
      </c>
      <c r="E1013" s="7">
        <v>3430.3</v>
      </c>
      <c r="F1013" s="18">
        <v>63</v>
      </c>
      <c r="G1013" s="7">
        <v>3360.8285999999998</v>
      </c>
      <c r="H1013" s="7">
        <v>3348.39</v>
      </c>
      <c r="I1013" s="7">
        <v>3263.0477999999998</v>
      </c>
      <c r="J1013" s="8">
        <v>0.56579999999999997</v>
      </c>
      <c r="K1013" s="7">
        <v>0.91600000000000004</v>
      </c>
      <c r="L1013" s="7">
        <v>0.94189999999999996</v>
      </c>
      <c r="M1013" s="8">
        <v>59.227200000000003</v>
      </c>
      <c r="N1013" s="8">
        <v>14.8362</v>
      </c>
      <c r="O1013" s="7">
        <v>6.0084999999999997</v>
      </c>
      <c r="P1013" s="7">
        <v>3410.8838999999998</v>
      </c>
      <c r="Q1013" s="7">
        <v>3262.346</v>
      </c>
      <c r="R1013" s="7" t="str">
        <f t="shared" si="225"/>
        <v>Up</v>
      </c>
      <c r="S1013" s="7" t="str">
        <f t="shared" si="226"/>
        <v>Hold</v>
      </c>
      <c r="T1013" s="8">
        <f t="shared" si="227"/>
        <v>0.28220379746835439</v>
      </c>
      <c r="U1013" s="18">
        <f t="shared" si="228"/>
        <v>768005</v>
      </c>
      <c r="V1013" s="7">
        <f t="shared" si="229"/>
        <v>5586.2002000000002</v>
      </c>
      <c r="W1013" s="7">
        <f t="shared" si="230"/>
        <v>3263.8998999999999</v>
      </c>
      <c r="X1013" s="7">
        <f t="shared" si="231"/>
        <v>3430.3</v>
      </c>
      <c r="Y1013" s="7">
        <f t="shared" si="232"/>
        <v>63</v>
      </c>
      <c r="Z1013" s="7">
        <f t="shared" si="233"/>
        <v>252084</v>
      </c>
      <c r="AA1013" s="7" t="str">
        <f t="shared" si="234"/>
        <v>23-Jul-2025</v>
      </c>
      <c r="AB1013" s="7">
        <f t="shared" si="235"/>
        <v>3430.3</v>
      </c>
      <c r="AC1013" s="7">
        <f t="shared" si="238"/>
        <v>1</v>
      </c>
      <c r="AD1013" s="7">
        <f t="shared" si="236"/>
        <v>2025</v>
      </c>
      <c r="AE1013" s="19">
        <f t="shared" si="237"/>
        <v>0.56999999999999995</v>
      </c>
    </row>
    <row r="1014" spans="1:31" x14ac:dyDescent="0.3">
      <c r="A1014" s="17">
        <v>45862</v>
      </c>
      <c r="B1014" s="8">
        <v>3371</v>
      </c>
      <c r="C1014" s="7">
        <v>3371</v>
      </c>
      <c r="D1014" s="7">
        <v>3367</v>
      </c>
      <c r="E1014" s="7">
        <v>3367</v>
      </c>
      <c r="F1014" s="18">
        <v>1175</v>
      </c>
      <c r="G1014" s="7">
        <v>3364.5428999999999</v>
      </c>
      <c r="H1014" s="7">
        <v>3349.69</v>
      </c>
      <c r="I1014" s="7">
        <v>3267.2255</v>
      </c>
      <c r="J1014" s="8">
        <v>-1.8452999999999999</v>
      </c>
      <c r="K1014" s="7">
        <v>1.1732</v>
      </c>
      <c r="L1014" s="7">
        <v>0.99950000000000006</v>
      </c>
      <c r="M1014" s="8">
        <v>53.023699999999998</v>
      </c>
      <c r="N1014" s="8">
        <v>14.316700000000001</v>
      </c>
      <c r="O1014" s="7">
        <v>7.6702000000000004</v>
      </c>
      <c r="P1014" s="7">
        <v>3413.8029000000001</v>
      </c>
      <c r="Q1014" s="7">
        <v>3262.8870000000002</v>
      </c>
      <c r="R1014" s="7" t="str">
        <f t="shared" si="225"/>
        <v>Down</v>
      </c>
      <c r="S1014" s="7" t="str">
        <f t="shared" si="226"/>
        <v>Hold</v>
      </c>
      <c r="T1014" s="8">
        <f t="shared" si="227"/>
        <v>0.28039745222929935</v>
      </c>
      <c r="U1014" s="18">
        <f t="shared" si="228"/>
        <v>767942</v>
      </c>
      <c r="V1014" s="7">
        <f t="shared" si="229"/>
        <v>5586.2002000000002</v>
      </c>
      <c r="W1014" s="7">
        <f t="shared" si="230"/>
        <v>3263.8998999999999</v>
      </c>
      <c r="X1014" s="7">
        <f t="shared" si="231"/>
        <v>3367</v>
      </c>
      <c r="Y1014" s="7">
        <f t="shared" si="232"/>
        <v>62</v>
      </c>
      <c r="Z1014" s="7">
        <f t="shared" si="233"/>
        <v>252021</v>
      </c>
      <c r="AA1014" s="7" t="str">
        <f t="shared" si="234"/>
        <v>24-Jul-2025</v>
      </c>
      <c r="AB1014" s="7">
        <f t="shared" si="235"/>
        <v>3367</v>
      </c>
      <c r="AC1014" s="7">
        <f t="shared" si="238"/>
        <v>1</v>
      </c>
      <c r="AD1014" s="7">
        <f t="shared" si="236"/>
        <v>2025</v>
      </c>
      <c r="AE1014" s="19">
        <f t="shared" si="237"/>
        <v>-1.85</v>
      </c>
    </row>
    <row r="1015" spans="1:31" x14ac:dyDescent="0.3">
      <c r="A1015" s="17">
        <v>45863</v>
      </c>
      <c r="B1015" s="8">
        <v>3334</v>
      </c>
      <c r="C1015" s="7">
        <v>3345</v>
      </c>
      <c r="D1015" s="7">
        <v>3326.5</v>
      </c>
      <c r="E1015" s="7">
        <v>3344</v>
      </c>
      <c r="F1015" s="18">
        <v>67</v>
      </c>
      <c r="G1015" s="7">
        <v>3364.9429</v>
      </c>
      <c r="H1015" s="7">
        <v>3349.0567000000001</v>
      </c>
      <c r="I1015" s="7">
        <v>3270.9767000000002</v>
      </c>
      <c r="J1015" s="8">
        <v>-0.68310000000000004</v>
      </c>
      <c r="K1015" s="7">
        <v>1.2122999999999999</v>
      </c>
      <c r="L1015" s="7">
        <v>0.98929999999999996</v>
      </c>
      <c r="M1015" s="8">
        <v>54.813699999999997</v>
      </c>
      <c r="N1015" s="8">
        <v>11.9117</v>
      </c>
      <c r="O1015" s="7">
        <v>8.5184999999999995</v>
      </c>
      <c r="P1015" s="7">
        <v>3414.5275999999999</v>
      </c>
      <c r="Q1015" s="7">
        <v>3264.6923999999999</v>
      </c>
      <c r="R1015" s="7" t="str">
        <f t="shared" si="225"/>
        <v>Up</v>
      </c>
      <c r="S1015" s="7" t="str">
        <f t="shared" si="226"/>
        <v>Hold</v>
      </c>
      <c r="T1015" s="8">
        <f t="shared" si="227"/>
        <v>0.2940237179487179</v>
      </c>
      <c r="U1015" s="18">
        <f t="shared" si="228"/>
        <v>766767</v>
      </c>
      <c r="V1015" s="7">
        <f t="shared" si="229"/>
        <v>5586.2002000000002</v>
      </c>
      <c r="W1015" s="7">
        <f t="shared" si="230"/>
        <v>3263.8998999999999</v>
      </c>
      <c r="X1015" s="7">
        <f t="shared" si="231"/>
        <v>3344</v>
      </c>
      <c r="Y1015" s="7">
        <f t="shared" si="232"/>
        <v>62</v>
      </c>
      <c r="Z1015" s="7">
        <f t="shared" si="233"/>
        <v>252021</v>
      </c>
      <c r="AA1015" s="7" t="str">
        <f t="shared" si="234"/>
        <v>25-Jul-2025</v>
      </c>
      <c r="AB1015" s="7">
        <f t="shared" si="235"/>
        <v>3344</v>
      </c>
      <c r="AC1015" s="7">
        <f t="shared" si="238"/>
        <v>1</v>
      </c>
      <c r="AD1015" s="7">
        <f t="shared" si="236"/>
        <v>2025</v>
      </c>
      <c r="AE1015" s="19">
        <f t="shared" si="237"/>
        <v>-0.68</v>
      </c>
    </row>
    <row r="1016" spans="1:31" x14ac:dyDescent="0.3">
      <c r="A1016" s="17">
        <v>45866</v>
      </c>
      <c r="B1016" s="8">
        <v>3309.1001000000001</v>
      </c>
      <c r="C1016" s="7">
        <v>3326.8</v>
      </c>
      <c r="D1016" s="7">
        <v>3309.1001000000001</v>
      </c>
      <c r="E1016" s="7">
        <v>3326.6001000000001</v>
      </c>
      <c r="F1016" s="18">
        <v>533</v>
      </c>
      <c r="G1016" s="7">
        <v>3366.7714000000001</v>
      </c>
      <c r="H1016" s="7">
        <v>3346.3667</v>
      </c>
      <c r="I1016" s="7">
        <v>3274.2143999999998</v>
      </c>
      <c r="J1016" s="8">
        <v>-0.52029999999999998</v>
      </c>
      <c r="K1016" s="7">
        <v>1.1827000000000001</v>
      </c>
      <c r="L1016" s="7">
        <v>0.96050000000000002</v>
      </c>
      <c r="M1016" s="8">
        <v>49.515799999999999</v>
      </c>
      <c r="N1016" s="8">
        <v>8.5037000000000003</v>
      </c>
      <c r="O1016" s="7">
        <v>8.5154999999999994</v>
      </c>
      <c r="P1016" s="7">
        <v>3409.4706999999999</v>
      </c>
      <c r="Q1016" s="7">
        <v>3275.8193000000001</v>
      </c>
      <c r="R1016" s="7" t="str">
        <f t="shared" si="225"/>
        <v>Up</v>
      </c>
      <c r="S1016" s="7" t="str">
        <f t="shared" si="226"/>
        <v>Hold</v>
      </c>
      <c r="T1016" s="8">
        <f t="shared" si="227"/>
        <v>0.30032774193548389</v>
      </c>
      <c r="U1016" s="18">
        <f t="shared" si="228"/>
        <v>766700</v>
      </c>
      <c r="V1016" s="7">
        <f t="shared" si="229"/>
        <v>5586.2002000000002</v>
      </c>
      <c r="W1016" s="7">
        <f t="shared" si="230"/>
        <v>3263.8998999999999</v>
      </c>
      <c r="X1016" s="7">
        <f t="shared" si="231"/>
        <v>3326.6001000000001</v>
      </c>
      <c r="Y1016" s="7">
        <f t="shared" si="232"/>
        <v>61</v>
      </c>
      <c r="Z1016" s="7">
        <f t="shared" si="233"/>
        <v>251954</v>
      </c>
      <c r="AA1016" s="7" t="str">
        <f t="shared" si="234"/>
        <v>28-Jul-2025</v>
      </c>
      <c r="AB1016" s="7">
        <f t="shared" si="235"/>
        <v>3326.6001000000001</v>
      </c>
      <c r="AC1016" s="7">
        <f t="shared" si="238"/>
        <v>1</v>
      </c>
      <c r="AD1016" s="7">
        <f t="shared" si="236"/>
        <v>2025</v>
      </c>
      <c r="AE1016" s="19">
        <f t="shared" si="237"/>
        <v>-0.52</v>
      </c>
    </row>
    <row r="1017" spans="1:31" x14ac:dyDescent="0.3">
      <c r="A1017" s="17">
        <v>45867</v>
      </c>
      <c r="B1017" s="8">
        <v>3323.3998999999999</v>
      </c>
      <c r="C1017" s="7">
        <v>3323.3998999999999</v>
      </c>
      <c r="D1017" s="7">
        <v>3323.3998999999999</v>
      </c>
      <c r="E1017" s="7">
        <v>3323.3998999999999</v>
      </c>
      <c r="F1017" s="18">
        <v>113144</v>
      </c>
      <c r="G1017" s="7">
        <v>3364.6572000000001</v>
      </c>
      <c r="H1017" s="7">
        <v>3342.4133000000002</v>
      </c>
      <c r="I1017" s="7">
        <v>3277.2822000000001</v>
      </c>
      <c r="J1017" s="8">
        <v>-9.6199999999999994E-2</v>
      </c>
      <c r="K1017" s="7">
        <v>1.1447000000000001</v>
      </c>
      <c r="L1017" s="7">
        <v>0.93810000000000004</v>
      </c>
      <c r="M1017" s="8">
        <v>54.7941</v>
      </c>
      <c r="N1017" s="8">
        <v>5.4813999999999998</v>
      </c>
      <c r="O1017" s="7">
        <v>7.9086999999999996</v>
      </c>
      <c r="P1017" s="7">
        <v>3409.0275999999999</v>
      </c>
      <c r="Q1017" s="7">
        <v>3277.5924</v>
      </c>
      <c r="R1017" s="7" t="str">
        <f t="shared" si="225"/>
        <v>Down</v>
      </c>
      <c r="S1017" s="7" t="str">
        <f t="shared" si="226"/>
        <v>Hold</v>
      </c>
      <c r="T1017" s="8">
        <f t="shared" si="227"/>
        <v>0.30565649350649349</v>
      </c>
      <c r="U1017" s="18">
        <f t="shared" si="228"/>
        <v>766167</v>
      </c>
      <c r="V1017" s="7">
        <f t="shared" si="229"/>
        <v>5586.2002000000002</v>
      </c>
      <c r="W1017" s="7">
        <f t="shared" si="230"/>
        <v>3263.8998999999999</v>
      </c>
      <c r="X1017" s="7">
        <f t="shared" si="231"/>
        <v>3323.3998999999999</v>
      </c>
      <c r="Y1017" s="7">
        <f t="shared" si="232"/>
        <v>60</v>
      </c>
      <c r="Z1017" s="7">
        <f t="shared" si="233"/>
        <v>251421</v>
      </c>
      <c r="AA1017" s="7" t="str">
        <f t="shared" si="234"/>
        <v>29-Jul-2025</v>
      </c>
      <c r="AB1017" s="7">
        <f t="shared" si="235"/>
        <v>3323.3998999999999</v>
      </c>
      <c r="AC1017" s="7">
        <f t="shared" si="238"/>
        <v>1</v>
      </c>
      <c r="AD1017" s="7">
        <f t="shared" si="236"/>
        <v>2025</v>
      </c>
      <c r="AE1017" s="19">
        <f t="shared" si="237"/>
        <v>-0.1</v>
      </c>
    </row>
    <row r="1018" spans="1:31" x14ac:dyDescent="0.3">
      <c r="A1018" s="17">
        <v>45868</v>
      </c>
      <c r="B1018" s="8">
        <v>3295.8</v>
      </c>
      <c r="C1018" s="7">
        <v>3331.8</v>
      </c>
      <c r="D1018" s="7">
        <v>3263.8998999999999</v>
      </c>
      <c r="E1018" s="7">
        <v>3325.8</v>
      </c>
      <c r="F1018" s="18">
        <v>19252</v>
      </c>
      <c r="G1018" s="7">
        <v>3361.1572000000001</v>
      </c>
      <c r="H1018" s="7">
        <v>3339.9967000000001</v>
      </c>
      <c r="I1018" s="7">
        <v>3280.5189</v>
      </c>
      <c r="J1018" s="8">
        <v>7.22E-2</v>
      </c>
      <c r="K1018" s="7">
        <v>1.1322000000000001</v>
      </c>
      <c r="L1018" s="7">
        <v>0.91259999999999997</v>
      </c>
      <c r="M1018" s="8">
        <v>50.340800000000002</v>
      </c>
      <c r="N1018" s="8">
        <v>3.2425999999999999</v>
      </c>
      <c r="O1018" s="7">
        <v>6.9755000000000003</v>
      </c>
      <c r="P1018" s="7">
        <v>3409.0295999999998</v>
      </c>
      <c r="Q1018" s="7">
        <v>3277.2703999999999</v>
      </c>
      <c r="R1018" s="7" t="str">
        <f t="shared" si="225"/>
        <v>Up</v>
      </c>
      <c r="S1018" s="7" t="str">
        <f t="shared" si="226"/>
        <v>Hold</v>
      </c>
      <c r="T1018" s="8">
        <f t="shared" si="227"/>
        <v>0.30828300653594776</v>
      </c>
      <c r="U1018" s="18">
        <f t="shared" si="228"/>
        <v>653023</v>
      </c>
      <c r="V1018" s="7">
        <f t="shared" si="229"/>
        <v>5586.2002000000002</v>
      </c>
      <c r="W1018" s="7">
        <f t="shared" si="230"/>
        <v>3263.8998999999999</v>
      </c>
      <c r="X1018" s="7">
        <f t="shared" si="231"/>
        <v>3325.8</v>
      </c>
      <c r="Y1018" s="7">
        <f t="shared" si="232"/>
        <v>60</v>
      </c>
      <c r="Z1018" s="7">
        <f t="shared" si="233"/>
        <v>251421</v>
      </c>
      <c r="AA1018" s="7" t="str">
        <f t="shared" si="234"/>
        <v>30-Jul-2025</v>
      </c>
      <c r="AB1018" s="7">
        <f t="shared" si="235"/>
        <v>3325.8</v>
      </c>
      <c r="AC1018" s="7">
        <f t="shared" si="238"/>
        <v>1</v>
      </c>
      <c r="AD1018" s="7">
        <f t="shared" si="236"/>
        <v>2025</v>
      </c>
      <c r="AE1018" s="19">
        <f t="shared" si="237"/>
        <v>7.0000000000000007E-2</v>
      </c>
    </row>
    <row r="1019" spans="1:31" x14ac:dyDescent="0.3">
      <c r="A1019" s="17">
        <v>45869</v>
      </c>
      <c r="B1019" s="8">
        <v>3293.2</v>
      </c>
      <c r="C1019" s="7">
        <v>3312</v>
      </c>
      <c r="D1019" s="7">
        <v>3272.8998999999999</v>
      </c>
      <c r="E1019" s="7">
        <v>3272.8998999999999</v>
      </c>
      <c r="F1019" s="18">
        <v>3704</v>
      </c>
      <c r="G1019" s="7">
        <v>3341.4286000000002</v>
      </c>
      <c r="H1019" s="7">
        <v>3336.25</v>
      </c>
      <c r="I1019" s="7">
        <v>3283.2811000000002</v>
      </c>
      <c r="J1019" s="8">
        <v>-1.5906</v>
      </c>
      <c r="K1019" s="7">
        <v>0.87639999999999996</v>
      </c>
      <c r="L1019" s="7">
        <v>0.95279999999999998</v>
      </c>
      <c r="M1019" s="8">
        <v>42.190899999999999</v>
      </c>
      <c r="N1019" s="8">
        <v>-2.7685</v>
      </c>
      <c r="O1019" s="7">
        <v>5.0266999999999999</v>
      </c>
      <c r="P1019" s="7">
        <v>3410.9495000000002</v>
      </c>
      <c r="Q1019" s="7">
        <v>3266.4404</v>
      </c>
      <c r="R1019" s="7" t="str">
        <f t="shared" si="225"/>
        <v>Down</v>
      </c>
      <c r="S1019" s="7" t="str">
        <f t="shared" si="226"/>
        <v>Hold</v>
      </c>
      <c r="T1019" s="8">
        <f t="shared" si="227"/>
        <v>0.30983618421052628</v>
      </c>
      <c r="U1019" s="18">
        <f t="shared" si="228"/>
        <v>633771</v>
      </c>
      <c r="V1019" s="7">
        <f t="shared" si="229"/>
        <v>5586.2002000000002</v>
      </c>
      <c r="W1019" s="7">
        <f t="shared" si="230"/>
        <v>3272.8998999999999</v>
      </c>
      <c r="X1019" s="7">
        <f t="shared" si="231"/>
        <v>3272.8998999999999</v>
      </c>
      <c r="Y1019" s="7">
        <f t="shared" si="232"/>
        <v>59</v>
      </c>
      <c r="Z1019" s="7">
        <f t="shared" si="233"/>
        <v>232169</v>
      </c>
      <c r="AA1019" s="7" t="str">
        <f t="shared" si="234"/>
        <v>31-Jul-2025</v>
      </c>
      <c r="AB1019" s="7">
        <f t="shared" si="235"/>
        <v>3272.8998999999999</v>
      </c>
      <c r="AC1019" s="7">
        <f t="shared" si="238"/>
        <v>1</v>
      </c>
      <c r="AD1019" s="7">
        <f t="shared" si="236"/>
        <v>2025</v>
      </c>
      <c r="AE1019" s="19">
        <f t="shared" si="237"/>
        <v>-1.59</v>
      </c>
    </row>
    <row r="1020" spans="1:31" x14ac:dyDescent="0.3">
      <c r="A1020" s="17">
        <v>45870</v>
      </c>
      <c r="B1020" s="8">
        <v>3347.7</v>
      </c>
      <c r="C1020" s="7">
        <v>3360.6001000000001</v>
      </c>
      <c r="D1020" s="7">
        <v>3281</v>
      </c>
      <c r="E1020" s="7">
        <v>3286.2</v>
      </c>
      <c r="F1020" s="18">
        <v>3420</v>
      </c>
      <c r="G1020" s="7">
        <v>3320.8427999999999</v>
      </c>
      <c r="H1020" s="7">
        <v>3334.1233000000002</v>
      </c>
      <c r="I1020" s="7">
        <v>3286.1678000000002</v>
      </c>
      <c r="J1020" s="8">
        <v>0.40639999999999998</v>
      </c>
      <c r="K1020" s="7">
        <v>0.84289999999999998</v>
      </c>
      <c r="L1020" s="7">
        <v>0.94040000000000001</v>
      </c>
      <c r="M1020" s="8">
        <v>38.310200000000002</v>
      </c>
      <c r="N1020" s="8">
        <v>-6.3853999999999997</v>
      </c>
      <c r="O1020" s="7">
        <v>2.7443</v>
      </c>
      <c r="P1020" s="7">
        <v>3411.8377999999998</v>
      </c>
      <c r="Q1020" s="7">
        <v>3259.9721</v>
      </c>
      <c r="R1020" s="7" t="str">
        <f t="shared" si="225"/>
        <v>Down</v>
      </c>
      <c r="S1020" s="7" t="str">
        <f t="shared" si="226"/>
        <v>Hold</v>
      </c>
      <c r="T1020" s="8">
        <f t="shared" si="227"/>
        <v>0.32242185430463577</v>
      </c>
      <c r="U1020" s="18">
        <f t="shared" si="228"/>
        <v>630067</v>
      </c>
      <c r="V1020" s="7">
        <f t="shared" si="229"/>
        <v>5586.2002000000002</v>
      </c>
      <c r="W1020" s="7">
        <f t="shared" si="230"/>
        <v>3281</v>
      </c>
      <c r="X1020" s="7">
        <f t="shared" si="231"/>
        <v>3286.2</v>
      </c>
      <c r="Y1020" s="7">
        <f t="shared" si="232"/>
        <v>59</v>
      </c>
      <c r="Z1020" s="7">
        <f t="shared" si="233"/>
        <v>232169</v>
      </c>
      <c r="AA1020" s="7" t="str">
        <f t="shared" si="234"/>
        <v>01-Aug-2025</v>
      </c>
      <c r="AB1020" s="7">
        <f t="shared" si="235"/>
        <v>3286.2</v>
      </c>
      <c r="AC1020" s="7">
        <f t="shared" si="238"/>
        <v>1</v>
      </c>
      <c r="AD1020" s="7">
        <f t="shared" si="236"/>
        <v>2025</v>
      </c>
      <c r="AE1020" s="19">
        <f t="shared" si="237"/>
        <v>0.41</v>
      </c>
    </row>
    <row r="1021" spans="1:31" x14ac:dyDescent="0.3">
      <c r="A1021" s="17">
        <v>45873</v>
      </c>
      <c r="B1021" s="8">
        <v>3374.3998999999999</v>
      </c>
      <c r="C1021" s="7">
        <v>3386.5</v>
      </c>
      <c r="D1021" s="7">
        <v>3347.3998999999999</v>
      </c>
      <c r="E1021" s="7">
        <v>3367.6001000000001</v>
      </c>
      <c r="F1021" s="18">
        <v>351</v>
      </c>
      <c r="G1021" s="7">
        <v>3320.9286000000002</v>
      </c>
      <c r="H1021" s="7">
        <v>3334.18</v>
      </c>
      <c r="I1021" s="7">
        <v>3289.8833</v>
      </c>
      <c r="J1021" s="8">
        <v>2.4769999999999999</v>
      </c>
      <c r="K1021" s="7">
        <v>1.2637</v>
      </c>
      <c r="L1021" s="7">
        <v>1.0448999999999999</v>
      </c>
      <c r="M1021" s="8">
        <v>53.316699999999997</v>
      </c>
      <c r="N1021" s="8">
        <v>-2.653</v>
      </c>
      <c r="O1021" s="7">
        <v>1.6648000000000001</v>
      </c>
      <c r="P1021" s="7">
        <v>3414.7865000000002</v>
      </c>
      <c r="Q1021" s="7">
        <v>3263.2334999999998</v>
      </c>
      <c r="R1021" s="7" t="str">
        <f t="shared" si="225"/>
        <v>Down</v>
      </c>
      <c r="S1021" s="7" t="str">
        <f t="shared" si="226"/>
        <v>Hold</v>
      </c>
      <c r="T1021" s="8">
        <f t="shared" si="227"/>
        <v>0.32186199999999998</v>
      </c>
      <c r="U1021" s="18">
        <f t="shared" si="228"/>
        <v>626647</v>
      </c>
      <c r="V1021" s="7">
        <f t="shared" si="229"/>
        <v>5586.2002000000002</v>
      </c>
      <c r="W1021" s="7">
        <f t="shared" si="230"/>
        <v>3310.1001000000001</v>
      </c>
      <c r="X1021" s="7">
        <f t="shared" si="231"/>
        <v>3367.6001000000001</v>
      </c>
      <c r="Y1021" s="7">
        <f t="shared" si="232"/>
        <v>59</v>
      </c>
      <c r="Z1021" s="7">
        <f t="shared" si="233"/>
        <v>232169</v>
      </c>
      <c r="AA1021" s="7" t="str">
        <f t="shared" si="234"/>
        <v>04-Aug-2025</v>
      </c>
      <c r="AB1021" s="7">
        <f t="shared" si="235"/>
        <v>3367.6001000000001</v>
      </c>
      <c r="AC1021" s="7">
        <f t="shared" si="238"/>
        <v>1</v>
      </c>
      <c r="AD1021" s="7">
        <f t="shared" si="236"/>
        <v>2025</v>
      </c>
      <c r="AE1021" s="19">
        <f t="shared" si="237"/>
        <v>2.48</v>
      </c>
    </row>
    <row r="1022" spans="1:31" x14ac:dyDescent="0.3">
      <c r="A1022" s="17">
        <v>45874</v>
      </c>
      <c r="B1022" s="8">
        <v>3381.8998999999999</v>
      </c>
      <c r="C1022" s="7">
        <v>3387.2</v>
      </c>
      <c r="D1022" s="7">
        <v>3351.2</v>
      </c>
      <c r="E1022" s="7">
        <v>3378.5</v>
      </c>
      <c r="F1022" s="18">
        <v>915</v>
      </c>
      <c r="G1022" s="7">
        <v>3325.8571000000002</v>
      </c>
      <c r="H1022" s="7">
        <v>3334.8633</v>
      </c>
      <c r="I1022" s="7">
        <v>3293.8054999999999</v>
      </c>
      <c r="J1022" s="8">
        <v>0.32369999999999999</v>
      </c>
      <c r="K1022" s="7">
        <v>1.2285999999999999</v>
      </c>
      <c r="L1022" s="7">
        <v>1.0454000000000001</v>
      </c>
      <c r="M1022" s="8">
        <v>54.53</v>
      </c>
      <c r="N1022" s="8">
        <v>1.171</v>
      </c>
      <c r="O1022" s="7">
        <v>1.5660000000000001</v>
      </c>
      <c r="P1022" s="7">
        <v>3419.0708</v>
      </c>
      <c r="Q1022" s="7">
        <v>3263.7592</v>
      </c>
      <c r="R1022" s="7" t="str">
        <f t="shared" si="225"/>
        <v>Down</v>
      </c>
      <c r="S1022" s="7" t="str">
        <f t="shared" si="226"/>
        <v>Hold</v>
      </c>
      <c r="T1022" s="8">
        <f t="shared" si="227"/>
        <v>0.3073979865771812</v>
      </c>
      <c r="U1022" s="18">
        <f t="shared" si="228"/>
        <v>626296</v>
      </c>
      <c r="V1022" s="7">
        <f t="shared" si="229"/>
        <v>5586.2002000000002</v>
      </c>
      <c r="W1022" s="7">
        <f t="shared" si="230"/>
        <v>3310.1001000000001</v>
      </c>
      <c r="X1022" s="7">
        <f t="shared" si="231"/>
        <v>3378.5</v>
      </c>
      <c r="Y1022" s="7">
        <f t="shared" si="232"/>
        <v>59</v>
      </c>
      <c r="Z1022" s="7">
        <f t="shared" si="233"/>
        <v>232169</v>
      </c>
      <c r="AA1022" s="7" t="str">
        <f t="shared" si="234"/>
        <v>05-Aug-2025</v>
      </c>
      <c r="AB1022" s="7">
        <f t="shared" si="235"/>
        <v>3378.5</v>
      </c>
      <c r="AC1022" s="7">
        <f t="shared" si="238"/>
        <v>1</v>
      </c>
      <c r="AD1022" s="7">
        <f t="shared" si="236"/>
        <v>2025</v>
      </c>
      <c r="AE1022" s="19">
        <f t="shared" si="237"/>
        <v>0.32</v>
      </c>
    </row>
    <row r="1023" spans="1:31" x14ac:dyDescent="0.3">
      <c r="A1023" s="17">
        <v>45875</v>
      </c>
      <c r="B1023" s="8">
        <v>3380</v>
      </c>
      <c r="C1023" s="7">
        <v>3383.3</v>
      </c>
      <c r="D1023" s="7">
        <v>3361.3</v>
      </c>
      <c r="E1023" s="7">
        <v>3380.7</v>
      </c>
      <c r="F1023" s="18">
        <v>1492</v>
      </c>
      <c r="G1023" s="7">
        <v>3333.5857000000001</v>
      </c>
      <c r="H1023" s="7">
        <v>3336.8332999999998</v>
      </c>
      <c r="I1023" s="7">
        <v>3297.2611000000002</v>
      </c>
      <c r="J1023" s="8">
        <v>6.5100000000000005E-2</v>
      </c>
      <c r="K1023" s="7">
        <v>1.1946000000000001</v>
      </c>
      <c r="L1023" s="7">
        <v>1.0242</v>
      </c>
      <c r="M1023" s="8">
        <v>58.654600000000002</v>
      </c>
      <c r="N1023" s="8">
        <v>4.3292000000000002</v>
      </c>
      <c r="O1023" s="7">
        <v>2.1187</v>
      </c>
      <c r="P1023" s="7">
        <v>3421.4650000000001</v>
      </c>
      <c r="Q1023" s="7">
        <v>3270.4949999999999</v>
      </c>
      <c r="R1023" s="7" t="str">
        <f t="shared" si="225"/>
        <v>Up</v>
      </c>
      <c r="S1023" s="7" t="str">
        <f t="shared" si="226"/>
        <v>Hold</v>
      </c>
      <c r="T1023" s="8">
        <f t="shared" si="227"/>
        <v>0.30728783783783781</v>
      </c>
      <c r="U1023" s="18">
        <f t="shared" si="228"/>
        <v>625381</v>
      </c>
      <c r="V1023" s="7">
        <f t="shared" si="229"/>
        <v>5586.2002000000002</v>
      </c>
      <c r="W1023" s="7">
        <f t="shared" si="230"/>
        <v>3310.1001000000001</v>
      </c>
      <c r="X1023" s="7">
        <f t="shared" si="231"/>
        <v>3380.7</v>
      </c>
      <c r="Y1023" s="7">
        <f t="shared" si="232"/>
        <v>59</v>
      </c>
      <c r="Z1023" s="7">
        <f t="shared" si="233"/>
        <v>232169</v>
      </c>
      <c r="AA1023" s="7" t="str">
        <f t="shared" si="234"/>
        <v>06-Aug-2025</v>
      </c>
      <c r="AB1023" s="7">
        <f t="shared" si="235"/>
        <v>3380.7</v>
      </c>
      <c r="AC1023" s="7">
        <f t="shared" si="238"/>
        <v>1</v>
      </c>
      <c r="AD1023" s="7">
        <f t="shared" si="236"/>
        <v>2025</v>
      </c>
      <c r="AE1023" s="19">
        <f t="shared" si="237"/>
        <v>7.0000000000000007E-2</v>
      </c>
    </row>
    <row r="1024" spans="1:31" x14ac:dyDescent="0.3">
      <c r="A1024" s="17">
        <v>45876</v>
      </c>
      <c r="B1024" s="8">
        <v>3400.3</v>
      </c>
      <c r="C1024" s="7">
        <v>3422.8998999999999</v>
      </c>
      <c r="D1024" s="7">
        <v>3384.8998999999999</v>
      </c>
      <c r="E1024" s="7">
        <v>3384.8998999999999</v>
      </c>
      <c r="F1024" s="18">
        <v>5464</v>
      </c>
      <c r="G1024" s="7">
        <v>3342.3714</v>
      </c>
      <c r="H1024" s="7">
        <v>3338.5832999999998</v>
      </c>
      <c r="I1024" s="7">
        <v>3300.5266999999999</v>
      </c>
      <c r="J1024" s="8">
        <v>0.1242</v>
      </c>
      <c r="K1024" s="7">
        <v>1.1872</v>
      </c>
      <c r="L1024" s="7">
        <v>1.0230999999999999</v>
      </c>
      <c r="M1024" s="8">
        <v>56.374499999999998</v>
      </c>
      <c r="N1024" s="8">
        <v>7.0891999999999999</v>
      </c>
      <c r="O1024" s="7">
        <v>3.1128</v>
      </c>
      <c r="P1024" s="7">
        <v>3425.6732000000002</v>
      </c>
      <c r="Q1024" s="7">
        <v>3272.4168</v>
      </c>
      <c r="R1024" s="7" t="str">
        <f t="shared" si="225"/>
        <v>Down</v>
      </c>
      <c r="S1024" s="7" t="str">
        <f t="shared" si="226"/>
        <v>Hold</v>
      </c>
      <c r="T1024" s="8">
        <f t="shared" si="227"/>
        <v>0.30893537414965982</v>
      </c>
      <c r="U1024" s="18">
        <f t="shared" si="228"/>
        <v>623889</v>
      </c>
      <c r="V1024" s="7">
        <f t="shared" si="229"/>
        <v>5586.2002000000002</v>
      </c>
      <c r="W1024" s="7">
        <f t="shared" si="230"/>
        <v>3310.1001000000001</v>
      </c>
      <c r="X1024" s="7">
        <f t="shared" si="231"/>
        <v>3384.8998999999999</v>
      </c>
      <c r="Y1024" s="7">
        <f t="shared" si="232"/>
        <v>58</v>
      </c>
      <c r="Z1024" s="7">
        <f t="shared" si="233"/>
        <v>230677</v>
      </c>
      <c r="AA1024" s="7" t="str">
        <f t="shared" si="234"/>
        <v>07-Aug-2025</v>
      </c>
      <c r="AB1024" s="7">
        <f t="shared" si="235"/>
        <v>3384.8998999999999</v>
      </c>
      <c r="AC1024" s="7">
        <f t="shared" si="238"/>
        <v>1</v>
      </c>
      <c r="AD1024" s="7">
        <f t="shared" si="236"/>
        <v>2025</v>
      </c>
      <c r="AE1024" s="19">
        <f t="shared" si="237"/>
        <v>0.12</v>
      </c>
    </row>
    <row r="1025" spans="1:31" x14ac:dyDescent="0.3">
      <c r="A1025" s="17">
        <v>45877</v>
      </c>
      <c r="B1025" s="8">
        <v>3439.1001000000001</v>
      </c>
      <c r="C1025" s="7">
        <v>3477</v>
      </c>
      <c r="D1025" s="7">
        <v>3402.5</v>
      </c>
      <c r="E1025" s="7">
        <v>3438.8</v>
      </c>
      <c r="F1025" s="18">
        <v>7657</v>
      </c>
      <c r="G1025" s="7">
        <v>3358.5142999999998</v>
      </c>
      <c r="H1025" s="7">
        <v>3342.5866999999998</v>
      </c>
      <c r="I1025" s="7">
        <v>3303.9611</v>
      </c>
      <c r="J1025" s="8">
        <v>1.5924</v>
      </c>
      <c r="K1025" s="7">
        <v>1.2806999999999999</v>
      </c>
      <c r="L1025" s="7">
        <v>1.0563</v>
      </c>
      <c r="M1025" s="8">
        <v>60.8429</v>
      </c>
      <c r="N1025" s="8">
        <v>13.470599999999999</v>
      </c>
      <c r="O1025" s="7">
        <v>5.1843000000000004</v>
      </c>
      <c r="P1025" s="7">
        <v>3440.3204000000001</v>
      </c>
      <c r="Q1025" s="7">
        <v>3268.5996</v>
      </c>
      <c r="R1025" s="7" t="str">
        <f t="shared" si="225"/>
        <v>Down</v>
      </c>
      <c r="S1025" s="7" t="str">
        <f t="shared" si="226"/>
        <v>Hold</v>
      </c>
      <c r="T1025" s="8">
        <f t="shared" si="227"/>
        <v>0.31020068493150688</v>
      </c>
      <c r="U1025" s="18">
        <f t="shared" si="228"/>
        <v>618425</v>
      </c>
      <c r="V1025" s="7">
        <f t="shared" si="229"/>
        <v>5586.2002000000002</v>
      </c>
      <c r="W1025" s="7">
        <f t="shared" si="230"/>
        <v>3310.1001000000001</v>
      </c>
      <c r="X1025" s="7">
        <f t="shared" si="231"/>
        <v>3438.8</v>
      </c>
      <c r="Y1025" s="7">
        <f t="shared" si="232"/>
        <v>58</v>
      </c>
      <c r="Z1025" s="7">
        <f t="shared" si="233"/>
        <v>230677</v>
      </c>
      <c r="AA1025" s="7" t="str">
        <f t="shared" si="234"/>
        <v>08-Aug-2025</v>
      </c>
      <c r="AB1025" s="7">
        <f t="shared" si="235"/>
        <v>3438.8</v>
      </c>
      <c r="AC1025" s="7">
        <f t="shared" si="238"/>
        <v>1</v>
      </c>
      <c r="AD1025" s="7">
        <f t="shared" si="236"/>
        <v>2025</v>
      </c>
      <c r="AE1025" s="19">
        <f t="shared" si="237"/>
        <v>1.59</v>
      </c>
    </row>
    <row r="1026" spans="1:31" x14ac:dyDescent="0.3">
      <c r="A1026" s="17">
        <v>45880</v>
      </c>
      <c r="B1026" s="8">
        <v>3353.1001000000001</v>
      </c>
      <c r="C1026" s="7">
        <v>3383.8998999999999</v>
      </c>
      <c r="D1026" s="7">
        <v>3349.2</v>
      </c>
      <c r="E1026" s="7">
        <v>3383.8998999999999</v>
      </c>
      <c r="F1026" s="18">
        <v>1488</v>
      </c>
      <c r="G1026" s="7">
        <v>3374.3714</v>
      </c>
      <c r="H1026" s="7">
        <v>3346.52</v>
      </c>
      <c r="I1026" s="7">
        <v>3306.8854999999999</v>
      </c>
      <c r="J1026" s="8">
        <v>-1.5965</v>
      </c>
      <c r="K1026" s="7">
        <v>1.2823</v>
      </c>
      <c r="L1026" s="7">
        <v>1.0566</v>
      </c>
      <c r="M1026" s="8">
        <v>46.631900000000002</v>
      </c>
      <c r="N1026" s="8">
        <v>13.937200000000001</v>
      </c>
      <c r="O1026" s="7">
        <v>6.9348999999999998</v>
      </c>
      <c r="P1026" s="7">
        <v>3442.0135</v>
      </c>
      <c r="Q1026" s="7">
        <v>3268.5965000000001</v>
      </c>
      <c r="R1026" s="7" t="str">
        <f t="shared" si="225"/>
        <v>Up</v>
      </c>
      <c r="S1026" s="7" t="str">
        <f t="shared" si="226"/>
        <v>Hold</v>
      </c>
      <c r="T1026" s="8">
        <f t="shared" si="227"/>
        <v>0.30135793103448272</v>
      </c>
      <c r="U1026" s="18">
        <f t="shared" si="228"/>
        <v>610768</v>
      </c>
      <c r="V1026" s="7">
        <f t="shared" si="229"/>
        <v>5586.2002000000002</v>
      </c>
      <c r="W1026" s="7">
        <f t="shared" si="230"/>
        <v>3310.1001000000001</v>
      </c>
      <c r="X1026" s="7">
        <f t="shared" si="231"/>
        <v>3383.8998999999999</v>
      </c>
      <c r="Y1026" s="7">
        <f t="shared" si="232"/>
        <v>58</v>
      </c>
      <c r="Z1026" s="7">
        <f t="shared" si="233"/>
        <v>230677</v>
      </c>
      <c r="AA1026" s="7" t="str">
        <f t="shared" si="234"/>
        <v>11-Aug-2025</v>
      </c>
      <c r="AB1026" s="7">
        <f t="shared" si="235"/>
        <v>3383.8998999999999</v>
      </c>
      <c r="AC1026" s="7">
        <f t="shared" si="238"/>
        <v>1</v>
      </c>
      <c r="AD1026" s="7">
        <f t="shared" si="236"/>
        <v>2025</v>
      </c>
      <c r="AE1026" s="19">
        <f t="shared" si="237"/>
        <v>-1.6</v>
      </c>
    </row>
    <row r="1027" spans="1:31" x14ac:dyDescent="0.3">
      <c r="A1027" s="17">
        <v>45881</v>
      </c>
      <c r="B1027" s="8">
        <v>3348.8998999999999</v>
      </c>
      <c r="C1027" s="7">
        <v>3356.2</v>
      </c>
      <c r="D1027" s="7">
        <v>3330.1001000000001</v>
      </c>
      <c r="E1027" s="7">
        <v>3356.2</v>
      </c>
      <c r="F1027" s="18">
        <v>1611</v>
      </c>
      <c r="G1027" s="7">
        <v>3384.3714</v>
      </c>
      <c r="H1027" s="7">
        <v>3348.0567000000001</v>
      </c>
      <c r="I1027" s="7">
        <v>3309.1767</v>
      </c>
      <c r="J1027" s="8">
        <v>-0.81859999999999999</v>
      </c>
      <c r="K1027" s="7">
        <v>1.375</v>
      </c>
      <c r="L1027" s="7">
        <v>1.0438000000000001</v>
      </c>
      <c r="M1027" s="8">
        <v>40.9788</v>
      </c>
      <c r="N1027" s="8">
        <v>11.9343</v>
      </c>
      <c r="O1027" s="7">
        <v>7.9348000000000001</v>
      </c>
      <c r="P1027" s="7">
        <v>3442.5115999999998</v>
      </c>
      <c r="Q1027" s="7">
        <v>3269.6183999999998</v>
      </c>
      <c r="R1027" s="7" t="str">
        <f t="shared" ref="R1027:R1090" si="239">IF(E1027&gt;B1027,"Up","Down")</f>
        <v>Up</v>
      </c>
      <c r="S1027" s="7" t="str">
        <f t="shared" ref="S1027:S1090" si="240">IF(M1027&gt;70,"Sell",IF(M1027&lt;30,"Buy","Hold"))</f>
        <v>Hold</v>
      </c>
      <c r="T1027" s="8">
        <f t="shared" ref="T1027:T1090" si="241">AVERAGE(J1027:J2195)</f>
        <v>0.31453749999999997</v>
      </c>
      <c r="U1027" s="18">
        <f t="shared" ref="U1027:U1090" si="242">SUM(F1027:F2195)</f>
        <v>609280</v>
      </c>
      <c r="V1027" s="7">
        <f t="shared" ref="V1027:V1090" si="243">MAX(C1027:C2195)</f>
        <v>5586.2002000000002</v>
      </c>
      <c r="W1027" s="7">
        <f t="shared" ref="W1027:W1090" si="244">MIN(D1027:D2195)</f>
        <v>3310.1001000000001</v>
      </c>
      <c r="X1027" s="7">
        <f t="shared" ref="X1027:X1090" si="245">INDEX(E1027:E2195,MATCH(A1027,A1027:A2195,0))</f>
        <v>3356.2</v>
      </c>
      <c r="Y1027" s="7">
        <f t="shared" ref="Y1027:Y1090" si="246">COUNTIF(R1027:R2195,"Up")</f>
        <v>57</v>
      </c>
      <c r="Z1027" s="7">
        <f t="shared" ref="Z1027:Z1090" si="247">SUMIF(R1027:R2195,"Up",F1027:F2195)</f>
        <v>229189</v>
      </c>
      <c r="AA1027" s="7" t="str">
        <f t="shared" ref="AA1027:AA1090" si="248">TEXT(A1027,"DD-MMM-YYYY")</f>
        <v>12-Aug-2025</v>
      </c>
      <c r="AB1027" s="7">
        <f t="shared" ref="AB1027:AB1090" si="249">_xlfn.XLOOKUP(A1027,A1027:A2195,E1027:E2195)</f>
        <v>3356.2</v>
      </c>
      <c r="AC1027" s="7">
        <f t="shared" si="238"/>
        <v>1</v>
      </c>
      <c r="AD1027" s="7">
        <f t="shared" ref="AD1027:AD1090" si="250">YEAR(A1027)</f>
        <v>2025</v>
      </c>
      <c r="AE1027" s="19">
        <f t="shared" ref="AE1027:AE1090" si="251">ROUND(J1027,2)</f>
        <v>-0.82</v>
      </c>
    </row>
    <row r="1028" spans="1:31" x14ac:dyDescent="0.3">
      <c r="A1028" s="17">
        <v>45882</v>
      </c>
      <c r="B1028" s="8">
        <v>3358.7</v>
      </c>
      <c r="C1028" s="7">
        <v>3363.3998999999999</v>
      </c>
      <c r="D1028" s="7">
        <v>3358.7</v>
      </c>
      <c r="E1028" s="7">
        <v>3358.8</v>
      </c>
      <c r="F1028" s="18">
        <v>1011</v>
      </c>
      <c r="G1028" s="7">
        <v>3383.1143000000002</v>
      </c>
      <c r="H1028" s="7">
        <v>3349.05</v>
      </c>
      <c r="I1028" s="7">
        <v>3311.9355</v>
      </c>
      <c r="J1028" s="8">
        <v>7.7499999999999999E-2</v>
      </c>
      <c r="K1028" s="7">
        <v>0.98970000000000002</v>
      </c>
      <c r="L1028" s="7">
        <v>1.0391999999999999</v>
      </c>
      <c r="M1028" s="8">
        <v>48.828600000000002</v>
      </c>
      <c r="N1028" s="8">
        <v>10.436500000000001</v>
      </c>
      <c r="O1028" s="7">
        <v>8.4351000000000003</v>
      </c>
      <c r="P1028" s="7">
        <v>3443.1124</v>
      </c>
      <c r="Q1028" s="7">
        <v>3270.7775999999999</v>
      </c>
      <c r="R1028" s="7" t="str">
        <f t="shared" si="239"/>
        <v>Up</v>
      </c>
      <c r="S1028" s="7" t="str">
        <f t="shared" si="240"/>
        <v>Hold</v>
      </c>
      <c r="T1028" s="8">
        <f t="shared" si="241"/>
        <v>0.32246153846153847</v>
      </c>
      <c r="U1028" s="18">
        <f t="shared" si="242"/>
        <v>607669</v>
      </c>
      <c r="V1028" s="7">
        <f t="shared" si="243"/>
        <v>5586.2002000000002</v>
      </c>
      <c r="W1028" s="7">
        <f t="shared" si="244"/>
        <v>3310.1001000000001</v>
      </c>
      <c r="X1028" s="7">
        <f t="shared" si="245"/>
        <v>3358.8</v>
      </c>
      <c r="Y1028" s="7">
        <f t="shared" si="246"/>
        <v>56</v>
      </c>
      <c r="Z1028" s="7">
        <f t="shared" si="247"/>
        <v>227578</v>
      </c>
      <c r="AA1028" s="7" t="str">
        <f t="shared" si="248"/>
        <v>13-Aug-2025</v>
      </c>
      <c r="AB1028" s="7">
        <f t="shared" si="249"/>
        <v>3358.8</v>
      </c>
      <c r="AC1028" s="7">
        <f t="shared" si="238"/>
        <v>1</v>
      </c>
      <c r="AD1028" s="7">
        <f t="shared" si="250"/>
        <v>2025</v>
      </c>
      <c r="AE1028" s="19">
        <f t="shared" si="251"/>
        <v>0.08</v>
      </c>
    </row>
    <row r="1029" spans="1:31" x14ac:dyDescent="0.3">
      <c r="A1029" s="17">
        <v>45883</v>
      </c>
      <c r="B1029" s="8">
        <v>3335.2</v>
      </c>
      <c r="C1029" s="7">
        <v>3356</v>
      </c>
      <c r="D1029" s="7">
        <v>3328.8998999999999</v>
      </c>
      <c r="E1029" s="7">
        <v>3346.8</v>
      </c>
      <c r="F1029" s="18">
        <v>592</v>
      </c>
      <c r="G1029" s="7">
        <v>3378.5857000000001</v>
      </c>
      <c r="H1029" s="7">
        <v>3348.5432999999998</v>
      </c>
      <c r="I1029" s="7">
        <v>3315.6066999999998</v>
      </c>
      <c r="J1029" s="8">
        <v>-0.35730000000000001</v>
      </c>
      <c r="K1029" s="7">
        <v>0.98219999999999996</v>
      </c>
      <c r="L1029" s="7">
        <v>1.0255000000000001</v>
      </c>
      <c r="M1029" s="8">
        <v>50.412999999999997</v>
      </c>
      <c r="N1029" s="8">
        <v>8.1867999999999999</v>
      </c>
      <c r="O1029" s="7">
        <v>8.3855000000000004</v>
      </c>
      <c r="P1029" s="7">
        <v>3442.5183000000002</v>
      </c>
      <c r="Q1029" s="7">
        <v>3274.6716999999999</v>
      </c>
      <c r="R1029" s="7" t="str">
        <f t="shared" si="239"/>
        <v>Up</v>
      </c>
      <c r="S1029" s="7" t="str">
        <f t="shared" si="240"/>
        <v>Hold</v>
      </c>
      <c r="T1029" s="8">
        <f t="shared" si="241"/>
        <v>0.32418661971830987</v>
      </c>
      <c r="U1029" s="18">
        <f t="shared" si="242"/>
        <v>606658</v>
      </c>
      <c r="V1029" s="7">
        <f t="shared" si="243"/>
        <v>5586.2002000000002</v>
      </c>
      <c r="W1029" s="7">
        <f t="shared" si="244"/>
        <v>3310.1001000000001</v>
      </c>
      <c r="X1029" s="7">
        <f t="shared" si="245"/>
        <v>3346.8</v>
      </c>
      <c r="Y1029" s="7">
        <f t="shared" si="246"/>
        <v>55</v>
      </c>
      <c r="Z1029" s="7">
        <f t="shared" si="247"/>
        <v>226567</v>
      </c>
      <c r="AA1029" s="7" t="str">
        <f t="shared" si="248"/>
        <v>14-Aug-2025</v>
      </c>
      <c r="AB1029" s="7">
        <f t="shared" si="249"/>
        <v>3346.8</v>
      </c>
      <c r="AC1029" s="7">
        <f t="shared" ref="AC1029:AC1092" si="252">_xlfn.XMATCH(A1029,A1029:A2197)</f>
        <v>1</v>
      </c>
      <c r="AD1029" s="7">
        <f t="shared" si="250"/>
        <v>2025</v>
      </c>
      <c r="AE1029" s="19">
        <f t="shared" si="251"/>
        <v>-0.36</v>
      </c>
    </row>
    <row r="1030" spans="1:31" x14ac:dyDescent="0.3">
      <c r="A1030" s="17">
        <v>45884</v>
      </c>
      <c r="B1030" s="8">
        <v>3336</v>
      </c>
      <c r="C1030" s="7">
        <v>3346.8</v>
      </c>
      <c r="D1030" s="7">
        <v>3335.8998999999999</v>
      </c>
      <c r="E1030" s="7">
        <v>3346.8</v>
      </c>
      <c r="F1030" s="18">
        <v>1185</v>
      </c>
      <c r="G1030" s="7">
        <v>3373.7429000000002</v>
      </c>
      <c r="H1030" s="7">
        <v>3348.7033000000001</v>
      </c>
      <c r="I1030" s="7">
        <v>3319.5266999999999</v>
      </c>
      <c r="J1030" s="8">
        <v>0</v>
      </c>
      <c r="K1030" s="7">
        <v>0.98040000000000005</v>
      </c>
      <c r="L1030" s="7">
        <v>1.0195000000000001</v>
      </c>
      <c r="M1030" s="8">
        <v>53.140500000000003</v>
      </c>
      <c r="N1030" s="8">
        <v>6.3308999999999997</v>
      </c>
      <c r="O1030" s="7">
        <v>7.9744999999999999</v>
      </c>
      <c r="P1030" s="7">
        <v>3442.5956999999999</v>
      </c>
      <c r="Q1030" s="7">
        <v>3275.4542999999999</v>
      </c>
      <c r="R1030" s="7" t="str">
        <f t="shared" si="239"/>
        <v>Up</v>
      </c>
      <c r="S1030" s="7" t="str">
        <f t="shared" si="240"/>
        <v>Hold</v>
      </c>
      <c r="T1030" s="8">
        <f t="shared" si="241"/>
        <v>0.32901985815602836</v>
      </c>
      <c r="U1030" s="18">
        <f t="shared" si="242"/>
        <v>606066</v>
      </c>
      <c r="V1030" s="7">
        <f t="shared" si="243"/>
        <v>5586.2002000000002</v>
      </c>
      <c r="W1030" s="7">
        <f t="shared" si="244"/>
        <v>3310.1001000000001</v>
      </c>
      <c r="X1030" s="7">
        <f t="shared" si="245"/>
        <v>3346.8</v>
      </c>
      <c r="Y1030" s="7">
        <f t="shared" si="246"/>
        <v>54</v>
      </c>
      <c r="Z1030" s="7">
        <f t="shared" si="247"/>
        <v>225975</v>
      </c>
      <c r="AA1030" s="7" t="str">
        <f t="shared" si="248"/>
        <v>15-Aug-2025</v>
      </c>
      <c r="AB1030" s="7">
        <f t="shared" si="249"/>
        <v>3346.8</v>
      </c>
      <c r="AC1030" s="7">
        <f t="shared" si="252"/>
        <v>1</v>
      </c>
      <c r="AD1030" s="7">
        <f t="shared" si="250"/>
        <v>2025</v>
      </c>
      <c r="AE1030" s="19">
        <f t="shared" si="251"/>
        <v>0</v>
      </c>
    </row>
    <row r="1031" spans="1:31" x14ac:dyDescent="0.3">
      <c r="A1031" s="17">
        <v>45887</v>
      </c>
      <c r="B1031" s="8">
        <v>3331.7</v>
      </c>
      <c r="C1031" s="7">
        <v>3347.8</v>
      </c>
      <c r="D1031" s="7">
        <v>3331.7</v>
      </c>
      <c r="E1031" s="7">
        <v>3333.5</v>
      </c>
      <c r="F1031" s="18">
        <v>646</v>
      </c>
      <c r="G1031" s="7">
        <v>3366.4</v>
      </c>
      <c r="H1031" s="7">
        <v>3349.6367</v>
      </c>
      <c r="I1031" s="7">
        <v>3323.6122</v>
      </c>
      <c r="J1031" s="8">
        <v>-0.39739999999999998</v>
      </c>
      <c r="K1031" s="7">
        <v>0.9768</v>
      </c>
      <c r="L1031" s="7">
        <v>1.0014000000000001</v>
      </c>
      <c r="M1031" s="8">
        <v>51.522500000000001</v>
      </c>
      <c r="N1031" s="8">
        <v>3.7437</v>
      </c>
      <c r="O1031" s="7">
        <v>7.1284000000000001</v>
      </c>
      <c r="P1031" s="7">
        <v>3442.4596999999999</v>
      </c>
      <c r="Q1031" s="7">
        <v>3273.9101999999998</v>
      </c>
      <c r="R1031" s="7" t="str">
        <f t="shared" si="239"/>
        <v>Up</v>
      </c>
      <c r="S1031" s="7" t="str">
        <f t="shared" si="240"/>
        <v>Hold</v>
      </c>
      <c r="T1031" s="8">
        <f t="shared" si="241"/>
        <v>0.33137</v>
      </c>
      <c r="U1031" s="18">
        <f t="shared" si="242"/>
        <v>604881</v>
      </c>
      <c r="V1031" s="7">
        <f t="shared" si="243"/>
        <v>5586.2002000000002</v>
      </c>
      <c r="W1031" s="7">
        <f t="shared" si="244"/>
        <v>3310.1001000000001</v>
      </c>
      <c r="X1031" s="7">
        <f t="shared" si="245"/>
        <v>3333.5</v>
      </c>
      <c r="Y1031" s="7">
        <f t="shared" si="246"/>
        <v>53</v>
      </c>
      <c r="Z1031" s="7">
        <f t="shared" si="247"/>
        <v>224790</v>
      </c>
      <c r="AA1031" s="7" t="str">
        <f t="shared" si="248"/>
        <v>18-Aug-2025</v>
      </c>
      <c r="AB1031" s="7">
        <f t="shared" si="249"/>
        <v>3333.5</v>
      </c>
      <c r="AC1031" s="7">
        <f t="shared" si="252"/>
        <v>1</v>
      </c>
      <c r="AD1031" s="7">
        <f t="shared" si="250"/>
        <v>2025</v>
      </c>
      <c r="AE1031" s="19">
        <f t="shared" si="251"/>
        <v>-0.4</v>
      </c>
    </row>
    <row r="1032" spans="1:31" x14ac:dyDescent="0.3">
      <c r="A1032" s="17">
        <v>45888</v>
      </c>
      <c r="B1032" s="8">
        <v>3313.3998999999999</v>
      </c>
      <c r="C1032" s="7">
        <v>3343.5</v>
      </c>
      <c r="D1032" s="7">
        <v>3313.3998999999999</v>
      </c>
      <c r="E1032" s="7">
        <v>3330.2</v>
      </c>
      <c r="F1032" s="18">
        <v>1655</v>
      </c>
      <c r="G1032" s="7">
        <v>3350.8856999999998</v>
      </c>
      <c r="H1032" s="7">
        <v>3349.63</v>
      </c>
      <c r="I1032" s="7">
        <v>3326.46</v>
      </c>
      <c r="J1032" s="8">
        <v>-9.9000000000000005E-2</v>
      </c>
      <c r="K1032" s="7">
        <v>0.5867</v>
      </c>
      <c r="L1032" s="7">
        <v>0.99229999999999996</v>
      </c>
      <c r="M1032" s="8">
        <v>50.6614</v>
      </c>
      <c r="N1032" s="8">
        <v>1.4108000000000001</v>
      </c>
      <c r="O1032" s="7">
        <v>5.9848999999999997</v>
      </c>
      <c r="P1032" s="7">
        <v>3435.4539</v>
      </c>
      <c r="Q1032" s="7">
        <v>3272.8361</v>
      </c>
      <c r="R1032" s="7" t="str">
        <f t="shared" si="239"/>
        <v>Up</v>
      </c>
      <c r="S1032" s="7" t="str">
        <f t="shared" si="240"/>
        <v>Hold</v>
      </c>
      <c r="T1032" s="8">
        <f t="shared" si="241"/>
        <v>0.33661294964028776</v>
      </c>
      <c r="U1032" s="18">
        <f t="shared" si="242"/>
        <v>604235</v>
      </c>
      <c r="V1032" s="7">
        <f t="shared" si="243"/>
        <v>5586.2002000000002</v>
      </c>
      <c r="W1032" s="7">
        <f t="shared" si="244"/>
        <v>3310.1001000000001</v>
      </c>
      <c r="X1032" s="7">
        <f t="shared" si="245"/>
        <v>3330.2</v>
      </c>
      <c r="Y1032" s="7">
        <f t="shared" si="246"/>
        <v>52</v>
      </c>
      <c r="Z1032" s="7">
        <f t="shared" si="247"/>
        <v>224144</v>
      </c>
      <c r="AA1032" s="7" t="str">
        <f t="shared" si="248"/>
        <v>19-Aug-2025</v>
      </c>
      <c r="AB1032" s="7">
        <f t="shared" si="249"/>
        <v>3330.2</v>
      </c>
      <c r="AC1032" s="7">
        <f t="shared" si="252"/>
        <v>1</v>
      </c>
      <c r="AD1032" s="7">
        <f t="shared" si="250"/>
        <v>2025</v>
      </c>
      <c r="AE1032" s="19">
        <f t="shared" si="251"/>
        <v>-0.1</v>
      </c>
    </row>
    <row r="1033" spans="1:31" x14ac:dyDescent="0.3">
      <c r="A1033" s="17">
        <v>45889</v>
      </c>
      <c r="B1033" s="8">
        <v>3343.3998999999999</v>
      </c>
      <c r="C1033" s="7">
        <v>3343.5</v>
      </c>
      <c r="D1033" s="7">
        <v>3310.1001000000001</v>
      </c>
      <c r="E1033" s="7">
        <v>3310.6001000000001</v>
      </c>
      <c r="F1033" s="18">
        <v>1213</v>
      </c>
      <c r="G1033" s="7">
        <v>3340.4142999999999</v>
      </c>
      <c r="H1033" s="7">
        <v>3350.3366999999998</v>
      </c>
      <c r="I1033" s="7">
        <v>3327.8878</v>
      </c>
      <c r="J1033" s="8">
        <v>-0.58850000000000002</v>
      </c>
      <c r="K1033" s="7">
        <v>0.32579999999999998</v>
      </c>
      <c r="L1033" s="7">
        <v>0.97140000000000004</v>
      </c>
      <c r="M1033" s="8">
        <v>56.298099999999998</v>
      </c>
      <c r="N1033" s="8">
        <v>-1.9964999999999999</v>
      </c>
      <c r="O1033" s="7">
        <v>4.3886000000000003</v>
      </c>
      <c r="P1033" s="7">
        <v>3423.2501999999999</v>
      </c>
      <c r="Q1033" s="7">
        <v>3273.0698000000002</v>
      </c>
      <c r="R1033" s="7" t="str">
        <f t="shared" si="239"/>
        <v>Down</v>
      </c>
      <c r="S1033" s="7" t="str">
        <f t="shared" si="240"/>
        <v>Hold</v>
      </c>
      <c r="T1033" s="8">
        <f t="shared" si="241"/>
        <v>0.33976956521739132</v>
      </c>
      <c r="U1033" s="18">
        <f t="shared" si="242"/>
        <v>602580</v>
      </c>
      <c r="V1033" s="7">
        <f t="shared" si="243"/>
        <v>5586.2002000000002</v>
      </c>
      <c r="W1033" s="7">
        <f t="shared" si="244"/>
        <v>3310.1001000000001</v>
      </c>
      <c r="X1033" s="7">
        <f t="shared" si="245"/>
        <v>3310.6001000000001</v>
      </c>
      <c r="Y1033" s="7">
        <f t="shared" si="246"/>
        <v>51</v>
      </c>
      <c r="Z1033" s="7">
        <f t="shared" si="247"/>
        <v>222489</v>
      </c>
      <c r="AA1033" s="7" t="str">
        <f t="shared" si="248"/>
        <v>20-Aug-2025</v>
      </c>
      <c r="AB1033" s="7">
        <f t="shared" si="249"/>
        <v>3310.6001000000001</v>
      </c>
      <c r="AC1033" s="7">
        <f t="shared" si="252"/>
        <v>1</v>
      </c>
      <c r="AD1033" s="7">
        <f t="shared" si="250"/>
        <v>2025</v>
      </c>
      <c r="AE1033" s="19">
        <f t="shared" si="251"/>
        <v>-0.59</v>
      </c>
    </row>
    <row r="1034" spans="1:31" x14ac:dyDescent="0.3">
      <c r="A1034" s="17">
        <v>45890</v>
      </c>
      <c r="B1034" s="8">
        <v>3336.8998999999999</v>
      </c>
      <c r="C1034" s="7">
        <v>3349.3998999999999</v>
      </c>
      <c r="D1034" s="7">
        <v>3326.5</v>
      </c>
      <c r="E1034" s="7">
        <v>3349.3998999999999</v>
      </c>
      <c r="F1034" s="18">
        <v>142</v>
      </c>
      <c r="G1034" s="7">
        <v>3339.4429</v>
      </c>
      <c r="H1034" s="7">
        <v>3351.1967</v>
      </c>
      <c r="I1034" s="7">
        <v>3329.3755000000001</v>
      </c>
      <c r="J1034" s="8">
        <v>1.1719999999999999</v>
      </c>
      <c r="K1034" s="7">
        <v>0.57969999999999999</v>
      </c>
      <c r="L1034" s="7">
        <v>0.97640000000000005</v>
      </c>
      <c r="M1034" s="8">
        <v>59.729100000000003</v>
      </c>
      <c r="N1034" s="8">
        <v>-1.5482</v>
      </c>
      <c r="O1034" s="7">
        <v>3.2012</v>
      </c>
      <c r="P1034" s="7">
        <v>3421.8512999999998</v>
      </c>
      <c r="Q1034" s="7">
        <v>3272.7087000000001</v>
      </c>
      <c r="R1034" s="7" t="str">
        <f t="shared" si="239"/>
        <v>Up</v>
      </c>
      <c r="S1034" s="7" t="str">
        <f t="shared" si="240"/>
        <v>Hold</v>
      </c>
      <c r="T1034" s="8">
        <f t="shared" si="241"/>
        <v>0.34654525547445258</v>
      </c>
      <c r="U1034" s="18">
        <f t="shared" si="242"/>
        <v>601367</v>
      </c>
      <c r="V1034" s="7">
        <f t="shared" si="243"/>
        <v>5586.2002000000002</v>
      </c>
      <c r="W1034" s="7">
        <f t="shared" si="244"/>
        <v>3326.5</v>
      </c>
      <c r="X1034" s="7">
        <f t="shared" si="245"/>
        <v>3349.3998999999999</v>
      </c>
      <c r="Y1034" s="7">
        <f t="shared" si="246"/>
        <v>51</v>
      </c>
      <c r="Z1034" s="7">
        <f t="shared" si="247"/>
        <v>222489</v>
      </c>
      <c r="AA1034" s="7" t="str">
        <f t="shared" si="248"/>
        <v>21-Aug-2025</v>
      </c>
      <c r="AB1034" s="7">
        <f t="shared" si="249"/>
        <v>3349.3998999999999</v>
      </c>
      <c r="AC1034" s="7">
        <f t="shared" si="252"/>
        <v>1</v>
      </c>
      <c r="AD1034" s="7">
        <f t="shared" si="250"/>
        <v>2025</v>
      </c>
      <c r="AE1034" s="19">
        <f t="shared" si="251"/>
        <v>1.17</v>
      </c>
    </row>
    <row r="1035" spans="1:31" x14ac:dyDescent="0.3">
      <c r="A1035" s="17">
        <v>45891</v>
      </c>
      <c r="B1035" s="8">
        <v>3374.3998999999999</v>
      </c>
      <c r="C1035" s="7">
        <v>3377.7</v>
      </c>
      <c r="D1035" s="7">
        <v>3349.3998999999999</v>
      </c>
      <c r="E1035" s="7">
        <v>3349.3998999999999</v>
      </c>
      <c r="F1035" s="18">
        <v>1240</v>
      </c>
      <c r="G1035" s="7">
        <v>3338.1</v>
      </c>
      <c r="H1035" s="7">
        <v>3351.8267000000001</v>
      </c>
      <c r="I1035" s="7">
        <v>3330.8578000000002</v>
      </c>
      <c r="J1035" s="8">
        <v>0</v>
      </c>
      <c r="K1035" s="7">
        <v>0.57809999999999995</v>
      </c>
      <c r="L1035" s="7">
        <v>0.97589999999999999</v>
      </c>
      <c r="M1035" s="8">
        <v>46.261299999999999</v>
      </c>
      <c r="N1035" s="8">
        <v>-1.1793</v>
      </c>
      <c r="O1035" s="7">
        <v>2.3250999999999999</v>
      </c>
      <c r="P1035" s="7">
        <v>3422.1104</v>
      </c>
      <c r="Q1035" s="7">
        <v>3272.9895999999999</v>
      </c>
      <c r="R1035" s="7" t="str">
        <f t="shared" si="239"/>
        <v>Down</v>
      </c>
      <c r="S1035" s="7" t="str">
        <f t="shared" si="240"/>
        <v>Hold</v>
      </c>
      <c r="T1035" s="8">
        <f t="shared" si="241"/>
        <v>0.34047573529411768</v>
      </c>
      <c r="U1035" s="18">
        <f t="shared" si="242"/>
        <v>601225</v>
      </c>
      <c r="V1035" s="7">
        <f t="shared" si="243"/>
        <v>5586.2002000000002</v>
      </c>
      <c r="W1035" s="7">
        <f t="shared" si="244"/>
        <v>3349.3998999999999</v>
      </c>
      <c r="X1035" s="7">
        <f t="shared" si="245"/>
        <v>3349.3998999999999</v>
      </c>
      <c r="Y1035" s="7">
        <f t="shared" si="246"/>
        <v>50</v>
      </c>
      <c r="Z1035" s="7">
        <f t="shared" si="247"/>
        <v>222347</v>
      </c>
      <c r="AA1035" s="7" t="str">
        <f t="shared" si="248"/>
        <v>22-Aug-2025</v>
      </c>
      <c r="AB1035" s="7">
        <f t="shared" si="249"/>
        <v>3349.3998999999999</v>
      </c>
      <c r="AC1035" s="7">
        <f t="shared" si="252"/>
        <v>1</v>
      </c>
      <c r="AD1035" s="7">
        <f t="shared" si="250"/>
        <v>2025</v>
      </c>
      <c r="AE1035" s="19">
        <f t="shared" si="251"/>
        <v>0</v>
      </c>
    </row>
    <row r="1036" spans="1:31" x14ac:dyDescent="0.3">
      <c r="A1036" s="17">
        <v>45894</v>
      </c>
      <c r="B1036" s="8">
        <v>3373.8</v>
      </c>
      <c r="C1036" s="7">
        <v>3378</v>
      </c>
      <c r="D1036" s="7">
        <v>3366</v>
      </c>
      <c r="E1036" s="7">
        <v>3366</v>
      </c>
      <c r="F1036" s="18">
        <v>1044</v>
      </c>
      <c r="G1036" s="7">
        <v>3340.8427999999999</v>
      </c>
      <c r="H1036" s="7">
        <v>3351.7932999999998</v>
      </c>
      <c r="I1036" s="7">
        <v>3332.2766999999999</v>
      </c>
      <c r="J1036" s="8">
        <v>0.49559999999999998</v>
      </c>
      <c r="K1036" s="7">
        <v>0.58950000000000002</v>
      </c>
      <c r="L1036" s="7">
        <v>0.95909999999999995</v>
      </c>
      <c r="M1036" s="8">
        <v>47.491</v>
      </c>
      <c r="N1036" s="8">
        <v>0.44729999999999998</v>
      </c>
      <c r="O1036" s="7">
        <v>1.9496</v>
      </c>
      <c r="P1036" s="7">
        <v>3423.8312999999998</v>
      </c>
      <c r="Q1036" s="7">
        <v>3275.2085999999999</v>
      </c>
      <c r="R1036" s="7" t="str">
        <f t="shared" si="239"/>
        <v>Down</v>
      </c>
      <c r="S1036" s="7" t="str">
        <f t="shared" si="240"/>
        <v>Hold</v>
      </c>
      <c r="T1036" s="8">
        <f t="shared" si="241"/>
        <v>0.34299777777777779</v>
      </c>
      <c r="U1036" s="18">
        <f t="shared" si="242"/>
        <v>599985</v>
      </c>
      <c r="V1036" s="7">
        <f t="shared" si="243"/>
        <v>5586.2002000000002</v>
      </c>
      <c r="W1036" s="7">
        <f t="shared" si="244"/>
        <v>3366</v>
      </c>
      <c r="X1036" s="7">
        <f t="shared" si="245"/>
        <v>3366</v>
      </c>
      <c r="Y1036" s="7">
        <f t="shared" si="246"/>
        <v>50</v>
      </c>
      <c r="Z1036" s="7">
        <f t="shared" si="247"/>
        <v>222347</v>
      </c>
      <c r="AA1036" s="7" t="str">
        <f t="shared" si="248"/>
        <v>25-Aug-2025</v>
      </c>
      <c r="AB1036" s="7">
        <f t="shared" si="249"/>
        <v>3366</v>
      </c>
      <c r="AC1036" s="7">
        <f t="shared" si="252"/>
        <v>1</v>
      </c>
      <c r="AD1036" s="7">
        <f t="shared" si="250"/>
        <v>2025</v>
      </c>
      <c r="AE1036" s="19">
        <f t="shared" si="251"/>
        <v>0.5</v>
      </c>
    </row>
    <row r="1037" spans="1:31" x14ac:dyDescent="0.3">
      <c r="A1037" s="17">
        <v>45895</v>
      </c>
      <c r="B1037" s="8">
        <v>3388.6001000000001</v>
      </c>
      <c r="C1037" s="7">
        <v>3396.5</v>
      </c>
      <c r="D1037" s="7">
        <v>3371.1001000000001</v>
      </c>
      <c r="E1037" s="7">
        <v>3378.8998999999999</v>
      </c>
      <c r="F1037" s="18">
        <v>905</v>
      </c>
      <c r="G1037" s="7">
        <v>3345.4285</v>
      </c>
      <c r="H1037" s="7">
        <v>3353.0567000000001</v>
      </c>
      <c r="I1037" s="7">
        <v>3332.6532999999999</v>
      </c>
      <c r="J1037" s="8">
        <v>0.38319999999999999</v>
      </c>
      <c r="K1037" s="7">
        <v>0.59819999999999995</v>
      </c>
      <c r="L1037" s="7">
        <v>0.95009999999999994</v>
      </c>
      <c r="M1037" s="8">
        <v>49.653599999999997</v>
      </c>
      <c r="N1037" s="8">
        <v>2.7456999999999998</v>
      </c>
      <c r="O1037" s="7">
        <v>2.1088</v>
      </c>
      <c r="P1037" s="7">
        <v>3426.6444000000001</v>
      </c>
      <c r="Q1037" s="7">
        <v>3277.9454999999998</v>
      </c>
      <c r="R1037" s="7" t="str">
        <f t="shared" si="239"/>
        <v>Down</v>
      </c>
      <c r="S1037" s="7" t="str">
        <f t="shared" si="240"/>
        <v>Hold</v>
      </c>
      <c r="T1037" s="8">
        <f t="shared" si="241"/>
        <v>0.34185895522388055</v>
      </c>
      <c r="U1037" s="18">
        <f t="shared" si="242"/>
        <v>598941</v>
      </c>
      <c r="V1037" s="7">
        <f t="shared" si="243"/>
        <v>5586.2002000000002</v>
      </c>
      <c r="W1037" s="7">
        <f t="shared" si="244"/>
        <v>3371.1001000000001</v>
      </c>
      <c r="X1037" s="7">
        <f t="shared" si="245"/>
        <v>3378.8998999999999</v>
      </c>
      <c r="Y1037" s="7">
        <f t="shared" si="246"/>
        <v>50</v>
      </c>
      <c r="Z1037" s="7">
        <f t="shared" si="247"/>
        <v>222347</v>
      </c>
      <c r="AA1037" s="7" t="str">
        <f t="shared" si="248"/>
        <v>26-Aug-2025</v>
      </c>
      <c r="AB1037" s="7">
        <f t="shared" si="249"/>
        <v>3378.8998999999999</v>
      </c>
      <c r="AC1037" s="7">
        <f t="shared" si="252"/>
        <v>1</v>
      </c>
      <c r="AD1037" s="7">
        <f t="shared" si="250"/>
        <v>2025</v>
      </c>
      <c r="AE1037" s="19">
        <f t="shared" si="251"/>
        <v>0.38</v>
      </c>
    </row>
    <row r="1038" spans="1:31" x14ac:dyDescent="0.3">
      <c r="A1038" s="17">
        <v>45896</v>
      </c>
      <c r="B1038" s="8">
        <v>3404.6001000000001</v>
      </c>
      <c r="C1038" s="7">
        <v>3404.6001000000001</v>
      </c>
      <c r="D1038" s="7">
        <v>3382</v>
      </c>
      <c r="E1038" s="7">
        <v>3397</v>
      </c>
      <c r="F1038" s="18">
        <v>3222</v>
      </c>
      <c r="G1038" s="7">
        <v>3354.5</v>
      </c>
      <c r="H1038" s="7">
        <v>3354.9167000000002</v>
      </c>
      <c r="I1038" s="7">
        <v>3333.2622000000001</v>
      </c>
      <c r="J1038" s="8">
        <v>0.53569999999999995</v>
      </c>
      <c r="K1038" s="7">
        <v>0.56179999999999997</v>
      </c>
      <c r="L1038" s="7">
        <v>0.95430000000000004</v>
      </c>
      <c r="M1038" s="8">
        <v>52.210500000000003</v>
      </c>
      <c r="N1038" s="8">
        <v>5.9591000000000003</v>
      </c>
      <c r="O1038" s="7">
        <v>2.8788999999999998</v>
      </c>
      <c r="P1038" s="7">
        <v>3431.6669000000002</v>
      </c>
      <c r="Q1038" s="7">
        <v>3280.0430999999999</v>
      </c>
      <c r="R1038" s="7" t="str">
        <f t="shared" si="239"/>
        <v>Down</v>
      </c>
      <c r="S1038" s="7" t="str">
        <f t="shared" si="240"/>
        <v>Hold</v>
      </c>
      <c r="T1038" s="8">
        <f t="shared" si="241"/>
        <v>0.34154812030075193</v>
      </c>
      <c r="U1038" s="18">
        <f t="shared" si="242"/>
        <v>598036</v>
      </c>
      <c r="V1038" s="7">
        <f t="shared" si="243"/>
        <v>5586.2002000000002</v>
      </c>
      <c r="W1038" s="7">
        <f t="shared" si="244"/>
        <v>3382</v>
      </c>
      <c r="X1038" s="7">
        <f t="shared" si="245"/>
        <v>3397</v>
      </c>
      <c r="Y1038" s="7">
        <f t="shared" si="246"/>
        <v>50</v>
      </c>
      <c r="Z1038" s="7">
        <f t="shared" si="247"/>
        <v>222347</v>
      </c>
      <c r="AA1038" s="7" t="str">
        <f t="shared" si="248"/>
        <v>27-Aug-2025</v>
      </c>
      <c r="AB1038" s="7">
        <f t="shared" si="249"/>
        <v>3397</v>
      </c>
      <c r="AC1038" s="7">
        <f t="shared" si="252"/>
        <v>1</v>
      </c>
      <c r="AD1038" s="7">
        <f t="shared" si="250"/>
        <v>2025</v>
      </c>
      <c r="AE1038" s="19">
        <f t="shared" si="251"/>
        <v>0.54</v>
      </c>
    </row>
    <row r="1039" spans="1:31" x14ac:dyDescent="0.3">
      <c r="A1039" s="17">
        <v>45897</v>
      </c>
      <c r="B1039" s="8">
        <v>3431.8</v>
      </c>
      <c r="C1039" s="7">
        <v>3434.6001000000001</v>
      </c>
      <c r="D1039" s="7">
        <v>3400</v>
      </c>
      <c r="E1039" s="7">
        <v>3409</v>
      </c>
      <c r="F1039" s="18">
        <v>1035</v>
      </c>
      <c r="G1039" s="7">
        <v>3365.7570999999998</v>
      </c>
      <c r="H1039" s="7">
        <v>3358.09</v>
      </c>
      <c r="I1039" s="7">
        <v>3333.1154999999999</v>
      </c>
      <c r="J1039" s="8">
        <v>0.3533</v>
      </c>
      <c r="K1039" s="7">
        <v>0.53769999999999996</v>
      </c>
      <c r="L1039" s="7">
        <v>0.94089999999999996</v>
      </c>
      <c r="M1039" s="8">
        <v>43.572000000000003</v>
      </c>
      <c r="N1039" s="8">
        <v>9.3659999999999997</v>
      </c>
      <c r="O1039" s="7">
        <v>4.1763000000000003</v>
      </c>
      <c r="P1039" s="7">
        <v>3431.2042999999999</v>
      </c>
      <c r="Q1039" s="7">
        <v>3294.1156999999998</v>
      </c>
      <c r="R1039" s="7" t="str">
        <f t="shared" si="239"/>
        <v>Down</v>
      </c>
      <c r="S1039" s="7" t="str">
        <f t="shared" si="240"/>
        <v>Hold</v>
      </c>
      <c r="T1039" s="8">
        <f t="shared" si="241"/>
        <v>0.34007727272727273</v>
      </c>
      <c r="U1039" s="18">
        <f t="shared" si="242"/>
        <v>594814</v>
      </c>
      <c r="V1039" s="7">
        <f t="shared" si="243"/>
        <v>5586.2002000000002</v>
      </c>
      <c r="W1039" s="7">
        <f t="shared" si="244"/>
        <v>3400</v>
      </c>
      <c r="X1039" s="7">
        <f t="shared" si="245"/>
        <v>3409</v>
      </c>
      <c r="Y1039" s="7">
        <f t="shared" si="246"/>
        <v>50</v>
      </c>
      <c r="Z1039" s="7">
        <f t="shared" si="247"/>
        <v>222347</v>
      </c>
      <c r="AA1039" s="7" t="str">
        <f t="shared" si="248"/>
        <v>28-Aug-2025</v>
      </c>
      <c r="AB1039" s="7">
        <f t="shared" si="249"/>
        <v>3409</v>
      </c>
      <c r="AC1039" s="7">
        <f t="shared" si="252"/>
        <v>1</v>
      </c>
      <c r="AD1039" s="7">
        <f t="shared" si="250"/>
        <v>2025</v>
      </c>
      <c r="AE1039" s="19">
        <f t="shared" si="251"/>
        <v>0.35</v>
      </c>
    </row>
    <row r="1040" spans="1:31" x14ac:dyDescent="0.3">
      <c r="A1040" s="17">
        <v>45898</v>
      </c>
      <c r="B1040" s="8">
        <v>3473.7</v>
      </c>
      <c r="C1040" s="7">
        <v>3475.6001000000001</v>
      </c>
      <c r="D1040" s="7">
        <v>3426.6001000000001</v>
      </c>
      <c r="E1040" s="7">
        <v>3432.5</v>
      </c>
      <c r="F1040" s="18">
        <v>0</v>
      </c>
      <c r="G1040" s="7">
        <v>3383.1714000000002</v>
      </c>
      <c r="H1040" s="7">
        <v>3361.2332999999999</v>
      </c>
      <c r="I1040" s="7">
        <v>3334.3521999999998</v>
      </c>
      <c r="J1040" s="8">
        <v>0.68940000000000001</v>
      </c>
      <c r="K1040" s="7">
        <v>0.35859999999999997</v>
      </c>
      <c r="L1040" s="7">
        <v>0.93989999999999996</v>
      </c>
      <c r="M1040" s="8">
        <v>62.125799999999998</v>
      </c>
      <c r="N1040" s="8">
        <v>13.8032</v>
      </c>
      <c r="O1040" s="7">
        <v>6.1017000000000001</v>
      </c>
      <c r="P1040" s="7">
        <v>3435.3135000000002</v>
      </c>
      <c r="Q1040" s="7">
        <v>3304.6365000000001</v>
      </c>
      <c r="R1040" s="7" t="str">
        <f t="shared" si="239"/>
        <v>Down</v>
      </c>
      <c r="S1040" s="7" t="str">
        <f t="shared" si="240"/>
        <v>Hold</v>
      </c>
      <c r="T1040" s="8">
        <f t="shared" si="241"/>
        <v>0.33997633587786258</v>
      </c>
      <c r="U1040" s="18">
        <f t="shared" si="242"/>
        <v>593779</v>
      </c>
      <c r="V1040" s="7">
        <f t="shared" si="243"/>
        <v>5586.2002000000002</v>
      </c>
      <c r="W1040" s="7">
        <f t="shared" si="244"/>
        <v>3426.6001000000001</v>
      </c>
      <c r="X1040" s="7">
        <f t="shared" si="245"/>
        <v>3432.5</v>
      </c>
      <c r="Y1040" s="7">
        <f t="shared" si="246"/>
        <v>50</v>
      </c>
      <c r="Z1040" s="7">
        <f t="shared" si="247"/>
        <v>222347</v>
      </c>
      <c r="AA1040" s="7" t="str">
        <f t="shared" si="248"/>
        <v>29-Aug-2025</v>
      </c>
      <c r="AB1040" s="7">
        <f t="shared" si="249"/>
        <v>3432.5</v>
      </c>
      <c r="AC1040" s="7">
        <f t="shared" si="252"/>
        <v>1</v>
      </c>
      <c r="AD1040" s="7">
        <f t="shared" si="250"/>
        <v>2025</v>
      </c>
      <c r="AE1040" s="19">
        <f t="shared" si="251"/>
        <v>0.69</v>
      </c>
    </row>
    <row r="1041" spans="1:31" x14ac:dyDescent="0.3">
      <c r="A1041" s="17">
        <v>45902</v>
      </c>
      <c r="B1041" s="8">
        <v>3549.3998999999999</v>
      </c>
      <c r="C1041" s="7">
        <v>3559.2</v>
      </c>
      <c r="D1041" s="7">
        <v>3485.7</v>
      </c>
      <c r="E1041" s="7">
        <v>3485.7</v>
      </c>
      <c r="F1041" s="18">
        <v>658</v>
      </c>
      <c r="G1041" s="7">
        <v>3402.6428000000001</v>
      </c>
      <c r="H1041" s="7">
        <v>3365.7467000000001</v>
      </c>
      <c r="I1041" s="7">
        <v>3336.3555000000001</v>
      </c>
      <c r="J1041" s="8">
        <v>1.5499000000000001</v>
      </c>
      <c r="K1041" s="7">
        <v>0.48089999999999999</v>
      </c>
      <c r="L1041" s="7">
        <v>0.9758</v>
      </c>
      <c r="M1041" s="8">
        <v>78.6631</v>
      </c>
      <c r="N1041" s="8">
        <v>21.366099999999999</v>
      </c>
      <c r="O1041" s="7">
        <v>9.1546000000000003</v>
      </c>
      <c r="P1041" s="7">
        <v>3459.1898999999999</v>
      </c>
      <c r="Q1041" s="7">
        <v>3292.5700999999999</v>
      </c>
      <c r="R1041" s="7" t="str">
        <f t="shared" si="239"/>
        <v>Down</v>
      </c>
      <c r="S1041" s="7" t="str">
        <f t="shared" si="240"/>
        <v>Sell</v>
      </c>
      <c r="T1041" s="8">
        <f t="shared" si="241"/>
        <v>0.33728846153846148</v>
      </c>
      <c r="U1041" s="18">
        <f t="shared" si="242"/>
        <v>593779</v>
      </c>
      <c r="V1041" s="7">
        <f t="shared" si="243"/>
        <v>5586.2002000000002</v>
      </c>
      <c r="W1041" s="7">
        <f t="shared" si="244"/>
        <v>3485.7</v>
      </c>
      <c r="X1041" s="7">
        <f t="shared" si="245"/>
        <v>3485.7</v>
      </c>
      <c r="Y1041" s="7">
        <f t="shared" si="246"/>
        <v>50</v>
      </c>
      <c r="Z1041" s="7">
        <f t="shared" si="247"/>
        <v>222347</v>
      </c>
      <c r="AA1041" s="7" t="str">
        <f t="shared" si="248"/>
        <v>02-Sep-2025</v>
      </c>
      <c r="AB1041" s="7">
        <f t="shared" si="249"/>
        <v>3485.7</v>
      </c>
      <c r="AC1041" s="7">
        <f t="shared" si="252"/>
        <v>1</v>
      </c>
      <c r="AD1041" s="7">
        <f t="shared" si="250"/>
        <v>2025</v>
      </c>
      <c r="AE1041" s="19">
        <f t="shared" si="251"/>
        <v>1.55</v>
      </c>
    </row>
    <row r="1042" spans="1:31" x14ac:dyDescent="0.3">
      <c r="A1042" s="17">
        <v>45903</v>
      </c>
      <c r="B1042" s="8">
        <v>3593.2</v>
      </c>
      <c r="C1042" s="7">
        <v>3593.7</v>
      </c>
      <c r="D1042" s="7">
        <v>3553.2</v>
      </c>
      <c r="E1042" s="7">
        <v>3554.8</v>
      </c>
      <c r="F1042" s="18">
        <v>72</v>
      </c>
      <c r="G1042" s="7">
        <v>3431.9857000000002</v>
      </c>
      <c r="H1042" s="7">
        <v>3370.54</v>
      </c>
      <c r="I1042" s="7">
        <v>3338.57</v>
      </c>
      <c r="J1042" s="8">
        <v>1.9823999999999999</v>
      </c>
      <c r="K1042" s="7">
        <v>0.64380000000000004</v>
      </c>
      <c r="L1042" s="7">
        <v>0.98629999999999995</v>
      </c>
      <c r="M1042" s="8">
        <v>83.515699999999995</v>
      </c>
      <c r="N1042" s="8">
        <v>32.560299999999998</v>
      </c>
      <c r="O1042" s="7">
        <v>13.835699999999999</v>
      </c>
      <c r="P1042" s="7">
        <v>3500.2431000000001</v>
      </c>
      <c r="Q1042" s="7">
        <v>3269.1468</v>
      </c>
      <c r="R1042" s="7" t="str">
        <f t="shared" si="239"/>
        <v>Down</v>
      </c>
      <c r="S1042" s="7" t="str">
        <f t="shared" si="240"/>
        <v>Sell</v>
      </c>
      <c r="T1042" s="8">
        <f t="shared" si="241"/>
        <v>0.32788837209302324</v>
      </c>
      <c r="U1042" s="18">
        <f t="shared" si="242"/>
        <v>593121</v>
      </c>
      <c r="V1042" s="7">
        <f t="shared" si="243"/>
        <v>5586.2002000000002</v>
      </c>
      <c r="W1042" s="7">
        <f t="shared" si="244"/>
        <v>3549.8998999999999</v>
      </c>
      <c r="X1042" s="7">
        <f t="shared" si="245"/>
        <v>3554.8</v>
      </c>
      <c r="Y1042" s="7">
        <f t="shared" si="246"/>
        <v>50</v>
      </c>
      <c r="Z1042" s="7">
        <f t="shared" si="247"/>
        <v>222347</v>
      </c>
      <c r="AA1042" s="7" t="str">
        <f t="shared" si="248"/>
        <v>03-Sep-2025</v>
      </c>
      <c r="AB1042" s="7">
        <f t="shared" si="249"/>
        <v>3554.8</v>
      </c>
      <c r="AC1042" s="7">
        <f t="shared" si="252"/>
        <v>1</v>
      </c>
      <c r="AD1042" s="7">
        <f t="shared" si="250"/>
        <v>2025</v>
      </c>
      <c r="AE1042" s="19">
        <f t="shared" si="251"/>
        <v>1.98</v>
      </c>
    </row>
    <row r="1043" spans="1:31" x14ac:dyDescent="0.3">
      <c r="A1043" s="17">
        <v>45904</v>
      </c>
      <c r="B1043" s="8">
        <v>3565.8</v>
      </c>
      <c r="C1043" s="7">
        <v>3573.6001000000001</v>
      </c>
      <c r="D1043" s="7">
        <v>3549.8998999999999</v>
      </c>
      <c r="E1043" s="7">
        <v>3549.8998999999999</v>
      </c>
      <c r="F1043" s="18">
        <v>237</v>
      </c>
      <c r="G1043" s="7">
        <v>3458.2570999999998</v>
      </c>
      <c r="H1043" s="7">
        <v>3374.5266999999999</v>
      </c>
      <c r="I1043" s="7">
        <v>3341.5189</v>
      </c>
      <c r="J1043" s="8">
        <v>-0.13780000000000001</v>
      </c>
      <c r="K1043" s="7">
        <v>0.74009999999999998</v>
      </c>
      <c r="L1043" s="7">
        <v>0.98429999999999995</v>
      </c>
      <c r="M1043" s="8">
        <v>85.594099999999997</v>
      </c>
      <c r="N1043" s="8">
        <v>40.5687</v>
      </c>
      <c r="O1043" s="7">
        <v>19.182300000000001</v>
      </c>
      <c r="P1043" s="7">
        <v>3530.2406999999998</v>
      </c>
      <c r="Q1043" s="7">
        <v>3256.0693000000001</v>
      </c>
      <c r="R1043" s="7" t="str">
        <f t="shared" si="239"/>
        <v>Down</v>
      </c>
      <c r="S1043" s="7" t="str">
        <f t="shared" si="240"/>
        <v>Sell</v>
      </c>
      <c r="T1043" s="8">
        <f t="shared" si="241"/>
        <v>0.31496249999999998</v>
      </c>
      <c r="U1043" s="18">
        <f t="shared" si="242"/>
        <v>593049</v>
      </c>
      <c r="V1043" s="7">
        <f t="shared" si="243"/>
        <v>5586.2002000000002</v>
      </c>
      <c r="W1043" s="7">
        <f t="shared" si="244"/>
        <v>3549.8998999999999</v>
      </c>
      <c r="X1043" s="7">
        <f t="shared" si="245"/>
        <v>3549.8998999999999</v>
      </c>
      <c r="Y1043" s="7">
        <f t="shared" si="246"/>
        <v>50</v>
      </c>
      <c r="Z1043" s="7">
        <f t="shared" si="247"/>
        <v>222347</v>
      </c>
      <c r="AA1043" s="7" t="str">
        <f t="shared" si="248"/>
        <v>04-Sep-2025</v>
      </c>
      <c r="AB1043" s="7">
        <f t="shared" si="249"/>
        <v>3549.8998999999999</v>
      </c>
      <c r="AC1043" s="7">
        <f t="shared" si="252"/>
        <v>1</v>
      </c>
      <c r="AD1043" s="7">
        <f t="shared" si="250"/>
        <v>2025</v>
      </c>
      <c r="AE1043" s="19">
        <f t="shared" si="251"/>
        <v>-0.14000000000000001</v>
      </c>
    </row>
    <row r="1044" spans="1:31" x14ac:dyDescent="0.3">
      <c r="A1044" s="17">
        <v>45905</v>
      </c>
      <c r="B1044" s="8">
        <v>3613.2</v>
      </c>
      <c r="C1044" s="7">
        <v>3613.2</v>
      </c>
      <c r="D1044" s="7">
        <v>3567.8</v>
      </c>
      <c r="E1044" s="7">
        <v>3567.8</v>
      </c>
      <c r="F1044" s="18">
        <v>925</v>
      </c>
      <c r="G1044" s="7">
        <v>3485.2429000000002</v>
      </c>
      <c r="H1044" s="7">
        <v>3381.22</v>
      </c>
      <c r="I1044" s="7">
        <v>3344.05</v>
      </c>
      <c r="J1044" s="8">
        <v>0.50419999999999998</v>
      </c>
      <c r="K1044" s="7">
        <v>0.73109999999999997</v>
      </c>
      <c r="L1044" s="7">
        <v>0.91349999999999998</v>
      </c>
      <c r="M1044" s="8">
        <v>86.444599999999994</v>
      </c>
      <c r="N1044" s="8">
        <v>47.808700000000002</v>
      </c>
      <c r="O1044" s="7">
        <v>24.907599999999999</v>
      </c>
      <c r="P1044" s="7">
        <v>3559.9301</v>
      </c>
      <c r="Q1044" s="7">
        <v>3244.6698999999999</v>
      </c>
      <c r="R1044" s="7" t="str">
        <f t="shared" si="239"/>
        <v>Down</v>
      </c>
      <c r="S1044" s="7" t="str">
        <f t="shared" si="240"/>
        <v>Sell</v>
      </c>
      <c r="T1044" s="8">
        <f t="shared" si="241"/>
        <v>0.31852755905511809</v>
      </c>
      <c r="U1044" s="18">
        <f t="shared" si="242"/>
        <v>592812</v>
      </c>
      <c r="V1044" s="7">
        <f t="shared" si="243"/>
        <v>5586.2002000000002</v>
      </c>
      <c r="W1044" s="7">
        <f t="shared" si="244"/>
        <v>3567.8</v>
      </c>
      <c r="X1044" s="7">
        <f t="shared" si="245"/>
        <v>3567.8</v>
      </c>
      <c r="Y1044" s="7">
        <f t="shared" si="246"/>
        <v>50</v>
      </c>
      <c r="Z1044" s="7">
        <f t="shared" si="247"/>
        <v>222347</v>
      </c>
      <c r="AA1044" s="7" t="str">
        <f t="shared" si="248"/>
        <v>05-Sep-2025</v>
      </c>
      <c r="AB1044" s="7">
        <f t="shared" si="249"/>
        <v>3567.8</v>
      </c>
      <c r="AC1044" s="7">
        <f t="shared" si="252"/>
        <v>1</v>
      </c>
      <c r="AD1044" s="7">
        <f t="shared" si="250"/>
        <v>2025</v>
      </c>
      <c r="AE1044" s="19">
        <f t="shared" si="251"/>
        <v>0.5</v>
      </c>
    </row>
    <row r="1045" spans="1:31" x14ac:dyDescent="0.3">
      <c r="A1045" s="17">
        <v>45908</v>
      </c>
      <c r="B1045" s="8">
        <v>3638.1001000000001</v>
      </c>
      <c r="C1045" s="7">
        <v>3641</v>
      </c>
      <c r="D1045" s="7">
        <v>3590</v>
      </c>
      <c r="E1045" s="7">
        <v>3594.5</v>
      </c>
      <c r="F1045" s="18">
        <v>97</v>
      </c>
      <c r="G1045" s="7">
        <v>3513.4571000000001</v>
      </c>
      <c r="H1045" s="7">
        <v>3389.57</v>
      </c>
      <c r="I1045" s="7">
        <v>3347.1143999999999</v>
      </c>
      <c r="J1045" s="8">
        <v>0.74839999999999995</v>
      </c>
      <c r="K1045" s="7">
        <v>0.72350000000000003</v>
      </c>
      <c r="L1045" s="7">
        <v>0.90329999999999999</v>
      </c>
      <c r="M1045" s="8">
        <v>91.219200000000001</v>
      </c>
      <c r="N1045" s="8">
        <v>55.066200000000002</v>
      </c>
      <c r="O1045" s="7">
        <v>30.939299999999999</v>
      </c>
      <c r="P1045" s="7">
        <v>3589.2179000000001</v>
      </c>
      <c r="Q1045" s="7">
        <v>3230.9520000000002</v>
      </c>
      <c r="R1045" s="7" t="str">
        <f t="shared" si="239"/>
        <v>Down</v>
      </c>
      <c r="S1045" s="7" t="str">
        <f t="shared" si="240"/>
        <v>Sell</v>
      </c>
      <c r="T1045" s="8">
        <f t="shared" si="241"/>
        <v>0.31705396825396825</v>
      </c>
      <c r="U1045" s="18">
        <f t="shared" si="242"/>
        <v>591887</v>
      </c>
      <c r="V1045" s="7">
        <f t="shared" si="243"/>
        <v>5586.2002000000002</v>
      </c>
      <c r="W1045" s="7">
        <f t="shared" si="244"/>
        <v>3590</v>
      </c>
      <c r="X1045" s="7">
        <f t="shared" si="245"/>
        <v>3594.5</v>
      </c>
      <c r="Y1045" s="7">
        <f t="shared" si="246"/>
        <v>50</v>
      </c>
      <c r="Z1045" s="7">
        <f t="shared" si="247"/>
        <v>222347</v>
      </c>
      <c r="AA1045" s="7" t="str">
        <f t="shared" si="248"/>
        <v>08-Sep-2025</v>
      </c>
      <c r="AB1045" s="7">
        <f t="shared" si="249"/>
        <v>3594.5</v>
      </c>
      <c r="AC1045" s="7">
        <f t="shared" si="252"/>
        <v>1</v>
      </c>
      <c r="AD1045" s="7">
        <f t="shared" si="250"/>
        <v>2025</v>
      </c>
      <c r="AE1045" s="19">
        <f t="shared" si="251"/>
        <v>0.75</v>
      </c>
    </row>
    <row r="1046" spans="1:31" x14ac:dyDescent="0.3">
      <c r="A1046" s="17">
        <v>45909</v>
      </c>
      <c r="B1046" s="8">
        <v>3643.3</v>
      </c>
      <c r="C1046" s="7">
        <v>3670.3998999999999</v>
      </c>
      <c r="D1046" s="7">
        <v>3627.8</v>
      </c>
      <c r="E1046" s="7">
        <v>3647.1001000000001</v>
      </c>
      <c r="F1046" s="18">
        <v>535</v>
      </c>
      <c r="G1046" s="7">
        <v>3547.4713999999999</v>
      </c>
      <c r="H1046" s="7">
        <v>3400.2532999999999</v>
      </c>
      <c r="I1046" s="7">
        <v>3351.2721999999999</v>
      </c>
      <c r="J1046" s="8">
        <v>1.4633</v>
      </c>
      <c r="K1046" s="7">
        <v>0.72760000000000002</v>
      </c>
      <c r="L1046" s="7">
        <v>0.91779999999999995</v>
      </c>
      <c r="M1046" s="8">
        <v>93.304199999999994</v>
      </c>
      <c r="N1046" s="8">
        <v>64.320700000000002</v>
      </c>
      <c r="O1046" s="7">
        <v>37.615600000000001</v>
      </c>
      <c r="P1046" s="7">
        <v>3630.7096999999999</v>
      </c>
      <c r="Q1046" s="7">
        <v>3215.7802999999999</v>
      </c>
      <c r="R1046" s="7" t="str">
        <f t="shared" si="239"/>
        <v>Up</v>
      </c>
      <c r="S1046" s="7" t="str">
        <f t="shared" si="240"/>
        <v>Sell</v>
      </c>
      <c r="T1046" s="8">
        <f t="shared" si="241"/>
        <v>0.31360319999999997</v>
      </c>
      <c r="U1046" s="18">
        <f t="shared" si="242"/>
        <v>591790</v>
      </c>
      <c r="V1046" s="7">
        <f t="shared" si="243"/>
        <v>5586.2002000000002</v>
      </c>
      <c r="W1046" s="7">
        <f t="shared" si="244"/>
        <v>3618.3998999999999</v>
      </c>
      <c r="X1046" s="7">
        <f t="shared" si="245"/>
        <v>3647.1001000000001</v>
      </c>
      <c r="Y1046" s="7">
        <f t="shared" si="246"/>
        <v>50</v>
      </c>
      <c r="Z1046" s="7">
        <f t="shared" si="247"/>
        <v>222347</v>
      </c>
      <c r="AA1046" s="7" t="str">
        <f t="shared" si="248"/>
        <v>09-Sep-2025</v>
      </c>
      <c r="AB1046" s="7">
        <f t="shared" si="249"/>
        <v>3647.1001000000001</v>
      </c>
      <c r="AC1046" s="7">
        <f t="shared" si="252"/>
        <v>1</v>
      </c>
      <c r="AD1046" s="7">
        <f t="shared" si="250"/>
        <v>2025</v>
      </c>
      <c r="AE1046" s="19">
        <f t="shared" si="251"/>
        <v>1.46</v>
      </c>
    </row>
    <row r="1047" spans="1:31" x14ac:dyDescent="0.3">
      <c r="A1047" s="17">
        <v>45910</v>
      </c>
      <c r="B1047" s="8">
        <v>3643.6001000000001</v>
      </c>
      <c r="C1047" s="7">
        <v>3655.3998999999999</v>
      </c>
      <c r="D1047" s="7">
        <v>3620.8</v>
      </c>
      <c r="E1047" s="7">
        <v>3625</v>
      </c>
      <c r="F1047" s="18">
        <v>136</v>
      </c>
      <c r="G1047" s="7">
        <v>3574.9713999999999</v>
      </c>
      <c r="H1047" s="7">
        <v>3410.3067000000001</v>
      </c>
      <c r="I1047" s="7">
        <v>3355.5511000000001</v>
      </c>
      <c r="J1047" s="8">
        <v>-0.60599999999999998</v>
      </c>
      <c r="K1047" s="7">
        <v>0.94389999999999996</v>
      </c>
      <c r="L1047" s="7">
        <v>0.93020000000000003</v>
      </c>
      <c r="M1047" s="8">
        <v>92.671000000000006</v>
      </c>
      <c r="N1047" s="8">
        <v>69.075400000000002</v>
      </c>
      <c r="O1047" s="7">
        <v>43.907600000000002</v>
      </c>
      <c r="P1047" s="7">
        <v>3660.0774999999999</v>
      </c>
      <c r="Q1047" s="7">
        <v>3213.2925</v>
      </c>
      <c r="R1047" s="7" t="str">
        <f t="shared" si="239"/>
        <v>Down</v>
      </c>
      <c r="S1047" s="7" t="str">
        <f t="shared" si="240"/>
        <v>Sell</v>
      </c>
      <c r="T1047" s="8">
        <f t="shared" si="241"/>
        <v>0.3043314516129032</v>
      </c>
      <c r="U1047" s="18">
        <f t="shared" si="242"/>
        <v>591255</v>
      </c>
      <c r="V1047" s="7">
        <f t="shared" si="243"/>
        <v>5586.2002000000002</v>
      </c>
      <c r="W1047" s="7">
        <f t="shared" si="244"/>
        <v>3618.3998999999999</v>
      </c>
      <c r="X1047" s="7">
        <f t="shared" si="245"/>
        <v>3625</v>
      </c>
      <c r="Y1047" s="7">
        <f t="shared" si="246"/>
        <v>49</v>
      </c>
      <c r="Z1047" s="7">
        <f t="shared" si="247"/>
        <v>221812</v>
      </c>
      <c r="AA1047" s="7" t="str">
        <f t="shared" si="248"/>
        <v>10-Sep-2025</v>
      </c>
      <c r="AB1047" s="7">
        <f t="shared" si="249"/>
        <v>3625</v>
      </c>
      <c r="AC1047" s="7">
        <f t="shared" si="252"/>
        <v>1</v>
      </c>
      <c r="AD1047" s="7">
        <f t="shared" si="250"/>
        <v>2025</v>
      </c>
      <c r="AE1047" s="19">
        <f t="shared" si="251"/>
        <v>-0.61</v>
      </c>
    </row>
    <row r="1048" spans="1:31" x14ac:dyDescent="0.3">
      <c r="A1048" s="17">
        <v>45911</v>
      </c>
      <c r="B1048" s="8">
        <v>3636.8998999999999</v>
      </c>
      <c r="C1048" s="7">
        <v>3636.8998999999999</v>
      </c>
      <c r="D1048" s="7">
        <v>3618.3998999999999</v>
      </c>
      <c r="E1048" s="7">
        <v>3632.8998999999999</v>
      </c>
      <c r="F1048" s="18">
        <v>307</v>
      </c>
      <c r="G1048" s="7">
        <v>3596</v>
      </c>
      <c r="H1048" s="7">
        <v>3420.5432999999998</v>
      </c>
      <c r="I1048" s="7">
        <v>3359.8867</v>
      </c>
      <c r="J1048" s="8">
        <v>0.21790000000000001</v>
      </c>
      <c r="K1048" s="7">
        <v>0.89739999999999998</v>
      </c>
      <c r="L1048" s="7">
        <v>0.9294</v>
      </c>
      <c r="M1048" s="8">
        <v>91.999899999999997</v>
      </c>
      <c r="N1048" s="8">
        <v>72.643699999999995</v>
      </c>
      <c r="O1048" s="7">
        <v>49.654800000000002</v>
      </c>
      <c r="P1048" s="7">
        <v>3686.9097999999999</v>
      </c>
      <c r="Q1048" s="7">
        <v>3213.8701999999998</v>
      </c>
      <c r="R1048" s="7" t="str">
        <f t="shared" si="239"/>
        <v>Down</v>
      </c>
      <c r="S1048" s="7" t="str">
        <f t="shared" si="240"/>
        <v>Sell</v>
      </c>
      <c r="T1048" s="8">
        <f t="shared" si="241"/>
        <v>0.31173252032520327</v>
      </c>
      <c r="U1048" s="18">
        <f t="shared" si="242"/>
        <v>591119</v>
      </c>
      <c r="V1048" s="7">
        <f t="shared" si="243"/>
        <v>5586.2002000000002</v>
      </c>
      <c r="W1048" s="7">
        <f t="shared" si="244"/>
        <v>3618.3998999999999</v>
      </c>
      <c r="X1048" s="7">
        <f t="shared" si="245"/>
        <v>3632.8998999999999</v>
      </c>
      <c r="Y1048" s="7">
        <f t="shared" si="246"/>
        <v>49</v>
      </c>
      <c r="Z1048" s="7">
        <f t="shared" si="247"/>
        <v>221812</v>
      </c>
      <c r="AA1048" s="7" t="str">
        <f t="shared" si="248"/>
        <v>11-Sep-2025</v>
      </c>
      <c r="AB1048" s="7">
        <f t="shared" si="249"/>
        <v>3632.8998999999999</v>
      </c>
      <c r="AC1048" s="7">
        <f t="shared" si="252"/>
        <v>1</v>
      </c>
      <c r="AD1048" s="7">
        <f t="shared" si="250"/>
        <v>2025</v>
      </c>
      <c r="AE1048" s="19">
        <f t="shared" si="251"/>
        <v>0.22</v>
      </c>
    </row>
    <row r="1049" spans="1:31" x14ac:dyDescent="0.3">
      <c r="A1049" s="17">
        <v>45912</v>
      </c>
      <c r="B1049" s="8">
        <v>3649.3998999999999</v>
      </c>
      <c r="C1049" s="7">
        <v>3656.8</v>
      </c>
      <c r="D1049" s="7">
        <v>3643</v>
      </c>
      <c r="E1049" s="7">
        <v>3655.5</v>
      </c>
      <c r="F1049" s="18">
        <v>1300</v>
      </c>
      <c r="G1049" s="7">
        <v>3610.3856999999998</v>
      </c>
      <c r="H1049" s="7">
        <v>3433.2966999999999</v>
      </c>
      <c r="I1049" s="7">
        <v>3363.1089000000002</v>
      </c>
      <c r="J1049" s="8">
        <v>0.62209999999999999</v>
      </c>
      <c r="K1049" s="7">
        <v>0.66420000000000001</v>
      </c>
      <c r="L1049" s="7">
        <v>0.85940000000000005</v>
      </c>
      <c r="M1049" s="8">
        <v>92.501999999999995</v>
      </c>
      <c r="N1049" s="8">
        <v>76.414299999999997</v>
      </c>
      <c r="O1049" s="7">
        <v>55.006700000000002</v>
      </c>
      <c r="P1049" s="7">
        <v>3713.89</v>
      </c>
      <c r="Q1049" s="7">
        <v>3217.76</v>
      </c>
      <c r="R1049" s="7" t="str">
        <f t="shared" si="239"/>
        <v>Up</v>
      </c>
      <c r="S1049" s="7" t="str">
        <f t="shared" si="240"/>
        <v>Sell</v>
      </c>
      <c r="T1049" s="8">
        <f t="shared" si="241"/>
        <v>0.31250163934426228</v>
      </c>
      <c r="U1049" s="18">
        <f t="shared" si="242"/>
        <v>590812</v>
      </c>
      <c r="V1049" s="7">
        <f t="shared" si="243"/>
        <v>5586.2002000000002</v>
      </c>
      <c r="W1049" s="7">
        <f t="shared" si="244"/>
        <v>3635.1001000000001</v>
      </c>
      <c r="X1049" s="7">
        <f t="shared" si="245"/>
        <v>3655.5</v>
      </c>
      <c r="Y1049" s="7">
        <f t="shared" si="246"/>
        <v>49</v>
      </c>
      <c r="Z1049" s="7">
        <f t="shared" si="247"/>
        <v>221812</v>
      </c>
      <c r="AA1049" s="7" t="str">
        <f t="shared" si="248"/>
        <v>12-Sep-2025</v>
      </c>
      <c r="AB1049" s="7">
        <f t="shared" si="249"/>
        <v>3655.5</v>
      </c>
      <c r="AC1049" s="7">
        <f t="shared" si="252"/>
        <v>1</v>
      </c>
      <c r="AD1049" s="7">
        <f t="shared" si="250"/>
        <v>2025</v>
      </c>
      <c r="AE1049" s="19">
        <f t="shared" si="251"/>
        <v>0.62</v>
      </c>
    </row>
    <row r="1050" spans="1:31" x14ac:dyDescent="0.3">
      <c r="A1050" s="17">
        <v>45915</v>
      </c>
      <c r="B1050" s="8">
        <v>3682.2</v>
      </c>
      <c r="C1050" s="7">
        <v>3686.3998999999999</v>
      </c>
      <c r="D1050" s="7">
        <v>3635.1001000000001</v>
      </c>
      <c r="E1050" s="7">
        <v>3640</v>
      </c>
      <c r="F1050" s="18">
        <v>210</v>
      </c>
      <c r="G1050" s="7">
        <v>3623.2570999999998</v>
      </c>
      <c r="H1050" s="7">
        <v>3445.09</v>
      </c>
      <c r="I1050" s="7">
        <v>3365.5677999999998</v>
      </c>
      <c r="J1050" s="8">
        <v>-0.42399999999999999</v>
      </c>
      <c r="K1050" s="7">
        <v>0.71009999999999995</v>
      </c>
      <c r="L1050" s="7">
        <v>0.87160000000000004</v>
      </c>
      <c r="M1050" s="8">
        <v>88.161500000000004</v>
      </c>
      <c r="N1050" s="8">
        <v>77.261200000000002</v>
      </c>
      <c r="O1050" s="7">
        <v>59.457599999999999</v>
      </c>
      <c r="P1050" s="7">
        <v>3733.5374999999999</v>
      </c>
      <c r="Q1050" s="7">
        <v>3227.4324999999999</v>
      </c>
      <c r="R1050" s="7" t="str">
        <f t="shared" si="239"/>
        <v>Down</v>
      </c>
      <c r="S1050" s="7" t="str">
        <f t="shared" si="240"/>
        <v>Sell</v>
      </c>
      <c r="T1050" s="8">
        <f t="shared" si="241"/>
        <v>0.30994297520661152</v>
      </c>
      <c r="U1050" s="18">
        <f t="shared" si="242"/>
        <v>589512</v>
      </c>
      <c r="V1050" s="7">
        <f t="shared" si="243"/>
        <v>5586.2002000000002</v>
      </c>
      <c r="W1050" s="7">
        <f t="shared" si="244"/>
        <v>3635.1001000000001</v>
      </c>
      <c r="X1050" s="7">
        <f t="shared" si="245"/>
        <v>3640</v>
      </c>
      <c r="Y1050" s="7">
        <f t="shared" si="246"/>
        <v>48</v>
      </c>
      <c r="Z1050" s="7">
        <f t="shared" si="247"/>
        <v>220512</v>
      </c>
      <c r="AA1050" s="7" t="str">
        <f t="shared" si="248"/>
        <v>15-Sep-2025</v>
      </c>
      <c r="AB1050" s="7">
        <f t="shared" si="249"/>
        <v>3640</v>
      </c>
      <c r="AC1050" s="7">
        <f t="shared" si="252"/>
        <v>1</v>
      </c>
      <c r="AD1050" s="7">
        <f t="shared" si="250"/>
        <v>2025</v>
      </c>
      <c r="AE1050" s="19">
        <f t="shared" si="251"/>
        <v>-0.42</v>
      </c>
    </row>
    <row r="1051" spans="1:31" x14ac:dyDescent="0.3">
      <c r="A1051" s="17">
        <v>45916</v>
      </c>
      <c r="B1051" s="8">
        <v>3688.8998999999999</v>
      </c>
      <c r="C1051" s="7">
        <v>3698.6001000000001</v>
      </c>
      <c r="D1051" s="7">
        <v>3681.3998999999999</v>
      </c>
      <c r="E1051" s="7">
        <v>3681.3998999999999</v>
      </c>
      <c r="F1051" s="18">
        <v>373</v>
      </c>
      <c r="G1051" s="7">
        <v>3639.4857000000002</v>
      </c>
      <c r="H1051" s="7">
        <v>3455.55</v>
      </c>
      <c r="I1051" s="7">
        <v>3368.8056000000001</v>
      </c>
      <c r="J1051" s="8">
        <v>1.1374</v>
      </c>
      <c r="K1051" s="7">
        <v>0.76929999999999998</v>
      </c>
      <c r="L1051" s="7">
        <v>0.78900000000000003</v>
      </c>
      <c r="M1051" s="8">
        <v>89.032200000000003</v>
      </c>
      <c r="N1051" s="8">
        <v>80.346800000000002</v>
      </c>
      <c r="O1051" s="7">
        <v>63.635399999999997</v>
      </c>
      <c r="P1051" s="7">
        <v>3756.1655999999998</v>
      </c>
      <c r="Q1051" s="7">
        <v>3239.5944</v>
      </c>
      <c r="R1051" s="7" t="str">
        <f t="shared" si="239"/>
        <v>Down</v>
      </c>
      <c r="S1051" s="7" t="str">
        <f t="shared" si="240"/>
        <v>Sell</v>
      </c>
      <c r="T1051" s="8">
        <f t="shared" si="241"/>
        <v>0.31605916666666667</v>
      </c>
      <c r="U1051" s="18">
        <f t="shared" si="242"/>
        <v>589302</v>
      </c>
      <c r="V1051" s="7">
        <f t="shared" si="243"/>
        <v>5586.2002000000002</v>
      </c>
      <c r="W1051" s="7">
        <f t="shared" si="244"/>
        <v>3637</v>
      </c>
      <c r="X1051" s="7">
        <f t="shared" si="245"/>
        <v>3681.3998999999999</v>
      </c>
      <c r="Y1051" s="7">
        <f t="shared" si="246"/>
        <v>48</v>
      </c>
      <c r="Z1051" s="7">
        <f t="shared" si="247"/>
        <v>220512</v>
      </c>
      <c r="AA1051" s="7" t="str">
        <f t="shared" si="248"/>
        <v>16-Sep-2025</v>
      </c>
      <c r="AB1051" s="7">
        <f t="shared" si="249"/>
        <v>3681.3998999999999</v>
      </c>
      <c r="AC1051" s="7">
        <f t="shared" si="252"/>
        <v>1</v>
      </c>
      <c r="AD1051" s="7">
        <f t="shared" si="250"/>
        <v>2025</v>
      </c>
      <c r="AE1051" s="19">
        <f t="shared" si="251"/>
        <v>1.1399999999999999</v>
      </c>
    </row>
    <row r="1052" spans="1:31" x14ac:dyDescent="0.3">
      <c r="A1052" s="17">
        <v>45917</v>
      </c>
      <c r="B1052" s="8">
        <v>3681.8</v>
      </c>
      <c r="C1052" s="7">
        <v>3685.2</v>
      </c>
      <c r="D1052" s="7">
        <v>3661.6001000000001</v>
      </c>
      <c r="E1052" s="7">
        <v>3669</v>
      </c>
      <c r="F1052" s="18">
        <v>183</v>
      </c>
      <c r="G1052" s="7">
        <v>3650.1286</v>
      </c>
      <c r="H1052" s="7">
        <v>3465.2332999999999</v>
      </c>
      <c r="I1052" s="7">
        <v>3372.9167000000002</v>
      </c>
      <c r="J1052" s="8">
        <v>-0.33679999999999999</v>
      </c>
      <c r="K1052" s="7">
        <v>0.80779999999999996</v>
      </c>
      <c r="L1052" s="7">
        <v>0.79749999999999999</v>
      </c>
      <c r="M1052" s="8">
        <v>85.620699999999999</v>
      </c>
      <c r="N1052" s="8">
        <v>80.859499999999997</v>
      </c>
      <c r="O1052" s="7">
        <v>67.080299999999994</v>
      </c>
      <c r="P1052" s="7">
        <v>3771.2348000000002</v>
      </c>
      <c r="Q1052" s="7">
        <v>3258.4052000000001</v>
      </c>
      <c r="R1052" s="7" t="str">
        <f t="shared" si="239"/>
        <v>Down</v>
      </c>
      <c r="S1052" s="7" t="str">
        <f t="shared" si="240"/>
        <v>Sell</v>
      </c>
      <c r="T1052" s="8">
        <f t="shared" si="241"/>
        <v>0.30915714285714285</v>
      </c>
      <c r="U1052" s="18">
        <f t="shared" si="242"/>
        <v>588929</v>
      </c>
      <c r="V1052" s="7">
        <f t="shared" si="243"/>
        <v>5586.2002000000002</v>
      </c>
      <c r="W1052" s="7">
        <f t="shared" si="244"/>
        <v>3637</v>
      </c>
      <c r="X1052" s="7">
        <f t="shared" si="245"/>
        <v>3669</v>
      </c>
      <c r="Y1052" s="7">
        <f t="shared" si="246"/>
        <v>48</v>
      </c>
      <c r="Z1052" s="7">
        <f t="shared" si="247"/>
        <v>220512</v>
      </c>
      <c r="AA1052" s="7" t="str">
        <f t="shared" si="248"/>
        <v>17-Sep-2025</v>
      </c>
      <c r="AB1052" s="7">
        <f t="shared" si="249"/>
        <v>3669</v>
      </c>
      <c r="AC1052" s="7">
        <f t="shared" si="252"/>
        <v>1</v>
      </c>
      <c r="AD1052" s="7">
        <f t="shared" si="250"/>
        <v>2025</v>
      </c>
      <c r="AE1052" s="19">
        <f t="shared" si="251"/>
        <v>-0.34</v>
      </c>
    </row>
    <row r="1053" spans="1:31" x14ac:dyDescent="0.3">
      <c r="A1053" s="17">
        <v>45918</v>
      </c>
      <c r="B1053" s="8">
        <v>3643.7</v>
      </c>
      <c r="C1053" s="7">
        <v>3667.3998999999999</v>
      </c>
      <c r="D1053" s="7">
        <v>3637</v>
      </c>
      <c r="E1053" s="7">
        <v>3654.6001000000001</v>
      </c>
      <c r="F1053" s="18">
        <v>80</v>
      </c>
      <c r="G1053" s="7">
        <v>3651.2</v>
      </c>
      <c r="H1053" s="7">
        <v>3474.3633</v>
      </c>
      <c r="I1053" s="7">
        <v>3376.8489</v>
      </c>
      <c r="J1053" s="8">
        <v>-0.39250000000000002</v>
      </c>
      <c r="K1053" s="7">
        <v>0.65010000000000001</v>
      </c>
      <c r="L1053" s="7">
        <v>0.80610000000000004</v>
      </c>
      <c r="M1053" s="8">
        <v>81.962500000000006</v>
      </c>
      <c r="N1053" s="8">
        <v>79.191000000000003</v>
      </c>
      <c r="O1053" s="7">
        <v>69.502399999999994</v>
      </c>
      <c r="P1053" s="7">
        <v>3776.6342</v>
      </c>
      <c r="Q1053" s="7">
        <v>3287.4058</v>
      </c>
      <c r="R1053" s="7" t="str">
        <f t="shared" si="239"/>
        <v>Up</v>
      </c>
      <c r="S1053" s="7" t="str">
        <f t="shared" si="240"/>
        <v>Sell</v>
      </c>
      <c r="T1053" s="8">
        <f t="shared" si="241"/>
        <v>0.31463135593220332</v>
      </c>
      <c r="U1053" s="18">
        <f t="shared" si="242"/>
        <v>588746</v>
      </c>
      <c r="V1053" s="7">
        <f t="shared" si="243"/>
        <v>5586.2002000000002</v>
      </c>
      <c r="W1053" s="7">
        <f t="shared" si="244"/>
        <v>3637</v>
      </c>
      <c r="X1053" s="7">
        <f t="shared" si="245"/>
        <v>3654.6001000000001</v>
      </c>
      <c r="Y1053" s="7">
        <f t="shared" si="246"/>
        <v>48</v>
      </c>
      <c r="Z1053" s="7">
        <f t="shared" si="247"/>
        <v>220512</v>
      </c>
      <c r="AA1053" s="7" t="str">
        <f t="shared" si="248"/>
        <v>18-Sep-2025</v>
      </c>
      <c r="AB1053" s="7">
        <f t="shared" si="249"/>
        <v>3654.6001000000001</v>
      </c>
      <c r="AC1053" s="7">
        <f t="shared" si="252"/>
        <v>1</v>
      </c>
      <c r="AD1053" s="7">
        <f t="shared" si="250"/>
        <v>2025</v>
      </c>
      <c r="AE1053" s="19">
        <f t="shared" si="251"/>
        <v>-0.39</v>
      </c>
    </row>
    <row r="1054" spans="1:31" x14ac:dyDescent="0.3">
      <c r="A1054" s="17">
        <v>45919</v>
      </c>
      <c r="B1054" s="8">
        <v>3671.5</v>
      </c>
      <c r="C1054" s="7">
        <v>3685.8998999999999</v>
      </c>
      <c r="D1054" s="7">
        <v>3658.2</v>
      </c>
      <c r="E1054" s="7">
        <v>3659</v>
      </c>
      <c r="F1054" s="18">
        <v>211</v>
      </c>
      <c r="G1054" s="7">
        <v>3656.0571</v>
      </c>
      <c r="H1054" s="7">
        <v>3483.5</v>
      </c>
      <c r="I1054" s="7">
        <v>3381.5933</v>
      </c>
      <c r="J1054" s="8">
        <v>0.12039999999999999</v>
      </c>
      <c r="K1054" s="7">
        <v>0.58630000000000004</v>
      </c>
      <c r="L1054" s="7">
        <v>0.80610000000000004</v>
      </c>
      <c r="M1054" s="8">
        <v>81.018900000000002</v>
      </c>
      <c r="N1054" s="8">
        <v>77.332300000000004</v>
      </c>
      <c r="O1054" s="7">
        <v>71.068399999999997</v>
      </c>
      <c r="P1054" s="7">
        <v>3782.4479999999999</v>
      </c>
      <c r="Q1054" s="7">
        <v>3312.5520000000001</v>
      </c>
      <c r="R1054" s="7" t="str">
        <f t="shared" si="239"/>
        <v>Down</v>
      </c>
      <c r="S1054" s="7" t="str">
        <f t="shared" si="240"/>
        <v>Sell</v>
      </c>
      <c r="T1054" s="8">
        <f t="shared" si="241"/>
        <v>0.32067521367521362</v>
      </c>
      <c r="U1054" s="18">
        <f t="shared" si="242"/>
        <v>588666</v>
      </c>
      <c r="V1054" s="7">
        <f t="shared" si="243"/>
        <v>5586.2002000000002</v>
      </c>
      <c r="W1054" s="7">
        <f t="shared" si="244"/>
        <v>3658.2</v>
      </c>
      <c r="X1054" s="7">
        <f t="shared" si="245"/>
        <v>3659</v>
      </c>
      <c r="Y1054" s="7">
        <f t="shared" si="246"/>
        <v>47</v>
      </c>
      <c r="Z1054" s="7">
        <f t="shared" si="247"/>
        <v>220432</v>
      </c>
      <c r="AA1054" s="7" t="str">
        <f t="shared" si="248"/>
        <v>19-Sep-2025</v>
      </c>
      <c r="AB1054" s="7">
        <f t="shared" si="249"/>
        <v>3659</v>
      </c>
      <c r="AC1054" s="7">
        <f t="shared" si="252"/>
        <v>1</v>
      </c>
      <c r="AD1054" s="7">
        <f t="shared" si="250"/>
        <v>2025</v>
      </c>
      <c r="AE1054" s="19">
        <f t="shared" si="251"/>
        <v>0.12</v>
      </c>
    </row>
    <row r="1055" spans="1:31" x14ac:dyDescent="0.3">
      <c r="A1055" s="17">
        <v>45922</v>
      </c>
      <c r="B1055" s="8">
        <v>3740.7</v>
      </c>
      <c r="C1055" s="7">
        <v>3748.2</v>
      </c>
      <c r="D1055" s="7">
        <v>3688</v>
      </c>
      <c r="E1055" s="7">
        <v>3688.2</v>
      </c>
      <c r="F1055" s="18">
        <v>410</v>
      </c>
      <c r="G1055" s="7">
        <v>3663.9571000000001</v>
      </c>
      <c r="H1055" s="7">
        <v>3491.8132999999998</v>
      </c>
      <c r="I1055" s="7">
        <v>3386.6511</v>
      </c>
      <c r="J1055" s="8">
        <v>0.79800000000000004</v>
      </c>
      <c r="K1055" s="7">
        <v>0.63859999999999995</v>
      </c>
      <c r="L1055" s="7">
        <v>0.77329999999999999</v>
      </c>
      <c r="M1055" s="8">
        <v>79.683400000000006</v>
      </c>
      <c r="N1055" s="8">
        <v>77.324100000000001</v>
      </c>
      <c r="O1055" s="7">
        <v>72.319500000000005</v>
      </c>
      <c r="P1055" s="7">
        <v>3787.819</v>
      </c>
      <c r="Q1055" s="7">
        <v>3341.0610000000001</v>
      </c>
      <c r="R1055" s="7" t="str">
        <f t="shared" si="239"/>
        <v>Down</v>
      </c>
      <c r="S1055" s="7" t="str">
        <f t="shared" si="240"/>
        <v>Sell</v>
      </c>
      <c r="T1055" s="8">
        <f t="shared" si="241"/>
        <v>0.322401724137931</v>
      </c>
      <c r="U1055" s="18">
        <f t="shared" si="242"/>
        <v>588455</v>
      </c>
      <c r="V1055" s="7">
        <f t="shared" si="243"/>
        <v>5586.2002000000002</v>
      </c>
      <c r="W1055" s="7">
        <f t="shared" si="244"/>
        <v>3688</v>
      </c>
      <c r="X1055" s="7">
        <f t="shared" si="245"/>
        <v>3688.2</v>
      </c>
      <c r="Y1055" s="7">
        <f t="shared" si="246"/>
        <v>47</v>
      </c>
      <c r="Z1055" s="7">
        <f t="shared" si="247"/>
        <v>220432</v>
      </c>
      <c r="AA1055" s="7" t="str">
        <f t="shared" si="248"/>
        <v>22-Sep-2025</v>
      </c>
      <c r="AB1055" s="7">
        <f t="shared" si="249"/>
        <v>3688.2</v>
      </c>
      <c r="AC1055" s="7">
        <f t="shared" si="252"/>
        <v>1</v>
      </c>
      <c r="AD1055" s="7">
        <f t="shared" si="250"/>
        <v>2025</v>
      </c>
      <c r="AE1055" s="19">
        <f t="shared" si="251"/>
        <v>0.8</v>
      </c>
    </row>
    <row r="1056" spans="1:31" x14ac:dyDescent="0.3">
      <c r="A1056" s="17">
        <v>45923</v>
      </c>
      <c r="B1056" s="8">
        <v>3780.6001000000001</v>
      </c>
      <c r="C1056" s="7">
        <v>3786</v>
      </c>
      <c r="D1056" s="7">
        <v>3740</v>
      </c>
      <c r="E1056" s="7">
        <v>3747</v>
      </c>
      <c r="F1056" s="18">
        <v>627</v>
      </c>
      <c r="G1056" s="7">
        <v>3677.0286000000001</v>
      </c>
      <c r="H1056" s="7">
        <v>3503.9167000000002</v>
      </c>
      <c r="I1056" s="7">
        <v>3393.2732999999998</v>
      </c>
      <c r="J1056" s="8">
        <v>1.5943000000000001</v>
      </c>
      <c r="K1056" s="7">
        <v>0.82089999999999996</v>
      </c>
      <c r="L1056" s="7">
        <v>0.73070000000000002</v>
      </c>
      <c r="M1056" s="8">
        <v>79.050799999999995</v>
      </c>
      <c r="N1056" s="8">
        <v>81.127099999999999</v>
      </c>
      <c r="O1056" s="7">
        <v>74.081100000000006</v>
      </c>
      <c r="P1056" s="7">
        <v>3800.5070999999998</v>
      </c>
      <c r="Q1056" s="7">
        <v>3366.4729000000002</v>
      </c>
      <c r="R1056" s="7" t="str">
        <f t="shared" si="239"/>
        <v>Down</v>
      </c>
      <c r="S1056" s="7" t="str">
        <f t="shared" si="240"/>
        <v>Sell</v>
      </c>
      <c r="T1056" s="8">
        <f t="shared" si="241"/>
        <v>0.3182660869565217</v>
      </c>
      <c r="U1056" s="18">
        <f t="shared" si="242"/>
        <v>588045</v>
      </c>
      <c r="V1056" s="7">
        <f t="shared" si="243"/>
        <v>5586.2002000000002</v>
      </c>
      <c r="W1056" s="7">
        <f t="shared" si="244"/>
        <v>3724.7</v>
      </c>
      <c r="X1056" s="7">
        <f t="shared" si="245"/>
        <v>3747</v>
      </c>
      <c r="Y1056" s="7">
        <f t="shared" si="246"/>
        <v>47</v>
      </c>
      <c r="Z1056" s="7">
        <f t="shared" si="247"/>
        <v>220432</v>
      </c>
      <c r="AA1056" s="7" t="str">
        <f t="shared" si="248"/>
        <v>23-Sep-2025</v>
      </c>
      <c r="AB1056" s="7">
        <f t="shared" si="249"/>
        <v>3747</v>
      </c>
      <c r="AC1056" s="7">
        <f t="shared" si="252"/>
        <v>1</v>
      </c>
      <c r="AD1056" s="7">
        <f t="shared" si="250"/>
        <v>2025</v>
      </c>
      <c r="AE1056" s="19">
        <f t="shared" si="251"/>
        <v>1.59</v>
      </c>
    </row>
    <row r="1057" spans="1:31" x14ac:dyDescent="0.3">
      <c r="A1057" s="17">
        <v>45924</v>
      </c>
      <c r="B1057" s="8">
        <v>3732.1001000000001</v>
      </c>
      <c r="C1057" s="7">
        <v>3772.5</v>
      </c>
      <c r="D1057" s="7">
        <v>3732.1001000000001</v>
      </c>
      <c r="E1057" s="7">
        <v>3769.8</v>
      </c>
      <c r="F1057" s="18">
        <v>588</v>
      </c>
      <c r="G1057" s="7">
        <v>3695.5713999999998</v>
      </c>
      <c r="H1057" s="7">
        <v>3517.7033000000001</v>
      </c>
      <c r="I1057" s="7">
        <v>3399.2966999999999</v>
      </c>
      <c r="J1057" s="8">
        <v>0.60850000000000004</v>
      </c>
      <c r="K1057" s="7">
        <v>0.74670000000000003</v>
      </c>
      <c r="L1057" s="7">
        <v>0.69830000000000003</v>
      </c>
      <c r="M1057" s="8">
        <v>81.531400000000005</v>
      </c>
      <c r="N1057" s="8">
        <v>85.001000000000005</v>
      </c>
      <c r="O1057" s="7">
        <v>76.265000000000001</v>
      </c>
      <c r="P1057" s="7">
        <v>3812.7577000000001</v>
      </c>
      <c r="Q1057" s="7">
        <v>3393.3123000000001</v>
      </c>
      <c r="R1057" s="7" t="str">
        <f t="shared" si="239"/>
        <v>Up</v>
      </c>
      <c r="S1057" s="7" t="str">
        <f t="shared" si="240"/>
        <v>Sell</v>
      </c>
      <c r="T1057" s="8">
        <f t="shared" si="241"/>
        <v>0.30707280701754391</v>
      </c>
      <c r="U1057" s="18">
        <f t="shared" si="242"/>
        <v>587418</v>
      </c>
      <c r="V1057" s="7">
        <f t="shared" si="243"/>
        <v>5586.2002000000002</v>
      </c>
      <c r="W1057" s="7">
        <f t="shared" si="244"/>
        <v>3724.7</v>
      </c>
      <c r="X1057" s="7">
        <f t="shared" si="245"/>
        <v>3769.8</v>
      </c>
      <c r="Y1057" s="7">
        <f t="shared" si="246"/>
        <v>47</v>
      </c>
      <c r="Z1057" s="7">
        <f t="shared" si="247"/>
        <v>220432</v>
      </c>
      <c r="AA1057" s="7" t="str">
        <f t="shared" si="248"/>
        <v>24-Sep-2025</v>
      </c>
      <c r="AB1057" s="7">
        <f t="shared" si="249"/>
        <v>3769.8</v>
      </c>
      <c r="AC1057" s="7">
        <f t="shared" si="252"/>
        <v>1</v>
      </c>
      <c r="AD1057" s="7">
        <f t="shared" si="250"/>
        <v>2025</v>
      </c>
      <c r="AE1057" s="19">
        <f t="shared" si="251"/>
        <v>0.61</v>
      </c>
    </row>
    <row r="1058" spans="1:31" x14ac:dyDescent="0.3">
      <c r="A1058" s="17">
        <v>45925</v>
      </c>
      <c r="B1058" s="8">
        <v>3736.8998999999999</v>
      </c>
      <c r="C1058" s="7">
        <v>3756</v>
      </c>
      <c r="D1058" s="7">
        <v>3724.7</v>
      </c>
      <c r="E1058" s="7">
        <v>3742.8</v>
      </c>
      <c r="F1058" s="18">
        <v>1899</v>
      </c>
      <c r="G1058" s="7">
        <v>3704.3429000000001</v>
      </c>
      <c r="H1058" s="7">
        <v>3530.5032999999999</v>
      </c>
      <c r="I1058" s="7">
        <v>3404.9456</v>
      </c>
      <c r="J1058" s="8">
        <v>-0.71619999999999995</v>
      </c>
      <c r="K1058" s="7">
        <v>0.81059999999999999</v>
      </c>
      <c r="L1058" s="7">
        <v>0.72499999999999998</v>
      </c>
      <c r="M1058" s="8">
        <v>74.454999999999998</v>
      </c>
      <c r="N1058" s="8">
        <v>84.913499999999999</v>
      </c>
      <c r="O1058" s="7">
        <v>77.994699999999995</v>
      </c>
      <c r="P1058" s="7">
        <v>3815.0054</v>
      </c>
      <c r="Q1058" s="7">
        <v>3425.6446000000001</v>
      </c>
      <c r="R1058" s="7" t="str">
        <f t="shared" si="239"/>
        <v>Up</v>
      </c>
      <c r="S1058" s="7" t="str">
        <f t="shared" si="240"/>
        <v>Sell</v>
      </c>
      <c r="T1058" s="8">
        <f t="shared" si="241"/>
        <v>0.3044053097345133</v>
      </c>
      <c r="U1058" s="18">
        <f t="shared" si="242"/>
        <v>586830</v>
      </c>
      <c r="V1058" s="7">
        <f t="shared" si="243"/>
        <v>5586.2002000000002</v>
      </c>
      <c r="W1058" s="7">
        <f t="shared" si="244"/>
        <v>3724.7</v>
      </c>
      <c r="X1058" s="7">
        <f t="shared" si="245"/>
        <v>3742.8</v>
      </c>
      <c r="Y1058" s="7">
        <f t="shared" si="246"/>
        <v>46</v>
      </c>
      <c r="Z1058" s="7">
        <f t="shared" si="247"/>
        <v>219844</v>
      </c>
      <c r="AA1058" s="7" t="str">
        <f t="shared" si="248"/>
        <v>25-Sep-2025</v>
      </c>
      <c r="AB1058" s="7">
        <f t="shared" si="249"/>
        <v>3742.8</v>
      </c>
      <c r="AC1058" s="7">
        <f t="shared" si="252"/>
        <v>1</v>
      </c>
      <c r="AD1058" s="7">
        <f t="shared" si="250"/>
        <v>2025</v>
      </c>
      <c r="AE1058" s="19">
        <f t="shared" si="251"/>
        <v>-0.72</v>
      </c>
    </row>
    <row r="1059" spans="1:31" x14ac:dyDescent="0.3">
      <c r="A1059" s="17">
        <v>45926</v>
      </c>
      <c r="B1059" s="8">
        <v>3775.3</v>
      </c>
      <c r="C1059" s="7">
        <v>3775.3</v>
      </c>
      <c r="D1059" s="7">
        <v>3775.3</v>
      </c>
      <c r="E1059" s="7">
        <v>3775.3</v>
      </c>
      <c r="F1059" s="18">
        <v>19308</v>
      </c>
      <c r="G1059" s="7">
        <v>3719.5286000000001</v>
      </c>
      <c r="H1059" s="7">
        <v>3544.7867000000001</v>
      </c>
      <c r="I1059" s="7">
        <v>3411.1266999999998</v>
      </c>
      <c r="J1059" s="8">
        <v>0.86829999999999996</v>
      </c>
      <c r="K1059" s="7">
        <v>0.79569999999999996</v>
      </c>
      <c r="L1059" s="7">
        <v>0.71750000000000003</v>
      </c>
      <c r="M1059" s="8">
        <v>74.862499999999997</v>
      </c>
      <c r="N1059" s="8">
        <v>86.469899999999996</v>
      </c>
      <c r="O1059" s="7">
        <v>79.689800000000005</v>
      </c>
      <c r="P1059" s="7">
        <v>3817.9236000000001</v>
      </c>
      <c r="Q1059" s="7">
        <v>3459.3564000000001</v>
      </c>
      <c r="R1059" s="7" t="str">
        <f t="shared" si="239"/>
        <v>Down</v>
      </c>
      <c r="S1059" s="7" t="str">
        <f t="shared" si="240"/>
        <v>Sell</v>
      </c>
      <c r="T1059" s="8">
        <f t="shared" si="241"/>
        <v>0.31351785714285718</v>
      </c>
      <c r="U1059" s="18">
        <f t="shared" si="242"/>
        <v>584931</v>
      </c>
      <c r="V1059" s="7">
        <f t="shared" si="243"/>
        <v>5586.2002000000002</v>
      </c>
      <c r="W1059" s="7">
        <f t="shared" si="244"/>
        <v>3754.8</v>
      </c>
      <c r="X1059" s="7">
        <f t="shared" si="245"/>
        <v>3775.3</v>
      </c>
      <c r="Y1059" s="7">
        <f t="shared" si="246"/>
        <v>45</v>
      </c>
      <c r="Z1059" s="7">
        <f t="shared" si="247"/>
        <v>217945</v>
      </c>
      <c r="AA1059" s="7" t="str">
        <f t="shared" si="248"/>
        <v>26-Sep-2025</v>
      </c>
      <c r="AB1059" s="7">
        <f t="shared" si="249"/>
        <v>3775.3</v>
      </c>
      <c r="AC1059" s="7">
        <f t="shared" si="252"/>
        <v>1</v>
      </c>
      <c r="AD1059" s="7">
        <f t="shared" si="250"/>
        <v>2025</v>
      </c>
      <c r="AE1059" s="19">
        <f t="shared" si="251"/>
        <v>0.87</v>
      </c>
    </row>
    <row r="1060" spans="1:31" x14ac:dyDescent="0.3">
      <c r="A1060" s="17">
        <v>45929</v>
      </c>
      <c r="B1060" s="8">
        <v>3820.8998999999999</v>
      </c>
      <c r="C1060" s="7">
        <v>3827.6001000000001</v>
      </c>
      <c r="D1060" s="7">
        <v>3754.8</v>
      </c>
      <c r="E1060" s="7">
        <v>3754.8</v>
      </c>
      <c r="F1060" s="18">
        <v>8860</v>
      </c>
      <c r="G1060" s="7">
        <v>3733.8429000000001</v>
      </c>
      <c r="H1060" s="7">
        <v>3558.3867</v>
      </c>
      <c r="I1060" s="7">
        <v>3416.2532999999999</v>
      </c>
      <c r="J1060" s="8">
        <v>-0.54300000000000004</v>
      </c>
      <c r="K1060" s="7">
        <v>0.8226</v>
      </c>
      <c r="L1060" s="7">
        <v>0.73470000000000002</v>
      </c>
      <c r="M1060" s="8">
        <v>66.244299999999996</v>
      </c>
      <c r="N1060" s="8">
        <v>85.068600000000004</v>
      </c>
      <c r="O1060" s="7">
        <v>80.765500000000003</v>
      </c>
      <c r="P1060" s="7">
        <v>3812.6909999999998</v>
      </c>
      <c r="Q1060" s="7">
        <v>3496.819</v>
      </c>
      <c r="R1060" s="7" t="str">
        <f t="shared" si="239"/>
        <v>Down</v>
      </c>
      <c r="S1060" s="7" t="str">
        <f t="shared" si="240"/>
        <v>Hold</v>
      </c>
      <c r="T1060" s="8">
        <f t="shared" si="241"/>
        <v>0.3085198198198198</v>
      </c>
      <c r="U1060" s="18">
        <f t="shared" si="242"/>
        <v>565623</v>
      </c>
      <c r="V1060" s="7">
        <f t="shared" si="243"/>
        <v>5586.2002000000002</v>
      </c>
      <c r="W1060" s="7">
        <f t="shared" si="244"/>
        <v>3754.8</v>
      </c>
      <c r="X1060" s="7">
        <f t="shared" si="245"/>
        <v>3754.8</v>
      </c>
      <c r="Y1060" s="7">
        <f t="shared" si="246"/>
        <v>45</v>
      </c>
      <c r="Z1060" s="7">
        <f t="shared" si="247"/>
        <v>217945</v>
      </c>
      <c r="AA1060" s="7" t="str">
        <f t="shared" si="248"/>
        <v>29-Sep-2025</v>
      </c>
      <c r="AB1060" s="7">
        <f t="shared" si="249"/>
        <v>3754.8</v>
      </c>
      <c r="AC1060" s="7">
        <f t="shared" si="252"/>
        <v>1</v>
      </c>
      <c r="AD1060" s="7">
        <f t="shared" si="250"/>
        <v>2025</v>
      </c>
      <c r="AE1060" s="19">
        <f t="shared" si="251"/>
        <v>-0.54</v>
      </c>
    </row>
    <row r="1061" spans="1:31" x14ac:dyDescent="0.3">
      <c r="A1061" s="17">
        <v>45930</v>
      </c>
      <c r="B1061" s="8">
        <v>3840.8</v>
      </c>
      <c r="C1061" s="7">
        <v>3865.5</v>
      </c>
      <c r="D1061" s="7">
        <v>3793.3998999999999</v>
      </c>
      <c r="E1061" s="7">
        <v>3827.5</v>
      </c>
      <c r="F1061" s="18">
        <v>1611</v>
      </c>
      <c r="G1061" s="7">
        <v>3757.9142999999999</v>
      </c>
      <c r="H1061" s="7">
        <v>3574.8533000000002</v>
      </c>
      <c r="I1061" s="7">
        <v>3421.8110999999999</v>
      </c>
      <c r="J1061" s="8">
        <v>1.9361999999999999</v>
      </c>
      <c r="K1061" s="7">
        <v>0.99219999999999997</v>
      </c>
      <c r="L1061" s="7">
        <v>0.77139999999999997</v>
      </c>
      <c r="M1061" s="8">
        <v>76.4983</v>
      </c>
      <c r="N1061" s="8">
        <v>88.800700000000006</v>
      </c>
      <c r="O1061" s="7">
        <v>82.372600000000006</v>
      </c>
      <c r="P1061" s="7">
        <v>3826.6983</v>
      </c>
      <c r="Q1061" s="7">
        <v>3516.9917</v>
      </c>
      <c r="R1061" s="7" t="str">
        <f t="shared" si="239"/>
        <v>Down</v>
      </c>
      <c r="S1061" s="7" t="str">
        <f t="shared" si="240"/>
        <v>Sell</v>
      </c>
      <c r="T1061" s="8">
        <f t="shared" si="241"/>
        <v>0.31626090909090909</v>
      </c>
      <c r="U1061" s="18">
        <f t="shared" si="242"/>
        <v>556763</v>
      </c>
      <c r="V1061" s="7">
        <f t="shared" si="243"/>
        <v>5586.2002000000002</v>
      </c>
      <c r="W1061" s="7">
        <f t="shared" si="244"/>
        <v>3793.3998999999999</v>
      </c>
      <c r="X1061" s="7">
        <f t="shared" si="245"/>
        <v>3827.5</v>
      </c>
      <c r="Y1061" s="7">
        <f t="shared" si="246"/>
        <v>45</v>
      </c>
      <c r="Z1061" s="7">
        <f t="shared" si="247"/>
        <v>217945</v>
      </c>
      <c r="AA1061" s="7" t="str">
        <f t="shared" si="248"/>
        <v>30-Sep-2025</v>
      </c>
      <c r="AB1061" s="7">
        <f t="shared" si="249"/>
        <v>3827.5</v>
      </c>
      <c r="AC1061" s="7">
        <f t="shared" si="252"/>
        <v>1</v>
      </c>
      <c r="AD1061" s="7">
        <f t="shared" si="250"/>
        <v>2025</v>
      </c>
      <c r="AE1061" s="19">
        <f t="shared" si="251"/>
        <v>1.94</v>
      </c>
    </row>
    <row r="1062" spans="1:31" x14ac:dyDescent="0.3">
      <c r="A1062" s="17">
        <v>45931</v>
      </c>
      <c r="B1062" s="8">
        <v>3867.5</v>
      </c>
      <c r="C1062" s="7">
        <v>3891.8998999999999</v>
      </c>
      <c r="D1062" s="7">
        <v>3853.3</v>
      </c>
      <c r="E1062" s="7">
        <v>3863.5</v>
      </c>
      <c r="F1062" s="18">
        <v>1778</v>
      </c>
      <c r="G1062" s="7">
        <v>3782.9571999999998</v>
      </c>
      <c r="H1062" s="7">
        <v>3592.63</v>
      </c>
      <c r="I1062" s="7">
        <v>3427.7611000000002</v>
      </c>
      <c r="J1062" s="8">
        <v>0.94059999999999999</v>
      </c>
      <c r="K1062" s="7">
        <v>0.99719999999999998</v>
      </c>
      <c r="L1062" s="7">
        <v>0.76859999999999995</v>
      </c>
      <c r="M1062" s="8">
        <v>78.1083</v>
      </c>
      <c r="N1062" s="8">
        <v>93.584500000000006</v>
      </c>
      <c r="O1062" s="7">
        <v>84.614900000000006</v>
      </c>
      <c r="P1062" s="7">
        <v>3854.0891000000001</v>
      </c>
      <c r="Q1062" s="7">
        <v>3520.4708999999998</v>
      </c>
      <c r="R1062" s="7" t="str">
        <f t="shared" si="239"/>
        <v>Down</v>
      </c>
      <c r="S1062" s="7" t="str">
        <f t="shared" si="240"/>
        <v>Sell</v>
      </c>
      <c r="T1062" s="8">
        <f t="shared" si="241"/>
        <v>0.30139908256880732</v>
      </c>
      <c r="U1062" s="18">
        <f t="shared" si="242"/>
        <v>555152</v>
      </c>
      <c r="V1062" s="7">
        <f t="shared" si="243"/>
        <v>5586.2002000000002</v>
      </c>
      <c r="W1062" s="7">
        <f t="shared" si="244"/>
        <v>3823.7</v>
      </c>
      <c r="X1062" s="7">
        <f t="shared" si="245"/>
        <v>3863.5</v>
      </c>
      <c r="Y1062" s="7">
        <f t="shared" si="246"/>
        <v>45</v>
      </c>
      <c r="Z1062" s="7">
        <f t="shared" si="247"/>
        <v>217945</v>
      </c>
      <c r="AA1062" s="7" t="str">
        <f t="shared" si="248"/>
        <v>01-Oct-2025</v>
      </c>
      <c r="AB1062" s="7">
        <f t="shared" si="249"/>
        <v>3863.5</v>
      </c>
      <c r="AC1062" s="7">
        <f t="shared" si="252"/>
        <v>1</v>
      </c>
      <c r="AD1062" s="7">
        <f t="shared" si="250"/>
        <v>2025</v>
      </c>
      <c r="AE1062" s="19">
        <f t="shared" si="251"/>
        <v>0.94</v>
      </c>
    </row>
    <row r="1063" spans="1:31" x14ac:dyDescent="0.3">
      <c r="A1063" s="17">
        <v>45932</v>
      </c>
      <c r="B1063" s="8">
        <v>3839.7</v>
      </c>
      <c r="C1063" s="7">
        <v>3888.6001000000001</v>
      </c>
      <c r="D1063" s="7">
        <v>3823.7</v>
      </c>
      <c r="E1063" s="7">
        <v>3856.2</v>
      </c>
      <c r="F1063" s="18">
        <v>3418</v>
      </c>
      <c r="G1063" s="7">
        <v>3798.5572000000002</v>
      </c>
      <c r="H1063" s="7">
        <v>3610.8166999999999</v>
      </c>
      <c r="I1063" s="7">
        <v>3433.58</v>
      </c>
      <c r="J1063" s="8">
        <v>-0.18890000000000001</v>
      </c>
      <c r="K1063" s="7">
        <v>0.94830000000000003</v>
      </c>
      <c r="L1063" s="7">
        <v>0.75239999999999996</v>
      </c>
      <c r="M1063" s="8">
        <v>75.411500000000004</v>
      </c>
      <c r="N1063" s="8">
        <v>95.683599999999998</v>
      </c>
      <c r="O1063" s="7">
        <v>86.828699999999998</v>
      </c>
      <c r="P1063" s="7">
        <v>3872.5113000000001</v>
      </c>
      <c r="Q1063" s="7">
        <v>3532.6788000000001</v>
      </c>
      <c r="R1063" s="7" t="str">
        <f t="shared" si="239"/>
        <v>Up</v>
      </c>
      <c r="S1063" s="7" t="str">
        <f t="shared" si="240"/>
        <v>Sell</v>
      </c>
      <c r="T1063" s="8">
        <f t="shared" si="241"/>
        <v>0.29548055555555552</v>
      </c>
      <c r="U1063" s="18">
        <f t="shared" si="242"/>
        <v>553374</v>
      </c>
      <c r="V1063" s="7">
        <f t="shared" si="243"/>
        <v>5586.2002000000002</v>
      </c>
      <c r="W1063" s="7">
        <f t="shared" si="244"/>
        <v>3823.7</v>
      </c>
      <c r="X1063" s="7">
        <f t="shared" si="245"/>
        <v>3856.2</v>
      </c>
      <c r="Y1063" s="7">
        <f t="shared" si="246"/>
        <v>45</v>
      </c>
      <c r="Z1063" s="7">
        <f t="shared" si="247"/>
        <v>217945</v>
      </c>
      <c r="AA1063" s="7" t="str">
        <f t="shared" si="248"/>
        <v>02-Oct-2025</v>
      </c>
      <c r="AB1063" s="7">
        <f t="shared" si="249"/>
        <v>3856.2</v>
      </c>
      <c r="AC1063" s="7">
        <f t="shared" si="252"/>
        <v>1</v>
      </c>
      <c r="AD1063" s="7">
        <f t="shared" si="250"/>
        <v>2025</v>
      </c>
      <c r="AE1063" s="19">
        <f t="shared" si="251"/>
        <v>-0.19</v>
      </c>
    </row>
    <row r="1064" spans="1:31" x14ac:dyDescent="0.3">
      <c r="A1064" s="17">
        <v>45933</v>
      </c>
      <c r="B1064" s="8">
        <v>3880.8</v>
      </c>
      <c r="C1064" s="7">
        <v>3886.8</v>
      </c>
      <c r="D1064" s="7">
        <v>3853.7</v>
      </c>
      <c r="E1064" s="7">
        <v>3855.2</v>
      </c>
      <c r="F1064" s="18">
        <v>392</v>
      </c>
      <c r="G1064" s="7">
        <v>3810.7570999999998</v>
      </c>
      <c r="H1064" s="7">
        <v>3627.6767</v>
      </c>
      <c r="I1064" s="7">
        <v>3439.82</v>
      </c>
      <c r="J1064" s="8">
        <v>-2.5899999999999999E-2</v>
      </c>
      <c r="K1064" s="7">
        <v>0.95699999999999996</v>
      </c>
      <c r="L1064" s="7">
        <v>0.74790000000000001</v>
      </c>
      <c r="M1064" s="8">
        <v>78.286000000000001</v>
      </c>
      <c r="N1064" s="8">
        <v>96.158100000000005</v>
      </c>
      <c r="O1064" s="7">
        <v>88.694599999999994</v>
      </c>
      <c r="P1064" s="7">
        <v>3887.4926</v>
      </c>
      <c r="Q1064" s="7">
        <v>3546.4373999999998</v>
      </c>
      <c r="R1064" s="7" t="str">
        <f t="shared" si="239"/>
        <v>Down</v>
      </c>
      <c r="S1064" s="7" t="str">
        <f t="shared" si="240"/>
        <v>Sell</v>
      </c>
      <c r="T1064" s="8">
        <f t="shared" si="241"/>
        <v>0.30000747663551403</v>
      </c>
      <c r="U1064" s="18">
        <f t="shared" si="242"/>
        <v>549956</v>
      </c>
      <c r="V1064" s="7">
        <f t="shared" si="243"/>
        <v>5586.2002000000002</v>
      </c>
      <c r="W1064" s="7">
        <f t="shared" si="244"/>
        <v>3853.7</v>
      </c>
      <c r="X1064" s="7">
        <f t="shared" si="245"/>
        <v>3855.2</v>
      </c>
      <c r="Y1064" s="7">
        <f t="shared" si="246"/>
        <v>44</v>
      </c>
      <c r="Z1064" s="7">
        <f t="shared" si="247"/>
        <v>214527</v>
      </c>
      <c r="AA1064" s="7" t="str">
        <f t="shared" si="248"/>
        <v>03-Oct-2025</v>
      </c>
      <c r="AB1064" s="7">
        <f t="shared" si="249"/>
        <v>3855.2</v>
      </c>
      <c r="AC1064" s="7">
        <f t="shared" si="252"/>
        <v>1</v>
      </c>
      <c r="AD1064" s="7">
        <f t="shared" si="250"/>
        <v>2025</v>
      </c>
      <c r="AE1064" s="19">
        <f t="shared" si="251"/>
        <v>-0.03</v>
      </c>
    </row>
    <row r="1065" spans="1:31" x14ac:dyDescent="0.3">
      <c r="A1065" s="17">
        <v>45936</v>
      </c>
      <c r="B1065" s="8">
        <v>3948.5</v>
      </c>
      <c r="C1065" s="7">
        <v>3960</v>
      </c>
      <c r="D1065" s="7">
        <v>3926.8</v>
      </c>
      <c r="E1065" s="7">
        <v>3931.3</v>
      </c>
      <c r="F1065" s="18">
        <v>1267</v>
      </c>
      <c r="G1065" s="7">
        <v>3837.6857</v>
      </c>
      <c r="H1065" s="7">
        <v>3647.0733</v>
      </c>
      <c r="I1065" s="7">
        <v>3447.0156000000002</v>
      </c>
      <c r="J1065" s="8">
        <v>1.974</v>
      </c>
      <c r="K1065" s="7">
        <v>1.0082</v>
      </c>
      <c r="L1065" s="7">
        <v>0.79059999999999997</v>
      </c>
      <c r="M1065" s="8">
        <v>80.101200000000006</v>
      </c>
      <c r="N1065" s="8">
        <v>101.5047</v>
      </c>
      <c r="O1065" s="7">
        <v>91.256600000000006</v>
      </c>
      <c r="P1065" s="7">
        <v>3919.2766000000001</v>
      </c>
      <c r="Q1065" s="7">
        <v>3548.3335000000002</v>
      </c>
      <c r="R1065" s="7" t="str">
        <f t="shared" si="239"/>
        <v>Down</v>
      </c>
      <c r="S1065" s="7" t="str">
        <f t="shared" si="240"/>
        <v>Sell</v>
      </c>
      <c r="T1065" s="8">
        <f t="shared" si="241"/>
        <v>0.30308207547169819</v>
      </c>
      <c r="U1065" s="18">
        <f t="shared" si="242"/>
        <v>549564</v>
      </c>
      <c r="V1065" s="7">
        <f t="shared" si="243"/>
        <v>5586.2002000000002</v>
      </c>
      <c r="W1065" s="7">
        <f t="shared" si="244"/>
        <v>3913.7</v>
      </c>
      <c r="X1065" s="7">
        <f t="shared" si="245"/>
        <v>3931.3</v>
      </c>
      <c r="Y1065" s="7">
        <f t="shared" si="246"/>
        <v>44</v>
      </c>
      <c r="Z1065" s="7">
        <f t="shared" si="247"/>
        <v>214527</v>
      </c>
      <c r="AA1065" s="7" t="str">
        <f t="shared" si="248"/>
        <v>06-Oct-2025</v>
      </c>
      <c r="AB1065" s="7">
        <f t="shared" si="249"/>
        <v>3931.3</v>
      </c>
      <c r="AC1065" s="7">
        <f t="shared" si="252"/>
        <v>1</v>
      </c>
      <c r="AD1065" s="7">
        <f t="shared" si="250"/>
        <v>2025</v>
      </c>
      <c r="AE1065" s="19">
        <f t="shared" si="251"/>
        <v>1.97</v>
      </c>
    </row>
    <row r="1066" spans="1:31" x14ac:dyDescent="0.3">
      <c r="A1066" s="17">
        <v>45937</v>
      </c>
      <c r="B1066" s="8">
        <v>3976.6001000000001</v>
      </c>
      <c r="C1066" s="7">
        <v>3981.5</v>
      </c>
      <c r="D1066" s="7">
        <v>3940</v>
      </c>
      <c r="E1066" s="7">
        <v>3959.3998999999999</v>
      </c>
      <c r="F1066" s="18">
        <v>2903</v>
      </c>
      <c r="G1066" s="7">
        <v>3863.9857000000002</v>
      </c>
      <c r="H1066" s="7">
        <v>3666.8533000000002</v>
      </c>
      <c r="I1066" s="7">
        <v>3454.1743999999999</v>
      </c>
      <c r="J1066" s="8">
        <v>0.71479999999999999</v>
      </c>
      <c r="K1066" s="7">
        <v>1.0058</v>
      </c>
      <c r="L1066" s="7">
        <v>0.79120000000000001</v>
      </c>
      <c r="M1066" s="8">
        <v>83.704700000000003</v>
      </c>
      <c r="N1066" s="8">
        <v>106.7784</v>
      </c>
      <c r="O1066" s="7">
        <v>94.361000000000004</v>
      </c>
      <c r="P1066" s="7">
        <v>3955.5866999999998</v>
      </c>
      <c r="Q1066" s="7">
        <v>3543.2532999999999</v>
      </c>
      <c r="R1066" s="7" t="str">
        <f t="shared" si="239"/>
        <v>Down</v>
      </c>
      <c r="S1066" s="7" t="str">
        <f t="shared" si="240"/>
        <v>Sell</v>
      </c>
      <c r="T1066" s="8">
        <f t="shared" si="241"/>
        <v>0.28716857142857144</v>
      </c>
      <c r="U1066" s="18">
        <f t="shared" si="242"/>
        <v>548297</v>
      </c>
      <c r="V1066" s="7">
        <f t="shared" si="243"/>
        <v>5586.2002000000002</v>
      </c>
      <c r="W1066" s="7">
        <f t="shared" si="244"/>
        <v>3913.7</v>
      </c>
      <c r="X1066" s="7">
        <f t="shared" si="245"/>
        <v>3959.3998999999999</v>
      </c>
      <c r="Y1066" s="7">
        <f t="shared" si="246"/>
        <v>44</v>
      </c>
      <c r="Z1066" s="7">
        <f t="shared" si="247"/>
        <v>214527</v>
      </c>
      <c r="AA1066" s="7" t="str">
        <f t="shared" si="248"/>
        <v>07-Oct-2025</v>
      </c>
      <c r="AB1066" s="7">
        <f t="shared" si="249"/>
        <v>3959.3998999999999</v>
      </c>
      <c r="AC1066" s="7">
        <f t="shared" si="252"/>
        <v>1</v>
      </c>
      <c r="AD1066" s="7">
        <f t="shared" si="250"/>
        <v>2025</v>
      </c>
      <c r="AE1066" s="19">
        <f t="shared" si="251"/>
        <v>0.71</v>
      </c>
    </row>
    <row r="1067" spans="1:31" x14ac:dyDescent="0.3">
      <c r="A1067" s="17">
        <v>45938</v>
      </c>
      <c r="B1067" s="8">
        <v>4043.3</v>
      </c>
      <c r="C1067" s="7">
        <v>4049.2</v>
      </c>
      <c r="D1067" s="7">
        <v>3987.2</v>
      </c>
      <c r="E1067" s="7">
        <v>3987.2</v>
      </c>
      <c r="F1067" s="18">
        <v>2179</v>
      </c>
      <c r="G1067" s="7">
        <v>3897.1857</v>
      </c>
      <c r="H1067" s="7">
        <v>3687.13</v>
      </c>
      <c r="I1067" s="7">
        <v>3461.8444</v>
      </c>
      <c r="J1067" s="8">
        <v>0.70209999999999995</v>
      </c>
      <c r="K1067" s="7">
        <v>0.85019999999999996</v>
      </c>
      <c r="L1067" s="7">
        <v>0.79100000000000004</v>
      </c>
      <c r="M1067" s="8">
        <v>87.438100000000006</v>
      </c>
      <c r="N1067" s="8">
        <v>111.9111</v>
      </c>
      <c r="O1067" s="7">
        <v>97.870999999999995</v>
      </c>
      <c r="P1067" s="7">
        <v>3990.6169</v>
      </c>
      <c r="Q1067" s="7">
        <v>3544.4431</v>
      </c>
      <c r="R1067" s="7" t="str">
        <f t="shared" si="239"/>
        <v>Down</v>
      </c>
      <c r="S1067" s="7" t="str">
        <f t="shared" si="240"/>
        <v>Sell</v>
      </c>
      <c r="T1067" s="8">
        <f t="shared" si="241"/>
        <v>0.28305673076923077</v>
      </c>
      <c r="U1067" s="18">
        <f t="shared" si="242"/>
        <v>545394</v>
      </c>
      <c r="V1067" s="7">
        <f t="shared" si="243"/>
        <v>5586.2002000000002</v>
      </c>
      <c r="W1067" s="7">
        <f t="shared" si="244"/>
        <v>3913.7</v>
      </c>
      <c r="X1067" s="7">
        <f t="shared" si="245"/>
        <v>3987.2</v>
      </c>
      <c r="Y1067" s="7">
        <f t="shared" si="246"/>
        <v>44</v>
      </c>
      <c r="Z1067" s="7">
        <f t="shared" si="247"/>
        <v>214527</v>
      </c>
      <c r="AA1067" s="7" t="str">
        <f t="shared" si="248"/>
        <v>08-Oct-2025</v>
      </c>
      <c r="AB1067" s="7">
        <f t="shared" si="249"/>
        <v>3987.2</v>
      </c>
      <c r="AC1067" s="7">
        <f t="shared" si="252"/>
        <v>1</v>
      </c>
      <c r="AD1067" s="7">
        <f t="shared" si="250"/>
        <v>2025</v>
      </c>
      <c r="AE1067" s="19">
        <f t="shared" si="251"/>
        <v>0.7</v>
      </c>
    </row>
    <row r="1068" spans="1:31" x14ac:dyDescent="0.3">
      <c r="A1068" s="17">
        <v>45939</v>
      </c>
      <c r="B1068" s="8">
        <v>3946.3</v>
      </c>
      <c r="C1068" s="7">
        <v>4046.2</v>
      </c>
      <c r="D1068" s="7">
        <v>3940</v>
      </c>
      <c r="E1068" s="7">
        <v>4011.2</v>
      </c>
      <c r="F1068" s="18">
        <v>3130</v>
      </c>
      <c r="G1068" s="7">
        <v>3923.4285</v>
      </c>
      <c r="H1068" s="7">
        <v>3707.6033000000002</v>
      </c>
      <c r="I1068" s="7">
        <v>3468.8011000000001</v>
      </c>
      <c r="J1068" s="8">
        <v>0.60189999999999999</v>
      </c>
      <c r="K1068" s="7">
        <v>0.70750000000000002</v>
      </c>
      <c r="L1068" s="7">
        <v>0.79110000000000003</v>
      </c>
      <c r="M1068" s="8">
        <v>87.968900000000005</v>
      </c>
      <c r="N1068" s="8">
        <v>116.5716</v>
      </c>
      <c r="O1068" s="7">
        <v>101.61109999999999</v>
      </c>
      <c r="P1068" s="7">
        <v>4025.0774999999999</v>
      </c>
      <c r="Q1068" s="7">
        <v>3547.8123999999998</v>
      </c>
      <c r="R1068" s="7" t="str">
        <f t="shared" si="239"/>
        <v>Up</v>
      </c>
      <c r="S1068" s="7" t="str">
        <f t="shared" si="240"/>
        <v>Sell</v>
      </c>
      <c r="T1068" s="8">
        <f t="shared" si="241"/>
        <v>0.27898834951456303</v>
      </c>
      <c r="U1068" s="18">
        <f t="shared" si="242"/>
        <v>543215</v>
      </c>
      <c r="V1068" s="7">
        <f t="shared" si="243"/>
        <v>5586.2002000000002</v>
      </c>
      <c r="W1068" s="7">
        <f t="shared" si="244"/>
        <v>3913.7</v>
      </c>
      <c r="X1068" s="7">
        <f t="shared" si="245"/>
        <v>4011.2</v>
      </c>
      <c r="Y1068" s="7">
        <f t="shared" si="246"/>
        <v>44</v>
      </c>
      <c r="Z1068" s="7">
        <f t="shared" si="247"/>
        <v>214527</v>
      </c>
      <c r="AA1068" s="7" t="str">
        <f t="shared" si="248"/>
        <v>09-Oct-2025</v>
      </c>
      <c r="AB1068" s="7">
        <f t="shared" si="249"/>
        <v>4011.2</v>
      </c>
      <c r="AC1068" s="7">
        <f t="shared" si="252"/>
        <v>1</v>
      </c>
      <c r="AD1068" s="7">
        <f t="shared" si="250"/>
        <v>2025</v>
      </c>
      <c r="AE1068" s="19">
        <f t="shared" si="251"/>
        <v>0.6</v>
      </c>
    </row>
    <row r="1069" spans="1:31" x14ac:dyDescent="0.3">
      <c r="A1069" s="17">
        <v>45940</v>
      </c>
      <c r="B1069" s="8">
        <v>3975.8998999999999</v>
      </c>
      <c r="C1069" s="7">
        <v>4012</v>
      </c>
      <c r="D1069" s="7">
        <v>3945.5</v>
      </c>
      <c r="E1069" s="7">
        <v>3957</v>
      </c>
      <c r="F1069" s="18">
        <v>1697</v>
      </c>
      <c r="G1069" s="7">
        <v>3936.7856999999999</v>
      </c>
      <c r="H1069" s="7">
        <v>3725.87</v>
      </c>
      <c r="I1069" s="7">
        <v>3475.49</v>
      </c>
      <c r="J1069" s="8">
        <v>-1.3512</v>
      </c>
      <c r="K1069" s="7">
        <v>1.0234000000000001</v>
      </c>
      <c r="L1069" s="7">
        <v>0.86419999999999997</v>
      </c>
      <c r="M1069" s="8">
        <v>77.495900000000006</v>
      </c>
      <c r="N1069" s="8">
        <v>114.57089999999999</v>
      </c>
      <c r="O1069" s="7">
        <v>104.20310000000001</v>
      </c>
      <c r="P1069" s="7">
        <v>4043.3935999999999</v>
      </c>
      <c r="Q1069" s="7">
        <v>3559.6464000000001</v>
      </c>
      <c r="R1069" s="7" t="str">
        <f t="shared" si="239"/>
        <v>Down</v>
      </c>
      <c r="S1069" s="7" t="str">
        <f t="shared" si="240"/>
        <v>Sell</v>
      </c>
      <c r="T1069" s="8">
        <f t="shared" si="241"/>
        <v>0.27582254901960779</v>
      </c>
      <c r="U1069" s="18">
        <f t="shared" si="242"/>
        <v>540085</v>
      </c>
      <c r="V1069" s="7">
        <f t="shared" si="243"/>
        <v>5586.2002000000002</v>
      </c>
      <c r="W1069" s="7">
        <f t="shared" si="244"/>
        <v>3913.7</v>
      </c>
      <c r="X1069" s="7">
        <f t="shared" si="245"/>
        <v>3957</v>
      </c>
      <c r="Y1069" s="7">
        <f t="shared" si="246"/>
        <v>43</v>
      </c>
      <c r="Z1069" s="7">
        <f t="shared" si="247"/>
        <v>211397</v>
      </c>
      <c r="AA1069" s="7" t="str">
        <f t="shared" si="248"/>
        <v>10-Oct-2025</v>
      </c>
      <c r="AB1069" s="7">
        <f t="shared" si="249"/>
        <v>3957</v>
      </c>
      <c r="AC1069" s="7">
        <f t="shared" si="252"/>
        <v>1</v>
      </c>
      <c r="AD1069" s="7">
        <f t="shared" si="250"/>
        <v>2025</v>
      </c>
      <c r="AE1069" s="19">
        <f t="shared" si="251"/>
        <v>-1.35</v>
      </c>
    </row>
    <row r="1070" spans="1:31" x14ac:dyDescent="0.3">
      <c r="A1070" s="17">
        <v>45943</v>
      </c>
      <c r="B1070" s="8">
        <v>4108.6000999999997</v>
      </c>
      <c r="C1070" s="7">
        <v>4111</v>
      </c>
      <c r="D1070" s="7">
        <v>4016</v>
      </c>
      <c r="E1070" s="7">
        <v>4016</v>
      </c>
      <c r="F1070" s="18">
        <v>1697</v>
      </c>
      <c r="G1070" s="7">
        <v>3959.6143000000002</v>
      </c>
      <c r="H1070" s="7">
        <v>3745.32</v>
      </c>
      <c r="I1070" s="7">
        <v>3482.6511</v>
      </c>
      <c r="J1070" s="8">
        <v>1.4910000000000001</v>
      </c>
      <c r="K1070" s="7">
        <v>1.0726</v>
      </c>
      <c r="L1070" s="7">
        <v>0.88239999999999996</v>
      </c>
      <c r="M1070" s="8">
        <v>77.505099999999999</v>
      </c>
      <c r="N1070" s="8">
        <v>116.40430000000001</v>
      </c>
      <c r="O1070" s="7">
        <v>106.6433</v>
      </c>
      <c r="P1070" s="7">
        <v>4067.7202000000002</v>
      </c>
      <c r="Q1070" s="7">
        <v>3572.9198000000001</v>
      </c>
      <c r="R1070" s="7" t="str">
        <f t="shared" si="239"/>
        <v>Down</v>
      </c>
      <c r="S1070" s="7" t="str">
        <f t="shared" si="240"/>
        <v>Sell</v>
      </c>
      <c r="T1070" s="8">
        <f t="shared" si="241"/>
        <v>0.2919316831683168</v>
      </c>
      <c r="U1070" s="18">
        <f t="shared" si="242"/>
        <v>538388</v>
      </c>
      <c r="V1070" s="7">
        <f t="shared" si="243"/>
        <v>5586.2002000000002</v>
      </c>
      <c r="W1070" s="7">
        <f t="shared" si="244"/>
        <v>3913.7</v>
      </c>
      <c r="X1070" s="7">
        <f t="shared" si="245"/>
        <v>4016</v>
      </c>
      <c r="Y1070" s="7">
        <f t="shared" si="246"/>
        <v>43</v>
      </c>
      <c r="Z1070" s="7">
        <f t="shared" si="247"/>
        <v>211397</v>
      </c>
      <c r="AA1070" s="7" t="str">
        <f t="shared" si="248"/>
        <v>13-Oct-2025</v>
      </c>
      <c r="AB1070" s="7">
        <f t="shared" si="249"/>
        <v>4016</v>
      </c>
      <c r="AC1070" s="7">
        <f t="shared" si="252"/>
        <v>1</v>
      </c>
      <c r="AD1070" s="7">
        <f t="shared" si="250"/>
        <v>2025</v>
      </c>
      <c r="AE1070" s="19">
        <f t="shared" si="251"/>
        <v>1.49</v>
      </c>
    </row>
    <row r="1071" spans="1:31" x14ac:dyDescent="0.3">
      <c r="A1071" s="17">
        <v>45944</v>
      </c>
      <c r="B1071" s="8">
        <v>4138.7002000000002</v>
      </c>
      <c r="C1071" s="7">
        <v>4160.1000999999997</v>
      </c>
      <c r="D1071" s="7">
        <v>4085.8</v>
      </c>
      <c r="E1071" s="7">
        <v>4131.7002000000002</v>
      </c>
      <c r="F1071" s="18">
        <v>2424</v>
      </c>
      <c r="G1071" s="7">
        <v>3999.1143000000002</v>
      </c>
      <c r="H1071" s="7">
        <v>3766.8533000000002</v>
      </c>
      <c r="I1071" s="7">
        <v>3491.1777999999999</v>
      </c>
      <c r="J1071" s="8">
        <v>2.8809999999999998</v>
      </c>
      <c r="K1071" s="7">
        <v>1.3282</v>
      </c>
      <c r="L1071" s="7">
        <v>0.96509999999999996</v>
      </c>
      <c r="M1071" s="8">
        <v>81.096400000000003</v>
      </c>
      <c r="N1071" s="8">
        <v>125.74379999999999</v>
      </c>
      <c r="O1071" s="7">
        <v>110.46339999999999</v>
      </c>
      <c r="P1071" s="7">
        <v>4117.4650000000001</v>
      </c>
      <c r="Q1071" s="7">
        <v>3568.2049999999999</v>
      </c>
      <c r="R1071" s="7" t="str">
        <f t="shared" si="239"/>
        <v>Down</v>
      </c>
      <c r="S1071" s="7" t="str">
        <f t="shared" si="240"/>
        <v>Sell</v>
      </c>
      <c r="T1071" s="8">
        <f t="shared" si="241"/>
        <v>0.27994099999999994</v>
      </c>
      <c r="U1071" s="18">
        <f t="shared" si="242"/>
        <v>536691</v>
      </c>
      <c r="V1071" s="7">
        <f t="shared" si="243"/>
        <v>5586.2002000000002</v>
      </c>
      <c r="W1071" s="7">
        <f t="shared" si="244"/>
        <v>3913.7</v>
      </c>
      <c r="X1071" s="7">
        <f t="shared" si="245"/>
        <v>4131.7002000000002</v>
      </c>
      <c r="Y1071" s="7">
        <f t="shared" si="246"/>
        <v>43</v>
      </c>
      <c r="Z1071" s="7">
        <f t="shared" si="247"/>
        <v>211397</v>
      </c>
      <c r="AA1071" s="7" t="str">
        <f t="shared" si="248"/>
        <v>14-Oct-2025</v>
      </c>
      <c r="AB1071" s="7">
        <f t="shared" si="249"/>
        <v>4131.7002000000002</v>
      </c>
      <c r="AC1071" s="7">
        <f t="shared" si="252"/>
        <v>1</v>
      </c>
      <c r="AD1071" s="7">
        <f t="shared" si="250"/>
        <v>2025</v>
      </c>
      <c r="AE1071" s="19">
        <f t="shared" si="251"/>
        <v>2.88</v>
      </c>
    </row>
    <row r="1072" spans="1:31" x14ac:dyDescent="0.3">
      <c r="A1072" s="17">
        <v>45945</v>
      </c>
      <c r="B1072" s="8">
        <v>4176.8999000000003</v>
      </c>
      <c r="C1072" s="7">
        <v>4210.6000999999997</v>
      </c>
      <c r="D1072" s="7">
        <v>4145</v>
      </c>
      <c r="E1072" s="7">
        <v>4145</v>
      </c>
      <c r="F1072" s="18">
        <v>3287</v>
      </c>
      <c r="G1072" s="7">
        <v>4029.6428999999998</v>
      </c>
      <c r="H1072" s="7">
        <v>3786.5266999999999</v>
      </c>
      <c r="I1072" s="7">
        <v>3500.3933000000002</v>
      </c>
      <c r="J1072" s="8">
        <v>0.32190000000000002</v>
      </c>
      <c r="K1072" s="7">
        <v>1.2723</v>
      </c>
      <c r="L1072" s="7">
        <v>0.9284</v>
      </c>
      <c r="M1072" s="8">
        <v>85.392499999999998</v>
      </c>
      <c r="N1072" s="8">
        <v>132.6891</v>
      </c>
      <c r="O1072" s="7">
        <v>114.90860000000001</v>
      </c>
      <c r="P1072" s="7">
        <v>4159.7163</v>
      </c>
      <c r="Q1072" s="7">
        <v>3573.5536999999999</v>
      </c>
      <c r="R1072" s="7" t="str">
        <f t="shared" si="239"/>
        <v>Down</v>
      </c>
      <c r="S1072" s="7" t="str">
        <f t="shared" si="240"/>
        <v>Sell</v>
      </c>
      <c r="T1072" s="8">
        <f t="shared" si="241"/>
        <v>0.25366767676767676</v>
      </c>
      <c r="U1072" s="18">
        <f t="shared" si="242"/>
        <v>534267</v>
      </c>
      <c r="V1072" s="7">
        <f t="shared" si="243"/>
        <v>5586.2002000000002</v>
      </c>
      <c r="W1072" s="7">
        <f t="shared" si="244"/>
        <v>3913.7</v>
      </c>
      <c r="X1072" s="7">
        <f t="shared" si="245"/>
        <v>4145</v>
      </c>
      <c r="Y1072" s="7">
        <f t="shared" si="246"/>
        <v>43</v>
      </c>
      <c r="Z1072" s="7">
        <f t="shared" si="247"/>
        <v>211397</v>
      </c>
      <c r="AA1072" s="7" t="str">
        <f t="shared" si="248"/>
        <v>15-Oct-2025</v>
      </c>
      <c r="AB1072" s="7">
        <f t="shared" si="249"/>
        <v>4145</v>
      </c>
      <c r="AC1072" s="7">
        <f t="shared" si="252"/>
        <v>1</v>
      </c>
      <c r="AD1072" s="7">
        <f t="shared" si="250"/>
        <v>2025</v>
      </c>
      <c r="AE1072" s="19">
        <f t="shared" si="251"/>
        <v>0.32</v>
      </c>
    </row>
    <row r="1073" spans="1:31" x14ac:dyDescent="0.3">
      <c r="A1073" s="17">
        <v>45946</v>
      </c>
      <c r="B1073" s="8">
        <v>4280.2002000000002</v>
      </c>
      <c r="C1073" s="7">
        <v>4307</v>
      </c>
      <c r="D1073" s="7">
        <v>4196.6000999999997</v>
      </c>
      <c r="E1073" s="7">
        <v>4198.7997999999998</v>
      </c>
      <c r="F1073" s="18">
        <v>4705</v>
      </c>
      <c r="G1073" s="7">
        <v>4063.8427999999999</v>
      </c>
      <c r="H1073" s="7">
        <v>3808.1567</v>
      </c>
      <c r="I1073" s="7">
        <v>3510.3578000000002</v>
      </c>
      <c r="J1073" s="8">
        <v>1.2979000000000001</v>
      </c>
      <c r="K1073" s="7">
        <v>1.2874000000000001</v>
      </c>
      <c r="L1073" s="7">
        <v>0.9304</v>
      </c>
      <c r="M1073" s="8">
        <v>85.920299999999997</v>
      </c>
      <c r="N1073" s="8">
        <v>140.9102</v>
      </c>
      <c r="O1073" s="7">
        <v>120.10890000000001</v>
      </c>
      <c r="P1073" s="7">
        <v>4204.5576000000001</v>
      </c>
      <c r="Q1073" s="7">
        <v>3583.1324</v>
      </c>
      <c r="R1073" s="7" t="str">
        <f t="shared" si="239"/>
        <v>Down</v>
      </c>
      <c r="S1073" s="7" t="str">
        <f t="shared" si="240"/>
        <v>Sell</v>
      </c>
      <c r="T1073" s="8">
        <f t="shared" si="241"/>
        <v>0.25297142857142857</v>
      </c>
      <c r="U1073" s="18">
        <f t="shared" si="242"/>
        <v>530980</v>
      </c>
      <c r="V1073" s="7">
        <f t="shared" si="243"/>
        <v>5586.2002000000002</v>
      </c>
      <c r="W1073" s="7">
        <f t="shared" si="244"/>
        <v>3913.7</v>
      </c>
      <c r="X1073" s="7">
        <f t="shared" si="245"/>
        <v>4198.7997999999998</v>
      </c>
      <c r="Y1073" s="7">
        <f t="shared" si="246"/>
        <v>43</v>
      </c>
      <c r="Z1073" s="7">
        <f t="shared" si="247"/>
        <v>211397</v>
      </c>
      <c r="AA1073" s="7" t="str">
        <f t="shared" si="248"/>
        <v>16-Oct-2025</v>
      </c>
      <c r="AB1073" s="7">
        <f t="shared" si="249"/>
        <v>4198.7997999999998</v>
      </c>
      <c r="AC1073" s="7">
        <f t="shared" si="252"/>
        <v>1</v>
      </c>
      <c r="AD1073" s="7">
        <f t="shared" si="250"/>
        <v>2025</v>
      </c>
      <c r="AE1073" s="19">
        <f t="shared" si="251"/>
        <v>1.3</v>
      </c>
    </row>
    <row r="1074" spans="1:31" x14ac:dyDescent="0.3">
      <c r="A1074" s="17">
        <v>45947</v>
      </c>
      <c r="B1074" s="8">
        <v>4189.8999000000003</v>
      </c>
      <c r="C1074" s="7">
        <v>4358</v>
      </c>
      <c r="D1074" s="7">
        <v>4182.2002000000002</v>
      </c>
      <c r="E1074" s="7">
        <v>4354.7002000000002</v>
      </c>
      <c r="F1074" s="18">
        <v>4060</v>
      </c>
      <c r="G1074" s="7">
        <v>4116.3428999999996</v>
      </c>
      <c r="H1074" s="7">
        <v>3834.3867</v>
      </c>
      <c r="I1074" s="7">
        <v>3521.7656000000002</v>
      </c>
      <c r="J1074" s="8">
        <v>3.7130000000000001</v>
      </c>
      <c r="K1074" s="7">
        <v>1.6747000000000001</v>
      </c>
      <c r="L1074" s="7">
        <v>1.0932999999999999</v>
      </c>
      <c r="M1074" s="8">
        <v>91.378100000000003</v>
      </c>
      <c r="N1074" s="8">
        <v>158.18180000000001</v>
      </c>
      <c r="O1074" s="7">
        <v>127.7235</v>
      </c>
      <c r="P1074" s="7">
        <v>4281.5460999999996</v>
      </c>
      <c r="Q1074" s="7">
        <v>3575.7139000000002</v>
      </c>
      <c r="R1074" s="7" t="str">
        <f t="shared" si="239"/>
        <v>Up</v>
      </c>
      <c r="S1074" s="7" t="str">
        <f t="shared" si="240"/>
        <v>Sell</v>
      </c>
      <c r="T1074" s="8">
        <f t="shared" si="241"/>
        <v>0.24219896907216493</v>
      </c>
      <c r="U1074" s="18">
        <f t="shared" si="242"/>
        <v>526275</v>
      </c>
      <c r="V1074" s="7">
        <f t="shared" si="243"/>
        <v>5586.2002000000002</v>
      </c>
      <c r="W1074" s="7">
        <f t="shared" si="244"/>
        <v>3913.7</v>
      </c>
      <c r="X1074" s="7">
        <f t="shared" si="245"/>
        <v>4354.7002000000002</v>
      </c>
      <c r="Y1074" s="7">
        <f t="shared" si="246"/>
        <v>43</v>
      </c>
      <c r="Z1074" s="7">
        <f t="shared" si="247"/>
        <v>211397</v>
      </c>
      <c r="AA1074" s="7" t="str">
        <f t="shared" si="248"/>
        <v>17-Oct-2025</v>
      </c>
      <c r="AB1074" s="7">
        <f t="shared" si="249"/>
        <v>4354.7002000000002</v>
      </c>
      <c r="AC1074" s="7">
        <f t="shared" si="252"/>
        <v>1</v>
      </c>
      <c r="AD1074" s="7">
        <f t="shared" si="250"/>
        <v>2025</v>
      </c>
      <c r="AE1074" s="19">
        <f t="shared" si="251"/>
        <v>3.71</v>
      </c>
    </row>
    <row r="1075" spans="1:31" x14ac:dyDescent="0.3">
      <c r="A1075" s="17">
        <v>45950</v>
      </c>
      <c r="B1075" s="8">
        <v>4336.3999000000003</v>
      </c>
      <c r="C1075" s="7">
        <v>4356.6000999999997</v>
      </c>
      <c r="D1075" s="7">
        <v>4214.6000999999997</v>
      </c>
      <c r="E1075" s="7">
        <v>4244.1000999999997</v>
      </c>
      <c r="F1075" s="18">
        <v>1750</v>
      </c>
      <c r="G1075" s="7">
        <v>4149.6143000000002</v>
      </c>
      <c r="H1075" s="7">
        <v>3856.04</v>
      </c>
      <c r="I1075" s="7">
        <v>3531.5556000000001</v>
      </c>
      <c r="J1075" s="8">
        <v>-2.5398000000000001</v>
      </c>
      <c r="K1075" s="7">
        <v>2.2191000000000001</v>
      </c>
      <c r="L1075" s="7">
        <v>1.2403999999999999</v>
      </c>
      <c r="M1075" s="8">
        <v>77.307299999999998</v>
      </c>
      <c r="N1075" s="8">
        <v>161.0883</v>
      </c>
      <c r="O1075" s="7">
        <v>134.3964</v>
      </c>
      <c r="P1075" s="7">
        <v>4317.0896000000002</v>
      </c>
      <c r="Q1075" s="7">
        <v>3595.7604000000001</v>
      </c>
      <c r="R1075" s="7" t="str">
        <f t="shared" si="239"/>
        <v>Down</v>
      </c>
      <c r="S1075" s="7" t="str">
        <f t="shared" si="240"/>
        <v>Sell</v>
      </c>
      <c r="T1075" s="8">
        <f t="shared" si="241"/>
        <v>0.20604479166666659</v>
      </c>
      <c r="U1075" s="18">
        <f t="shared" si="242"/>
        <v>522215</v>
      </c>
      <c r="V1075" s="7">
        <f t="shared" si="243"/>
        <v>5586.2002000000002</v>
      </c>
      <c r="W1075" s="7">
        <f t="shared" si="244"/>
        <v>3913.7</v>
      </c>
      <c r="X1075" s="7">
        <f t="shared" si="245"/>
        <v>4244.1000999999997</v>
      </c>
      <c r="Y1075" s="7">
        <f t="shared" si="246"/>
        <v>42</v>
      </c>
      <c r="Z1075" s="7">
        <f t="shared" si="247"/>
        <v>207337</v>
      </c>
      <c r="AA1075" s="7" t="str">
        <f t="shared" si="248"/>
        <v>20-Oct-2025</v>
      </c>
      <c r="AB1075" s="7">
        <f t="shared" si="249"/>
        <v>4244.1000999999997</v>
      </c>
      <c r="AC1075" s="7">
        <f t="shared" si="252"/>
        <v>1</v>
      </c>
      <c r="AD1075" s="7">
        <f t="shared" si="250"/>
        <v>2025</v>
      </c>
      <c r="AE1075" s="19">
        <f t="shared" si="251"/>
        <v>-2.54</v>
      </c>
    </row>
    <row r="1076" spans="1:31" x14ac:dyDescent="0.3">
      <c r="A1076" s="17">
        <v>45951</v>
      </c>
      <c r="B1076" s="8">
        <v>4087.7</v>
      </c>
      <c r="C1076" s="7">
        <v>4332.7002000000002</v>
      </c>
      <c r="D1076" s="7">
        <v>4087.7</v>
      </c>
      <c r="E1076" s="7">
        <v>4332.7002000000002</v>
      </c>
      <c r="F1076" s="18">
        <v>2943</v>
      </c>
      <c r="G1076" s="7">
        <v>4203.2857999999997</v>
      </c>
      <c r="H1076" s="7">
        <v>3878.8933000000002</v>
      </c>
      <c r="I1076" s="7">
        <v>3541.8377999999998</v>
      </c>
      <c r="J1076" s="8">
        <v>2.0876000000000001</v>
      </c>
      <c r="K1076" s="7">
        <v>2.028</v>
      </c>
      <c r="L1076" s="7">
        <v>1.2611000000000001</v>
      </c>
      <c r="M1076" s="8">
        <v>78.771199999999993</v>
      </c>
      <c r="N1076" s="8">
        <v>168.5976</v>
      </c>
      <c r="O1076" s="7">
        <v>141.23670000000001</v>
      </c>
      <c r="P1076" s="7">
        <v>4369.1698999999999</v>
      </c>
      <c r="Q1076" s="7">
        <v>3602.2501999999999</v>
      </c>
      <c r="R1076" s="7" t="str">
        <f t="shared" si="239"/>
        <v>Up</v>
      </c>
      <c r="S1076" s="7" t="str">
        <f t="shared" si="240"/>
        <v>Sell</v>
      </c>
      <c r="T1076" s="8">
        <f t="shared" si="241"/>
        <v>0.2349484210526315</v>
      </c>
      <c r="U1076" s="18">
        <f t="shared" si="242"/>
        <v>520465</v>
      </c>
      <c r="V1076" s="7">
        <f t="shared" si="243"/>
        <v>5586.2002000000002</v>
      </c>
      <c r="W1076" s="7">
        <f t="shared" si="244"/>
        <v>3913.7</v>
      </c>
      <c r="X1076" s="7">
        <f t="shared" si="245"/>
        <v>4332.7002000000002</v>
      </c>
      <c r="Y1076" s="7">
        <f t="shared" si="246"/>
        <v>42</v>
      </c>
      <c r="Z1076" s="7">
        <f t="shared" si="247"/>
        <v>207337</v>
      </c>
      <c r="AA1076" s="7" t="str">
        <f t="shared" si="248"/>
        <v>21-Oct-2025</v>
      </c>
      <c r="AB1076" s="7">
        <f t="shared" si="249"/>
        <v>4332.7002000000002</v>
      </c>
      <c r="AC1076" s="7">
        <f t="shared" si="252"/>
        <v>1</v>
      </c>
      <c r="AD1076" s="7">
        <f t="shared" si="250"/>
        <v>2025</v>
      </c>
      <c r="AE1076" s="19">
        <f t="shared" si="251"/>
        <v>2.09</v>
      </c>
    </row>
    <row r="1077" spans="1:31" x14ac:dyDescent="0.3">
      <c r="A1077" s="17">
        <v>45952</v>
      </c>
      <c r="B1077" s="8">
        <v>4044.3998999999999</v>
      </c>
      <c r="C1077" s="7">
        <v>4148.5</v>
      </c>
      <c r="D1077" s="7">
        <v>4006</v>
      </c>
      <c r="E1077" s="7">
        <v>4109.7002000000002</v>
      </c>
      <c r="F1077" s="18">
        <v>1237</v>
      </c>
      <c r="G1077" s="7">
        <v>4216.6715000000004</v>
      </c>
      <c r="H1077" s="7">
        <v>3895.05</v>
      </c>
      <c r="I1077" s="7">
        <v>3549.2566999999999</v>
      </c>
      <c r="J1077" s="8">
        <v>-5.1468999999999996</v>
      </c>
      <c r="K1077" s="7">
        <v>3.1675</v>
      </c>
      <c r="L1077" s="7">
        <v>1.6278999999999999</v>
      </c>
      <c r="M1077" s="8">
        <v>62.292700000000004</v>
      </c>
      <c r="N1077" s="8">
        <v>154.77029999999999</v>
      </c>
      <c r="O1077" s="7">
        <v>143.9434</v>
      </c>
      <c r="P1077" s="7">
        <v>4375.8642</v>
      </c>
      <c r="Q1077" s="7">
        <v>3629.5459000000001</v>
      </c>
      <c r="R1077" s="7" t="str">
        <f t="shared" si="239"/>
        <v>Up</v>
      </c>
      <c r="S1077" s="7" t="str">
        <f t="shared" si="240"/>
        <v>Hold</v>
      </c>
      <c r="T1077" s="8">
        <f t="shared" si="241"/>
        <v>0.2152393617021276</v>
      </c>
      <c r="U1077" s="18">
        <f t="shared" si="242"/>
        <v>517522</v>
      </c>
      <c r="V1077" s="7">
        <f t="shared" si="243"/>
        <v>5586.2002000000002</v>
      </c>
      <c r="W1077" s="7">
        <f t="shared" si="244"/>
        <v>3913.7</v>
      </c>
      <c r="X1077" s="7">
        <f t="shared" si="245"/>
        <v>4109.7002000000002</v>
      </c>
      <c r="Y1077" s="7">
        <f t="shared" si="246"/>
        <v>41</v>
      </c>
      <c r="Z1077" s="7">
        <f t="shared" si="247"/>
        <v>204394</v>
      </c>
      <c r="AA1077" s="7" t="str">
        <f t="shared" si="248"/>
        <v>22-Oct-2025</v>
      </c>
      <c r="AB1077" s="7">
        <f t="shared" si="249"/>
        <v>4109.7002000000002</v>
      </c>
      <c r="AC1077" s="7">
        <f t="shared" si="252"/>
        <v>1</v>
      </c>
      <c r="AD1077" s="7">
        <f t="shared" si="250"/>
        <v>2025</v>
      </c>
      <c r="AE1077" s="19">
        <f t="shared" si="251"/>
        <v>-5.15</v>
      </c>
    </row>
    <row r="1078" spans="1:31" x14ac:dyDescent="0.3">
      <c r="A1078" s="17">
        <v>45953</v>
      </c>
      <c r="B1078" s="8">
        <v>4125.5</v>
      </c>
      <c r="C1078" s="7">
        <v>4136.7997999999998</v>
      </c>
      <c r="D1078" s="7">
        <v>4070.7</v>
      </c>
      <c r="E1078" s="7">
        <v>4078.3998999999999</v>
      </c>
      <c r="F1078" s="18">
        <v>354</v>
      </c>
      <c r="G1078" s="7">
        <v>4209.0572000000002</v>
      </c>
      <c r="H1078" s="7">
        <v>3909.9</v>
      </c>
      <c r="I1078" s="7">
        <v>3556.8132999999998</v>
      </c>
      <c r="J1078" s="8">
        <v>-0.76160000000000005</v>
      </c>
      <c r="K1078" s="7">
        <v>2.9805999999999999</v>
      </c>
      <c r="L1078" s="7">
        <v>1.6420999999999999</v>
      </c>
      <c r="M1078" s="8">
        <v>60.514400000000002</v>
      </c>
      <c r="N1078" s="8">
        <v>139.6764</v>
      </c>
      <c r="O1078" s="7">
        <v>143.09</v>
      </c>
      <c r="P1078" s="7">
        <v>4373.1053000000002</v>
      </c>
      <c r="Q1078" s="7">
        <v>3665.8647999999998</v>
      </c>
      <c r="R1078" s="7" t="str">
        <f t="shared" si="239"/>
        <v>Down</v>
      </c>
      <c r="S1078" s="7" t="str">
        <f t="shared" si="240"/>
        <v>Hold</v>
      </c>
      <c r="T1078" s="8">
        <f t="shared" si="241"/>
        <v>0.2728967741935483</v>
      </c>
      <c r="U1078" s="18">
        <f t="shared" si="242"/>
        <v>516285</v>
      </c>
      <c r="V1078" s="7">
        <f t="shared" si="243"/>
        <v>5586.2002000000002</v>
      </c>
      <c r="W1078" s="7">
        <f t="shared" si="244"/>
        <v>3913.7</v>
      </c>
      <c r="X1078" s="7">
        <f t="shared" si="245"/>
        <v>4078.3998999999999</v>
      </c>
      <c r="Y1078" s="7">
        <f t="shared" si="246"/>
        <v>40</v>
      </c>
      <c r="Z1078" s="7">
        <f t="shared" si="247"/>
        <v>203157</v>
      </c>
      <c r="AA1078" s="7" t="str">
        <f t="shared" si="248"/>
        <v>23-Oct-2025</v>
      </c>
      <c r="AB1078" s="7">
        <f t="shared" si="249"/>
        <v>4078.3998999999999</v>
      </c>
      <c r="AC1078" s="7">
        <f t="shared" si="252"/>
        <v>1</v>
      </c>
      <c r="AD1078" s="7">
        <f t="shared" si="250"/>
        <v>2025</v>
      </c>
      <c r="AE1078" s="19">
        <f t="shared" si="251"/>
        <v>-0.76</v>
      </c>
    </row>
    <row r="1079" spans="1:31" x14ac:dyDescent="0.3">
      <c r="A1079" s="17">
        <v>45954</v>
      </c>
      <c r="B1079" s="8">
        <v>4118.3999000000003</v>
      </c>
      <c r="C1079" s="7">
        <v>4120.6000999999997</v>
      </c>
      <c r="D1079" s="7">
        <v>4074.8998999999999</v>
      </c>
      <c r="E1079" s="7">
        <v>4117.5</v>
      </c>
      <c r="F1079" s="18">
        <v>123</v>
      </c>
      <c r="G1079" s="7">
        <v>4205.1286</v>
      </c>
      <c r="H1079" s="7">
        <v>3925.3</v>
      </c>
      <c r="I1079" s="7">
        <v>3564.9488999999999</v>
      </c>
      <c r="J1079" s="8">
        <v>0.9587</v>
      </c>
      <c r="K1079" s="7">
        <v>3.0068999999999999</v>
      </c>
      <c r="L1079" s="7">
        <v>1.6449</v>
      </c>
      <c r="M1079" s="8">
        <v>59.088200000000001</v>
      </c>
      <c r="N1079" s="8">
        <v>129.37799999999999</v>
      </c>
      <c r="O1079" s="7">
        <v>140.3476</v>
      </c>
      <c r="P1079" s="7">
        <v>4373.1723000000002</v>
      </c>
      <c r="Q1079" s="7">
        <v>3700.0178000000001</v>
      </c>
      <c r="R1079" s="7" t="str">
        <f t="shared" si="239"/>
        <v>Down</v>
      </c>
      <c r="S1079" s="7" t="str">
        <f t="shared" si="240"/>
        <v>Hold</v>
      </c>
      <c r="T1079" s="8">
        <f t="shared" si="241"/>
        <v>0.28414130434782603</v>
      </c>
      <c r="U1079" s="18">
        <f t="shared" si="242"/>
        <v>515931</v>
      </c>
      <c r="V1079" s="7">
        <f t="shared" si="243"/>
        <v>5586.2002000000002</v>
      </c>
      <c r="W1079" s="7">
        <f t="shared" si="244"/>
        <v>3913.7</v>
      </c>
      <c r="X1079" s="7">
        <f t="shared" si="245"/>
        <v>4117.5</v>
      </c>
      <c r="Y1079" s="7">
        <f t="shared" si="246"/>
        <v>40</v>
      </c>
      <c r="Z1079" s="7">
        <f t="shared" si="247"/>
        <v>203157</v>
      </c>
      <c r="AA1079" s="7" t="str">
        <f t="shared" si="248"/>
        <v>24-Oct-2025</v>
      </c>
      <c r="AB1079" s="7">
        <f t="shared" si="249"/>
        <v>4117.5</v>
      </c>
      <c r="AC1079" s="7">
        <f t="shared" si="252"/>
        <v>1</v>
      </c>
      <c r="AD1079" s="7">
        <f t="shared" si="250"/>
        <v>2025</v>
      </c>
      <c r="AE1079" s="19">
        <f t="shared" si="251"/>
        <v>0.96</v>
      </c>
    </row>
    <row r="1080" spans="1:31" x14ac:dyDescent="0.3">
      <c r="A1080" s="17">
        <v>45957</v>
      </c>
      <c r="B1080" s="8">
        <v>4001.8998999999999</v>
      </c>
      <c r="C1080" s="7">
        <v>4078.6001000000001</v>
      </c>
      <c r="D1080" s="7">
        <v>3971.3</v>
      </c>
      <c r="E1080" s="7">
        <v>4060</v>
      </c>
      <c r="F1080" s="18">
        <v>220</v>
      </c>
      <c r="G1080" s="7">
        <v>4185.3001000000004</v>
      </c>
      <c r="H1080" s="7">
        <v>3939.3</v>
      </c>
      <c r="I1080" s="7">
        <v>3572.8377999999998</v>
      </c>
      <c r="J1080" s="8">
        <v>-1.3965000000000001</v>
      </c>
      <c r="K1080" s="7">
        <v>2.9769999999999999</v>
      </c>
      <c r="L1080" s="7">
        <v>1.6712</v>
      </c>
      <c r="M1080" s="8">
        <v>54.773200000000003</v>
      </c>
      <c r="N1080" s="8">
        <v>115.2482</v>
      </c>
      <c r="O1080" s="7">
        <v>135.32769999999999</v>
      </c>
      <c r="P1080" s="7">
        <v>4361.2115999999996</v>
      </c>
      <c r="Q1080" s="7">
        <v>3742.4983999999999</v>
      </c>
      <c r="R1080" s="7" t="str">
        <f t="shared" si="239"/>
        <v>Up</v>
      </c>
      <c r="S1080" s="7" t="str">
        <f t="shared" si="240"/>
        <v>Hold</v>
      </c>
      <c r="T1080" s="8">
        <f t="shared" si="241"/>
        <v>0.27672857142857138</v>
      </c>
      <c r="U1080" s="18">
        <f t="shared" si="242"/>
        <v>515808</v>
      </c>
      <c r="V1080" s="7">
        <f t="shared" si="243"/>
        <v>5586.2002000000002</v>
      </c>
      <c r="W1080" s="7">
        <f t="shared" si="244"/>
        <v>3913.7</v>
      </c>
      <c r="X1080" s="7">
        <f t="shared" si="245"/>
        <v>4060</v>
      </c>
      <c r="Y1080" s="7">
        <f t="shared" si="246"/>
        <v>40</v>
      </c>
      <c r="Z1080" s="7">
        <f t="shared" si="247"/>
        <v>203157</v>
      </c>
      <c r="AA1080" s="7" t="str">
        <f t="shared" si="248"/>
        <v>27-Oct-2025</v>
      </c>
      <c r="AB1080" s="7">
        <f t="shared" si="249"/>
        <v>4060</v>
      </c>
      <c r="AC1080" s="7">
        <f t="shared" si="252"/>
        <v>1</v>
      </c>
      <c r="AD1080" s="7">
        <f t="shared" si="250"/>
        <v>2025</v>
      </c>
      <c r="AE1080" s="19">
        <f t="shared" si="251"/>
        <v>-1.4</v>
      </c>
    </row>
    <row r="1081" spans="1:31" x14ac:dyDescent="0.3">
      <c r="A1081" s="17">
        <v>45958</v>
      </c>
      <c r="B1081" s="8">
        <v>3966.2</v>
      </c>
      <c r="C1081" s="7">
        <v>3966.2</v>
      </c>
      <c r="D1081" s="7">
        <v>3923.6001000000001</v>
      </c>
      <c r="E1081" s="7">
        <v>3929.7</v>
      </c>
      <c r="F1081" s="18">
        <v>219</v>
      </c>
      <c r="G1081" s="7">
        <v>4124.5857999999998</v>
      </c>
      <c r="H1081" s="7">
        <v>3947.5767000000001</v>
      </c>
      <c r="I1081" s="7">
        <v>3579.1021999999998</v>
      </c>
      <c r="J1081" s="8">
        <v>-3.2094</v>
      </c>
      <c r="K1081" s="7">
        <v>2.4746000000000001</v>
      </c>
      <c r="L1081" s="7">
        <v>1.7875000000000001</v>
      </c>
      <c r="M1081" s="8">
        <v>47.513599999999997</v>
      </c>
      <c r="N1081" s="8">
        <v>92.470100000000002</v>
      </c>
      <c r="O1081" s="7">
        <v>126.75620000000001</v>
      </c>
      <c r="P1081" s="7">
        <v>4353.8423000000003</v>
      </c>
      <c r="Q1081" s="7">
        <v>3760.0877</v>
      </c>
      <c r="R1081" s="7" t="str">
        <f t="shared" si="239"/>
        <v>Down</v>
      </c>
      <c r="S1081" s="7" t="str">
        <f t="shared" si="240"/>
        <v>Hold</v>
      </c>
      <c r="T1081" s="8">
        <f t="shared" si="241"/>
        <v>0.29531999999999997</v>
      </c>
      <c r="U1081" s="18">
        <f t="shared" si="242"/>
        <v>515588</v>
      </c>
      <c r="V1081" s="7">
        <f t="shared" si="243"/>
        <v>5586.2002000000002</v>
      </c>
      <c r="W1081" s="7">
        <f t="shared" si="244"/>
        <v>3913.7</v>
      </c>
      <c r="X1081" s="7">
        <f t="shared" si="245"/>
        <v>3929.7</v>
      </c>
      <c r="Y1081" s="7">
        <f t="shared" si="246"/>
        <v>39</v>
      </c>
      <c r="Z1081" s="7">
        <f t="shared" si="247"/>
        <v>202937</v>
      </c>
      <c r="AA1081" s="7" t="str">
        <f t="shared" si="248"/>
        <v>28-Oct-2025</v>
      </c>
      <c r="AB1081" s="7">
        <f t="shared" si="249"/>
        <v>3929.7</v>
      </c>
      <c r="AC1081" s="7">
        <f t="shared" si="252"/>
        <v>1</v>
      </c>
      <c r="AD1081" s="7">
        <f t="shared" si="250"/>
        <v>2025</v>
      </c>
      <c r="AE1081" s="19">
        <f t="shared" si="251"/>
        <v>-3.21</v>
      </c>
    </row>
    <row r="1082" spans="1:31" x14ac:dyDescent="0.3">
      <c r="A1082" s="17">
        <v>45959</v>
      </c>
      <c r="B1082" s="8">
        <v>3983.7</v>
      </c>
      <c r="C1082" s="7">
        <v>3983.7</v>
      </c>
      <c r="D1082" s="7">
        <v>3983.7</v>
      </c>
      <c r="E1082" s="7">
        <v>3983.7</v>
      </c>
      <c r="F1082" s="18">
        <v>1344</v>
      </c>
      <c r="G1082" s="7">
        <v>4087.3856999999998</v>
      </c>
      <c r="H1082" s="7">
        <v>3958.0666999999999</v>
      </c>
      <c r="I1082" s="7">
        <v>3586.0544</v>
      </c>
      <c r="J1082" s="8">
        <v>1.3742000000000001</v>
      </c>
      <c r="K1082" s="7">
        <v>2.6198000000000001</v>
      </c>
      <c r="L1082" s="7">
        <v>1.796</v>
      </c>
      <c r="M1082" s="8">
        <v>48.840899999999998</v>
      </c>
      <c r="N1082" s="8">
        <v>77.877899999999997</v>
      </c>
      <c r="O1082" s="7">
        <v>116.98050000000001</v>
      </c>
      <c r="P1082" s="7">
        <v>4347.9915000000001</v>
      </c>
      <c r="Q1082" s="7">
        <v>3777.9585999999999</v>
      </c>
      <c r="R1082" s="7" t="str">
        <f t="shared" si="239"/>
        <v>Down</v>
      </c>
      <c r="S1082" s="7" t="str">
        <f t="shared" si="240"/>
        <v>Hold</v>
      </c>
      <c r="T1082" s="8">
        <f t="shared" si="241"/>
        <v>0.33469887640449436</v>
      </c>
      <c r="U1082" s="18">
        <f t="shared" si="242"/>
        <v>515369</v>
      </c>
      <c r="V1082" s="7">
        <f t="shared" si="243"/>
        <v>5586.2002000000002</v>
      </c>
      <c r="W1082" s="7">
        <f t="shared" si="244"/>
        <v>3913.7</v>
      </c>
      <c r="X1082" s="7">
        <f t="shared" si="245"/>
        <v>3983.7</v>
      </c>
      <c r="Y1082" s="7">
        <f t="shared" si="246"/>
        <v>39</v>
      </c>
      <c r="Z1082" s="7">
        <f t="shared" si="247"/>
        <v>202937</v>
      </c>
      <c r="AA1082" s="7" t="str">
        <f t="shared" si="248"/>
        <v>29-Oct-2025</v>
      </c>
      <c r="AB1082" s="7">
        <f t="shared" si="249"/>
        <v>3983.7</v>
      </c>
      <c r="AC1082" s="7">
        <f t="shared" si="252"/>
        <v>1</v>
      </c>
      <c r="AD1082" s="7">
        <f t="shared" si="250"/>
        <v>2025</v>
      </c>
      <c r="AE1082" s="19">
        <f t="shared" si="251"/>
        <v>1.37</v>
      </c>
    </row>
    <row r="1083" spans="1:31" x14ac:dyDescent="0.3">
      <c r="A1083" s="17">
        <v>45960</v>
      </c>
      <c r="B1083" s="8">
        <v>4001.3</v>
      </c>
      <c r="C1083" s="7">
        <v>4027.2</v>
      </c>
      <c r="D1083" s="7">
        <v>3913.7</v>
      </c>
      <c r="E1083" s="7">
        <v>3960</v>
      </c>
      <c r="F1083" s="18">
        <v>935</v>
      </c>
      <c r="G1083" s="7">
        <v>4034.1428999999998</v>
      </c>
      <c r="H1083" s="7">
        <v>3968.2467000000001</v>
      </c>
      <c r="I1083" s="7">
        <v>3593.1478000000002</v>
      </c>
      <c r="J1083" s="8">
        <v>-0.59489999999999998</v>
      </c>
      <c r="K1083" s="7">
        <v>2.2905000000000002</v>
      </c>
      <c r="L1083" s="7">
        <v>1.7989999999999999</v>
      </c>
      <c r="M1083" s="8">
        <v>50.129800000000003</v>
      </c>
      <c r="N1083" s="8">
        <v>63.667200000000001</v>
      </c>
      <c r="O1083" s="7">
        <v>106.31789999999999</v>
      </c>
      <c r="P1083" s="7">
        <v>4340.8407999999999</v>
      </c>
      <c r="Q1083" s="7">
        <v>3795.4892</v>
      </c>
      <c r="R1083" s="7" t="str">
        <f t="shared" si="239"/>
        <v>Down</v>
      </c>
      <c r="S1083" s="7" t="str">
        <f t="shared" si="240"/>
        <v>Hold</v>
      </c>
      <c r="T1083" s="8">
        <f t="shared" si="241"/>
        <v>0.32288636363636358</v>
      </c>
      <c r="U1083" s="18">
        <f t="shared" si="242"/>
        <v>514025</v>
      </c>
      <c r="V1083" s="7">
        <f t="shared" si="243"/>
        <v>5586.2002000000002</v>
      </c>
      <c r="W1083" s="7">
        <f t="shared" si="244"/>
        <v>3913.7</v>
      </c>
      <c r="X1083" s="7">
        <f t="shared" si="245"/>
        <v>3960</v>
      </c>
      <c r="Y1083" s="7">
        <f t="shared" si="246"/>
        <v>39</v>
      </c>
      <c r="Z1083" s="7">
        <f t="shared" si="247"/>
        <v>202937</v>
      </c>
      <c r="AA1083" s="7" t="str">
        <f t="shared" si="248"/>
        <v>30-Oct-2025</v>
      </c>
      <c r="AB1083" s="7">
        <f t="shared" si="249"/>
        <v>3960</v>
      </c>
      <c r="AC1083" s="7">
        <f t="shared" si="252"/>
        <v>1</v>
      </c>
      <c r="AD1083" s="7">
        <f t="shared" si="250"/>
        <v>2025</v>
      </c>
      <c r="AE1083" s="19">
        <f t="shared" si="251"/>
        <v>-0.59</v>
      </c>
    </row>
    <row r="1084" spans="1:31" x14ac:dyDescent="0.3">
      <c r="A1084" s="17">
        <v>45961</v>
      </c>
      <c r="B1084" s="8">
        <v>3982.2</v>
      </c>
      <c r="C1084" s="7">
        <v>4034.5</v>
      </c>
      <c r="D1084" s="7">
        <v>3976.6001000000001</v>
      </c>
      <c r="E1084" s="7">
        <v>4034.5</v>
      </c>
      <c r="F1084" s="18">
        <v>559</v>
      </c>
      <c r="G1084" s="7">
        <v>4023.4</v>
      </c>
      <c r="H1084" s="7">
        <v>3980.7633000000001</v>
      </c>
      <c r="I1084" s="7">
        <v>3600.9488999999999</v>
      </c>
      <c r="J1084" s="8">
        <v>1.8813</v>
      </c>
      <c r="K1084" s="7">
        <v>1.7839</v>
      </c>
      <c r="L1084" s="7">
        <v>1.8221000000000001</v>
      </c>
      <c r="M1084" s="8">
        <v>50.789700000000003</v>
      </c>
      <c r="N1084" s="8">
        <v>57.750999999999998</v>
      </c>
      <c r="O1084" s="7">
        <v>96.604500000000002</v>
      </c>
      <c r="P1084" s="7">
        <v>4331.5</v>
      </c>
      <c r="Q1084" s="7">
        <v>3822.7601</v>
      </c>
      <c r="R1084" s="7" t="str">
        <f t="shared" si="239"/>
        <v>Up</v>
      </c>
      <c r="S1084" s="7" t="str">
        <f t="shared" si="240"/>
        <v>Hold</v>
      </c>
      <c r="T1084" s="8">
        <f t="shared" si="241"/>
        <v>0.33343563218390793</v>
      </c>
      <c r="U1084" s="18">
        <f t="shared" si="242"/>
        <v>513090</v>
      </c>
      <c r="V1084" s="7">
        <f t="shared" si="243"/>
        <v>5586.2002000000002</v>
      </c>
      <c r="W1084" s="7">
        <f t="shared" si="244"/>
        <v>3927.3998999999999</v>
      </c>
      <c r="X1084" s="7">
        <f t="shared" si="245"/>
        <v>4034.5</v>
      </c>
      <c r="Y1084" s="7">
        <f t="shared" si="246"/>
        <v>39</v>
      </c>
      <c r="Z1084" s="7">
        <f t="shared" si="247"/>
        <v>202937</v>
      </c>
      <c r="AA1084" s="7" t="str">
        <f t="shared" si="248"/>
        <v>31-Oct-2025</v>
      </c>
      <c r="AB1084" s="7">
        <f t="shared" si="249"/>
        <v>4034.5</v>
      </c>
      <c r="AC1084" s="7">
        <f t="shared" si="252"/>
        <v>1</v>
      </c>
      <c r="AD1084" s="7">
        <f t="shared" si="250"/>
        <v>2025</v>
      </c>
      <c r="AE1084" s="19">
        <f t="shared" si="251"/>
        <v>1.88</v>
      </c>
    </row>
    <row r="1085" spans="1:31" x14ac:dyDescent="0.3">
      <c r="A1085" s="17">
        <v>45964</v>
      </c>
      <c r="B1085" s="8">
        <v>4000.3</v>
      </c>
      <c r="C1085" s="7">
        <v>4020</v>
      </c>
      <c r="D1085" s="7">
        <v>3959</v>
      </c>
      <c r="E1085" s="7">
        <v>3976.2</v>
      </c>
      <c r="F1085" s="18">
        <v>0</v>
      </c>
      <c r="G1085" s="7">
        <v>4008.8</v>
      </c>
      <c r="H1085" s="7">
        <v>3990.3633</v>
      </c>
      <c r="I1085" s="7">
        <v>3608.2543999999998</v>
      </c>
      <c r="J1085" s="8">
        <v>-1.4450000000000001</v>
      </c>
      <c r="K1085" s="7">
        <v>1.8346</v>
      </c>
      <c r="L1085" s="7">
        <v>1.8486</v>
      </c>
      <c r="M1085" s="8">
        <v>43.02</v>
      </c>
      <c r="N1085" s="8">
        <v>47.806899999999999</v>
      </c>
      <c r="O1085" s="7">
        <v>86.844999999999999</v>
      </c>
      <c r="P1085" s="7">
        <v>4329.0754999999999</v>
      </c>
      <c r="Q1085" s="7">
        <v>3829.6745999999998</v>
      </c>
      <c r="R1085" s="7" t="str">
        <f t="shared" si="239"/>
        <v>Down</v>
      </c>
      <c r="S1085" s="7" t="str">
        <f t="shared" si="240"/>
        <v>Hold</v>
      </c>
      <c r="T1085" s="8">
        <f t="shared" si="241"/>
        <v>0.31543720930232544</v>
      </c>
      <c r="U1085" s="18">
        <f t="shared" si="242"/>
        <v>512531</v>
      </c>
      <c r="V1085" s="7">
        <f t="shared" si="243"/>
        <v>5586.2002000000002</v>
      </c>
      <c r="W1085" s="7">
        <f t="shared" si="244"/>
        <v>3927.3998999999999</v>
      </c>
      <c r="X1085" s="7">
        <f t="shared" si="245"/>
        <v>3976.2</v>
      </c>
      <c r="Y1085" s="7">
        <f t="shared" si="246"/>
        <v>38</v>
      </c>
      <c r="Z1085" s="7">
        <f t="shared" si="247"/>
        <v>202378</v>
      </c>
      <c r="AA1085" s="7" t="str">
        <f t="shared" si="248"/>
        <v>03-Nov-2025</v>
      </c>
      <c r="AB1085" s="7">
        <f t="shared" si="249"/>
        <v>3976.2</v>
      </c>
      <c r="AC1085" s="7">
        <f t="shared" si="252"/>
        <v>1</v>
      </c>
      <c r="AD1085" s="7">
        <f t="shared" si="250"/>
        <v>2025</v>
      </c>
      <c r="AE1085" s="19">
        <f t="shared" si="251"/>
        <v>-1.45</v>
      </c>
    </row>
    <row r="1086" spans="1:31" x14ac:dyDescent="0.3">
      <c r="A1086" s="17">
        <v>45965</v>
      </c>
      <c r="B1086" s="8">
        <v>3947.7</v>
      </c>
      <c r="C1086" s="7">
        <v>3995.3998999999999</v>
      </c>
      <c r="D1086" s="7">
        <v>3927.3998999999999</v>
      </c>
      <c r="E1086" s="7">
        <v>3994.2</v>
      </c>
      <c r="F1086" s="18">
        <v>657</v>
      </c>
      <c r="G1086" s="7">
        <v>3991.1857</v>
      </c>
      <c r="H1086" s="7">
        <v>3998.6033000000002</v>
      </c>
      <c r="I1086" s="7">
        <v>3616.3467000000001</v>
      </c>
      <c r="J1086" s="8">
        <v>0.45269999999999999</v>
      </c>
      <c r="K1086" s="7">
        <v>1.7838000000000001</v>
      </c>
      <c r="L1086" s="7">
        <v>1.8320000000000001</v>
      </c>
      <c r="M1086" s="8">
        <v>43.259399999999999</v>
      </c>
      <c r="N1086" s="8">
        <v>40.906999999999996</v>
      </c>
      <c r="O1086" s="7">
        <v>77.657399999999996</v>
      </c>
      <c r="P1086" s="7">
        <v>4327.7617</v>
      </c>
      <c r="Q1086" s="7">
        <v>3834.4684000000002</v>
      </c>
      <c r="R1086" s="7" t="str">
        <f t="shared" si="239"/>
        <v>Up</v>
      </c>
      <c r="S1086" s="7" t="str">
        <f t="shared" si="240"/>
        <v>Hold</v>
      </c>
      <c r="T1086" s="8">
        <f t="shared" si="241"/>
        <v>0.33614823529411758</v>
      </c>
      <c r="U1086" s="18">
        <f t="shared" si="242"/>
        <v>512531</v>
      </c>
      <c r="V1086" s="7">
        <f t="shared" si="243"/>
        <v>5586.2002000000002</v>
      </c>
      <c r="W1086" s="7">
        <f t="shared" si="244"/>
        <v>3927.3998999999999</v>
      </c>
      <c r="X1086" s="7">
        <f t="shared" si="245"/>
        <v>3994.2</v>
      </c>
      <c r="Y1086" s="7">
        <f t="shared" si="246"/>
        <v>38</v>
      </c>
      <c r="Z1086" s="7">
        <f t="shared" si="247"/>
        <v>202378</v>
      </c>
      <c r="AA1086" s="7" t="str">
        <f t="shared" si="248"/>
        <v>04-Nov-2025</v>
      </c>
      <c r="AB1086" s="7">
        <f t="shared" si="249"/>
        <v>3994.2</v>
      </c>
      <c r="AC1086" s="7">
        <f t="shared" si="252"/>
        <v>1</v>
      </c>
      <c r="AD1086" s="7">
        <f t="shared" si="250"/>
        <v>2025</v>
      </c>
      <c r="AE1086" s="19">
        <f t="shared" si="251"/>
        <v>0.45</v>
      </c>
    </row>
    <row r="1087" spans="1:31" x14ac:dyDescent="0.3">
      <c r="A1087" s="17">
        <v>45966</v>
      </c>
      <c r="B1087" s="8">
        <v>3980.3</v>
      </c>
      <c r="C1087" s="7">
        <v>3983.5</v>
      </c>
      <c r="D1087" s="7">
        <v>3929.8998999999999</v>
      </c>
      <c r="E1087" s="7">
        <v>3929.8998999999999</v>
      </c>
      <c r="F1087" s="18">
        <v>559</v>
      </c>
      <c r="G1087" s="7">
        <v>3972.6</v>
      </c>
      <c r="H1087" s="7">
        <v>4003.94</v>
      </c>
      <c r="I1087" s="7">
        <v>3623.2332999999999</v>
      </c>
      <c r="J1087" s="8">
        <v>-1.6097999999999999</v>
      </c>
      <c r="K1087" s="7">
        <v>1.8049999999999999</v>
      </c>
      <c r="L1087" s="7">
        <v>1.8607</v>
      </c>
      <c r="M1087" s="8">
        <v>38.092300000000002</v>
      </c>
      <c r="N1087" s="8">
        <v>29.9056</v>
      </c>
      <c r="O1087" s="7">
        <v>68.106999999999999</v>
      </c>
      <c r="P1087" s="7">
        <v>4330.7515999999996</v>
      </c>
      <c r="Q1087" s="7">
        <v>3825.7483999999999</v>
      </c>
      <c r="R1087" s="7" t="str">
        <f t="shared" si="239"/>
        <v>Down</v>
      </c>
      <c r="S1087" s="7" t="str">
        <f t="shared" si="240"/>
        <v>Hold</v>
      </c>
      <c r="T1087" s="8">
        <f t="shared" si="241"/>
        <v>0.33476071428571419</v>
      </c>
      <c r="U1087" s="18">
        <f t="shared" si="242"/>
        <v>511874</v>
      </c>
      <c r="V1087" s="7">
        <f t="shared" si="243"/>
        <v>5586.2002000000002</v>
      </c>
      <c r="W1087" s="7">
        <f t="shared" si="244"/>
        <v>3929.8998999999999</v>
      </c>
      <c r="X1087" s="7">
        <f t="shared" si="245"/>
        <v>3929.8998999999999</v>
      </c>
      <c r="Y1087" s="7">
        <f t="shared" si="246"/>
        <v>37</v>
      </c>
      <c r="Z1087" s="7">
        <f t="shared" si="247"/>
        <v>201721</v>
      </c>
      <c r="AA1087" s="7" t="str">
        <f t="shared" si="248"/>
        <v>05-Nov-2025</v>
      </c>
      <c r="AB1087" s="7">
        <f t="shared" si="249"/>
        <v>3929.8998999999999</v>
      </c>
      <c r="AC1087" s="7">
        <f t="shared" si="252"/>
        <v>1</v>
      </c>
      <c r="AD1087" s="7">
        <f t="shared" si="250"/>
        <v>2025</v>
      </c>
      <c r="AE1087" s="19">
        <f t="shared" si="251"/>
        <v>-1.61</v>
      </c>
    </row>
    <row r="1088" spans="1:31" x14ac:dyDescent="0.3">
      <c r="A1088" s="17">
        <v>45967</v>
      </c>
      <c r="B1088" s="8">
        <v>3979.8998999999999</v>
      </c>
      <c r="C1088" s="7">
        <v>4007.5</v>
      </c>
      <c r="D1088" s="7">
        <v>3979.8998999999999</v>
      </c>
      <c r="E1088" s="7">
        <v>4004</v>
      </c>
      <c r="F1088" s="18">
        <v>650</v>
      </c>
      <c r="G1088" s="7">
        <v>3983.2143000000001</v>
      </c>
      <c r="H1088" s="7">
        <v>4012.6466999999998</v>
      </c>
      <c r="I1088" s="7">
        <v>3630.7332999999999</v>
      </c>
      <c r="J1088" s="8">
        <v>1.8855</v>
      </c>
      <c r="K1088" s="7">
        <v>1.5101</v>
      </c>
      <c r="L1088" s="7">
        <v>1.8792</v>
      </c>
      <c r="M1088" s="8">
        <v>33.256900000000002</v>
      </c>
      <c r="N1088" s="8">
        <v>26.8566</v>
      </c>
      <c r="O1088" s="7">
        <v>59.856900000000003</v>
      </c>
      <c r="P1088" s="7">
        <v>4330.8143</v>
      </c>
      <c r="Q1088" s="7">
        <v>3824.9657000000002</v>
      </c>
      <c r="R1088" s="7" t="str">
        <f t="shared" si="239"/>
        <v>Up</v>
      </c>
      <c r="S1088" s="7" t="str">
        <f t="shared" si="240"/>
        <v>Hold</v>
      </c>
      <c r="T1088" s="8">
        <f t="shared" si="241"/>
        <v>0.35818915662650597</v>
      </c>
      <c r="U1088" s="18">
        <f t="shared" si="242"/>
        <v>511315</v>
      </c>
      <c r="V1088" s="7">
        <f t="shared" si="243"/>
        <v>5586.2002000000002</v>
      </c>
      <c r="W1088" s="7">
        <f t="shared" si="244"/>
        <v>3979.8998999999999</v>
      </c>
      <c r="X1088" s="7">
        <f t="shared" si="245"/>
        <v>4004</v>
      </c>
      <c r="Y1088" s="7">
        <f t="shared" si="246"/>
        <v>37</v>
      </c>
      <c r="Z1088" s="7">
        <f t="shared" si="247"/>
        <v>201721</v>
      </c>
      <c r="AA1088" s="7" t="str">
        <f t="shared" si="248"/>
        <v>06-Nov-2025</v>
      </c>
      <c r="AB1088" s="7">
        <f t="shared" si="249"/>
        <v>4004</v>
      </c>
      <c r="AC1088" s="7">
        <f t="shared" si="252"/>
        <v>1</v>
      </c>
      <c r="AD1088" s="7">
        <f t="shared" si="250"/>
        <v>2025</v>
      </c>
      <c r="AE1088" s="19">
        <f t="shared" si="251"/>
        <v>1.89</v>
      </c>
    </row>
    <row r="1089" spans="1:31" x14ac:dyDescent="0.3">
      <c r="A1089" s="17">
        <v>45968</v>
      </c>
      <c r="B1089" s="8">
        <v>3999.3998999999999</v>
      </c>
      <c r="C1089" s="7">
        <v>3999.3998999999999</v>
      </c>
      <c r="D1089" s="7">
        <v>3980.8</v>
      </c>
      <c r="E1089" s="7">
        <v>3980.8</v>
      </c>
      <c r="F1089" s="18">
        <v>245</v>
      </c>
      <c r="G1089" s="7">
        <v>3982.8</v>
      </c>
      <c r="H1089" s="7">
        <v>4019.4967000000001</v>
      </c>
      <c r="I1089" s="7">
        <v>3637.6089000000002</v>
      </c>
      <c r="J1089" s="8">
        <v>-0.57940000000000003</v>
      </c>
      <c r="K1089" s="7">
        <v>1.4531000000000001</v>
      </c>
      <c r="L1089" s="7">
        <v>1.8812</v>
      </c>
      <c r="M1089" s="8">
        <v>36.284999999999997</v>
      </c>
      <c r="N1089" s="8">
        <v>22.311</v>
      </c>
      <c r="O1089" s="7">
        <v>52.347700000000003</v>
      </c>
      <c r="P1089" s="7">
        <v>4329.8239999999996</v>
      </c>
      <c r="Q1089" s="7">
        <v>3828.3361</v>
      </c>
      <c r="R1089" s="7" t="str">
        <f t="shared" si="239"/>
        <v>Down</v>
      </c>
      <c r="S1089" s="7" t="str">
        <f t="shared" si="240"/>
        <v>Hold</v>
      </c>
      <c r="T1089" s="8">
        <f t="shared" si="241"/>
        <v>0.33956341463414624</v>
      </c>
      <c r="U1089" s="18">
        <f t="shared" si="242"/>
        <v>510665</v>
      </c>
      <c r="V1089" s="7">
        <f t="shared" si="243"/>
        <v>5586.2002000000002</v>
      </c>
      <c r="W1089" s="7">
        <f t="shared" si="244"/>
        <v>3980.8</v>
      </c>
      <c r="X1089" s="7">
        <f t="shared" si="245"/>
        <v>3980.8</v>
      </c>
      <c r="Y1089" s="7">
        <f t="shared" si="246"/>
        <v>36</v>
      </c>
      <c r="Z1089" s="7">
        <f t="shared" si="247"/>
        <v>201071</v>
      </c>
      <c r="AA1089" s="7" t="str">
        <f t="shared" si="248"/>
        <v>07-Nov-2025</v>
      </c>
      <c r="AB1089" s="7">
        <f t="shared" si="249"/>
        <v>3980.8</v>
      </c>
      <c r="AC1089" s="7">
        <f t="shared" si="252"/>
        <v>1</v>
      </c>
      <c r="AD1089" s="7">
        <f t="shared" si="250"/>
        <v>2025</v>
      </c>
      <c r="AE1089" s="19">
        <f t="shared" si="251"/>
        <v>-0.57999999999999996</v>
      </c>
    </row>
    <row r="1090" spans="1:31" x14ac:dyDescent="0.3">
      <c r="A1090" s="17">
        <v>45971</v>
      </c>
      <c r="B1090" s="8">
        <v>4111.7997999999998</v>
      </c>
      <c r="C1090" s="7">
        <v>4111.7997999999998</v>
      </c>
      <c r="D1090" s="7">
        <v>4060</v>
      </c>
      <c r="E1090" s="7">
        <v>4060</v>
      </c>
      <c r="F1090" s="18">
        <v>189</v>
      </c>
      <c r="G1090" s="7">
        <v>3997.0857000000001</v>
      </c>
      <c r="H1090" s="7">
        <v>4029.67</v>
      </c>
      <c r="I1090" s="7">
        <v>3645.5866999999998</v>
      </c>
      <c r="J1090" s="8">
        <v>1.9895</v>
      </c>
      <c r="K1090" s="7">
        <v>1.5982000000000001</v>
      </c>
      <c r="L1090" s="7">
        <v>1.9036999999999999</v>
      </c>
      <c r="M1090" s="8">
        <v>35.654899999999998</v>
      </c>
      <c r="N1090" s="8">
        <v>24.813300000000002</v>
      </c>
      <c r="O1090" s="7">
        <v>46.840899999999998</v>
      </c>
      <c r="P1090" s="7">
        <v>4330.4609</v>
      </c>
      <c r="Q1090" s="7">
        <v>3832.0992000000001</v>
      </c>
      <c r="R1090" s="7" t="str">
        <f t="shared" si="239"/>
        <v>Down</v>
      </c>
      <c r="S1090" s="7" t="str">
        <f t="shared" si="240"/>
        <v>Hold</v>
      </c>
      <c r="T1090" s="8">
        <f t="shared" si="241"/>
        <v>0.35090864197530858</v>
      </c>
      <c r="U1090" s="18">
        <f t="shared" si="242"/>
        <v>510420</v>
      </c>
      <c r="V1090" s="7">
        <f t="shared" si="243"/>
        <v>5586.2002000000002</v>
      </c>
      <c r="W1090" s="7">
        <f t="shared" si="244"/>
        <v>4019.3998999999999</v>
      </c>
      <c r="X1090" s="7">
        <f t="shared" si="245"/>
        <v>4060</v>
      </c>
      <c r="Y1090" s="7">
        <f t="shared" si="246"/>
        <v>36</v>
      </c>
      <c r="Z1090" s="7">
        <f t="shared" si="247"/>
        <v>201071</v>
      </c>
      <c r="AA1090" s="7" t="str">
        <f t="shared" si="248"/>
        <v>10-Nov-2025</v>
      </c>
      <c r="AB1090" s="7">
        <f t="shared" si="249"/>
        <v>4060</v>
      </c>
      <c r="AC1090" s="7">
        <f t="shared" si="252"/>
        <v>1</v>
      </c>
      <c r="AD1090" s="7">
        <f t="shared" si="250"/>
        <v>2025</v>
      </c>
      <c r="AE1090" s="19">
        <f t="shared" si="251"/>
        <v>1.99</v>
      </c>
    </row>
    <row r="1091" spans="1:31" x14ac:dyDescent="0.3">
      <c r="A1091" s="17">
        <v>45972</v>
      </c>
      <c r="B1091" s="8">
        <v>4106.7997999999998</v>
      </c>
      <c r="C1091" s="7">
        <v>4140.1000999999997</v>
      </c>
      <c r="D1091" s="7">
        <v>4106.7997999999998</v>
      </c>
      <c r="E1091" s="7">
        <v>4140.1000999999997</v>
      </c>
      <c r="F1091" s="18">
        <v>569</v>
      </c>
      <c r="G1091" s="7">
        <v>4012.1714000000002</v>
      </c>
      <c r="H1091" s="7">
        <v>4040.09</v>
      </c>
      <c r="I1091" s="7">
        <v>3654.86</v>
      </c>
      <c r="J1091" s="8">
        <v>1.9729000000000001</v>
      </c>
      <c r="K1091" s="7">
        <v>1.613</v>
      </c>
      <c r="L1091" s="7">
        <v>1.9048</v>
      </c>
      <c r="M1091" s="8">
        <v>51.882100000000001</v>
      </c>
      <c r="N1091" s="8">
        <v>32.880800000000001</v>
      </c>
      <c r="O1091" s="7">
        <v>44.0488</v>
      </c>
      <c r="P1091" s="7">
        <v>4331.2667000000001</v>
      </c>
      <c r="Q1091" s="7">
        <v>3832.1333</v>
      </c>
      <c r="R1091" s="7" t="str">
        <f t="shared" ref="R1091:R1154" si="253">IF(E1091&gt;B1091,"Up","Down")</f>
        <v>Up</v>
      </c>
      <c r="S1091" s="7" t="str">
        <f t="shared" ref="S1091:S1154" si="254">IF(M1091&gt;70,"Sell",IF(M1091&lt;30,"Buy","Hold"))</f>
        <v>Hold</v>
      </c>
      <c r="T1091" s="8">
        <f t="shared" ref="T1091:T1154" si="255">AVERAGE(J1091:J2259)</f>
        <v>0.33042624999999998</v>
      </c>
      <c r="U1091" s="18">
        <f t="shared" ref="U1091:U1154" si="256">SUM(F1091:F2259)</f>
        <v>510231</v>
      </c>
      <c r="V1091" s="7">
        <f t="shared" ref="V1091:V1154" si="257">MAX(C1091:C2259)</f>
        <v>5586.2002000000002</v>
      </c>
      <c r="W1091" s="7">
        <f t="shared" ref="W1091:W1154" si="258">MIN(D1091:D2259)</f>
        <v>4019.3998999999999</v>
      </c>
      <c r="X1091" s="7">
        <f t="shared" ref="X1091:X1154" si="259">INDEX(E1091:E2259,MATCH(A1091,A1091:A2259,0))</f>
        <v>4140.1000999999997</v>
      </c>
      <c r="Y1091" s="7">
        <f t="shared" ref="Y1091:Y1154" si="260">COUNTIF(R1091:R2259,"Up")</f>
        <v>36</v>
      </c>
      <c r="Z1091" s="7">
        <f t="shared" ref="Z1091:Z1154" si="261">SUMIF(R1091:R2259,"Up",F1091:F2259)</f>
        <v>201071</v>
      </c>
      <c r="AA1091" s="7" t="str">
        <f t="shared" ref="AA1091:AA1154" si="262">TEXT(A1091,"DD-MMM-YYYY")</f>
        <v>11-Nov-2025</v>
      </c>
      <c r="AB1091" s="7">
        <f t="shared" ref="AB1091:AB1154" si="263">_xlfn.XLOOKUP(A1091,A1091:A2259,E1091:E2259)</f>
        <v>4140.1000999999997</v>
      </c>
      <c r="AC1091" s="7">
        <f t="shared" si="252"/>
        <v>1</v>
      </c>
      <c r="AD1091" s="7">
        <f t="shared" ref="AD1091:AD1154" si="264">YEAR(A1091)</f>
        <v>2025</v>
      </c>
      <c r="AE1091" s="19">
        <f t="shared" ref="AE1091:AE1154" si="265">ROUND(J1091,2)</f>
        <v>1.97</v>
      </c>
    </row>
    <row r="1092" spans="1:31" x14ac:dyDescent="0.3">
      <c r="A1092" s="17">
        <v>45973</v>
      </c>
      <c r="B1092" s="8">
        <v>4204.3999000000003</v>
      </c>
      <c r="C1092" s="7">
        <v>4204.3999000000003</v>
      </c>
      <c r="D1092" s="7">
        <v>4102.8999000000003</v>
      </c>
      <c r="E1092" s="7">
        <v>4115.6000999999997</v>
      </c>
      <c r="F1092" s="18">
        <v>396</v>
      </c>
      <c r="G1092" s="7">
        <v>4032.0857000000001</v>
      </c>
      <c r="H1092" s="7">
        <v>4048.4933000000001</v>
      </c>
      <c r="I1092" s="7">
        <v>3663.5844000000002</v>
      </c>
      <c r="J1092" s="8">
        <v>-0.59179999999999999</v>
      </c>
      <c r="K1092" s="7">
        <v>1.4786999999999999</v>
      </c>
      <c r="L1092" s="7">
        <v>1.907</v>
      </c>
      <c r="M1092" s="8">
        <v>52.322699999999998</v>
      </c>
      <c r="N1092" s="8">
        <v>36.872300000000003</v>
      </c>
      <c r="O1092" s="7">
        <v>42.613500000000002</v>
      </c>
      <c r="P1092" s="7">
        <v>4328.5700999999999</v>
      </c>
      <c r="Q1092" s="7">
        <v>3831.8899000000001</v>
      </c>
      <c r="R1092" s="7" t="str">
        <f t="shared" si="253"/>
        <v>Down</v>
      </c>
      <c r="S1092" s="7" t="str">
        <f t="shared" si="254"/>
        <v>Hold</v>
      </c>
      <c r="T1092" s="8">
        <f t="shared" si="255"/>
        <v>0.30963544303797463</v>
      </c>
      <c r="U1092" s="18">
        <f t="shared" si="256"/>
        <v>509662</v>
      </c>
      <c r="V1092" s="7">
        <f t="shared" si="257"/>
        <v>5586.2002000000002</v>
      </c>
      <c r="W1092" s="7">
        <f t="shared" si="258"/>
        <v>4019.3998999999999</v>
      </c>
      <c r="X1092" s="7">
        <f t="shared" si="259"/>
        <v>4115.6000999999997</v>
      </c>
      <c r="Y1092" s="7">
        <f t="shared" si="260"/>
        <v>35</v>
      </c>
      <c r="Z1092" s="7">
        <f t="shared" si="261"/>
        <v>200502</v>
      </c>
      <c r="AA1092" s="7" t="str">
        <f t="shared" si="262"/>
        <v>12-Nov-2025</v>
      </c>
      <c r="AB1092" s="7">
        <f t="shared" si="263"/>
        <v>4115.6000999999997</v>
      </c>
      <c r="AC1092" s="7">
        <f t="shared" si="252"/>
        <v>1</v>
      </c>
      <c r="AD1092" s="7">
        <f t="shared" si="264"/>
        <v>2025</v>
      </c>
      <c r="AE1092" s="19">
        <f t="shared" si="265"/>
        <v>-0.59</v>
      </c>
    </row>
    <row r="1093" spans="1:31" x14ac:dyDescent="0.3">
      <c r="A1093" s="17">
        <v>45974</v>
      </c>
      <c r="B1093" s="8">
        <v>4186.8999000000003</v>
      </c>
      <c r="C1093" s="7">
        <v>4228.7002000000002</v>
      </c>
      <c r="D1093" s="7">
        <v>4163.7002000000002</v>
      </c>
      <c r="E1093" s="7">
        <v>4228.7002000000002</v>
      </c>
      <c r="F1093" s="18">
        <v>167</v>
      </c>
      <c r="G1093" s="7">
        <v>4065.5857999999998</v>
      </c>
      <c r="H1093" s="7">
        <v>4060.91</v>
      </c>
      <c r="I1093" s="7">
        <v>3674.0210999999999</v>
      </c>
      <c r="J1093" s="8">
        <v>2.7481</v>
      </c>
      <c r="K1093" s="7">
        <v>1.7032</v>
      </c>
      <c r="L1093" s="7">
        <v>1.9595</v>
      </c>
      <c r="M1093" s="8">
        <v>56.355699999999999</v>
      </c>
      <c r="N1093" s="8">
        <v>48.601700000000001</v>
      </c>
      <c r="O1093" s="7">
        <v>43.811199999999999</v>
      </c>
      <c r="P1093" s="7">
        <v>4333.4080999999996</v>
      </c>
      <c r="Q1093" s="7">
        <v>3830.0419999999999</v>
      </c>
      <c r="R1093" s="7" t="str">
        <f t="shared" si="253"/>
        <v>Up</v>
      </c>
      <c r="S1093" s="7" t="str">
        <f t="shared" si="254"/>
        <v>Hold</v>
      </c>
      <c r="T1093" s="8">
        <f t="shared" si="255"/>
        <v>0.32119230769230761</v>
      </c>
      <c r="U1093" s="18">
        <f t="shared" si="256"/>
        <v>509266</v>
      </c>
      <c r="V1093" s="7">
        <f t="shared" si="257"/>
        <v>5586.2002000000002</v>
      </c>
      <c r="W1093" s="7">
        <f t="shared" si="258"/>
        <v>4019.3998999999999</v>
      </c>
      <c r="X1093" s="7">
        <f t="shared" si="259"/>
        <v>4228.7002000000002</v>
      </c>
      <c r="Y1093" s="7">
        <f t="shared" si="260"/>
        <v>35</v>
      </c>
      <c r="Z1093" s="7">
        <f t="shared" si="261"/>
        <v>200502</v>
      </c>
      <c r="AA1093" s="7" t="str">
        <f t="shared" si="262"/>
        <v>13-Nov-2025</v>
      </c>
      <c r="AB1093" s="7">
        <f t="shared" si="263"/>
        <v>4228.7002000000002</v>
      </c>
      <c r="AC1093" s="7">
        <f t="shared" ref="AC1093:AC1156" si="266">_xlfn.XMATCH(A1093,A1093:A2261)</f>
        <v>1</v>
      </c>
      <c r="AD1093" s="7">
        <f t="shared" si="264"/>
        <v>2025</v>
      </c>
      <c r="AE1093" s="19">
        <f t="shared" si="265"/>
        <v>2.75</v>
      </c>
    </row>
    <row r="1094" spans="1:31" x14ac:dyDescent="0.3">
      <c r="A1094" s="17">
        <v>45975</v>
      </c>
      <c r="B1094" s="8">
        <v>4087.6001000000001</v>
      </c>
      <c r="C1094" s="7">
        <v>4197.8999000000003</v>
      </c>
      <c r="D1094" s="7">
        <v>4047</v>
      </c>
      <c r="E1094" s="7">
        <v>4197.7002000000002</v>
      </c>
      <c r="F1094" s="18">
        <v>483</v>
      </c>
      <c r="G1094" s="7">
        <v>4103.8428999999996</v>
      </c>
      <c r="H1094" s="7">
        <v>4072.3267000000001</v>
      </c>
      <c r="I1094" s="7">
        <v>3683.7332999999999</v>
      </c>
      <c r="J1094" s="8">
        <v>-0.73309999999999997</v>
      </c>
      <c r="K1094" s="7">
        <v>1.5157</v>
      </c>
      <c r="L1094" s="7">
        <v>1.9681</v>
      </c>
      <c r="M1094" s="8">
        <v>58.116199999999999</v>
      </c>
      <c r="N1094" s="8">
        <v>54.764499999999998</v>
      </c>
      <c r="O1094" s="7">
        <v>46.001800000000003</v>
      </c>
      <c r="P1094" s="7">
        <v>4297.9934999999996</v>
      </c>
      <c r="Q1094" s="7">
        <v>3849.7566000000002</v>
      </c>
      <c r="R1094" s="7" t="str">
        <f t="shared" si="253"/>
        <v>Up</v>
      </c>
      <c r="S1094" s="7" t="str">
        <f t="shared" si="254"/>
        <v>Hold</v>
      </c>
      <c r="T1094" s="8">
        <f t="shared" si="255"/>
        <v>0.28967402597402586</v>
      </c>
      <c r="U1094" s="18">
        <f t="shared" si="256"/>
        <v>509099</v>
      </c>
      <c r="V1094" s="7">
        <f t="shared" si="257"/>
        <v>5586.2002000000002</v>
      </c>
      <c r="W1094" s="7">
        <f t="shared" si="258"/>
        <v>4019.3998999999999</v>
      </c>
      <c r="X1094" s="7">
        <f t="shared" si="259"/>
        <v>4197.7002000000002</v>
      </c>
      <c r="Y1094" s="7">
        <f t="shared" si="260"/>
        <v>34</v>
      </c>
      <c r="Z1094" s="7">
        <f t="shared" si="261"/>
        <v>200335</v>
      </c>
      <c r="AA1094" s="7" t="str">
        <f t="shared" si="262"/>
        <v>14-Nov-2025</v>
      </c>
      <c r="AB1094" s="7">
        <f t="shared" si="263"/>
        <v>4197.7002000000002</v>
      </c>
      <c r="AC1094" s="7">
        <f t="shared" si="266"/>
        <v>1</v>
      </c>
      <c r="AD1094" s="7">
        <f t="shared" si="264"/>
        <v>2025</v>
      </c>
      <c r="AE1094" s="19">
        <f t="shared" si="265"/>
        <v>-0.73</v>
      </c>
    </row>
    <row r="1095" spans="1:31" x14ac:dyDescent="0.3">
      <c r="A1095" s="17">
        <v>45978</v>
      </c>
      <c r="B1095" s="8">
        <v>4068.3</v>
      </c>
      <c r="C1095" s="7">
        <v>4099.5</v>
      </c>
      <c r="D1095" s="7">
        <v>4019.3998999999999</v>
      </c>
      <c r="E1095" s="7">
        <v>4070</v>
      </c>
      <c r="F1095" s="18">
        <v>1552</v>
      </c>
      <c r="G1095" s="7">
        <v>4113.2714999999998</v>
      </c>
      <c r="H1095" s="7">
        <v>4076.95</v>
      </c>
      <c r="I1095" s="7">
        <v>3691.95</v>
      </c>
      <c r="J1095" s="8">
        <v>-3.0421</v>
      </c>
      <c r="K1095" s="7">
        <v>2.0590000000000002</v>
      </c>
      <c r="L1095" s="7">
        <v>2.0331999999999999</v>
      </c>
      <c r="M1095" s="8">
        <v>58.294899999999998</v>
      </c>
      <c r="N1095" s="8">
        <v>48.7819</v>
      </c>
      <c r="O1095" s="7">
        <v>46.557899999999997</v>
      </c>
      <c r="P1095" s="7">
        <v>4274.4852000000001</v>
      </c>
      <c r="Q1095" s="7">
        <v>3855.8548000000001</v>
      </c>
      <c r="R1095" s="7" t="str">
        <f t="shared" si="253"/>
        <v>Up</v>
      </c>
      <c r="S1095" s="7" t="str">
        <f t="shared" si="254"/>
        <v>Hold</v>
      </c>
      <c r="T1095" s="8">
        <f t="shared" si="255"/>
        <v>0.30313157894736836</v>
      </c>
      <c r="U1095" s="18">
        <f t="shared" si="256"/>
        <v>508616</v>
      </c>
      <c r="V1095" s="7">
        <f t="shared" si="257"/>
        <v>5586.2002000000002</v>
      </c>
      <c r="W1095" s="7">
        <f t="shared" si="258"/>
        <v>4019.3998999999999</v>
      </c>
      <c r="X1095" s="7">
        <f t="shared" si="259"/>
        <v>4070</v>
      </c>
      <c r="Y1095" s="7">
        <f t="shared" si="260"/>
        <v>33</v>
      </c>
      <c r="Z1095" s="7">
        <f t="shared" si="261"/>
        <v>199852</v>
      </c>
      <c r="AA1095" s="7" t="str">
        <f t="shared" si="262"/>
        <v>17-Nov-2025</v>
      </c>
      <c r="AB1095" s="7">
        <f t="shared" si="263"/>
        <v>4070</v>
      </c>
      <c r="AC1095" s="7">
        <f t="shared" si="266"/>
        <v>1</v>
      </c>
      <c r="AD1095" s="7">
        <f t="shared" si="264"/>
        <v>2025</v>
      </c>
      <c r="AE1095" s="19">
        <f t="shared" si="265"/>
        <v>-3.04</v>
      </c>
    </row>
    <row r="1096" spans="1:31" x14ac:dyDescent="0.3">
      <c r="A1096" s="17">
        <v>45979</v>
      </c>
      <c r="B1096" s="8">
        <v>4061.3</v>
      </c>
      <c r="C1096" s="7">
        <v>4063.3998999999999</v>
      </c>
      <c r="D1096" s="7">
        <v>4035.6001000000001</v>
      </c>
      <c r="E1096" s="7">
        <v>4037.3998999999999</v>
      </c>
      <c r="F1096" s="18">
        <v>1375</v>
      </c>
      <c r="G1096" s="7">
        <v>4121.3572000000004</v>
      </c>
      <c r="H1096" s="7">
        <v>4079.55</v>
      </c>
      <c r="I1096" s="7">
        <v>3699.3989000000001</v>
      </c>
      <c r="J1096" s="8">
        <v>-0.80100000000000005</v>
      </c>
      <c r="K1096" s="7">
        <v>2.0754999999999999</v>
      </c>
      <c r="L1096" s="7">
        <v>2.0371999999999999</v>
      </c>
      <c r="M1096" s="8">
        <v>53.257300000000001</v>
      </c>
      <c r="N1096" s="8">
        <v>40.938200000000002</v>
      </c>
      <c r="O1096" s="7">
        <v>45.433900000000001</v>
      </c>
      <c r="P1096" s="7">
        <v>4217.7053999999998</v>
      </c>
      <c r="Q1096" s="7">
        <v>3883.1046000000001</v>
      </c>
      <c r="R1096" s="7" t="str">
        <f t="shared" si="253"/>
        <v>Down</v>
      </c>
      <c r="S1096" s="7" t="str">
        <f t="shared" si="254"/>
        <v>Hold</v>
      </c>
      <c r="T1096" s="8">
        <f t="shared" si="255"/>
        <v>0.34773466666666664</v>
      </c>
      <c r="U1096" s="18">
        <f t="shared" si="256"/>
        <v>507064</v>
      </c>
      <c r="V1096" s="7">
        <f t="shared" si="257"/>
        <v>5586.2002000000002</v>
      </c>
      <c r="W1096" s="7">
        <f t="shared" si="258"/>
        <v>4031.8</v>
      </c>
      <c r="X1096" s="7">
        <f t="shared" si="259"/>
        <v>4037.3998999999999</v>
      </c>
      <c r="Y1096" s="7">
        <f t="shared" si="260"/>
        <v>32</v>
      </c>
      <c r="Z1096" s="7">
        <f t="shared" si="261"/>
        <v>198300</v>
      </c>
      <c r="AA1096" s="7" t="str">
        <f t="shared" si="262"/>
        <v>18-Nov-2025</v>
      </c>
      <c r="AB1096" s="7">
        <f t="shared" si="263"/>
        <v>4037.3998999999999</v>
      </c>
      <c r="AC1096" s="7">
        <f t="shared" si="266"/>
        <v>1</v>
      </c>
      <c r="AD1096" s="7">
        <f t="shared" si="264"/>
        <v>2025</v>
      </c>
      <c r="AE1096" s="19">
        <f t="shared" si="265"/>
        <v>-0.8</v>
      </c>
    </row>
    <row r="1097" spans="1:31" x14ac:dyDescent="0.3">
      <c r="A1097" s="17">
        <v>45980</v>
      </c>
      <c r="B1097" s="8">
        <v>4077.7</v>
      </c>
      <c r="C1097" s="7">
        <v>4122.7002000000002</v>
      </c>
      <c r="D1097" s="7">
        <v>4072</v>
      </c>
      <c r="E1097" s="7">
        <v>4086.1001000000001</v>
      </c>
      <c r="F1097" s="18">
        <v>486</v>
      </c>
      <c r="G1097" s="7">
        <v>4125.0857999999998</v>
      </c>
      <c r="H1097" s="7">
        <v>4082.8467000000001</v>
      </c>
      <c r="I1097" s="7">
        <v>3707.6777999999999</v>
      </c>
      <c r="J1097" s="8">
        <v>1.2061999999999999</v>
      </c>
      <c r="K1097" s="7">
        <v>1.9833000000000001</v>
      </c>
      <c r="L1097" s="7">
        <v>2.0445000000000002</v>
      </c>
      <c r="M1097" s="8">
        <v>57.4238</v>
      </c>
      <c r="N1097" s="8">
        <v>38.211300000000001</v>
      </c>
      <c r="O1097" s="7">
        <v>43.989400000000003</v>
      </c>
      <c r="P1097" s="7">
        <v>4215.0911999999998</v>
      </c>
      <c r="Q1097" s="7">
        <v>3883.3588</v>
      </c>
      <c r="R1097" s="7" t="str">
        <f t="shared" si="253"/>
        <v>Up</v>
      </c>
      <c r="S1097" s="7" t="str">
        <f t="shared" si="254"/>
        <v>Hold</v>
      </c>
      <c r="T1097" s="8">
        <f t="shared" si="255"/>
        <v>0.36325810810810799</v>
      </c>
      <c r="U1097" s="18">
        <f t="shared" si="256"/>
        <v>505689</v>
      </c>
      <c r="V1097" s="7">
        <f t="shared" si="257"/>
        <v>5586.2002000000002</v>
      </c>
      <c r="W1097" s="7">
        <f t="shared" si="258"/>
        <v>4031.8</v>
      </c>
      <c r="X1097" s="7">
        <f t="shared" si="259"/>
        <v>4086.1001000000001</v>
      </c>
      <c r="Y1097" s="7">
        <f t="shared" si="260"/>
        <v>32</v>
      </c>
      <c r="Z1097" s="7">
        <f t="shared" si="261"/>
        <v>198300</v>
      </c>
      <c r="AA1097" s="7" t="str">
        <f t="shared" si="262"/>
        <v>19-Nov-2025</v>
      </c>
      <c r="AB1097" s="7">
        <f t="shared" si="263"/>
        <v>4086.1001000000001</v>
      </c>
      <c r="AC1097" s="7">
        <f t="shared" si="266"/>
        <v>1</v>
      </c>
      <c r="AD1097" s="7">
        <f t="shared" si="264"/>
        <v>2025</v>
      </c>
      <c r="AE1097" s="19">
        <f t="shared" si="265"/>
        <v>1.21</v>
      </c>
    </row>
    <row r="1098" spans="1:31" x14ac:dyDescent="0.3">
      <c r="A1098" s="17">
        <v>45981</v>
      </c>
      <c r="B1098" s="8">
        <v>4056.5</v>
      </c>
      <c r="C1098" s="7">
        <v>4090.3998999999999</v>
      </c>
      <c r="D1098" s="7">
        <v>4040.2</v>
      </c>
      <c r="E1098" s="7">
        <v>4045</v>
      </c>
      <c r="F1098" s="18">
        <v>202</v>
      </c>
      <c r="G1098" s="7">
        <v>4111.5001000000002</v>
      </c>
      <c r="H1098" s="7">
        <v>4083.9733999999999</v>
      </c>
      <c r="I1098" s="7">
        <v>3715.4978000000001</v>
      </c>
      <c r="J1098" s="8">
        <v>-1.0059</v>
      </c>
      <c r="K1098" s="7">
        <v>1.8302</v>
      </c>
      <c r="L1098" s="7">
        <v>2.052</v>
      </c>
      <c r="M1098" s="8">
        <v>50.643500000000003</v>
      </c>
      <c r="N1098" s="8">
        <v>32.360700000000001</v>
      </c>
      <c r="O1098" s="7">
        <v>41.663600000000002</v>
      </c>
      <c r="P1098" s="7">
        <v>4212.8559999999998</v>
      </c>
      <c r="Q1098" s="7">
        <v>3882.2539999999999</v>
      </c>
      <c r="R1098" s="7" t="str">
        <f t="shared" si="253"/>
        <v>Down</v>
      </c>
      <c r="S1098" s="7" t="str">
        <f t="shared" si="254"/>
        <v>Hold</v>
      </c>
      <c r="T1098" s="8">
        <f t="shared" si="255"/>
        <v>0.35171095890410953</v>
      </c>
      <c r="U1098" s="18">
        <f t="shared" si="256"/>
        <v>505203</v>
      </c>
      <c r="V1098" s="7">
        <f t="shared" si="257"/>
        <v>5586.2002000000002</v>
      </c>
      <c r="W1098" s="7">
        <f t="shared" si="258"/>
        <v>4031.8</v>
      </c>
      <c r="X1098" s="7">
        <f t="shared" si="259"/>
        <v>4045</v>
      </c>
      <c r="Y1098" s="7">
        <f t="shared" si="260"/>
        <v>31</v>
      </c>
      <c r="Z1098" s="7">
        <f t="shared" si="261"/>
        <v>197814</v>
      </c>
      <c r="AA1098" s="7" t="str">
        <f t="shared" si="262"/>
        <v>20-Nov-2025</v>
      </c>
      <c r="AB1098" s="7">
        <f t="shared" si="263"/>
        <v>4045</v>
      </c>
      <c r="AC1098" s="7">
        <f t="shared" si="266"/>
        <v>1</v>
      </c>
      <c r="AD1098" s="7">
        <f t="shared" si="264"/>
        <v>2025</v>
      </c>
      <c r="AE1098" s="19">
        <f t="shared" si="265"/>
        <v>-1.01</v>
      </c>
    </row>
    <row r="1099" spans="1:31" x14ac:dyDescent="0.3">
      <c r="A1099" s="17">
        <v>45982</v>
      </c>
      <c r="B1099" s="8">
        <v>4076.7</v>
      </c>
      <c r="C1099" s="7">
        <v>4085.2</v>
      </c>
      <c r="D1099" s="7">
        <v>4031.8</v>
      </c>
      <c r="E1099" s="7">
        <v>4031.8</v>
      </c>
      <c r="F1099" s="18">
        <v>171</v>
      </c>
      <c r="G1099" s="7">
        <v>4099.5285999999996</v>
      </c>
      <c r="H1099" s="7">
        <v>4086.4666999999999</v>
      </c>
      <c r="I1099" s="7">
        <v>3723.4756000000002</v>
      </c>
      <c r="J1099" s="8">
        <v>-0.32629999999999998</v>
      </c>
      <c r="K1099" s="7">
        <v>1.8263</v>
      </c>
      <c r="L1099" s="7">
        <v>2.0364</v>
      </c>
      <c r="M1099" s="8">
        <v>53.6066</v>
      </c>
      <c r="N1099" s="8">
        <v>26.3551</v>
      </c>
      <c r="O1099" s="7">
        <v>38.601900000000001</v>
      </c>
      <c r="P1099" s="7">
        <v>4205.3483999999999</v>
      </c>
      <c r="Q1099" s="7">
        <v>3881.1916000000001</v>
      </c>
      <c r="R1099" s="7" t="str">
        <f t="shared" si="253"/>
        <v>Down</v>
      </c>
      <c r="S1099" s="7" t="str">
        <f t="shared" si="254"/>
        <v>Hold</v>
      </c>
      <c r="T1099" s="8">
        <f t="shared" si="255"/>
        <v>0.3705666666666666</v>
      </c>
      <c r="U1099" s="18">
        <f t="shared" si="256"/>
        <v>505001</v>
      </c>
      <c r="V1099" s="7">
        <f t="shared" si="257"/>
        <v>5586.2002000000002</v>
      </c>
      <c r="W1099" s="7">
        <f t="shared" si="258"/>
        <v>4031.8</v>
      </c>
      <c r="X1099" s="7">
        <f t="shared" si="259"/>
        <v>4031.8</v>
      </c>
      <c r="Y1099" s="7">
        <f t="shared" si="260"/>
        <v>31</v>
      </c>
      <c r="Z1099" s="7">
        <f t="shared" si="261"/>
        <v>197814</v>
      </c>
      <c r="AA1099" s="7" t="str">
        <f t="shared" si="262"/>
        <v>21-Nov-2025</v>
      </c>
      <c r="AB1099" s="7">
        <f t="shared" si="263"/>
        <v>4031.8</v>
      </c>
      <c r="AC1099" s="7">
        <f t="shared" si="266"/>
        <v>1</v>
      </c>
      <c r="AD1099" s="7">
        <f t="shared" si="264"/>
        <v>2025</v>
      </c>
      <c r="AE1099" s="19">
        <f t="shared" si="265"/>
        <v>-0.33</v>
      </c>
    </row>
    <row r="1100" spans="1:31" x14ac:dyDescent="0.3">
      <c r="A1100" s="17">
        <v>45985</v>
      </c>
      <c r="B1100" s="8">
        <v>4091.8998999999999</v>
      </c>
      <c r="C1100" s="7">
        <v>4091.8998999999999</v>
      </c>
      <c r="D1100" s="7">
        <v>4060.5</v>
      </c>
      <c r="E1100" s="7">
        <v>4060.5</v>
      </c>
      <c r="F1100" s="18">
        <v>591</v>
      </c>
      <c r="G1100" s="7">
        <v>4075.5</v>
      </c>
      <c r="H1100" s="7">
        <v>4087.95</v>
      </c>
      <c r="I1100" s="7">
        <v>3731.5011</v>
      </c>
      <c r="J1100" s="8">
        <v>0.71179999999999999</v>
      </c>
      <c r="K1100" s="7">
        <v>1.3686</v>
      </c>
      <c r="L1100" s="7">
        <v>2.0226999999999999</v>
      </c>
      <c r="M1100" s="8">
        <v>54.241799999999998</v>
      </c>
      <c r="N1100" s="8">
        <v>23.638999999999999</v>
      </c>
      <c r="O1100" s="7">
        <v>35.609299999999998</v>
      </c>
      <c r="P1100" s="7">
        <v>4205.3843999999999</v>
      </c>
      <c r="Q1100" s="7">
        <v>3881.2055999999998</v>
      </c>
      <c r="R1100" s="7" t="str">
        <f t="shared" si="253"/>
        <v>Down</v>
      </c>
      <c r="S1100" s="7" t="str">
        <f t="shared" si="254"/>
        <v>Hold</v>
      </c>
      <c r="T1100" s="8">
        <f t="shared" si="255"/>
        <v>0.38038169014084489</v>
      </c>
      <c r="U1100" s="18">
        <f t="shared" si="256"/>
        <v>504830</v>
      </c>
      <c r="V1100" s="7">
        <f t="shared" si="257"/>
        <v>5586.2002000000002</v>
      </c>
      <c r="W1100" s="7">
        <f t="shared" si="258"/>
        <v>4060.5</v>
      </c>
      <c r="X1100" s="7">
        <f t="shared" si="259"/>
        <v>4060.5</v>
      </c>
      <c r="Y1100" s="7">
        <f t="shared" si="260"/>
        <v>31</v>
      </c>
      <c r="Z1100" s="7">
        <f t="shared" si="261"/>
        <v>197814</v>
      </c>
      <c r="AA1100" s="7" t="str">
        <f t="shared" si="262"/>
        <v>24-Nov-2025</v>
      </c>
      <c r="AB1100" s="7">
        <f t="shared" si="263"/>
        <v>4060.5</v>
      </c>
      <c r="AC1100" s="7">
        <f t="shared" si="266"/>
        <v>1</v>
      </c>
      <c r="AD1100" s="7">
        <f t="shared" si="264"/>
        <v>2025</v>
      </c>
      <c r="AE1100" s="19">
        <f t="shared" si="265"/>
        <v>0.71</v>
      </c>
    </row>
    <row r="1101" spans="1:31" x14ac:dyDescent="0.3">
      <c r="A1101" s="17">
        <v>45986</v>
      </c>
      <c r="B1101" s="8">
        <v>4139.2002000000002</v>
      </c>
      <c r="C1101" s="7">
        <v>4139.2002000000002</v>
      </c>
      <c r="D1101" s="7">
        <v>4139.2002000000002</v>
      </c>
      <c r="E1101" s="7">
        <v>4139.2002000000002</v>
      </c>
      <c r="F1101" s="18">
        <v>132704</v>
      </c>
      <c r="G1101" s="7">
        <v>4067.1428999999998</v>
      </c>
      <c r="H1101" s="7">
        <v>4088.2</v>
      </c>
      <c r="I1101" s="7">
        <v>3740.2667000000001</v>
      </c>
      <c r="J1101" s="8">
        <v>1.9381999999999999</v>
      </c>
      <c r="K1101" s="7">
        <v>1.6575</v>
      </c>
      <c r="L1101" s="7">
        <v>1.9843</v>
      </c>
      <c r="M1101" s="8">
        <v>63.148600000000002</v>
      </c>
      <c r="N1101" s="8">
        <v>27.519600000000001</v>
      </c>
      <c r="O1101" s="7">
        <v>33.991399999999999</v>
      </c>
      <c r="P1101" s="7">
        <v>4211.9811</v>
      </c>
      <c r="Q1101" s="7">
        <v>3895.5589</v>
      </c>
      <c r="R1101" s="7" t="str">
        <f t="shared" si="253"/>
        <v>Down</v>
      </c>
      <c r="S1101" s="7" t="str">
        <f t="shared" si="254"/>
        <v>Hold</v>
      </c>
      <c r="T1101" s="8">
        <f t="shared" si="255"/>
        <v>0.37564714285714279</v>
      </c>
      <c r="U1101" s="18">
        <f t="shared" si="256"/>
        <v>504239</v>
      </c>
      <c r="V1101" s="7">
        <f t="shared" si="257"/>
        <v>5586.2002000000002</v>
      </c>
      <c r="W1101" s="7">
        <f t="shared" si="258"/>
        <v>4127.5</v>
      </c>
      <c r="X1101" s="7">
        <f t="shared" si="259"/>
        <v>4139.2002000000002</v>
      </c>
      <c r="Y1101" s="7">
        <f t="shared" si="260"/>
        <v>31</v>
      </c>
      <c r="Z1101" s="7">
        <f t="shared" si="261"/>
        <v>197814</v>
      </c>
      <c r="AA1101" s="7" t="str">
        <f t="shared" si="262"/>
        <v>25-Nov-2025</v>
      </c>
      <c r="AB1101" s="7">
        <f t="shared" si="263"/>
        <v>4139.2002000000002</v>
      </c>
      <c r="AC1101" s="7">
        <f t="shared" si="266"/>
        <v>1</v>
      </c>
      <c r="AD1101" s="7">
        <f t="shared" si="264"/>
        <v>2025</v>
      </c>
      <c r="AE1101" s="19">
        <f t="shared" si="265"/>
        <v>1.94</v>
      </c>
    </row>
    <row r="1102" spans="1:31" x14ac:dyDescent="0.3">
      <c r="A1102" s="17">
        <v>45987</v>
      </c>
      <c r="B1102" s="8">
        <v>4165.2002000000002</v>
      </c>
      <c r="C1102" s="7">
        <v>4171</v>
      </c>
      <c r="D1102" s="7">
        <v>4127.5</v>
      </c>
      <c r="E1102" s="7">
        <v>4128.6000999999997</v>
      </c>
      <c r="F1102" s="18">
        <v>25088</v>
      </c>
      <c r="G1102" s="7">
        <v>4075.5142999999998</v>
      </c>
      <c r="H1102" s="7">
        <v>4087.6534000000001</v>
      </c>
      <c r="I1102" s="7">
        <v>3748.24</v>
      </c>
      <c r="J1102" s="8">
        <v>-0.25609999999999999</v>
      </c>
      <c r="K1102" s="7">
        <v>1.0982000000000001</v>
      </c>
      <c r="L1102" s="7">
        <v>1.9841</v>
      </c>
      <c r="M1102" s="8">
        <v>58.506300000000003</v>
      </c>
      <c r="N1102" s="8">
        <v>29.4009</v>
      </c>
      <c r="O1102" s="7">
        <v>33.073300000000003</v>
      </c>
      <c r="P1102" s="7">
        <v>4218.9863999999998</v>
      </c>
      <c r="Q1102" s="7">
        <v>3903.0437000000002</v>
      </c>
      <c r="R1102" s="7" t="str">
        <f t="shared" si="253"/>
        <v>Down</v>
      </c>
      <c r="S1102" s="7" t="str">
        <f t="shared" si="254"/>
        <v>Hold</v>
      </c>
      <c r="T1102" s="8">
        <f t="shared" si="255"/>
        <v>0.35300144927536226</v>
      </c>
      <c r="U1102" s="18">
        <f t="shared" si="256"/>
        <v>371535</v>
      </c>
      <c r="V1102" s="7">
        <f t="shared" si="257"/>
        <v>5586.2002000000002</v>
      </c>
      <c r="W1102" s="7">
        <f t="shared" si="258"/>
        <v>4127.5</v>
      </c>
      <c r="X1102" s="7">
        <f t="shared" si="259"/>
        <v>4128.6000999999997</v>
      </c>
      <c r="Y1102" s="7">
        <f t="shared" si="260"/>
        <v>31</v>
      </c>
      <c r="Z1102" s="7">
        <f t="shared" si="261"/>
        <v>197814</v>
      </c>
      <c r="AA1102" s="7" t="str">
        <f t="shared" si="262"/>
        <v>26-Nov-2025</v>
      </c>
      <c r="AB1102" s="7">
        <f t="shared" si="263"/>
        <v>4128.6000999999997</v>
      </c>
      <c r="AC1102" s="7">
        <f t="shared" si="266"/>
        <v>1</v>
      </c>
      <c r="AD1102" s="7">
        <f t="shared" si="264"/>
        <v>2025</v>
      </c>
      <c r="AE1102" s="19">
        <f t="shared" si="265"/>
        <v>-0.26</v>
      </c>
    </row>
    <row r="1103" spans="1:31" x14ac:dyDescent="0.3">
      <c r="A1103" s="17">
        <v>45989</v>
      </c>
      <c r="B1103" s="8">
        <v>4218.2997999999998</v>
      </c>
      <c r="C1103" s="7">
        <v>4223.8999000000003</v>
      </c>
      <c r="D1103" s="7">
        <v>4140</v>
      </c>
      <c r="E1103" s="7">
        <v>4163.3999000000003</v>
      </c>
      <c r="F1103" s="18">
        <v>3615</v>
      </c>
      <c r="G1103" s="7">
        <v>4093.5142999999998</v>
      </c>
      <c r="H1103" s="7">
        <v>4086.4733999999999</v>
      </c>
      <c r="I1103" s="7">
        <v>3756.3856000000001</v>
      </c>
      <c r="J1103" s="8">
        <v>0.84289999999999998</v>
      </c>
      <c r="K1103" s="7">
        <v>1.0189999999999999</v>
      </c>
      <c r="L1103" s="7">
        <v>1.9756</v>
      </c>
      <c r="M1103" s="8">
        <v>62.271500000000003</v>
      </c>
      <c r="N1103" s="8">
        <v>33.3157</v>
      </c>
      <c r="O1103" s="7">
        <v>33.1218</v>
      </c>
      <c r="P1103" s="7">
        <v>4227.9591</v>
      </c>
      <c r="Q1103" s="7">
        <v>3914.4108999999999</v>
      </c>
      <c r="R1103" s="7" t="str">
        <f t="shared" si="253"/>
        <v>Down</v>
      </c>
      <c r="S1103" s="7" t="str">
        <f t="shared" si="254"/>
        <v>Hold</v>
      </c>
      <c r="T1103" s="8">
        <f t="shared" si="255"/>
        <v>0.36195882352941172</v>
      </c>
      <c r="U1103" s="18">
        <f t="shared" si="256"/>
        <v>346447</v>
      </c>
      <c r="V1103" s="7">
        <f t="shared" si="257"/>
        <v>5586.2002000000002</v>
      </c>
      <c r="W1103" s="7">
        <f t="shared" si="258"/>
        <v>4140</v>
      </c>
      <c r="X1103" s="7">
        <f t="shared" si="259"/>
        <v>4163.3999000000003</v>
      </c>
      <c r="Y1103" s="7">
        <f t="shared" si="260"/>
        <v>31</v>
      </c>
      <c r="Z1103" s="7">
        <f t="shared" si="261"/>
        <v>197814</v>
      </c>
      <c r="AA1103" s="7" t="str">
        <f t="shared" si="262"/>
        <v>28-Nov-2025</v>
      </c>
      <c r="AB1103" s="7">
        <f t="shared" si="263"/>
        <v>4163.3999000000003</v>
      </c>
      <c r="AC1103" s="7">
        <f t="shared" si="266"/>
        <v>1</v>
      </c>
      <c r="AD1103" s="7">
        <f t="shared" si="264"/>
        <v>2025</v>
      </c>
      <c r="AE1103" s="19">
        <f t="shared" si="265"/>
        <v>0.84</v>
      </c>
    </row>
    <row r="1104" spans="1:31" x14ac:dyDescent="0.3">
      <c r="A1104" s="17">
        <v>45992</v>
      </c>
      <c r="B1104" s="8">
        <v>4239.2997999999998</v>
      </c>
      <c r="C1104" s="7">
        <v>4262.1000999999997</v>
      </c>
      <c r="D1104" s="7">
        <v>4214.8999000000003</v>
      </c>
      <c r="E1104" s="7">
        <v>4218.5</v>
      </c>
      <c r="F1104" s="18">
        <v>913</v>
      </c>
      <c r="G1104" s="7">
        <v>4112.4286000000002</v>
      </c>
      <c r="H1104" s="7">
        <v>4081.9333999999999</v>
      </c>
      <c r="I1104" s="7">
        <v>3765.8467000000001</v>
      </c>
      <c r="J1104" s="8">
        <v>1.3233999999999999</v>
      </c>
      <c r="K1104" s="7">
        <v>1.0344</v>
      </c>
      <c r="L1104" s="7">
        <v>1.8654999999999999</v>
      </c>
      <c r="M1104" s="8">
        <v>61.008499999999998</v>
      </c>
      <c r="N1104" s="8">
        <v>40.398699999999998</v>
      </c>
      <c r="O1104" s="7">
        <v>34.577199999999998</v>
      </c>
      <c r="P1104" s="7">
        <v>4249.2258000000002</v>
      </c>
      <c r="Q1104" s="7">
        <v>3911.5443</v>
      </c>
      <c r="R1104" s="7" t="str">
        <f t="shared" si="253"/>
        <v>Down</v>
      </c>
      <c r="S1104" s="7" t="str">
        <f t="shared" si="254"/>
        <v>Hold</v>
      </c>
      <c r="T1104" s="8">
        <f t="shared" si="255"/>
        <v>0.35478059701492531</v>
      </c>
      <c r="U1104" s="18">
        <f t="shared" si="256"/>
        <v>342832</v>
      </c>
      <c r="V1104" s="7">
        <f t="shared" si="257"/>
        <v>5586.2002000000002</v>
      </c>
      <c r="W1104" s="7">
        <f t="shared" si="258"/>
        <v>4167</v>
      </c>
      <c r="X1104" s="7">
        <f t="shared" si="259"/>
        <v>4218.5</v>
      </c>
      <c r="Y1104" s="7">
        <f t="shared" si="260"/>
        <v>31</v>
      </c>
      <c r="Z1104" s="7">
        <f t="shared" si="261"/>
        <v>197814</v>
      </c>
      <c r="AA1104" s="7" t="str">
        <f t="shared" si="262"/>
        <v>01-Dec-2025</v>
      </c>
      <c r="AB1104" s="7">
        <f t="shared" si="263"/>
        <v>4218.5</v>
      </c>
      <c r="AC1104" s="7">
        <f t="shared" si="266"/>
        <v>1</v>
      </c>
      <c r="AD1104" s="7">
        <f t="shared" si="264"/>
        <v>2025</v>
      </c>
      <c r="AE1104" s="19">
        <f t="shared" si="265"/>
        <v>1.32</v>
      </c>
    </row>
    <row r="1105" spans="1:31" x14ac:dyDescent="0.3">
      <c r="A1105" s="17">
        <v>45993</v>
      </c>
      <c r="B1105" s="8">
        <v>4186.6000999999997</v>
      </c>
      <c r="C1105" s="7">
        <v>4230.5</v>
      </c>
      <c r="D1105" s="7">
        <v>4167</v>
      </c>
      <c r="E1105" s="7">
        <v>4230.5</v>
      </c>
      <c r="F1105" s="18">
        <v>366</v>
      </c>
      <c r="G1105" s="7">
        <v>4138.9286000000002</v>
      </c>
      <c r="H1105" s="7">
        <v>4081.48</v>
      </c>
      <c r="I1105" s="7">
        <v>3775.6967</v>
      </c>
      <c r="J1105" s="8">
        <v>0.28449999999999998</v>
      </c>
      <c r="K1105" s="7">
        <v>0.82279999999999998</v>
      </c>
      <c r="L1105" s="7">
        <v>1.8079000000000001</v>
      </c>
      <c r="M1105" s="8">
        <v>56.934600000000003</v>
      </c>
      <c r="N1105" s="8">
        <v>46.445</v>
      </c>
      <c r="O1105" s="7">
        <v>36.950699999999998</v>
      </c>
      <c r="P1105" s="7">
        <v>4267.1270999999997</v>
      </c>
      <c r="Q1105" s="7">
        <v>3919.0729999999999</v>
      </c>
      <c r="R1105" s="7" t="str">
        <f t="shared" si="253"/>
        <v>Up</v>
      </c>
      <c r="S1105" s="7" t="str">
        <f t="shared" si="254"/>
        <v>Hold</v>
      </c>
      <c r="T1105" s="8">
        <f t="shared" si="255"/>
        <v>0.34010454545454538</v>
      </c>
      <c r="U1105" s="18">
        <f t="shared" si="256"/>
        <v>341919</v>
      </c>
      <c r="V1105" s="7">
        <f t="shared" si="257"/>
        <v>5586.2002000000002</v>
      </c>
      <c r="W1105" s="7">
        <f t="shared" si="258"/>
        <v>4167</v>
      </c>
      <c r="X1105" s="7">
        <f t="shared" si="259"/>
        <v>4230.5</v>
      </c>
      <c r="Y1105" s="7">
        <f t="shared" si="260"/>
        <v>31</v>
      </c>
      <c r="Z1105" s="7">
        <f t="shared" si="261"/>
        <v>197814</v>
      </c>
      <c r="AA1105" s="7" t="str">
        <f t="shared" si="262"/>
        <v>02-Dec-2025</v>
      </c>
      <c r="AB1105" s="7">
        <f t="shared" si="263"/>
        <v>4230.5</v>
      </c>
      <c r="AC1105" s="7">
        <f t="shared" si="266"/>
        <v>1</v>
      </c>
      <c r="AD1105" s="7">
        <f t="shared" si="264"/>
        <v>2025</v>
      </c>
      <c r="AE1105" s="19">
        <f t="shared" si="265"/>
        <v>0.28000000000000003</v>
      </c>
    </row>
    <row r="1106" spans="1:31" x14ac:dyDescent="0.3">
      <c r="A1106" s="17">
        <v>45994</v>
      </c>
      <c r="B1106" s="8">
        <v>4199.2997999999998</v>
      </c>
      <c r="C1106" s="7">
        <v>4234.1000999999997</v>
      </c>
      <c r="D1106" s="7">
        <v>4195.7002000000002</v>
      </c>
      <c r="E1106" s="7">
        <v>4215.7002000000002</v>
      </c>
      <c r="F1106" s="18">
        <v>1897</v>
      </c>
      <c r="G1106" s="7">
        <v>4165.2001</v>
      </c>
      <c r="H1106" s="7">
        <v>4077.58</v>
      </c>
      <c r="I1106" s="7">
        <v>3785.5756000000001</v>
      </c>
      <c r="J1106" s="8">
        <v>-0.3498</v>
      </c>
      <c r="K1106" s="7">
        <v>0.82740000000000002</v>
      </c>
      <c r="L1106" s="7">
        <v>1.7654000000000001</v>
      </c>
      <c r="M1106" s="8">
        <v>57.794699999999999</v>
      </c>
      <c r="N1106" s="8">
        <v>49.472200000000001</v>
      </c>
      <c r="O1106" s="7">
        <v>39.454999999999998</v>
      </c>
      <c r="P1106" s="7">
        <v>4279.8854000000001</v>
      </c>
      <c r="Q1106" s="7">
        <v>3928.4647</v>
      </c>
      <c r="R1106" s="7" t="str">
        <f t="shared" si="253"/>
        <v>Up</v>
      </c>
      <c r="S1106" s="7" t="str">
        <f t="shared" si="254"/>
        <v>Hold</v>
      </c>
      <c r="T1106" s="8">
        <f t="shared" si="255"/>
        <v>0.34095999999999993</v>
      </c>
      <c r="U1106" s="18">
        <f t="shared" si="256"/>
        <v>341553</v>
      </c>
      <c r="V1106" s="7">
        <f t="shared" si="257"/>
        <v>5586.2002000000002</v>
      </c>
      <c r="W1106" s="7">
        <f t="shared" si="258"/>
        <v>4175</v>
      </c>
      <c r="X1106" s="7">
        <f t="shared" si="259"/>
        <v>4215.7002000000002</v>
      </c>
      <c r="Y1106" s="7">
        <f t="shared" si="260"/>
        <v>30</v>
      </c>
      <c r="Z1106" s="7">
        <f t="shared" si="261"/>
        <v>197448</v>
      </c>
      <c r="AA1106" s="7" t="str">
        <f t="shared" si="262"/>
        <v>03-Dec-2025</v>
      </c>
      <c r="AB1106" s="7">
        <f t="shared" si="263"/>
        <v>4215.7002000000002</v>
      </c>
      <c r="AC1106" s="7">
        <f t="shared" si="266"/>
        <v>1</v>
      </c>
      <c r="AD1106" s="7">
        <f t="shared" si="264"/>
        <v>2025</v>
      </c>
      <c r="AE1106" s="19">
        <f t="shared" si="265"/>
        <v>-0.35</v>
      </c>
    </row>
    <row r="1107" spans="1:31" x14ac:dyDescent="0.3">
      <c r="A1107" s="17">
        <v>45995</v>
      </c>
      <c r="B1107" s="8">
        <v>4211.7997999999998</v>
      </c>
      <c r="C1107" s="7">
        <v>4211.7997999999998</v>
      </c>
      <c r="D1107" s="7">
        <v>4175</v>
      </c>
      <c r="E1107" s="7">
        <v>4211</v>
      </c>
      <c r="F1107" s="18">
        <v>616</v>
      </c>
      <c r="G1107" s="7">
        <v>4186.7001</v>
      </c>
      <c r="H1107" s="7">
        <v>4080.9567000000002</v>
      </c>
      <c r="I1107" s="7">
        <v>3795.4378000000002</v>
      </c>
      <c r="J1107" s="8">
        <v>-0.1115</v>
      </c>
      <c r="K1107" s="7">
        <v>0.87309999999999999</v>
      </c>
      <c r="L1107" s="7">
        <v>1.4835</v>
      </c>
      <c r="M1107" s="8">
        <v>48.341700000000003</v>
      </c>
      <c r="N1107" s="8">
        <v>50.905200000000001</v>
      </c>
      <c r="O1107" s="7">
        <v>41.744999999999997</v>
      </c>
      <c r="P1107" s="7">
        <v>4279.6324999999997</v>
      </c>
      <c r="Q1107" s="7">
        <v>3956.8276000000001</v>
      </c>
      <c r="R1107" s="7" t="str">
        <f t="shared" si="253"/>
        <v>Down</v>
      </c>
      <c r="S1107" s="7" t="str">
        <f t="shared" si="254"/>
        <v>Hold</v>
      </c>
      <c r="T1107" s="8">
        <f t="shared" si="255"/>
        <v>0.35175312499999994</v>
      </c>
      <c r="U1107" s="18">
        <f t="shared" si="256"/>
        <v>339656</v>
      </c>
      <c r="V1107" s="7">
        <f t="shared" si="257"/>
        <v>5586.2002000000002</v>
      </c>
      <c r="W1107" s="7">
        <f t="shared" si="258"/>
        <v>4175</v>
      </c>
      <c r="X1107" s="7">
        <f t="shared" si="259"/>
        <v>4211</v>
      </c>
      <c r="Y1107" s="7">
        <f t="shared" si="260"/>
        <v>29</v>
      </c>
      <c r="Z1107" s="7">
        <f t="shared" si="261"/>
        <v>195551</v>
      </c>
      <c r="AA1107" s="7" t="str">
        <f t="shared" si="262"/>
        <v>04-Dec-2025</v>
      </c>
      <c r="AB1107" s="7">
        <f t="shared" si="263"/>
        <v>4211</v>
      </c>
      <c r="AC1107" s="7">
        <f t="shared" si="266"/>
        <v>1</v>
      </c>
      <c r="AD1107" s="7">
        <f t="shared" si="264"/>
        <v>2025</v>
      </c>
      <c r="AE1107" s="19">
        <f t="shared" si="265"/>
        <v>-0.11</v>
      </c>
    </row>
    <row r="1108" spans="1:31" x14ac:dyDescent="0.3">
      <c r="A1108" s="17">
        <v>45996</v>
      </c>
      <c r="B1108" s="8">
        <v>4212.8999000000003</v>
      </c>
      <c r="C1108" s="7">
        <v>4255.7002000000002</v>
      </c>
      <c r="D1108" s="7">
        <v>4194.5</v>
      </c>
      <c r="E1108" s="7">
        <v>4204.1000999999997</v>
      </c>
      <c r="F1108" s="18">
        <v>533</v>
      </c>
      <c r="G1108" s="7">
        <v>4195.9714999999997</v>
      </c>
      <c r="H1108" s="7">
        <v>4085.1466999999998</v>
      </c>
      <c r="I1108" s="7">
        <v>3805.1967</v>
      </c>
      <c r="J1108" s="8">
        <v>-0.16389999999999999</v>
      </c>
      <c r="K1108" s="7">
        <v>0.63490000000000002</v>
      </c>
      <c r="L1108" s="7">
        <v>1.4756</v>
      </c>
      <c r="M1108" s="8">
        <v>50.627899999999997</v>
      </c>
      <c r="N1108" s="8">
        <v>50.897300000000001</v>
      </c>
      <c r="O1108" s="7">
        <v>43.575499999999998</v>
      </c>
      <c r="P1108" s="7">
        <v>4284.5506999999998</v>
      </c>
      <c r="Q1108" s="7">
        <v>3971.9195</v>
      </c>
      <c r="R1108" s="7" t="str">
        <f t="shared" si="253"/>
        <v>Down</v>
      </c>
      <c r="S1108" s="7" t="str">
        <f t="shared" si="254"/>
        <v>Hold</v>
      </c>
      <c r="T1108" s="8">
        <f t="shared" si="255"/>
        <v>0.35910634920634915</v>
      </c>
      <c r="U1108" s="18">
        <f t="shared" si="256"/>
        <v>339040</v>
      </c>
      <c r="V1108" s="7">
        <f t="shared" si="257"/>
        <v>5586.2002000000002</v>
      </c>
      <c r="W1108" s="7">
        <f t="shared" si="258"/>
        <v>4175.5</v>
      </c>
      <c r="X1108" s="7">
        <f t="shared" si="259"/>
        <v>4204.1000999999997</v>
      </c>
      <c r="Y1108" s="7">
        <f t="shared" si="260"/>
        <v>29</v>
      </c>
      <c r="Z1108" s="7">
        <f t="shared" si="261"/>
        <v>195551</v>
      </c>
      <c r="AA1108" s="7" t="str">
        <f t="shared" si="262"/>
        <v>05-Dec-2025</v>
      </c>
      <c r="AB1108" s="7">
        <f t="shared" si="263"/>
        <v>4204.1000999999997</v>
      </c>
      <c r="AC1108" s="7">
        <f t="shared" si="266"/>
        <v>1</v>
      </c>
      <c r="AD1108" s="7">
        <f t="shared" si="264"/>
        <v>2025</v>
      </c>
      <c r="AE1108" s="19">
        <f t="shared" si="265"/>
        <v>-0.16</v>
      </c>
    </row>
    <row r="1109" spans="1:31" x14ac:dyDescent="0.3">
      <c r="A1109" s="17">
        <v>45999</v>
      </c>
      <c r="B1109" s="8">
        <v>4187.2002000000002</v>
      </c>
      <c r="C1109" s="7">
        <v>4215.7997999999998</v>
      </c>
      <c r="D1109" s="7">
        <v>4175.5</v>
      </c>
      <c r="E1109" s="7">
        <v>4205.5</v>
      </c>
      <c r="F1109" s="18">
        <v>318</v>
      </c>
      <c r="G1109" s="7">
        <v>4206.9571999999998</v>
      </c>
      <c r="H1109" s="7">
        <v>4088.08</v>
      </c>
      <c r="I1109" s="7">
        <v>3815.5589</v>
      </c>
      <c r="J1109" s="8">
        <v>3.3300000000000003E-2</v>
      </c>
      <c r="K1109" s="7">
        <v>0.60719999999999996</v>
      </c>
      <c r="L1109" s="7">
        <v>1.4669000000000001</v>
      </c>
      <c r="M1109" s="8">
        <v>67.675399999999996</v>
      </c>
      <c r="N1109" s="8">
        <v>50.422899999999998</v>
      </c>
      <c r="O1109" s="7">
        <v>44.945</v>
      </c>
      <c r="P1109" s="7">
        <v>4282.9402</v>
      </c>
      <c r="Q1109" s="7">
        <v>3995.9998999999998</v>
      </c>
      <c r="R1109" s="7" t="str">
        <f t="shared" si="253"/>
        <v>Up</v>
      </c>
      <c r="S1109" s="7" t="str">
        <f t="shared" si="254"/>
        <v>Hold</v>
      </c>
      <c r="T1109" s="8">
        <f t="shared" si="255"/>
        <v>0.36754193548387093</v>
      </c>
      <c r="U1109" s="18">
        <f t="shared" si="256"/>
        <v>338507</v>
      </c>
      <c r="V1109" s="7">
        <f t="shared" si="257"/>
        <v>5586.2002000000002</v>
      </c>
      <c r="W1109" s="7">
        <f t="shared" si="258"/>
        <v>4175.5</v>
      </c>
      <c r="X1109" s="7">
        <f t="shared" si="259"/>
        <v>4205.5</v>
      </c>
      <c r="Y1109" s="7">
        <f t="shared" si="260"/>
        <v>29</v>
      </c>
      <c r="Z1109" s="7">
        <f t="shared" si="261"/>
        <v>195551</v>
      </c>
      <c r="AA1109" s="7" t="str">
        <f t="shared" si="262"/>
        <v>08-Dec-2025</v>
      </c>
      <c r="AB1109" s="7">
        <f t="shared" si="263"/>
        <v>4205.5</v>
      </c>
      <c r="AC1109" s="7">
        <f t="shared" si="266"/>
        <v>1</v>
      </c>
      <c r="AD1109" s="7">
        <f t="shared" si="264"/>
        <v>2025</v>
      </c>
      <c r="AE1109" s="19">
        <f t="shared" si="265"/>
        <v>0.03</v>
      </c>
    </row>
    <row r="1110" spans="1:31" x14ac:dyDescent="0.3">
      <c r="A1110" s="17">
        <v>46000</v>
      </c>
      <c r="B1110" s="8">
        <v>4206.7002000000002</v>
      </c>
      <c r="C1110" s="7">
        <v>4219.7002000000002</v>
      </c>
      <c r="D1110" s="7">
        <v>4177.7002000000002</v>
      </c>
      <c r="E1110" s="7">
        <v>4190.7002000000002</v>
      </c>
      <c r="F1110" s="18">
        <v>660</v>
      </c>
      <c r="G1110" s="7">
        <v>4210.8572000000004</v>
      </c>
      <c r="H1110" s="7">
        <v>4092.4367000000002</v>
      </c>
      <c r="I1110" s="7">
        <v>3825.6089000000002</v>
      </c>
      <c r="J1110" s="8">
        <v>-0.35189999999999999</v>
      </c>
      <c r="K1110" s="7">
        <v>0.58540000000000003</v>
      </c>
      <c r="L1110" s="7">
        <v>1.4429000000000001</v>
      </c>
      <c r="M1110" s="8">
        <v>70.971299999999999</v>
      </c>
      <c r="N1110" s="8">
        <v>48.295900000000003</v>
      </c>
      <c r="O1110" s="7">
        <v>45.615200000000002</v>
      </c>
      <c r="P1110" s="7">
        <v>4286.1008000000002</v>
      </c>
      <c r="Q1110" s="7">
        <v>4005.9092999999998</v>
      </c>
      <c r="R1110" s="7" t="str">
        <f t="shared" si="253"/>
        <v>Down</v>
      </c>
      <c r="S1110" s="7" t="str">
        <f t="shared" si="254"/>
        <v>Sell</v>
      </c>
      <c r="T1110" s="8">
        <f t="shared" si="255"/>
        <v>0.37302131147540979</v>
      </c>
      <c r="U1110" s="18">
        <f t="shared" si="256"/>
        <v>338189</v>
      </c>
      <c r="V1110" s="7">
        <f t="shared" si="257"/>
        <v>5586.2002000000002</v>
      </c>
      <c r="W1110" s="7">
        <f t="shared" si="258"/>
        <v>4177.7002000000002</v>
      </c>
      <c r="X1110" s="7">
        <f t="shared" si="259"/>
        <v>4190.7002000000002</v>
      </c>
      <c r="Y1110" s="7">
        <f t="shared" si="260"/>
        <v>28</v>
      </c>
      <c r="Z1110" s="7">
        <f t="shared" si="261"/>
        <v>195233</v>
      </c>
      <c r="AA1110" s="7" t="str">
        <f t="shared" si="262"/>
        <v>09-Dec-2025</v>
      </c>
      <c r="AB1110" s="7">
        <f t="shared" si="263"/>
        <v>4190.7002000000002</v>
      </c>
      <c r="AC1110" s="7">
        <f t="shared" si="266"/>
        <v>1</v>
      </c>
      <c r="AD1110" s="7">
        <f t="shared" si="264"/>
        <v>2025</v>
      </c>
      <c r="AE1110" s="19">
        <f t="shared" si="265"/>
        <v>-0.35</v>
      </c>
    </row>
    <row r="1111" spans="1:31" x14ac:dyDescent="0.3">
      <c r="A1111" s="17">
        <v>46001</v>
      </c>
      <c r="B1111" s="8">
        <v>4196.3999000000003</v>
      </c>
      <c r="C1111" s="7">
        <v>4234.5</v>
      </c>
      <c r="D1111" s="7">
        <v>4183.6000999999997</v>
      </c>
      <c r="E1111" s="7">
        <v>4209</v>
      </c>
      <c r="F1111" s="18">
        <v>692</v>
      </c>
      <c r="G1111" s="7">
        <v>4209.5001000000002</v>
      </c>
      <c r="H1111" s="7">
        <v>4101.7466999999997</v>
      </c>
      <c r="I1111" s="7">
        <v>3834.9578000000001</v>
      </c>
      <c r="J1111" s="8">
        <v>0.43669999999999998</v>
      </c>
      <c r="K1111" s="7">
        <v>0.30309999999999998</v>
      </c>
      <c r="L1111" s="7">
        <v>1.2996000000000001</v>
      </c>
      <c r="M1111" s="8">
        <v>68.337800000000001</v>
      </c>
      <c r="N1111" s="8">
        <v>47.538899999999998</v>
      </c>
      <c r="O1111" s="7">
        <v>45.999899999999997</v>
      </c>
      <c r="P1111" s="7">
        <v>4292.2960000000003</v>
      </c>
      <c r="Q1111" s="7">
        <v>4006.6041</v>
      </c>
      <c r="R1111" s="7" t="str">
        <f t="shared" si="253"/>
        <v>Up</v>
      </c>
      <c r="S1111" s="7" t="str">
        <f t="shared" si="254"/>
        <v>Hold</v>
      </c>
      <c r="T1111" s="8">
        <f t="shared" si="255"/>
        <v>0.3851033333333333</v>
      </c>
      <c r="U1111" s="18">
        <f t="shared" si="256"/>
        <v>337529</v>
      </c>
      <c r="V1111" s="7">
        <f t="shared" si="257"/>
        <v>5586.2002000000002</v>
      </c>
      <c r="W1111" s="7">
        <f t="shared" si="258"/>
        <v>4183.6000999999997</v>
      </c>
      <c r="X1111" s="7">
        <f t="shared" si="259"/>
        <v>4209</v>
      </c>
      <c r="Y1111" s="7">
        <f t="shared" si="260"/>
        <v>28</v>
      </c>
      <c r="Z1111" s="7">
        <f t="shared" si="261"/>
        <v>195233</v>
      </c>
      <c r="AA1111" s="7" t="str">
        <f t="shared" si="262"/>
        <v>10-Dec-2025</v>
      </c>
      <c r="AB1111" s="7">
        <f t="shared" si="263"/>
        <v>4209</v>
      </c>
      <c r="AC1111" s="7">
        <f t="shared" si="266"/>
        <v>1</v>
      </c>
      <c r="AD1111" s="7">
        <f t="shared" si="264"/>
        <v>2025</v>
      </c>
      <c r="AE1111" s="19">
        <f t="shared" si="265"/>
        <v>0.44</v>
      </c>
    </row>
    <row r="1112" spans="1:31" x14ac:dyDescent="0.3">
      <c r="A1112" s="17">
        <v>46002</v>
      </c>
      <c r="B1112" s="8">
        <v>4285.5</v>
      </c>
      <c r="C1112" s="7">
        <v>4286.8999000000003</v>
      </c>
      <c r="D1112" s="7">
        <v>4214.2997999999998</v>
      </c>
      <c r="E1112" s="7">
        <v>4224</v>
      </c>
      <c r="F1112" s="18">
        <v>528</v>
      </c>
      <c r="G1112" s="7">
        <v>4208.5715</v>
      </c>
      <c r="H1112" s="7">
        <v>4109.7566999999999</v>
      </c>
      <c r="I1112" s="7">
        <v>3844.3521999999998</v>
      </c>
      <c r="J1112" s="8">
        <v>0.35639999999999999</v>
      </c>
      <c r="K1112" s="7">
        <v>0.3165</v>
      </c>
      <c r="L1112" s="7">
        <v>1.282</v>
      </c>
      <c r="M1112" s="8">
        <v>78.964399999999998</v>
      </c>
      <c r="N1112" s="8">
        <v>47.6006</v>
      </c>
      <c r="O1112" s="7">
        <v>46.320099999999996</v>
      </c>
      <c r="P1112" s="7">
        <v>4300.5069000000003</v>
      </c>
      <c r="Q1112" s="7">
        <v>4009.2332000000001</v>
      </c>
      <c r="R1112" s="7" t="str">
        <f t="shared" si="253"/>
        <v>Down</v>
      </c>
      <c r="S1112" s="7" t="str">
        <f t="shared" si="254"/>
        <v>Sell</v>
      </c>
      <c r="T1112" s="8">
        <f t="shared" si="255"/>
        <v>0.38422881355932198</v>
      </c>
      <c r="U1112" s="18">
        <f t="shared" si="256"/>
        <v>336837</v>
      </c>
      <c r="V1112" s="7">
        <f t="shared" si="257"/>
        <v>5586.2002000000002</v>
      </c>
      <c r="W1112" s="7">
        <f t="shared" si="258"/>
        <v>4214.2997999999998</v>
      </c>
      <c r="X1112" s="7">
        <f t="shared" si="259"/>
        <v>4224</v>
      </c>
      <c r="Y1112" s="7">
        <f t="shared" si="260"/>
        <v>27</v>
      </c>
      <c r="Z1112" s="7">
        <f t="shared" si="261"/>
        <v>194541</v>
      </c>
      <c r="AA1112" s="7" t="str">
        <f t="shared" si="262"/>
        <v>11-Dec-2025</v>
      </c>
      <c r="AB1112" s="7">
        <f t="shared" si="263"/>
        <v>4224</v>
      </c>
      <c r="AC1112" s="7">
        <f t="shared" si="266"/>
        <v>1</v>
      </c>
      <c r="AD1112" s="7">
        <f t="shared" si="264"/>
        <v>2025</v>
      </c>
      <c r="AE1112" s="19">
        <f t="shared" si="265"/>
        <v>0.36</v>
      </c>
    </row>
    <row r="1113" spans="1:31" x14ac:dyDescent="0.3">
      <c r="A1113" s="17">
        <v>46003</v>
      </c>
      <c r="B1113" s="8">
        <v>4300.1000999999997</v>
      </c>
      <c r="C1113" s="7">
        <v>4355</v>
      </c>
      <c r="D1113" s="7">
        <v>4260</v>
      </c>
      <c r="E1113" s="7">
        <v>4276.3999000000003</v>
      </c>
      <c r="F1113" s="18">
        <v>1531</v>
      </c>
      <c r="G1113" s="7">
        <v>4217.2429000000002</v>
      </c>
      <c r="H1113" s="7">
        <v>4120.3033999999998</v>
      </c>
      <c r="I1113" s="7">
        <v>3854.3045000000002</v>
      </c>
      <c r="J1113" s="8">
        <v>1.2404999999999999</v>
      </c>
      <c r="K1113" s="7">
        <v>0.53620000000000001</v>
      </c>
      <c r="L1113" s="7">
        <v>1.2864</v>
      </c>
      <c r="M1113" s="8">
        <v>85.123500000000007</v>
      </c>
      <c r="N1113" s="8">
        <v>51.2866</v>
      </c>
      <c r="O1113" s="7">
        <v>47.313400000000001</v>
      </c>
      <c r="P1113" s="7">
        <v>4309.3995000000004</v>
      </c>
      <c r="Q1113" s="7">
        <v>4005.1106</v>
      </c>
      <c r="R1113" s="7" t="str">
        <f t="shared" si="253"/>
        <v>Down</v>
      </c>
      <c r="S1113" s="7" t="str">
        <f t="shared" si="254"/>
        <v>Sell</v>
      </c>
      <c r="T1113" s="8">
        <f t="shared" si="255"/>
        <v>0.384708620689655</v>
      </c>
      <c r="U1113" s="18">
        <f t="shared" si="256"/>
        <v>336309</v>
      </c>
      <c r="V1113" s="7">
        <f t="shared" si="257"/>
        <v>5586.2002000000002</v>
      </c>
      <c r="W1113" s="7">
        <f t="shared" si="258"/>
        <v>4260</v>
      </c>
      <c r="X1113" s="7">
        <f t="shared" si="259"/>
        <v>4276.3999000000003</v>
      </c>
      <c r="Y1113" s="7">
        <f t="shared" si="260"/>
        <v>27</v>
      </c>
      <c r="Z1113" s="7">
        <f t="shared" si="261"/>
        <v>194541</v>
      </c>
      <c r="AA1113" s="7" t="str">
        <f t="shared" si="262"/>
        <v>12-Dec-2025</v>
      </c>
      <c r="AB1113" s="7">
        <f t="shared" si="263"/>
        <v>4276.3999000000003</v>
      </c>
      <c r="AC1113" s="7">
        <f t="shared" si="266"/>
        <v>1</v>
      </c>
      <c r="AD1113" s="7">
        <f t="shared" si="264"/>
        <v>2025</v>
      </c>
      <c r="AE1113" s="19">
        <f t="shared" si="265"/>
        <v>1.24</v>
      </c>
    </row>
    <row r="1114" spans="1:31" x14ac:dyDescent="0.3">
      <c r="A1114" s="17">
        <v>46006</v>
      </c>
      <c r="B1114" s="8">
        <v>4306.7002000000002</v>
      </c>
      <c r="C1114" s="7">
        <v>4349.2002000000002</v>
      </c>
      <c r="D1114" s="7">
        <v>4292.8999000000003</v>
      </c>
      <c r="E1114" s="7">
        <v>4308.2997999999998</v>
      </c>
      <c r="F1114" s="18">
        <v>854</v>
      </c>
      <c r="G1114" s="7">
        <v>4231.1428999999998</v>
      </c>
      <c r="H1114" s="7">
        <v>4129.43</v>
      </c>
      <c r="I1114" s="7">
        <v>3864.5645</v>
      </c>
      <c r="J1114" s="8">
        <v>0.746</v>
      </c>
      <c r="K1114" s="7">
        <v>0.5494</v>
      </c>
      <c r="L1114" s="7">
        <v>1.2535000000000001</v>
      </c>
      <c r="M1114" s="8">
        <v>85.259</v>
      </c>
      <c r="N1114" s="8">
        <v>56.134700000000002</v>
      </c>
      <c r="O1114" s="7">
        <v>49.077599999999997</v>
      </c>
      <c r="P1114" s="7">
        <v>4328.5495000000001</v>
      </c>
      <c r="Q1114" s="7">
        <v>3997.0205999999998</v>
      </c>
      <c r="R1114" s="7" t="str">
        <f t="shared" si="253"/>
        <v>Up</v>
      </c>
      <c r="S1114" s="7" t="str">
        <f t="shared" si="254"/>
        <v>Sell</v>
      </c>
      <c r="T1114" s="8">
        <f t="shared" si="255"/>
        <v>0.36969473684210519</v>
      </c>
      <c r="U1114" s="18">
        <f t="shared" si="256"/>
        <v>334778</v>
      </c>
      <c r="V1114" s="7">
        <f t="shared" si="257"/>
        <v>5586.2002000000002</v>
      </c>
      <c r="W1114" s="7">
        <f t="shared" si="258"/>
        <v>4270.5</v>
      </c>
      <c r="X1114" s="7">
        <f t="shared" si="259"/>
        <v>4308.2997999999998</v>
      </c>
      <c r="Y1114" s="7">
        <f t="shared" si="260"/>
        <v>27</v>
      </c>
      <c r="Z1114" s="7">
        <f t="shared" si="261"/>
        <v>194541</v>
      </c>
      <c r="AA1114" s="7" t="str">
        <f t="shared" si="262"/>
        <v>15-Dec-2025</v>
      </c>
      <c r="AB1114" s="7">
        <f t="shared" si="263"/>
        <v>4308.2997999999998</v>
      </c>
      <c r="AC1114" s="7">
        <f t="shared" si="266"/>
        <v>1</v>
      </c>
      <c r="AD1114" s="7">
        <f t="shared" si="264"/>
        <v>2025</v>
      </c>
      <c r="AE1114" s="19">
        <f t="shared" si="265"/>
        <v>0.75</v>
      </c>
    </row>
    <row r="1115" spans="1:31" x14ac:dyDescent="0.3">
      <c r="A1115" s="17">
        <v>46007</v>
      </c>
      <c r="B1115" s="8">
        <v>4304.5</v>
      </c>
      <c r="C1115" s="7">
        <v>4321.3999000000003</v>
      </c>
      <c r="D1115" s="7">
        <v>4270.5</v>
      </c>
      <c r="E1115" s="7">
        <v>4270.5</v>
      </c>
      <c r="F1115" s="18">
        <v>1796</v>
      </c>
      <c r="G1115" s="7">
        <v>4240.6286</v>
      </c>
      <c r="H1115" s="7">
        <v>4139.24</v>
      </c>
      <c r="I1115" s="7">
        <v>3873.8056000000001</v>
      </c>
      <c r="J1115" s="8">
        <v>-0.87739999999999996</v>
      </c>
      <c r="K1115" s="7">
        <v>0.70109999999999995</v>
      </c>
      <c r="L1115" s="7">
        <v>1.2315</v>
      </c>
      <c r="M1115" s="8">
        <v>71.1434</v>
      </c>
      <c r="N1115" s="8">
        <v>56.277999999999999</v>
      </c>
      <c r="O1115" s="7">
        <v>50.517699999999998</v>
      </c>
      <c r="P1115" s="7">
        <v>4339.1977999999999</v>
      </c>
      <c r="Q1115" s="7">
        <v>4006.4222</v>
      </c>
      <c r="R1115" s="7" t="str">
        <f t="shared" si="253"/>
        <v>Down</v>
      </c>
      <c r="S1115" s="7" t="str">
        <f t="shared" si="254"/>
        <v>Sell</v>
      </c>
      <c r="T1115" s="8">
        <f t="shared" si="255"/>
        <v>0.36297499999999988</v>
      </c>
      <c r="U1115" s="18">
        <f t="shared" si="256"/>
        <v>333924</v>
      </c>
      <c r="V1115" s="7">
        <f t="shared" si="257"/>
        <v>5586.2002000000002</v>
      </c>
      <c r="W1115" s="7">
        <f t="shared" si="258"/>
        <v>4270.5</v>
      </c>
      <c r="X1115" s="7">
        <f t="shared" si="259"/>
        <v>4270.5</v>
      </c>
      <c r="Y1115" s="7">
        <f t="shared" si="260"/>
        <v>26</v>
      </c>
      <c r="Z1115" s="7">
        <f t="shared" si="261"/>
        <v>193687</v>
      </c>
      <c r="AA1115" s="7" t="str">
        <f t="shared" si="262"/>
        <v>16-Dec-2025</v>
      </c>
      <c r="AB1115" s="7">
        <f t="shared" si="263"/>
        <v>4270.5</v>
      </c>
      <c r="AC1115" s="7">
        <f t="shared" si="266"/>
        <v>1</v>
      </c>
      <c r="AD1115" s="7">
        <f t="shared" si="264"/>
        <v>2025</v>
      </c>
      <c r="AE1115" s="19">
        <f t="shared" si="265"/>
        <v>-0.88</v>
      </c>
    </row>
    <row r="1116" spans="1:31" x14ac:dyDescent="0.3">
      <c r="A1116" s="17">
        <v>46008</v>
      </c>
      <c r="B1116" s="8">
        <v>4347.5</v>
      </c>
      <c r="C1116" s="7">
        <v>4351.3999000000003</v>
      </c>
      <c r="D1116" s="7">
        <v>4308.5</v>
      </c>
      <c r="E1116" s="7">
        <v>4308.5</v>
      </c>
      <c r="F1116" s="18">
        <v>2169</v>
      </c>
      <c r="G1116" s="7">
        <v>4255.3428000000004</v>
      </c>
      <c r="H1116" s="7">
        <v>4149.7166999999999</v>
      </c>
      <c r="I1116" s="7">
        <v>3884.0789</v>
      </c>
      <c r="J1116" s="8">
        <v>0.88980000000000004</v>
      </c>
      <c r="K1116" s="7">
        <v>0.73570000000000002</v>
      </c>
      <c r="L1116" s="7">
        <v>1.2365999999999999</v>
      </c>
      <c r="M1116" s="8">
        <v>76.620400000000004</v>
      </c>
      <c r="N1116" s="8">
        <v>58.780299999999997</v>
      </c>
      <c r="O1116" s="7">
        <v>52.170200000000001</v>
      </c>
      <c r="P1116" s="7">
        <v>4350.4602000000004</v>
      </c>
      <c r="Q1116" s="7">
        <v>4022.2698</v>
      </c>
      <c r="R1116" s="7" t="str">
        <f t="shared" si="253"/>
        <v>Down</v>
      </c>
      <c r="S1116" s="7" t="str">
        <f t="shared" si="254"/>
        <v>Sell</v>
      </c>
      <c r="T1116" s="8">
        <f t="shared" si="255"/>
        <v>0.38552727272727261</v>
      </c>
      <c r="U1116" s="18">
        <f t="shared" si="256"/>
        <v>332128</v>
      </c>
      <c r="V1116" s="7">
        <f t="shared" si="257"/>
        <v>5586.2002000000002</v>
      </c>
      <c r="W1116" s="7">
        <f t="shared" si="258"/>
        <v>4285</v>
      </c>
      <c r="X1116" s="7">
        <f t="shared" si="259"/>
        <v>4308.5</v>
      </c>
      <c r="Y1116" s="7">
        <f t="shared" si="260"/>
        <v>26</v>
      </c>
      <c r="Z1116" s="7">
        <f t="shared" si="261"/>
        <v>193687</v>
      </c>
      <c r="AA1116" s="7" t="str">
        <f t="shared" si="262"/>
        <v>17-Dec-2025</v>
      </c>
      <c r="AB1116" s="7">
        <f t="shared" si="263"/>
        <v>4308.5</v>
      </c>
      <c r="AC1116" s="7">
        <f t="shared" si="266"/>
        <v>1</v>
      </c>
      <c r="AD1116" s="7">
        <f t="shared" si="264"/>
        <v>2025</v>
      </c>
      <c r="AE1116" s="19">
        <f t="shared" si="265"/>
        <v>0.89</v>
      </c>
    </row>
    <row r="1117" spans="1:31" x14ac:dyDescent="0.3">
      <c r="A1117" s="17">
        <v>46009</v>
      </c>
      <c r="B1117" s="8">
        <v>4339.5</v>
      </c>
      <c r="C1117" s="7">
        <v>4348.1000999999997</v>
      </c>
      <c r="D1117" s="7">
        <v>4328.2002000000002</v>
      </c>
      <c r="E1117" s="7">
        <v>4331</v>
      </c>
      <c r="F1117" s="18">
        <v>705</v>
      </c>
      <c r="G1117" s="7">
        <v>4275.3856999999998</v>
      </c>
      <c r="H1117" s="7">
        <v>4163.0866999999998</v>
      </c>
      <c r="I1117" s="7">
        <v>3894.91</v>
      </c>
      <c r="J1117" s="8">
        <v>0.5222</v>
      </c>
      <c r="K1117" s="7">
        <v>0.66810000000000003</v>
      </c>
      <c r="L1117" s="7">
        <v>1.1856</v>
      </c>
      <c r="M1117" s="8">
        <v>75.737200000000001</v>
      </c>
      <c r="N1117" s="8">
        <v>61.8658</v>
      </c>
      <c r="O1117" s="7">
        <v>54.109299999999998</v>
      </c>
      <c r="P1117" s="7">
        <v>4367.6767</v>
      </c>
      <c r="Q1117" s="7">
        <v>4029.5434</v>
      </c>
      <c r="R1117" s="7" t="str">
        <f t="shared" si="253"/>
        <v>Down</v>
      </c>
      <c r="S1117" s="7" t="str">
        <f t="shared" si="254"/>
        <v>Sell</v>
      </c>
      <c r="T1117" s="8">
        <f t="shared" si="255"/>
        <v>0.37618888888888874</v>
      </c>
      <c r="U1117" s="18">
        <f t="shared" si="256"/>
        <v>329959</v>
      </c>
      <c r="V1117" s="7">
        <f t="shared" si="257"/>
        <v>5586.2002000000002</v>
      </c>
      <c r="W1117" s="7">
        <f t="shared" si="258"/>
        <v>4285</v>
      </c>
      <c r="X1117" s="7">
        <f t="shared" si="259"/>
        <v>4331</v>
      </c>
      <c r="Y1117" s="7">
        <f t="shared" si="260"/>
        <v>26</v>
      </c>
      <c r="Z1117" s="7">
        <f t="shared" si="261"/>
        <v>193687</v>
      </c>
      <c r="AA1117" s="7" t="str">
        <f t="shared" si="262"/>
        <v>18-Dec-2025</v>
      </c>
      <c r="AB1117" s="7">
        <f t="shared" si="263"/>
        <v>4331</v>
      </c>
      <c r="AC1117" s="7">
        <f t="shared" si="266"/>
        <v>1</v>
      </c>
      <c r="AD1117" s="7">
        <f t="shared" si="264"/>
        <v>2025</v>
      </c>
      <c r="AE1117" s="19">
        <f t="shared" si="265"/>
        <v>0.52</v>
      </c>
    </row>
    <row r="1118" spans="1:31" x14ac:dyDescent="0.3">
      <c r="A1118" s="17">
        <v>46010</v>
      </c>
      <c r="B1118" s="8">
        <v>4361.3999000000003</v>
      </c>
      <c r="C1118" s="7">
        <v>4361.3999000000003</v>
      </c>
      <c r="D1118" s="7">
        <v>4350.1000999999997</v>
      </c>
      <c r="E1118" s="7">
        <v>4350.1000999999997</v>
      </c>
      <c r="F1118" s="18">
        <v>1065</v>
      </c>
      <c r="G1118" s="7">
        <v>4295.5428000000002</v>
      </c>
      <c r="H1118" s="7">
        <v>4174.6234000000004</v>
      </c>
      <c r="I1118" s="7">
        <v>3905.9245000000001</v>
      </c>
      <c r="J1118" s="8">
        <v>0.441</v>
      </c>
      <c r="K1118" s="7">
        <v>0.66810000000000003</v>
      </c>
      <c r="L1118" s="7">
        <v>1.1491</v>
      </c>
      <c r="M1118" s="8">
        <v>72.721100000000007</v>
      </c>
      <c r="N1118" s="8">
        <v>65.101799999999997</v>
      </c>
      <c r="O1118" s="7">
        <v>56.3078</v>
      </c>
      <c r="P1118" s="7">
        <v>4379.5982999999997</v>
      </c>
      <c r="Q1118" s="7">
        <v>4048.1318000000001</v>
      </c>
      <c r="R1118" s="7" t="str">
        <f t="shared" si="253"/>
        <v>Down</v>
      </c>
      <c r="S1118" s="7" t="str">
        <f t="shared" si="254"/>
        <v>Sell</v>
      </c>
      <c r="T1118" s="8">
        <f t="shared" si="255"/>
        <v>0.37343396226415076</v>
      </c>
      <c r="U1118" s="18">
        <f t="shared" si="256"/>
        <v>329254</v>
      </c>
      <c r="V1118" s="7">
        <f t="shared" si="257"/>
        <v>5586.2002000000002</v>
      </c>
      <c r="W1118" s="7">
        <f t="shared" si="258"/>
        <v>4285</v>
      </c>
      <c r="X1118" s="7">
        <f t="shared" si="259"/>
        <v>4350.1000999999997</v>
      </c>
      <c r="Y1118" s="7">
        <f t="shared" si="260"/>
        <v>26</v>
      </c>
      <c r="Z1118" s="7">
        <f t="shared" si="261"/>
        <v>193687</v>
      </c>
      <c r="AA1118" s="7" t="str">
        <f t="shared" si="262"/>
        <v>19-Dec-2025</v>
      </c>
      <c r="AB1118" s="7">
        <f t="shared" si="263"/>
        <v>4350.1000999999997</v>
      </c>
      <c r="AC1118" s="7">
        <f t="shared" si="266"/>
        <v>1</v>
      </c>
      <c r="AD1118" s="7">
        <f t="shared" si="264"/>
        <v>2025</v>
      </c>
      <c r="AE1118" s="19">
        <f t="shared" si="265"/>
        <v>0.44</v>
      </c>
    </row>
    <row r="1119" spans="1:31" x14ac:dyDescent="0.3">
      <c r="A1119" s="17">
        <v>46013</v>
      </c>
      <c r="B1119" s="8">
        <v>4444.6000999999997</v>
      </c>
      <c r="C1119" s="7">
        <v>4447.6000999999997</v>
      </c>
      <c r="D1119" s="7">
        <v>4371.1000999999997</v>
      </c>
      <c r="E1119" s="7">
        <v>4371.1000999999997</v>
      </c>
      <c r="F1119" s="18">
        <v>449</v>
      </c>
      <c r="G1119" s="7">
        <v>4316.5571</v>
      </c>
      <c r="H1119" s="7">
        <v>4187.6333999999997</v>
      </c>
      <c r="I1119" s="7">
        <v>3917.3056000000001</v>
      </c>
      <c r="J1119" s="8">
        <v>0.48270000000000002</v>
      </c>
      <c r="K1119" s="7">
        <v>0.66610000000000003</v>
      </c>
      <c r="L1119" s="7">
        <v>1.1378999999999999</v>
      </c>
      <c r="M1119" s="8">
        <v>73.543300000000002</v>
      </c>
      <c r="N1119" s="8">
        <v>68.570499999999996</v>
      </c>
      <c r="O1119" s="7">
        <v>58.760300000000001</v>
      </c>
      <c r="P1119" s="7">
        <v>4387.2974000000004</v>
      </c>
      <c r="Q1119" s="7">
        <v>4074.3627000000001</v>
      </c>
      <c r="R1119" s="7" t="str">
        <f t="shared" si="253"/>
        <v>Down</v>
      </c>
      <c r="S1119" s="7" t="str">
        <f t="shared" si="254"/>
        <v>Sell</v>
      </c>
      <c r="T1119" s="8">
        <f t="shared" si="255"/>
        <v>0.37213461538461529</v>
      </c>
      <c r="U1119" s="18">
        <f t="shared" si="256"/>
        <v>328189</v>
      </c>
      <c r="V1119" s="7">
        <f t="shared" si="257"/>
        <v>5586.2002000000002</v>
      </c>
      <c r="W1119" s="7">
        <f t="shared" si="258"/>
        <v>4285</v>
      </c>
      <c r="X1119" s="7">
        <f t="shared" si="259"/>
        <v>4371.1000999999997</v>
      </c>
      <c r="Y1119" s="7">
        <f t="shared" si="260"/>
        <v>26</v>
      </c>
      <c r="Z1119" s="7">
        <f t="shared" si="261"/>
        <v>193687</v>
      </c>
      <c r="AA1119" s="7" t="str">
        <f t="shared" si="262"/>
        <v>22-Dec-2025</v>
      </c>
      <c r="AB1119" s="7">
        <f t="shared" si="263"/>
        <v>4371.1000999999997</v>
      </c>
      <c r="AC1119" s="7">
        <f t="shared" si="266"/>
        <v>1</v>
      </c>
      <c r="AD1119" s="7">
        <f t="shared" si="264"/>
        <v>2025</v>
      </c>
      <c r="AE1119" s="19">
        <f t="shared" si="265"/>
        <v>0.48</v>
      </c>
    </row>
    <row r="1120" spans="1:31" x14ac:dyDescent="0.3">
      <c r="A1120" s="17">
        <v>46014</v>
      </c>
      <c r="B1120" s="8">
        <v>4482.7997999999998</v>
      </c>
      <c r="C1120" s="7">
        <v>4503.7997999999998</v>
      </c>
      <c r="D1120" s="7">
        <v>4450.3999000000003</v>
      </c>
      <c r="E1120" s="7">
        <v>4503.2997999999998</v>
      </c>
      <c r="F1120" s="18">
        <v>694</v>
      </c>
      <c r="G1120" s="7">
        <v>4348.9714000000004</v>
      </c>
      <c r="H1120" s="7">
        <v>4202.41</v>
      </c>
      <c r="I1120" s="7">
        <v>3930.1556</v>
      </c>
      <c r="J1120" s="8">
        <v>3.0244</v>
      </c>
      <c r="K1120" s="7">
        <v>1.159</v>
      </c>
      <c r="L1120" s="7">
        <v>1.2040999999999999</v>
      </c>
      <c r="M1120" s="8">
        <v>84.567300000000003</v>
      </c>
      <c r="N1120" s="8">
        <v>81.052499999999995</v>
      </c>
      <c r="O1120" s="7">
        <v>63.218800000000002</v>
      </c>
      <c r="P1120" s="7">
        <v>4431.6868000000004</v>
      </c>
      <c r="Q1120" s="7">
        <v>4074.2532000000001</v>
      </c>
      <c r="R1120" s="7" t="str">
        <f t="shared" si="253"/>
        <v>Up</v>
      </c>
      <c r="S1120" s="7" t="str">
        <f t="shared" si="254"/>
        <v>Sell</v>
      </c>
      <c r="T1120" s="8">
        <f t="shared" si="255"/>
        <v>0.36996666666666655</v>
      </c>
      <c r="U1120" s="18">
        <f t="shared" si="256"/>
        <v>327740</v>
      </c>
      <c r="V1120" s="7">
        <f t="shared" si="257"/>
        <v>5586.2002000000002</v>
      </c>
      <c r="W1120" s="7">
        <f t="shared" si="258"/>
        <v>4285</v>
      </c>
      <c r="X1120" s="7">
        <f t="shared" si="259"/>
        <v>4503.2997999999998</v>
      </c>
      <c r="Y1120" s="7">
        <f t="shared" si="260"/>
        <v>26</v>
      </c>
      <c r="Z1120" s="7">
        <f t="shared" si="261"/>
        <v>193687</v>
      </c>
      <c r="AA1120" s="7" t="str">
        <f t="shared" si="262"/>
        <v>23-Dec-2025</v>
      </c>
      <c r="AB1120" s="7">
        <f t="shared" si="263"/>
        <v>4503.2997999999998</v>
      </c>
      <c r="AC1120" s="7">
        <f t="shared" si="266"/>
        <v>1</v>
      </c>
      <c r="AD1120" s="7">
        <f t="shared" si="264"/>
        <v>2025</v>
      </c>
      <c r="AE1120" s="19">
        <f t="shared" si="265"/>
        <v>3.02</v>
      </c>
    </row>
    <row r="1121" spans="1:31" x14ac:dyDescent="0.3">
      <c r="A1121" s="17">
        <v>46015</v>
      </c>
      <c r="B1121" s="8">
        <v>4480.6000999999997</v>
      </c>
      <c r="C1121" s="7">
        <v>4503.3999000000003</v>
      </c>
      <c r="D1121" s="7">
        <v>4468.3999000000003</v>
      </c>
      <c r="E1121" s="7">
        <v>4500.7002000000002</v>
      </c>
      <c r="F1121" s="18">
        <v>500</v>
      </c>
      <c r="G1121" s="7">
        <v>4376.4571999999998</v>
      </c>
      <c r="H1121" s="7">
        <v>4214.43</v>
      </c>
      <c r="I1121" s="7">
        <v>3943.1244999999999</v>
      </c>
      <c r="J1121" s="8">
        <v>-5.7700000000000001E-2</v>
      </c>
      <c r="K1121" s="7">
        <v>1.1981999999999999</v>
      </c>
      <c r="L1121" s="7">
        <v>1.1662999999999999</v>
      </c>
      <c r="M1121" s="8">
        <v>84.996499999999997</v>
      </c>
      <c r="N1121" s="8">
        <v>89.700800000000001</v>
      </c>
      <c r="O1121" s="7">
        <v>68.515199999999993</v>
      </c>
      <c r="P1121" s="7">
        <v>4472.9341000000004</v>
      </c>
      <c r="Q1121" s="7">
        <v>4069.1559999999999</v>
      </c>
      <c r="R1121" s="7" t="str">
        <f t="shared" si="253"/>
        <v>Up</v>
      </c>
      <c r="S1121" s="7" t="str">
        <f t="shared" si="254"/>
        <v>Sell</v>
      </c>
      <c r="T1121" s="8">
        <f t="shared" si="255"/>
        <v>0.31687799999999988</v>
      </c>
      <c r="U1121" s="18">
        <f t="shared" si="256"/>
        <v>327046</v>
      </c>
      <c r="V1121" s="7">
        <f t="shared" si="257"/>
        <v>5586.2002000000002</v>
      </c>
      <c r="W1121" s="7">
        <f t="shared" si="258"/>
        <v>4285</v>
      </c>
      <c r="X1121" s="7">
        <f t="shared" si="259"/>
        <v>4500.7002000000002</v>
      </c>
      <c r="Y1121" s="7">
        <f t="shared" si="260"/>
        <v>25</v>
      </c>
      <c r="Z1121" s="7">
        <f t="shared" si="261"/>
        <v>192993</v>
      </c>
      <c r="AA1121" s="7" t="str">
        <f t="shared" si="262"/>
        <v>24-Dec-2025</v>
      </c>
      <c r="AB1121" s="7">
        <f t="shared" si="263"/>
        <v>4500.7002000000002</v>
      </c>
      <c r="AC1121" s="7">
        <f t="shared" si="266"/>
        <v>1</v>
      </c>
      <c r="AD1121" s="7">
        <f t="shared" si="264"/>
        <v>2025</v>
      </c>
      <c r="AE1121" s="19">
        <f t="shared" si="265"/>
        <v>-0.06</v>
      </c>
    </row>
    <row r="1122" spans="1:31" x14ac:dyDescent="0.3">
      <c r="A1122" s="17">
        <v>46017</v>
      </c>
      <c r="B1122" s="8">
        <v>4529.1000999999997</v>
      </c>
      <c r="C1122" s="7">
        <v>4556.2997999999998</v>
      </c>
      <c r="D1122" s="7">
        <v>4502</v>
      </c>
      <c r="E1122" s="7">
        <v>4512</v>
      </c>
      <c r="F1122" s="18">
        <v>263</v>
      </c>
      <c r="G1122" s="7">
        <v>4410.9571999999998</v>
      </c>
      <c r="H1122" s="7">
        <v>4227.6433999999999</v>
      </c>
      <c r="I1122" s="7">
        <v>3956.2556</v>
      </c>
      <c r="J1122" s="8">
        <v>0.25109999999999999</v>
      </c>
      <c r="K1122" s="7">
        <v>1.0246</v>
      </c>
      <c r="L1122" s="7">
        <v>1.1546000000000001</v>
      </c>
      <c r="M1122" s="8">
        <v>86.803899999999999</v>
      </c>
      <c r="N1122" s="8">
        <v>96.355699999999999</v>
      </c>
      <c r="O1122" s="7">
        <v>74.083299999999994</v>
      </c>
      <c r="P1122" s="7">
        <v>4507.3859000000002</v>
      </c>
      <c r="Q1122" s="7">
        <v>4073.0441999999998</v>
      </c>
      <c r="R1122" s="7" t="str">
        <f t="shared" si="253"/>
        <v>Down</v>
      </c>
      <c r="S1122" s="7" t="str">
        <f t="shared" si="254"/>
        <v>Sell</v>
      </c>
      <c r="T1122" s="8">
        <f t="shared" si="255"/>
        <v>0.3245224489795917</v>
      </c>
      <c r="U1122" s="18">
        <f t="shared" si="256"/>
        <v>326546</v>
      </c>
      <c r="V1122" s="7">
        <f t="shared" si="257"/>
        <v>5586.2002000000002</v>
      </c>
      <c r="W1122" s="7">
        <f t="shared" si="258"/>
        <v>4285</v>
      </c>
      <c r="X1122" s="7">
        <f t="shared" si="259"/>
        <v>4512</v>
      </c>
      <c r="Y1122" s="7">
        <f t="shared" si="260"/>
        <v>24</v>
      </c>
      <c r="Z1122" s="7">
        <f t="shared" si="261"/>
        <v>192493</v>
      </c>
      <c r="AA1122" s="7" t="str">
        <f t="shared" si="262"/>
        <v>26-Dec-2025</v>
      </c>
      <c r="AB1122" s="7">
        <f t="shared" si="263"/>
        <v>4512</v>
      </c>
      <c r="AC1122" s="7">
        <f t="shared" si="266"/>
        <v>1</v>
      </c>
      <c r="AD1122" s="7">
        <f t="shared" si="264"/>
        <v>2025</v>
      </c>
      <c r="AE1122" s="19">
        <f t="shared" si="265"/>
        <v>0.25</v>
      </c>
    </row>
    <row r="1123" spans="1:31" x14ac:dyDescent="0.3">
      <c r="A1123" s="17">
        <v>46020</v>
      </c>
      <c r="B1123" s="8">
        <v>4325.1000999999997</v>
      </c>
      <c r="C1123" s="7">
        <v>4379</v>
      </c>
      <c r="D1123" s="7">
        <v>4325.1000999999997</v>
      </c>
      <c r="E1123" s="7">
        <v>4371.5</v>
      </c>
      <c r="F1123" s="18">
        <v>2044</v>
      </c>
      <c r="G1123" s="7">
        <v>4419.9571999999998</v>
      </c>
      <c r="H1123" s="7">
        <v>4232.4034000000001</v>
      </c>
      <c r="I1123" s="7">
        <v>3968.0432999999998</v>
      </c>
      <c r="J1123" s="8">
        <v>-3.1139000000000001</v>
      </c>
      <c r="K1123" s="7">
        <v>1.792</v>
      </c>
      <c r="L1123" s="7">
        <v>1.2223999999999999</v>
      </c>
      <c r="M1123" s="8">
        <v>64.890600000000006</v>
      </c>
      <c r="N1123" s="8">
        <v>89.263599999999997</v>
      </c>
      <c r="O1123" s="7">
        <v>77.119399999999999</v>
      </c>
      <c r="P1123" s="7">
        <v>4512.0735999999997</v>
      </c>
      <c r="Q1123" s="7">
        <v>4089.1664000000001</v>
      </c>
      <c r="R1123" s="7" t="str">
        <f t="shared" si="253"/>
        <v>Up</v>
      </c>
      <c r="S1123" s="7" t="str">
        <f t="shared" si="254"/>
        <v>Hold</v>
      </c>
      <c r="T1123" s="8">
        <f t="shared" si="255"/>
        <v>0.32605208333333319</v>
      </c>
      <c r="U1123" s="18">
        <f t="shared" si="256"/>
        <v>326283</v>
      </c>
      <c r="V1123" s="7">
        <f t="shared" si="257"/>
        <v>5586.2002000000002</v>
      </c>
      <c r="W1123" s="7">
        <f t="shared" si="258"/>
        <v>4285</v>
      </c>
      <c r="X1123" s="7">
        <f t="shared" si="259"/>
        <v>4371.5</v>
      </c>
      <c r="Y1123" s="7">
        <f t="shared" si="260"/>
        <v>24</v>
      </c>
      <c r="Z1123" s="7">
        <f t="shared" si="261"/>
        <v>192493</v>
      </c>
      <c r="AA1123" s="7" t="str">
        <f t="shared" si="262"/>
        <v>29-Dec-2025</v>
      </c>
      <c r="AB1123" s="7">
        <f t="shared" si="263"/>
        <v>4371.5</v>
      </c>
      <c r="AC1123" s="7">
        <f t="shared" si="266"/>
        <v>1</v>
      </c>
      <c r="AD1123" s="7">
        <f t="shared" si="264"/>
        <v>2025</v>
      </c>
      <c r="AE1123" s="19">
        <f t="shared" si="265"/>
        <v>-3.11</v>
      </c>
    </row>
    <row r="1124" spans="1:31" x14ac:dyDescent="0.3">
      <c r="A1124" s="17">
        <v>46021</v>
      </c>
      <c r="B1124" s="8">
        <v>4370.1000999999997</v>
      </c>
      <c r="C1124" s="7">
        <v>4403.6000999999997</v>
      </c>
      <c r="D1124" s="7">
        <v>4338</v>
      </c>
      <c r="E1124" s="7">
        <v>4346.3999000000003</v>
      </c>
      <c r="F1124" s="18">
        <v>1837</v>
      </c>
      <c r="G1124" s="7">
        <v>4422.1571999999996</v>
      </c>
      <c r="H1124" s="7">
        <v>4237.3599999999997</v>
      </c>
      <c r="I1124" s="7">
        <v>3979.1210999999998</v>
      </c>
      <c r="J1124" s="8">
        <v>-0.57420000000000004</v>
      </c>
      <c r="K1124" s="7">
        <v>1.8090999999999999</v>
      </c>
      <c r="L1124" s="7">
        <v>1.2189000000000001</v>
      </c>
      <c r="M1124" s="8">
        <v>63.713200000000001</v>
      </c>
      <c r="N1124" s="8">
        <v>80.687600000000003</v>
      </c>
      <c r="O1124" s="7">
        <v>77.832999999999998</v>
      </c>
      <c r="P1124" s="7">
        <v>4515.7299999999996</v>
      </c>
      <c r="Q1124" s="7">
        <v>4098.3001000000004</v>
      </c>
      <c r="R1124" s="7" t="str">
        <f t="shared" si="253"/>
        <v>Down</v>
      </c>
      <c r="S1124" s="7" t="str">
        <f t="shared" si="254"/>
        <v>Hold</v>
      </c>
      <c r="T1124" s="8">
        <f t="shared" si="255"/>
        <v>0.39924255319148932</v>
      </c>
      <c r="U1124" s="18">
        <f t="shared" si="256"/>
        <v>324239</v>
      </c>
      <c r="V1124" s="7">
        <f t="shared" si="257"/>
        <v>5586.2002000000002</v>
      </c>
      <c r="W1124" s="7">
        <f t="shared" si="258"/>
        <v>4285</v>
      </c>
      <c r="X1124" s="7">
        <f t="shared" si="259"/>
        <v>4346.3999000000003</v>
      </c>
      <c r="Y1124" s="7">
        <f t="shared" si="260"/>
        <v>23</v>
      </c>
      <c r="Z1124" s="7">
        <f t="shared" si="261"/>
        <v>190449</v>
      </c>
      <c r="AA1124" s="7" t="str">
        <f t="shared" si="262"/>
        <v>30-Dec-2025</v>
      </c>
      <c r="AB1124" s="7">
        <f t="shared" si="263"/>
        <v>4346.3999000000003</v>
      </c>
      <c r="AC1124" s="7">
        <f t="shared" si="266"/>
        <v>1</v>
      </c>
      <c r="AD1124" s="7">
        <f t="shared" si="264"/>
        <v>2025</v>
      </c>
      <c r="AE1124" s="19">
        <f t="shared" si="265"/>
        <v>-0.56999999999999995</v>
      </c>
    </row>
    <row r="1125" spans="1:31" x14ac:dyDescent="0.3">
      <c r="A1125" s="17">
        <v>46022</v>
      </c>
      <c r="B1125" s="8">
        <v>4325.6000999999997</v>
      </c>
      <c r="C1125" s="7">
        <v>4363.7997999999998</v>
      </c>
      <c r="D1125" s="7">
        <v>4285</v>
      </c>
      <c r="E1125" s="7">
        <v>4333.5</v>
      </c>
      <c r="F1125" s="18">
        <v>785</v>
      </c>
      <c r="G1125" s="7">
        <v>4419.7857000000004</v>
      </c>
      <c r="H1125" s="7">
        <v>4246.1433999999999</v>
      </c>
      <c r="I1125" s="7">
        <v>3990.0556000000001</v>
      </c>
      <c r="J1125" s="8">
        <v>-0.29680000000000001</v>
      </c>
      <c r="K1125" s="7">
        <v>1.8049999999999999</v>
      </c>
      <c r="L1125" s="7">
        <v>1.0666</v>
      </c>
      <c r="M1125" s="8">
        <v>61.070599999999999</v>
      </c>
      <c r="N1125" s="8">
        <v>72.02</v>
      </c>
      <c r="O1125" s="7">
        <v>76.670400000000001</v>
      </c>
      <c r="P1125" s="7">
        <v>4517.9935999999998</v>
      </c>
      <c r="Q1125" s="7">
        <v>4106.3365000000003</v>
      </c>
      <c r="R1125" s="7" t="str">
        <f t="shared" si="253"/>
        <v>Up</v>
      </c>
      <c r="S1125" s="7" t="str">
        <f t="shared" si="254"/>
        <v>Hold</v>
      </c>
      <c r="T1125" s="8">
        <f t="shared" si="255"/>
        <v>0.42040434782608688</v>
      </c>
      <c r="U1125" s="18">
        <f t="shared" si="256"/>
        <v>322402</v>
      </c>
      <c r="V1125" s="7">
        <f t="shared" si="257"/>
        <v>5586.2002000000002</v>
      </c>
      <c r="W1125" s="7">
        <f t="shared" si="258"/>
        <v>4285</v>
      </c>
      <c r="X1125" s="7">
        <f t="shared" si="259"/>
        <v>4333.5</v>
      </c>
      <c r="Y1125" s="7">
        <f t="shared" si="260"/>
        <v>23</v>
      </c>
      <c r="Z1125" s="7">
        <f t="shared" si="261"/>
        <v>190449</v>
      </c>
      <c r="AA1125" s="7" t="str">
        <f t="shared" si="262"/>
        <v>31-Dec-2025</v>
      </c>
      <c r="AB1125" s="7">
        <f t="shared" si="263"/>
        <v>4333.5</v>
      </c>
      <c r="AC1125" s="7">
        <f t="shared" si="266"/>
        <v>1</v>
      </c>
      <c r="AD1125" s="7">
        <f t="shared" si="264"/>
        <v>2025</v>
      </c>
      <c r="AE1125" s="19">
        <f t="shared" si="265"/>
        <v>-0.3</v>
      </c>
    </row>
    <row r="1126" spans="1:31" x14ac:dyDescent="0.3">
      <c r="A1126" s="17">
        <v>46024</v>
      </c>
      <c r="B1126" s="8">
        <v>4314.3999000000003</v>
      </c>
      <c r="C1126" s="7">
        <v>4350.6000999999997</v>
      </c>
      <c r="D1126" s="7">
        <v>4314.3999000000003</v>
      </c>
      <c r="E1126" s="7">
        <v>4350.6000999999997</v>
      </c>
      <c r="F1126" s="18">
        <v>589</v>
      </c>
      <c r="G1126" s="7">
        <v>4416.8571000000002</v>
      </c>
      <c r="H1126" s="7">
        <v>4256.5834000000004</v>
      </c>
      <c r="I1126" s="7">
        <v>4000.9956000000002</v>
      </c>
      <c r="J1126" s="8">
        <v>0.39460000000000001</v>
      </c>
      <c r="K1126" s="7">
        <v>1.8010999999999999</v>
      </c>
      <c r="L1126" s="7">
        <v>1.0495000000000001</v>
      </c>
      <c r="M1126" s="8">
        <v>61.215499999999999</v>
      </c>
      <c r="N1126" s="8">
        <v>65.772400000000005</v>
      </c>
      <c r="O1126" s="7">
        <v>74.490799999999993</v>
      </c>
      <c r="P1126" s="7">
        <v>4520.2201999999997</v>
      </c>
      <c r="Q1126" s="7">
        <v>4117.5998</v>
      </c>
      <c r="R1126" s="7" t="str">
        <f t="shared" si="253"/>
        <v>Up</v>
      </c>
      <c r="S1126" s="7" t="str">
        <f t="shared" si="254"/>
        <v>Hold</v>
      </c>
      <c r="T1126" s="8">
        <f t="shared" si="255"/>
        <v>0.43634222222222208</v>
      </c>
      <c r="U1126" s="18">
        <f t="shared" si="256"/>
        <v>321617</v>
      </c>
      <c r="V1126" s="7">
        <f t="shared" si="257"/>
        <v>5586.2002000000002</v>
      </c>
      <c r="W1126" s="7">
        <f t="shared" si="258"/>
        <v>4314.3999000000003</v>
      </c>
      <c r="X1126" s="7">
        <f t="shared" si="259"/>
        <v>4350.6000999999997</v>
      </c>
      <c r="Y1126" s="7">
        <f t="shared" si="260"/>
        <v>22</v>
      </c>
      <c r="Z1126" s="7">
        <f t="shared" si="261"/>
        <v>189664</v>
      </c>
      <c r="AA1126" s="7" t="str">
        <f t="shared" si="262"/>
        <v>02-Jan-2026</v>
      </c>
      <c r="AB1126" s="7">
        <f t="shared" si="263"/>
        <v>4350.6000999999997</v>
      </c>
      <c r="AC1126" s="7">
        <f t="shared" si="266"/>
        <v>1</v>
      </c>
      <c r="AD1126" s="7">
        <f t="shared" si="264"/>
        <v>2026</v>
      </c>
      <c r="AE1126" s="19">
        <f t="shared" si="265"/>
        <v>0.39</v>
      </c>
    </row>
    <row r="1127" spans="1:31" x14ac:dyDescent="0.3">
      <c r="A1127" s="17">
        <v>46027</v>
      </c>
      <c r="B1127" s="8">
        <v>4436.8999000000003</v>
      </c>
      <c r="C1127" s="7">
        <v>4443.5</v>
      </c>
      <c r="D1127" s="7">
        <v>4384.7997999999998</v>
      </c>
      <c r="E1127" s="7">
        <v>4386.7002000000002</v>
      </c>
      <c r="F1127" s="18">
        <v>618</v>
      </c>
      <c r="G1127" s="7">
        <v>4400.2001</v>
      </c>
      <c r="H1127" s="7">
        <v>4266.6034</v>
      </c>
      <c r="I1127" s="7">
        <v>4012.1934000000001</v>
      </c>
      <c r="J1127" s="8">
        <v>0.82979999999999998</v>
      </c>
      <c r="K1127" s="7">
        <v>1.2964</v>
      </c>
      <c r="L1127" s="7">
        <v>1.04</v>
      </c>
      <c r="M1127" s="8">
        <v>60.062100000000001</v>
      </c>
      <c r="N1127" s="8">
        <v>63.007899999999999</v>
      </c>
      <c r="O1127" s="7">
        <v>72.194199999999995</v>
      </c>
      <c r="P1127" s="7">
        <v>4524.4609</v>
      </c>
      <c r="Q1127" s="7">
        <v>4130.9291000000003</v>
      </c>
      <c r="R1127" s="7" t="str">
        <f t="shared" si="253"/>
        <v>Down</v>
      </c>
      <c r="S1127" s="7" t="str">
        <f t="shared" si="254"/>
        <v>Hold</v>
      </c>
      <c r="T1127" s="8">
        <f t="shared" si="255"/>
        <v>0.43729090909090901</v>
      </c>
      <c r="U1127" s="18">
        <f t="shared" si="256"/>
        <v>321028</v>
      </c>
      <c r="V1127" s="7">
        <f t="shared" si="257"/>
        <v>5586.2002000000002</v>
      </c>
      <c r="W1127" s="7">
        <f t="shared" si="258"/>
        <v>4384.7997999999998</v>
      </c>
      <c r="X1127" s="7">
        <f t="shared" si="259"/>
        <v>4386.7002000000002</v>
      </c>
      <c r="Y1127" s="7">
        <f t="shared" si="260"/>
        <v>21</v>
      </c>
      <c r="Z1127" s="7">
        <f t="shared" si="261"/>
        <v>189075</v>
      </c>
      <c r="AA1127" s="7" t="str">
        <f t="shared" si="262"/>
        <v>05-Jan-2026</v>
      </c>
      <c r="AB1127" s="7">
        <f t="shared" si="263"/>
        <v>4386.7002000000002</v>
      </c>
      <c r="AC1127" s="7">
        <f t="shared" si="266"/>
        <v>1</v>
      </c>
      <c r="AD1127" s="7">
        <f t="shared" si="264"/>
        <v>2026</v>
      </c>
      <c r="AE1127" s="19">
        <f t="shared" si="265"/>
        <v>0.83</v>
      </c>
    </row>
    <row r="1128" spans="1:31" x14ac:dyDescent="0.3">
      <c r="A1128" s="17">
        <v>46028</v>
      </c>
      <c r="B1128" s="8">
        <v>4482.2002000000002</v>
      </c>
      <c r="C1128" s="7">
        <v>4482.2002000000002</v>
      </c>
      <c r="D1128" s="7">
        <v>4449</v>
      </c>
      <c r="E1128" s="7">
        <v>4449.7002000000002</v>
      </c>
      <c r="F1128" s="18">
        <v>459</v>
      </c>
      <c r="G1128" s="7">
        <v>4392.9143000000004</v>
      </c>
      <c r="H1128" s="7">
        <v>4280.0933999999997</v>
      </c>
      <c r="I1128" s="7">
        <v>4023.89</v>
      </c>
      <c r="J1128" s="8">
        <v>1.4361999999999999</v>
      </c>
      <c r="K1128" s="7">
        <v>1.4674</v>
      </c>
      <c r="L1128" s="7">
        <v>1.0345</v>
      </c>
      <c r="M1128" s="8">
        <v>62.206499999999998</v>
      </c>
      <c r="N1128" s="8">
        <v>65.149500000000003</v>
      </c>
      <c r="O1128" s="7">
        <v>70.785300000000007</v>
      </c>
      <c r="P1128" s="7">
        <v>4534.9101000000001</v>
      </c>
      <c r="Q1128" s="7">
        <v>4145.0398999999998</v>
      </c>
      <c r="R1128" s="7" t="str">
        <f t="shared" si="253"/>
        <v>Down</v>
      </c>
      <c r="S1128" s="7" t="str">
        <f t="shared" si="254"/>
        <v>Hold</v>
      </c>
      <c r="T1128" s="8">
        <f t="shared" si="255"/>
        <v>0.42816279069767438</v>
      </c>
      <c r="U1128" s="18">
        <f t="shared" si="256"/>
        <v>320410</v>
      </c>
      <c r="V1128" s="7">
        <f t="shared" si="257"/>
        <v>5586.2002000000002</v>
      </c>
      <c r="W1128" s="7">
        <f t="shared" si="258"/>
        <v>4400</v>
      </c>
      <c r="X1128" s="7">
        <f t="shared" si="259"/>
        <v>4449.7002000000002</v>
      </c>
      <c r="Y1128" s="7">
        <f t="shared" si="260"/>
        <v>21</v>
      </c>
      <c r="Z1128" s="7">
        <f t="shared" si="261"/>
        <v>189075</v>
      </c>
      <c r="AA1128" s="7" t="str">
        <f t="shared" si="262"/>
        <v>06-Jan-2026</v>
      </c>
      <c r="AB1128" s="7">
        <f t="shared" si="263"/>
        <v>4449.7002000000002</v>
      </c>
      <c r="AC1128" s="7">
        <f t="shared" si="266"/>
        <v>1</v>
      </c>
      <c r="AD1128" s="7">
        <f t="shared" si="264"/>
        <v>2026</v>
      </c>
      <c r="AE1128" s="19">
        <f t="shared" si="265"/>
        <v>1.44</v>
      </c>
    </row>
    <row r="1129" spans="1:31" x14ac:dyDescent="0.3">
      <c r="A1129" s="17">
        <v>46029</v>
      </c>
      <c r="B1129" s="8">
        <v>4449.2997999999998</v>
      </c>
      <c r="C1129" s="7">
        <v>4450</v>
      </c>
      <c r="D1129" s="7">
        <v>4449.2997999999998</v>
      </c>
      <c r="E1129" s="7">
        <v>4450</v>
      </c>
      <c r="F1129" s="18">
        <v>972</v>
      </c>
      <c r="G1129" s="7">
        <v>4384.0572000000002</v>
      </c>
      <c r="H1129" s="7">
        <v>4294.0334000000003</v>
      </c>
      <c r="I1129" s="7">
        <v>4035.4567000000002</v>
      </c>
      <c r="J1129" s="8">
        <v>6.7000000000000002E-3</v>
      </c>
      <c r="K1129" s="7">
        <v>1.4591000000000001</v>
      </c>
      <c r="L1129" s="7">
        <v>1.0289999999999999</v>
      </c>
      <c r="M1129" s="8">
        <v>66.568200000000004</v>
      </c>
      <c r="N1129" s="8">
        <v>66.108900000000006</v>
      </c>
      <c r="O1129" s="7">
        <v>69.849999999999994</v>
      </c>
      <c r="P1129" s="7">
        <v>4542.2313000000004</v>
      </c>
      <c r="Q1129" s="7">
        <v>4162.1687000000002</v>
      </c>
      <c r="R1129" s="7" t="str">
        <f t="shared" si="253"/>
        <v>Up</v>
      </c>
      <c r="S1129" s="7" t="str">
        <f t="shared" si="254"/>
        <v>Hold</v>
      </c>
      <c r="T1129" s="8">
        <f t="shared" si="255"/>
        <v>0.40416190476190461</v>
      </c>
      <c r="U1129" s="18">
        <f t="shared" si="256"/>
        <v>319951</v>
      </c>
      <c r="V1129" s="7">
        <f t="shared" si="257"/>
        <v>5586.2002000000002</v>
      </c>
      <c r="W1129" s="7">
        <f t="shared" si="258"/>
        <v>4400</v>
      </c>
      <c r="X1129" s="7">
        <f t="shared" si="259"/>
        <v>4450</v>
      </c>
      <c r="Y1129" s="7">
        <f t="shared" si="260"/>
        <v>21</v>
      </c>
      <c r="Z1129" s="7">
        <f t="shared" si="261"/>
        <v>189075</v>
      </c>
      <c r="AA1129" s="7" t="str">
        <f t="shared" si="262"/>
        <v>07-Jan-2026</v>
      </c>
      <c r="AB1129" s="7">
        <f t="shared" si="263"/>
        <v>4450</v>
      </c>
      <c r="AC1129" s="7">
        <f t="shared" si="266"/>
        <v>1</v>
      </c>
      <c r="AD1129" s="7">
        <f t="shared" si="264"/>
        <v>2026</v>
      </c>
      <c r="AE1129" s="19">
        <f t="shared" si="265"/>
        <v>0.01</v>
      </c>
    </row>
    <row r="1130" spans="1:31" x14ac:dyDescent="0.3">
      <c r="A1130" s="17">
        <v>46030</v>
      </c>
      <c r="B1130" s="8">
        <v>4449.7002000000002</v>
      </c>
      <c r="C1130" s="7">
        <v>4461.2997999999998</v>
      </c>
      <c r="D1130" s="7">
        <v>4418</v>
      </c>
      <c r="E1130" s="7">
        <v>4460.2002000000002</v>
      </c>
      <c r="F1130" s="18">
        <v>2423</v>
      </c>
      <c r="G1130" s="7">
        <v>4396.7286999999997</v>
      </c>
      <c r="H1130" s="7">
        <v>4307.3567000000003</v>
      </c>
      <c r="I1130" s="7">
        <v>4046.8755999999998</v>
      </c>
      <c r="J1130" s="8">
        <v>0.22919999999999999</v>
      </c>
      <c r="K1130" s="7">
        <v>0.68200000000000005</v>
      </c>
      <c r="L1130" s="7">
        <v>1.0266999999999999</v>
      </c>
      <c r="M1130" s="8">
        <v>64.759699999999995</v>
      </c>
      <c r="N1130" s="8">
        <v>66.920900000000003</v>
      </c>
      <c r="O1130" s="7">
        <v>69.264200000000002</v>
      </c>
      <c r="P1130" s="7">
        <v>4545.4303</v>
      </c>
      <c r="Q1130" s="7">
        <v>4185.9197999999997</v>
      </c>
      <c r="R1130" s="7" t="str">
        <f t="shared" si="253"/>
        <v>Up</v>
      </c>
      <c r="S1130" s="7" t="str">
        <f t="shared" si="254"/>
        <v>Hold</v>
      </c>
      <c r="T1130" s="8">
        <f t="shared" si="255"/>
        <v>0.41385609756097541</v>
      </c>
      <c r="U1130" s="18">
        <f t="shared" si="256"/>
        <v>318979</v>
      </c>
      <c r="V1130" s="7">
        <f t="shared" si="257"/>
        <v>5586.2002000000002</v>
      </c>
      <c r="W1130" s="7">
        <f t="shared" si="258"/>
        <v>4400</v>
      </c>
      <c r="X1130" s="7">
        <f t="shared" si="259"/>
        <v>4460.2002000000002</v>
      </c>
      <c r="Y1130" s="7">
        <f t="shared" si="260"/>
        <v>20</v>
      </c>
      <c r="Z1130" s="7">
        <f t="shared" si="261"/>
        <v>188103</v>
      </c>
      <c r="AA1130" s="7" t="str">
        <f t="shared" si="262"/>
        <v>08-Jan-2026</v>
      </c>
      <c r="AB1130" s="7">
        <f t="shared" si="263"/>
        <v>4460.2002000000002</v>
      </c>
      <c r="AC1130" s="7">
        <f t="shared" si="266"/>
        <v>1</v>
      </c>
      <c r="AD1130" s="7">
        <f t="shared" si="264"/>
        <v>2026</v>
      </c>
      <c r="AE1130" s="19">
        <f t="shared" si="265"/>
        <v>0.23</v>
      </c>
    </row>
    <row r="1131" spans="1:31" x14ac:dyDescent="0.3">
      <c r="A1131" s="17">
        <v>46031</v>
      </c>
      <c r="B1131" s="8">
        <v>4490.2997999999998</v>
      </c>
      <c r="C1131" s="7">
        <v>4490.2997999999998</v>
      </c>
      <c r="D1131" s="7">
        <v>4473</v>
      </c>
      <c r="E1131" s="7">
        <v>4473</v>
      </c>
      <c r="F1131" s="18">
        <v>237</v>
      </c>
      <c r="G1131" s="7">
        <v>4414.8144000000002</v>
      </c>
      <c r="H1131" s="7">
        <v>4318.4834000000001</v>
      </c>
      <c r="I1131" s="7">
        <v>4057.8456000000001</v>
      </c>
      <c r="J1131" s="8">
        <v>0.28699999999999998</v>
      </c>
      <c r="K1131" s="7">
        <v>0.56850000000000001</v>
      </c>
      <c r="L1131" s="7">
        <v>0.98009999999999997</v>
      </c>
      <c r="M1131" s="8">
        <v>64.081699999999998</v>
      </c>
      <c r="N1131" s="8">
        <v>67.8155</v>
      </c>
      <c r="O1131" s="7">
        <v>68.974500000000006</v>
      </c>
      <c r="P1131" s="7">
        <v>4548.6851999999999</v>
      </c>
      <c r="Q1131" s="7">
        <v>4209.0649000000003</v>
      </c>
      <c r="R1131" s="7" t="str">
        <f t="shared" si="253"/>
        <v>Down</v>
      </c>
      <c r="S1131" s="7" t="str">
        <f t="shared" si="254"/>
        <v>Hold</v>
      </c>
      <c r="T1131" s="8">
        <f t="shared" si="255"/>
        <v>0.41847249999999986</v>
      </c>
      <c r="U1131" s="18">
        <f t="shared" si="256"/>
        <v>316556</v>
      </c>
      <c r="V1131" s="7">
        <f t="shared" si="257"/>
        <v>5586.2002000000002</v>
      </c>
      <c r="W1131" s="7">
        <f t="shared" si="258"/>
        <v>4400</v>
      </c>
      <c r="X1131" s="7">
        <f t="shared" si="259"/>
        <v>4473</v>
      </c>
      <c r="Y1131" s="7">
        <f t="shared" si="260"/>
        <v>19</v>
      </c>
      <c r="Z1131" s="7">
        <f t="shared" si="261"/>
        <v>185680</v>
      </c>
      <c r="AA1131" s="7" t="str">
        <f t="shared" si="262"/>
        <v>09-Jan-2026</v>
      </c>
      <c r="AB1131" s="7">
        <f t="shared" si="263"/>
        <v>4473</v>
      </c>
      <c r="AC1131" s="7">
        <f t="shared" si="266"/>
        <v>1</v>
      </c>
      <c r="AD1131" s="7">
        <f t="shared" si="264"/>
        <v>2026</v>
      </c>
      <c r="AE1131" s="19">
        <f t="shared" si="265"/>
        <v>0.28999999999999998</v>
      </c>
    </row>
    <row r="1132" spans="1:31" x14ac:dyDescent="0.3">
      <c r="A1132" s="17">
        <v>46034</v>
      </c>
      <c r="B1132" s="8">
        <v>4604.2997999999998</v>
      </c>
      <c r="C1132" s="7">
        <v>4620</v>
      </c>
      <c r="D1132" s="7">
        <v>4577.7997999999998</v>
      </c>
      <c r="E1132" s="7">
        <v>4579.1000999999997</v>
      </c>
      <c r="F1132" s="18">
        <v>156</v>
      </c>
      <c r="G1132" s="7">
        <v>4449.9000999999998</v>
      </c>
      <c r="H1132" s="7">
        <v>4333.5</v>
      </c>
      <c r="I1132" s="7">
        <v>4069.2267000000002</v>
      </c>
      <c r="J1132" s="8">
        <v>2.3719999999999999</v>
      </c>
      <c r="K1132" s="7">
        <v>0.84250000000000003</v>
      </c>
      <c r="L1132" s="7">
        <v>1.0471999999999999</v>
      </c>
      <c r="M1132" s="8">
        <v>69.367400000000004</v>
      </c>
      <c r="N1132" s="8">
        <v>76.207400000000007</v>
      </c>
      <c r="O1132" s="7">
        <v>70.421000000000006</v>
      </c>
      <c r="P1132" s="7">
        <v>4572.4094999999998</v>
      </c>
      <c r="Q1132" s="7">
        <v>4220.8504999999996</v>
      </c>
      <c r="R1132" s="7" t="str">
        <f t="shared" si="253"/>
        <v>Down</v>
      </c>
      <c r="S1132" s="7" t="str">
        <f t="shared" si="254"/>
        <v>Hold</v>
      </c>
      <c r="T1132" s="8">
        <f t="shared" si="255"/>
        <v>0.4218435897435896</v>
      </c>
      <c r="U1132" s="18">
        <f t="shared" si="256"/>
        <v>316319</v>
      </c>
      <c r="V1132" s="7">
        <f t="shared" si="257"/>
        <v>5586.2002000000002</v>
      </c>
      <c r="W1132" s="7">
        <f t="shared" si="258"/>
        <v>4400</v>
      </c>
      <c r="X1132" s="7">
        <f t="shared" si="259"/>
        <v>4579.1000999999997</v>
      </c>
      <c r="Y1132" s="7">
        <f t="shared" si="260"/>
        <v>19</v>
      </c>
      <c r="Z1132" s="7">
        <f t="shared" si="261"/>
        <v>185680</v>
      </c>
      <c r="AA1132" s="7" t="str">
        <f t="shared" si="262"/>
        <v>12-Jan-2026</v>
      </c>
      <c r="AB1132" s="7">
        <f t="shared" si="263"/>
        <v>4579.1000999999997</v>
      </c>
      <c r="AC1132" s="7">
        <f t="shared" si="266"/>
        <v>1</v>
      </c>
      <c r="AD1132" s="7">
        <f t="shared" si="264"/>
        <v>2026</v>
      </c>
      <c r="AE1132" s="19">
        <f t="shared" si="265"/>
        <v>2.37</v>
      </c>
    </row>
    <row r="1133" spans="1:31" x14ac:dyDescent="0.3">
      <c r="A1133" s="17">
        <v>46035</v>
      </c>
      <c r="B1133" s="8">
        <v>4589.2002000000002</v>
      </c>
      <c r="C1133" s="7">
        <v>4617.1000999999997</v>
      </c>
      <c r="D1133" s="7">
        <v>4578.6000999999997</v>
      </c>
      <c r="E1133" s="7">
        <v>4578.6000999999997</v>
      </c>
      <c r="F1133" s="18">
        <v>239</v>
      </c>
      <c r="G1133" s="7">
        <v>4482.4714999999997</v>
      </c>
      <c r="H1133" s="7">
        <v>4347.34</v>
      </c>
      <c r="I1133" s="7">
        <v>4080.6567</v>
      </c>
      <c r="J1133" s="8">
        <v>-1.09E-2</v>
      </c>
      <c r="K1133" s="7">
        <v>0.88729999999999998</v>
      </c>
      <c r="L1133" s="7">
        <v>1.0449999999999999</v>
      </c>
      <c r="M1133" s="8">
        <v>68.179500000000004</v>
      </c>
      <c r="N1133" s="8">
        <v>81.873900000000006</v>
      </c>
      <c r="O1133" s="7">
        <v>72.711600000000004</v>
      </c>
      <c r="P1133" s="7">
        <v>4595.7646999999997</v>
      </c>
      <c r="Q1133" s="7">
        <v>4227.7154</v>
      </c>
      <c r="R1133" s="7" t="str">
        <f t="shared" si="253"/>
        <v>Down</v>
      </c>
      <c r="S1133" s="7" t="str">
        <f t="shared" si="254"/>
        <v>Hold</v>
      </c>
      <c r="T1133" s="8">
        <f t="shared" si="255"/>
        <v>0.37052368421052617</v>
      </c>
      <c r="U1133" s="18">
        <f t="shared" si="256"/>
        <v>316163</v>
      </c>
      <c r="V1133" s="7">
        <f t="shared" si="257"/>
        <v>5586.2002000000002</v>
      </c>
      <c r="W1133" s="7">
        <f t="shared" si="258"/>
        <v>4400</v>
      </c>
      <c r="X1133" s="7">
        <f t="shared" si="259"/>
        <v>4578.6000999999997</v>
      </c>
      <c r="Y1133" s="7">
        <f t="shared" si="260"/>
        <v>19</v>
      </c>
      <c r="Z1133" s="7">
        <f t="shared" si="261"/>
        <v>185680</v>
      </c>
      <c r="AA1133" s="7" t="str">
        <f t="shared" si="262"/>
        <v>13-Jan-2026</v>
      </c>
      <c r="AB1133" s="7">
        <f t="shared" si="263"/>
        <v>4578.6000999999997</v>
      </c>
      <c r="AC1133" s="7">
        <f t="shared" si="266"/>
        <v>1</v>
      </c>
      <c r="AD1133" s="7">
        <f t="shared" si="264"/>
        <v>2026</v>
      </c>
      <c r="AE1133" s="19">
        <f t="shared" si="265"/>
        <v>-0.01</v>
      </c>
    </row>
    <row r="1134" spans="1:31" x14ac:dyDescent="0.3">
      <c r="A1134" s="17">
        <v>46036</v>
      </c>
      <c r="B1134" s="8">
        <v>4626.2997999999998</v>
      </c>
      <c r="C1134" s="7">
        <v>4635</v>
      </c>
      <c r="D1134" s="7">
        <v>4608.2002000000002</v>
      </c>
      <c r="E1134" s="7">
        <v>4610.2997999999998</v>
      </c>
      <c r="F1134" s="18">
        <v>1313</v>
      </c>
      <c r="G1134" s="7">
        <v>4514.4143000000004</v>
      </c>
      <c r="H1134" s="7">
        <v>4360.3999999999996</v>
      </c>
      <c r="I1134" s="7">
        <v>4092.24</v>
      </c>
      <c r="J1134" s="8">
        <v>0.69230000000000003</v>
      </c>
      <c r="K1134" s="7">
        <v>0.88639999999999997</v>
      </c>
      <c r="L1134" s="7">
        <v>1.0304</v>
      </c>
      <c r="M1134" s="8">
        <v>61.3782</v>
      </c>
      <c r="N1134" s="8">
        <v>87.909199999999998</v>
      </c>
      <c r="O1134" s="7">
        <v>75.751099999999994</v>
      </c>
      <c r="P1134" s="7">
        <v>4624.2043000000003</v>
      </c>
      <c r="Q1134" s="7">
        <v>4229.4758000000002</v>
      </c>
      <c r="R1134" s="7" t="str">
        <f t="shared" si="253"/>
        <v>Down</v>
      </c>
      <c r="S1134" s="7" t="str">
        <f t="shared" si="254"/>
        <v>Hold</v>
      </c>
      <c r="T1134" s="8">
        <f t="shared" si="255"/>
        <v>0.38083243243243226</v>
      </c>
      <c r="U1134" s="18">
        <f t="shared" si="256"/>
        <v>315924</v>
      </c>
      <c r="V1134" s="7">
        <f t="shared" si="257"/>
        <v>5586.2002000000002</v>
      </c>
      <c r="W1134" s="7">
        <f t="shared" si="258"/>
        <v>4400</v>
      </c>
      <c r="X1134" s="7">
        <f t="shared" si="259"/>
        <v>4610.2997999999998</v>
      </c>
      <c r="Y1134" s="7">
        <f t="shared" si="260"/>
        <v>19</v>
      </c>
      <c r="Z1134" s="7">
        <f t="shared" si="261"/>
        <v>185680</v>
      </c>
      <c r="AA1134" s="7" t="str">
        <f t="shared" si="262"/>
        <v>14-Jan-2026</v>
      </c>
      <c r="AB1134" s="7">
        <f t="shared" si="263"/>
        <v>4610.2997999999998</v>
      </c>
      <c r="AC1134" s="7">
        <f t="shared" si="266"/>
        <v>1</v>
      </c>
      <c r="AD1134" s="7">
        <f t="shared" si="264"/>
        <v>2026</v>
      </c>
      <c r="AE1134" s="19">
        <f t="shared" si="265"/>
        <v>0.69</v>
      </c>
    </row>
    <row r="1135" spans="1:31" x14ac:dyDescent="0.3">
      <c r="A1135" s="17">
        <v>46037</v>
      </c>
      <c r="B1135" s="8">
        <v>4616.2997999999998</v>
      </c>
      <c r="C1135" s="7">
        <v>4616.2997999999998</v>
      </c>
      <c r="D1135" s="7">
        <v>4612.8999000000003</v>
      </c>
      <c r="E1135" s="7">
        <v>4612.8999000000003</v>
      </c>
      <c r="F1135" s="18">
        <v>4358</v>
      </c>
      <c r="G1135" s="7">
        <v>4537.7286000000004</v>
      </c>
      <c r="H1135" s="7">
        <v>4373.1467000000002</v>
      </c>
      <c r="I1135" s="7">
        <v>4103.5555999999997</v>
      </c>
      <c r="J1135" s="8">
        <v>5.6399999999999999E-2</v>
      </c>
      <c r="K1135" s="7">
        <v>0.85229999999999995</v>
      </c>
      <c r="L1135" s="7">
        <v>1.0313000000000001</v>
      </c>
      <c r="M1135" s="8">
        <v>61.931100000000001</v>
      </c>
      <c r="N1135" s="8">
        <v>91.843299999999999</v>
      </c>
      <c r="O1135" s="7">
        <v>78.9696</v>
      </c>
      <c r="P1135" s="7">
        <v>4643.6120000000001</v>
      </c>
      <c r="Q1135" s="7">
        <v>4244.3081000000002</v>
      </c>
      <c r="R1135" s="7" t="str">
        <f t="shared" si="253"/>
        <v>Down</v>
      </c>
      <c r="S1135" s="7" t="str">
        <f t="shared" si="254"/>
        <v>Hold</v>
      </c>
      <c r="T1135" s="8">
        <f t="shared" si="255"/>
        <v>0.37218055555555546</v>
      </c>
      <c r="U1135" s="18">
        <f t="shared" si="256"/>
        <v>314611</v>
      </c>
      <c r="V1135" s="7">
        <f t="shared" si="257"/>
        <v>5586.2002000000002</v>
      </c>
      <c r="W1135" s="7">
        <f t="shared" si="258"/>
        <v>4400</v>
      </c>
      <c r="X1135" s="7">
        <f t="shared" si="259"/>
        <v>4612.8999000000003</v>
      </c>
      <c r="Y1135" s="7">
        <f t="shared" si="260"/>
        <v>19</v>
      </c>
      <c r="Z1135" s="7">
        <f t="shared" si="261"/>
        <v>185680</v>
      </c>
      <c r="AA1135" s="7" t="str">
        <f t="shared" si="262"/>
        <v>15-Jan-2026</v>
      </c>
      <c r="AB1135" s="7">
        <f t="shared" si="263"/>
        <v>4612.8999000000003</v>
      </c>
      <c r="AC1135" s="7">
        <f t="shared" si="266"/>
        <v>1</v>
      </c>
      <c r="AD1135" s="7">
        <f t="shared" si="264"/>
        <v>2026</v>
      </c>
      <c r="AE1135" s="19">
        <f t="shared" si="265"/>
        <v>0.06</v>
      </c>
    </row>
    <row r="1136" spans="1:31" x14ac:dyDescent="0.3">
      <c r="A1136" s="17">
        <v>46038</v>
      </c>
      <c r="B1136" s="8">
        <v>4588.3999000000003</v>
      </c>
      <c r="C1136" s="7">
        <v>4608</v>
      </c>
      <c r="D1136" s="7">
        <v>4588.3999000000003</v>
      </c>
      <c r="E1136" s="7">
        <v>4608</v>
      </c>
      <c r="F1136" s="18">
        <v>352</v>
      </c>
      <c r="G1136" s="7">
        <v>4560.3</v>
      </c>
      <c r="H1136" s="7">
        <v>4386.2233999999999</v>
      </c>
      <c r="I1136" s="7">
        <v>4114.2322000000004</v>
      </c>
      <c r="J1136" s="8">
        <v>-0.1062</v>
      </c>
      <c r="K1136" s="7">
        <v>0.86460000000000004</v>
      </c>
      <c r="L1136" s="7">
        <v>1.0270999999999999</v>
      </c>
      <c r="M1136" s="8">
        <v>60.349299999999999</v>
      </c>
      <c r="N1136" s="8">
        <v>93.488</v>
      </c>
      <c r="O1136" s="7">
        <v>81.873199999999997</v>
      </c>
      <c r="P1136" s="7">
        <v>4660.7237999999998</v>
      </c>
      <c r="Q1136" s="7">
        <v>4257.1462000000001</v>
      </c>
      <c r="R1136" s="7" t="str">
        <f t="shared" si="253"/>
        <v>Up</v>
      </c>
      <c r="S1136" s="7" t="str">
        <f t="shared" si="254"/>
        <v>Hold</v>
      </c>
      <c r="T1136" s="8">
        <f t="shared" si="255"/>
        <v>0.38120285714285707</v>
      </c>
      <c r="U1136" s="18">
        <f t="shared" si="256"/>
        <v>310253</v>
      </c>
      <c r="V1136" s="7">
        <f t="shared" si="257"/>
        <v>5586.2002000000002</v>
      </c>
      <c r="W1136" s="7">
        <f t="shared" si="258"/>
        <v>4400</v>
      </c>
      <c r="X1136" s="7">
        <f t="shared" si="259"/>
        <v>4608</v>
      </c>
      <c r="Y1136" s="7">
        <f t="shared" si="260"/>
        <v>19</v>
      </c>
      <c r="Z1136" s="7">
        <f t="shared" si="261"/>
        <v>185680</v>
      </c>
      <c r="AA1136" s="7" t="str">
        <f t="shared" si="262"/>
        <v>16-Jan-2026</v>
      </c>
      <c r="AB1136" s="7">
        <f t="shared" si="263"/>
        <v>4608</v>
      </c>
      <c r="AC1136" s="7">
        <f t="shared" si="266"/>
        <v>1</v>
      </c>
      <c r="AD1136" s="7">
        <f t="shared" si="264"/>
        <v>2026</v>
      </c>
      <c r="AE1136" s="19">
        <f t="shared" si="265"/>
        <v>-0.11</v>
      </c>
    </row>
    <row r="1137" spans="1:31" x14ac:dyDescent="0.3">
      <c r="A1137" s="17">
        <v>46042</v>
      </c>
      <c r="B1137" s="8">
        <v>4759.6000999999997</v>
      </c>
      <c r="C1137" s="7">
        <v>4764</v>
      </c>
      <c r="D1137" s="7">
        <v>4661.7997999999998</v>
      </c>
      <c r="E1137" s="7">
        <v>4662.2002000000002</v>
      </c>
      <c r="F1137" s="18">
        <v>175</v>
      </c>
      <c r="G1137" s="7">
        <v>4589.1571999999996</v>
      </c>
      <c r="H1137" s="7">
        <v>4401.2633999999998</v>
      </c>
      <c r="I1137" s="7">
        <v>4125.7566999999999</v>
      </c>
      <c r="J1137" s="8">
        <v>1.1761999999999999</v>
      </c>
      <c r="K1137" s="7">
        <v>0.88839999999999997</v>
      </c>
      <c r="L1137" s="7">
        <v>1.036</v>
      </c>
      <c r="M1137" s="8">
        <v>88.503299999999996</v>
      </c>
      <c r="N1137" s="8">
        <v>98.034899999999993</v>
      </c>
      <c r="O1137" s="7">
        <v>85.105599999999995</v>
      </c>
      <c r="P1137" s="7">
        <v>4687.1941999999999</v>
      </c>
      <c r="Q1137" s="7">
        <v>4263.7959000000001</v>
      </c>
      <c r="R1137" s="7" t="str">
        <f t="shared" si="253"/>
        <v>Down</v>
      </c>
      <c r="S1137" s="7" t="str">
        <f t="shared" si="254"/>
        <v>Sell</v>
      </c>
      <c r="T1137" s="8">
        <f t="shared" si="255"/>
        <v>0.39553823529411747</v>
      </c>
      <c r="U1137" s="18">
        <f t="shared" si="256"/>
        <v>309901</v>
      </c>
      <c r="V1137" s="7">
        <f t="shared" si="257"/>
        <v>5586.2002000000002</v>
      </c>
      <c r="W1137" s="7">
        <f t="shared" si="258"/>
        <v>4400</v>
      </c>
      <c r="X1137" s="7">
        <f t="shared" si="259"/>
        <v>4662.2002000000002</v>
      </c>
      <c r="Y1137" s="7">
        <f t="shared" si="260"/>
        <v>18</v>
      </c>
      <c r="Z1137" s="7">
        <f t="shared" si="261"/>
        <v>185328</v>
      </c>
      <c r="AA1137" s="7" t="str">
        <f t="shared" si="262"/>
        <v>20-Jan-2026</v>
      </c>
      <c r="AB1137" s="7">
        <f t="shared" si="263"/>
        <v>4662.2002000000002</v>
      </c>
      <c r="AC1137" s="7">
        <f t="shared" si="266"/>
        <v>1</v>
      </c>
      <c r="AD1137" s="7">
        <f t="shared" si="264"/>
        <v>2026</v>
      </c>
      <c r="AE1137" s="19">
        <f t="shared" si="265"/>
        <v>1.18</v>
      </c>
    </row>
    <row r="1138" spans="1:31" x14ac:dyDescent="0.3">
      <c r="A1138" s="17">
        <v>46043</v>
      </c>
      <c r="B1138" s="8">
        <v>4831.7997999999998</v>
      </c>
      <c r="C1138" s="7">
        <v>4872.2997999999998</v>
      </c>
      <c r="D1138" s="7">
        <v>4771.5</v>
      </c>
      <c r="E1138" s="7">
        <v>4863.5</v>
      </c>
      <c r="F1138" s="18">
        <v>1706</v>
      </c>
      <c r="G1138" s="7">
        <v>4644.9429</v>
      </c>
      <c r="H1138" s="7">
        <v>4423.2434000000003</v>
      </c>
      <c r="I1138" s="7">
        <v>4139.43</v>
      </c>
      <c r="J1138" s="8">
        <v>4.3177000000000003</v>
      </c>
      <c r="K1138" s="7">
        <v>1.6243000000000001</v>
      </c>
      <c r="L1138" s="7">
        <v>1.2592000000000001</v>
      </c>
      <c r="M1138" s="8">
        <v>96.694999999999993</v>
      </c>
      <c r="N1138" s="8">
        <v>116.5382</v>
      </c>
      <c r="O1138" s="7">
        <v>91.392099999999999</v>
      </c>
      <c r="P1138" s="7">
        <v>4766.5439999999999</v>
      </c>
      <c r="Q1138" s="7">
        <v>4235.7860000000001</v>
      </c>
      <c r="R1138" s="7" t="str">
        <f t="shared" si="253"/>
        <v>Up</v>
      </c>
      <c r="S1138" s="7" t="str">
        <f t="shared" si="254"/>
        <v>Sell</v>
      </c>
      <c r="T1138" s="8">
        <f t="shared" si="255"/>
        <v>0.37188181818181815</v>
      </c>
      <c r="U1138" s="18">
        <f t="shared" si="256"/>
        <v>309726</v>
      </c>
      <c r="V1138" s="7">
        <f t="shared" si="257"/>
        <v>5586.2002000000002</v>
      </c>
      <c r="W1138" s="7">
        <f t="shared" si="258"/>
        <v>4400</v>
      </c>
      <c r="X1138" s="7">
        <f t="shared" si="259"/>
        <v>4863.5</v>
      </c>
      <c r="Y1138" s="7">
        <f t="shared" si="260"/>
        <v>18</v>
      </c>
      <c r="Z1138" s="7">
        <f t="shared" si="261"/>
        <v>185328</v>
      </c>
      <c r="AA1138" s="7" t="str">
        <f t="shared" si="262"/>
        <v>21-Jan-2026</v>
      </c>
      <c r="AB1138" s="7">
        <f t="shared" si="263"/>
        <v>4863.5</v>
      </c>
      <c r="AC1138" s="7">
        <f t="shared" si="266"/>
        <v>1</v>
      </c>
      <c r="AD1138" s="7">
        <f t="shared" si="264"/>
        <v>2026</v>
      </c>
      <c r="AE1138" s="19">
        <f t="shared" si="265"/>
        <v>4.32</v>
      </c>
    </row>
    <row r="1139" spans="1:31" x14ac:dyDescent="0.3">
      <c r="A1139" s="17">
        <v>46044</v>
      </c>
      <c r="B1139" s="8">
        <v>4908.7997999999998</v>
      </c>
      <c r="C1139" s="7">
        <v>4908.7997999999998</v>
      </c>
      <c r="D1139" s="7">
        <v>4791.8999000000003</v>
      </c>
      <c r="E1139" s="7">
        <v>4791.8999000000003</v>
      </c>
      <c r="F1139" s="18">
        <v>1175</v>
      </c>
      <c r="G1139" s="7">
        <v>4675.3428000000004</v>
      </c>
      <c r="H1139" s="7">
        <v>4442.79</v>
      </c>
      <c r="I1139" s="7">
        <v>4152.0567000000001</v>
      </c>
      <c r="J1139" s="8">
        <v>-1.4722</v>
      </c>
      <c r="K1139" s="7">
        <v>1.8070999999999999</v>
      </c>
      <c r="L1139" s="7">
        <v>1.3072999999999999</v>
      </c>
      <c r="M1139" s="8">
        <v>87.426500000000004</v>
      </c>
      <c r="N1139" s="8">
        <v>123.9953</v>
      </c>
      <c r="O1139" s="7">
        <v>97.912700000000001</v>
      </c>
      <c r="P1139" s="7">
        <v>4809.9475000000002</v>
      </c>
      <c r="Q1139" s="7">
        <v>4234.4624999999996</v>
      </c>
      <c r="R1139" s="7" t="str">
        <f t="shared" si="253"/>
        <v>Down</v>
      </c>
      <c r="S1139" s="7" t="str">
        <f t="shared" si="254"/>
        <v>Sell</v>
      </c>
      <c r="T1139" s="8">
        <f t="shared" si="255"/>
        <v>0.24857500000000005</v>
      </c>
      <c r="U1139" s="18">
        <f t="shared" si="256"/>
        <v>308020</v>
      </c>
      <c r="V1139" s="7">
        <f t="shared" si="257"/>
        <v>5586.2002000000002</v>
      </c>
      <c r="W1139" s="7">
        <f t="shared" si="258"/>
        <v>4400</v>
      </c>
      <c r="X1139" s="7">
        <f t="shared" si="259"/>
        <v>4791.8999000000003</v>
      </c>
      <c r="Y1139" s="7">
        <f t="shared" si="260"/>
        <v>17</v>
      </c>
      <c r="Z1139" s="7">
        <f t="shared" si="261"/>
        <v>183622</v>
      </c>
      <c r="AA1139" s="7" t="str">
        <f t="shared" si="262"/>
        <v>22-Jan-2026</v>
      </c>
      <c r="AB1139" s="7">
        <f t="shared" si="263"/>
        <v>4791.8999000000003</v>
      </c>
      <c r="AC1139" s="7">
        <f t="shared" si="266"/>
        <v>1</v>
      </c>
      <c r="AD1139" s="7">
        <f t="shared" si="264"/>
        <v>2026</v>
      </c>
      <c r="AE1139" s="19">
        <f t="shared" si="265"/>
        <v>-1.47</v>
      </c>
    </row>
    <row r="1140" spans="1:31" x14ac:dyDescent="0.3">
      <c r="A1140" s="17">
        <v>46045</v>
      </c>
      <c r="B1140" s="8">
        <v>4976.2002000000002</v>
      </c>
      <c r="C1140" s="7">
        <v>4976.2002000000002</v>
      </c>
      <c r="D1140" s="7">
        <v>4936</v>
      </c>
      <c r="E1140" s="7">
        <v>4949.6000999999997</v>
      </c>
      <c r="F1140" s="18">
        <v>169</v>
      </c>
      <c r="G1140" s="7">
        <v>4728.3428000000004</v>
      </c>
      <c r="H1140" s="7">
        <v>4468.0866999999998</v>
      </c>
      <c r="I1140" s="7">
        <v>4166.6077999999998</v>
      </c>
      <c r="J1140" s="8">
        <v>3.2909999999999999</v>
      </c>
      <c r="K1140" s="7">
        <v>2.0198</v>
      </c>
      <c r="L1140" s="7">
        <v>1.3969</v>
      </c>
      <c r="M1140" s="8">
        <v>89.774199999999993</v>
      </c>
      <c r="N1140" s="8">
        <v>141.00479999999999</v>
      </c>
      <c r="O1140" s="7">
        <v>106.5312</v>
      </c>
      <c r="P1140" s="7">
        <v>4889.5996999999998</v>
      </c>
      <c r="Q1140" s="7">
        <v>4199.4404000000004</v>
      </c>
      <c r="R1140" s="7" t="str">
        <f t="shared" si="253"/>
        <v>Down</v>
      </c>
      <c r="S1140" s="7" t="str">
        <f t="shared" si="254"/>
        <v>Sell</v>
      </c>
      <c r="T1140" s="8">
        <f t="shared" si="255"/>
        <v>0.30408387096774186</v>
      </c>
      <c r="U1140" s="18">
        <f t="shared" si="256"/>
        <v>306845</v>
      </c>
      <c r="V1140" s="7">
        <f t="shared" si="257"/>
        <v>5586.2002000000002</v>
      </c>
      <c r="W1140" s="7">
        <f t="shared" si="258"/>
        <v>4400</v>
      </c>
      <c r="X1140" s="7">
        <f t="shared" si="259"/>
        <v>4949.6000999999997</v>
      </c>
      <c r="Y1140" s="7">
        <f t="shared" si="260"/>
        <v>17</v>
      </c>
      <c r="Z1140" s="7">
        <f t="shared" si="261"/>
        <v>183622</v>
      </c>
      <c r="AA1140" s="7" t="str">
        <f t="shared" si="262"/>
        <v>23-Jan-2026</v>
      </c>
      <c r="AB1140" s="7">
        <f t="shared" si="263"/>
        <v>4949.6000999999997</v>
      </c>
      <c r="AC1140" s="7">
        <f t="shared" si="266"/>
        <v>1</v>
      </c>
      <c r="AD1140" s="7">
        <f t="shared" si="264"/>
        <v>2026</v>
      </c>
      <c r="AE1140" s="19">
        <f t="shared" si="265"/>
        <v>3.29</v>
      </c>
    </row>
    <row r="1141" spans="1:31" x14ac:dyDescent="0.3">
      <c r="A1141" s="17">
        <v>46048</v>
      </c>
      <c r="B1141" s="8">
        <v>5079.7002000000002</v>
      </c>
      <c r="C1141" s="7">
        <v>5095.6000999999997</v>
      </c>
      <c r="D1141" s="7">
        <v>5052.2002000000002</v>
      </c>
      <c r="E1141" s="7">
        <v>5081.5</v>
      </c>
      <c r="F1141" s="18">
        <v>180</v>
      </c>
      <c r="G1141" s="7">
        <v>4795.6571999999996</v>
      </c>
      <c r="H1141" s="7">
        <v>4497.17</v>
      </c>
      <c r="I1141" s="7">
        <v>4182.1644999999999</v>
      </c>
      <c r="J1141" s="8">
        <v>2.6648999999999998</v>
      </c>
      <c r="K1141" s="7">
        <v>2.0840999999999998</v>
      </c>
      <c r="L1141" s="7">
        <v>1.4480999999999999</v>
      </c>
      <c r="M1141" s="8">
        <v>90.928399999999996</v>
      </c>
      <c r="N1141" s="8">
        <v>163.24629999999999</v>
      </c>
      <c r="O1141" s="7">
        <v>117.8742</v>
      </c>
      <c r="P1141" s="7">
        <v>4992.8804</v>
      </c>
      <c r="Q1141" s="7">
        <v>4154.2395999999999</v>
      </c>
      <c r="R1141" s="7" t="str">
        <f t="shared" si="253"/>
        <v>Up</v>
      </c>
      <c r="S1141" s="7" t="str">
        <f t="shared" si="254"/>
        <v>Sell</v>
      </c>
      <c r="T1141" s="8">
        <f t="shared" si="255"/>
        <v>0.20452000000000001</v>
      </c>
      <c r="U1141" s="18">
        <f t="shared" si="256"/>
        <v>306676</v>
      </c>
      <c r="V1141" s="7">
        <f t="shared" si="257"/>
        <v>5586.2002000000002</v>
      </c>
      <c r="W1141" s="7">
        <f t="shared" si="258"/>
        <v>4400</v>
      </c>
      <c r="X1141" s="7">
        <f t="shared" si="259"/>
        <v>5081.5</v>
      </c>
      <c r="Y1141" s="7">
        <f t="shared" si="260"/>
        <v>17</v>
      </c>
      <c r="Z1141" s="7">
        <f t="shared" si="261"/>
        <v>183622</v>
      </c>
      <c r="AA1141" s="7" t="str">
        <f t="shared" si="262"/>
        <v>26-Jan-2026</v>
      </c>
      <c r="AB1141" s="7">
        <f t="shared" si="263"/>
        <v>5081.5</v>
      </c>
      <c r="AC1141" s="7">
        <f t="shared" si="266"/>
        <v>1</v>
      </c>
      <c r="AD1141" s="7">
        <f t="shared" si="264"/>
        <v>2026</v>
      </c>
      <c r="AE1141" s="19">
        <f t="shared" si="265"/>
        <v>2.66</v>
      </c>
    </row>
    <row r="1142" spans="1:31" x14ac:dyDescent="0.3">
      <c r="A1142" s="17">
        <v>46049</v>
      </c>
      <c r="B1142" s="8">
        <v>5079.8999000000003</v>
      </c>
      <c r="C1142" s="7">
        <v>5079.8999000000003</v>
      </c>
      <c r="D1142" s="7">
        <v>5079.8999000000003</v>
      </c>
      <c r="E1142" s="7">
        <v>5079.8999000000003</v>
      </c>
      <c r="F1142" s="18">
        <v>34</v>
      </c>
      <c r="G1142" s="7">
        <v>4862.3714</v>
      </c>
      <c r="H1142" s="7">
        <v>4525.7</v>
      </c>
      <c r="I1142" s="7">
        <v>4197.8410999999996</v>
      </c>
      <c r="J1142" s="8">
        <v>-3.15E-2</v>
      </c>
      <c r="K1142" s="7">
        <v>2.0939000000000001</v>
      </c>
      <c r="L1142" s="7">
        <v>1.4523999999999999</v>
      </c>
      <c r="M1142" s="8">
        <v>90.017799999999994</v>
      </c>
      <c r="N1142" s="8">
        <v>178.6841</v>
      </c>
      <c r="O1142" s="7">
        <v>130.03620000000001</v>
      </c>
      <c r="P1142" s="7">
        <v>5076.9409999999998</v>
      </c>
      <c r="Q1142" s="7">
        <v>4126.9690000000001</v>
      </c>
      <c r="R1142" s="7" t="str">
        <f t="shared" si="253"/>
        <v>Down</v>
      </c>
      <c r="S1142" s="7" t="str">
        <f t="shared" si="254"/>
        <v>Sell</v>
      </c>
      <c r="T1142" s="8">
        <f t="shared" si="255"/>
        <v>0.11967931034482754</v>
      </c>
      <c r="U1142" s="18">
        <f t="shared" si="256"/>
        <v>306496</v>
      </c>
      <c r="V1142" s="7">
        <f t="shared" si="257"/>
        <v>5586.2002000000002</v>
      </c>
      <c r="W1142" s="7">
        <f t="shared" si="258"/>
        <v>4400</v>
      </c>
      <c r="X1142" s="7">
        <f t="shared" si="259"/>
        <v>5079.8999000000003</v>
      </c>
      <c r="Y1142" s="7">
        <f t="shared" si="260"/>
        <v>16</v>
      </c>
      <c r="Z1142" s="7">
        <f t="shared" si="261"/>
        <v>183442</v>
      </c>
      <c r="AA1142" s="7" t="str">
        <f t="shared" si="262"/>
        <v>27-Jan-2026</v>
      </c>
      <c r="AB1142" s="7">
        <f t="shared" si="263"/>
        <v>5079.8999000000003</v>
      </c>
      <c r="AC1142" s="7">
        <f t="shared" si="266"/>
        <v>1</v>
      </c>
      <c r="AD1142" s="7">
        <f t="shared" si="264"/>
        <v>2026</v>
      </c>
      <c r="AE1142" s="19">
        <f t="shared" si="265"/>
        <v>-0.03</v>
      </c>
    </row>
    <row r="1143" spans="1:31" x14ac:dyDescent="0.3">
      <c r="A1143" s="17">
        <v>46050</v>
      </c>
      <c r="B1143" s="8">
        <v>5301.6000999999997</v>
      </c>
      <c r="C1143" s="7">
        <v>5301.6000999999997</v>
      </c>
      <c r="D1143" s="7">
        <v>5301.6000999999997</v>
      </c>
      <c r="E1143" s="7">
        <v>5301.6000999999997</v>
      </c>
      <c r="F1143" s="18">
        <v>112054</v>
      </c>
      <c r="G1143" s="7">
        <v>4961.4571999999998</v>
      </c>
      <c r="H1143" s="7">
        <v>4559.8734000000004</v>
      </c>
      <c r="I1143" s="7">
        <v>4216.1410999999998</v>
      </c>
      <c r="J1143" s="8">
        <v>4.3643000000000001</v>
      </c>
      <c r="K1143" s="7">
        <v>2.2330000000000001</v>
      </c>
      <c r="L1143" s="7">
        <v>1.6022000000000001</v>
      </c>
      <c r="M1143" s="8">
        <v>92.208600000000004</v>
      </c>
      <c r="N1143" s="8">
        <v>206.42830000000001</v>
      </c>
      <c r="O1143" s="7">
        <v>145.31460000000001</v>
      </c>
      <c r="P1143" s="7">
        <v>5203.7779</v>
      </c>
      <c r="Q1143" s="7">
        <v>4093.1421999999998</v>
      </c>
      <c r="R1143" s="7" t="str">
        <f t="shared" si="253"/>
        <v>Down</v>
      </c>
      <c r="S1143" s="7" t="str">
        <f t="shared" si="254"/>
        <v>Sell</v>
      </c>
      <c r="T1143" s="8">
        <f t="shared" si="255"/>
        <v>0.12507857142857143</v>
      </c>
      <c r="U1143" s="18">
        <f t="shared" si="256"/>
        <v>306462</v>
      </c>
      <c r="V1143" s="7">
        <f t="shared" si="257"/>
        <v>5586.2002000000002</v>
      </c>
      <c r="W1143" s="7">
        <f t="shared" si="258"/>
        <v>4400</v>
      </c>
      <c r="X1143" s="7">
        <f t="shared" si="259"/>
        <v>5301.6000999999997</v>
      </c>
      <c r="Y1143" s="7">
        <f t="shared" si="260"/>
        <v>16</v>
      </c>
      <c r="Z1143" s="7">
        <f t="shared" si="261"/>
        <v>183442</v>
      </c>
      <c r="AA1143" s="7" t="str">
        <f t="shared" si="262"/>
        <v>28-Jan-2026</v>
      </c>
      <c r="AB1143" s="7">
        <f t="shared" si="263"/>
        <v>5301.6000999999997</v>
      </c>
      <c r="AC1143" s="7">
        <f t="shared" si="266"/>
        <v>1</v>
      </c>
      <c r="AD1143" s="7">
        <f t="shared" si="264"/>
        <v>2026</v>
      </c>
      <c r="AE1143" s="19">
        <f t="shared" si="265"/>
        <v>4.3600000000000003</v>
      </c>
    </row>
    <row r="1144" spans="1:31" x14ac:dyDescent="0.3">
      <c r="A1144" s="17">
        <v>46051</v>
      </c>
      <c r="B1144" s="8">
        <v>5318.3999000000003</v>
      </c>
      <c r="C1144" s="7">
        <v>5586.2002000000002</v>
      </c>
      <c r="D1144" s="7">
        <v>5097.5</v>
      </c>
      <c r="E1144" s="7">
        <v>5415.7002000000002</v>
      </c>
      <c r="F1144" s="18">
        <v>23709</v>
      </c>
      <c r="G1144" s="7">
        <v>5069.1000000000004</v>
      </c>
      <c r="H1144" s="7">
        <v>4596.7866999999997</v>
      </c>
      <c r="I1144" s="7">
        <v>4235.66</v>
      </c>
      <c r="J1144" s="8">
        <v>2.1522000000000001</v>
      </c>
      <c r="K1144" s="7">
        <v>2.2000000000000002</v>
      </c>
      <c r="L1144" s="7">
        <v>1.6231</v>
      </c>
      <c r="M1144" s="8">
        <v>92.936099999999996</v>
      </c>
      <c r="N1144" s="8">
        <v>234.91489999999999</v>
      </c>
      <c r="O1144" s="7">
        <v>163.2347</v>
      </c>
      <c r="P1144" s="7">
        <v>5335.2191999999995</v>
      </c>
      <c r="Q1144" s="7">
        <v>4068.6309000000001</v>
      </c>
      <c r="R1144" s="7" t="str">
        <f t="shared" si="253"/>
        <v>Up</v>
      </c>
      <c r="S1144" s="7" t="str">
        <f t="shared" si="254"/>
        <v>Sell</v>
      </c>
      <c r="T1144" s="8">
        <f t="shared" si="255"/>
        <v>-3.192962962962969E-2</v>
      </c>
      <c r="U1144" s="18">
        <f t="shared" si="256"/>
        <v>194408</v>
      </c>
      <c r="V1144" s="7">
        <f t="shared" si="257"/>
        <v>5586.2002000000002</v>
      </c>
      <c r="W1144" s="7">
        <f t="shared" si="258"/>
        <v>4400</v>
      </c>
      <c r="X1144" s="7">
        <f t="shared" si="259"/>
        <v>5415.7002000000002</v>
      </c>
      <c r="Y1144" s="7">
        <f t="shared" si="260"/>
        <v>16</v>
      </c>
      <c r="Z1144" s="7">
        <f t="shared" si="261"/>
        <v>183442</v>
      </c>
      <c r="AA1144" s="7" t="str">
        <f t="shared" si="262"/>
        <v>29-Jan-2026</v>
      </c>
      <c r="AB1144" s="7">
        <f t="shared" si="263"/>
        <v>5415.7002000000002</v>
      </c>
      <c r="AC1144" s="7">
        <f t="shared" si="266"/>
        <v>1</v>
      </c>
      <c r="AD1144" s="7">
        <f t="shared" si="264"/>
        <v>2026</v>
      </c>
      <c r="AE1144" s="19">
        <f t="shared" si="265"/>
        <v>2.15</v>
      </c>
    </row>
    <row r="1145" spans="1:31" x14ac:dyDescent="0.3">
      <c r="A1145" s="17">
        <v>46052</v>
      </c>
      <c r="B1145" s="8">
        <v>4713.8999000000003</v>
      </c>
      <c r="C1145" s="7">
        <v>5440.5</v>
      </c>
      <c r="D1145" s="7">
        <v>4700</v>
      </c>
      <c r="E1145" s="7">
        <v>5376.3999000000003</v>
      </c>
      <c r="F1145" s="18">
        <v>8374</v>
      </c>
      <c r="G1145" s="7">
        <v>5142.3714</v>
      </c>
      <c r="H1145" s="7">
        <v>4633.6499999999996</v>
      </c>
      <c r="I1145" s="7">
        <v>4254.4178000000002</v>
      </c>
      <c r="J1145" s="8">
        <v>-0.72570000000000001</v>
      </c>
      <c r="K1145" s="7">
        <v>2.2105000000000001</v>
      </c>
      <c r="L1145" s="7">
        <v>1.6180000000000001</v>
      </c>
      <c r="M1145" s="8">
        <v>89.650599999999997</v>
      </c>
      <c r="N1145" s="8">
        <v>251.4212</v>
      </c>
      <c r="O1145" s="7">
        <v>180.87200000000001</v>
      </c>
      <c r="P1145" s="7">
        <v>5429.9459999999999</v>
      </c>
      <c r="Q1145" s="7">
        <v>4078.1941000000002</v>
      </c>
      <c r="R1145" s="7" t="str">
        <f t="shared" si="253"/>
        <v>Up</v>
      </c>
      <c r="S1145" s="7" t="str">
        <f t="shared" si="254"/>
        <v>Sell</v>
      </c>
      <c r="T1145" s="8">
        <f t="shared" si="255"/>
        <v>-0.11593461538461539</v>
      </c>
      <c r="U1145" s="18">
        <f t="shared" si="256"/>
        <v>170699</v>
      </c>
      <c r="V1145" s="7">
        <f t="shared" si="257"/>
        <v>5440.5</v>
      </c>
      <c r="W1145" s="7">
        <f t="shared" si="258"/>
        <v>4400</v>
      </c>
      <c r="X1145" s="7">
        <f t="shared" si="259"/>
        <v>5376.3999000000003</v>
      </c>
      <c r="Y1145" s="7">
        <f t="shared" si="260"/>
        <v>15</v>
      </c>
      <c r="Z1145" s="7">
        <f t="shared" si="261"/>
        <v>159733</v>
      </c>
      <c r="AA1145" s="7" t="str">
        <f t="shared" si="262"/>
        <v>30-Jan-2026</v>
      </c>
      <c r="AB1145" s="7">
        <f t="shared" si="263"/>
        <v>5376.3999000000003</v>
      </c>
      <c r="AC1145" s="7">
        <f t="shared" si="266"/>
        <v>1</v>
      </c>
      <c r="AD1145" s="7">
        <f t="shared" si="264"/>
        <v>2026</v>
      </c>
      <c r="AE1145" s="19">
        <f t="shared" si="265"/>
        <v>-0.73</v>
      </c>
    </row>
    <row r="1146" spans="1:31" x14ac:dyDescent="0.3">
      <c r="A1146" s="17">
        <v>46055</v>
      </c>
      <c r="B1146" s="8">
        <v>4622.5</v>
      </c>
      <c r="C1146" s="7">
        <v>4855.7997999999998</v>
      </c>
      <c r="D1146" s="7">
        <v>4400</v>
      </c>
      <c r="E1146" s="7">
        <v>4807.7002000000002</v>
      </c>
      <c r="F1146" s="18">
        <v>3588</v>
      </c>
      <c r="G1146" s="7">
        <v>5144.6286</v>
      </c>
      <c r="H1146" s="7">
        <v>4650.29</v>
      </c>
      <c r="I1146" s="7">
        <v>4266.2034000000003</v>
      </c>
      <c r="J1146" s="8">
        <v>-10.5777</v>
      </c>
      <c r="K1146" s="7">
        <v>5.0636000000000001</v>
      </c>
      <c r="L1146" s="7">
        <v>2.63</v>
      </c>
      <c r="M1146" s="8">
        <v>57.1357</v>
      </c>
      <c r="N1146" s="8">
        <v>216.12200000000001</v>
      </c>
      <c r="O1146" s="7">
        <v>187.922</v>
      </c>
      <c r="P1146" s="7">
        <v>5425.7263999999996</v>
      </c>
      <c r="Q1146" s="7">
        <v>4128.1237000000001</v>
      </c>
      <c r="R1146" s="7" t="str">
        <f t="shared" si="253"/>
        <v>Up</v>
      </c>
      <c r="S1146" s="7" t="str">
        <f t="shared" si="254"/>
        <v>Hold</v>
      </c>
      <c r="T1146" s="8">
        <f t="shared" si="255"/>
        <v>-9.1544000000000014E-2</v>
      </c>
      <c r="U1146" s="18">
        <f t="shared" si="256"/>
        <v>162325</v>
      </c>
      <c r="V1146" s="7">
        <f t="shared" si="257"/>
        <v>5405</v>
      </c>
      <c r="W1146" s="7">
        <f t="shared" si="258"/>
        <v>4400</v>
      </c>
      <c r="X1146" s="7">
        <f t="shared" si="259"/>
        <v>4807.7002000000002</v>
      </c>
      <c r="Y1146" s="7">
        <f t="shared" si="260"/>
        <v>14</v>
      </c>
      <c r="Z1146" s="7">
        <f t="shared" si="261"/>
        <v>151359</v>
      </c>
      <c r="AA1146" s="7" t="str">
        <f t="shared" si="262"/>
        <v>02-Feb-2026</v>
      </c>
      <c r="AB1146" s="7">
        <f t="shared" si="263"/>
        <v>4807.7002000000002</v>
      </c>
      <c r="AC1146" s="7">
        <f t="shared" si="266"/>
        <v>1</v>
      </c>
      <c r="AD1146" s="7">
        <f t="shared" si="264"/>
        <v>2026</v>
      </c>
      <c r="AE1146" s="19">
        <f t="shared" si="265"/>
        <v>-10.58</v>
      </c>
    </row>
    <row r="1147" spans="1:31" x14ac:dyDescent="0.3">
      <c r="A1147" s="17">
        <v>46056</v>
      </c>
      <c r="B1147" s="8">
        <v>4903.7002000000002</v>
      </c>
      <c r="C1147" s="7">
        <v>4984.6000999999997</v>
      </c>
      <c r="D1147" s="7">
        <v>4674.2997999999998</v>
      </c>
      <c r="E1147" s="7">
        <v>4680</v>
      </c>
      <c r="F1147" s="18">
        <v>1213</v>
      </c>
      <c r="G1147" s="7">
        <v>5106.1143000000002</v>
      </c>
      <c r="H1147" s="7">
        <v>4661.9233999999997</v>
      </c>
      <c r="I1147" s="7">
        <v>4276.3167000000003</v>
      </c>
      <c r="J1147" s="8">
        <v>-2.6562000000000001</v>
      </c>
      <c r="K1147" s="7">
        <v>4.9488000000000003</v>
      </c>
      <c r="L1147" s="7">
        <v>2.6882999999999999</v>
      </c>
      <c r="M1147" s="8">
        <v>52.932299999999998</v>
      </c>
      <c r="N1147" s="8">
        <v>175.816</v>
      </c>
      <c r="O1147" s="7">
        <v>185.5008</v>
      </c>
      <c r="P1147" s="7">
        <v>5416.0558000000001</v>
      </c>
      <c r="Q1147" s="7">
        <v>4167.1243000000004</v>
      </c>
      <c r="R1147" s="7" t="str">
        <f t="shared" si="253"/>
        <v>Down</v>
      </c>
      <c r="S1147" s="7" t="str">
        <f t="shared" si="254"/>
        <v>Hold</v>
      </c>
      <c r="T1147" s="8">
        <f t="shared" si="255"/>
        <v>0.34537916666666663</v>
      </c>
      <c r="U1147" s="18">
        <f t="shared" si="256"/>
        <v>158737</v>
      </c>
      <c r="V1147" s="7">
        <f t="shared" si="257"/>
        <v>5405</v>
      </c>
      <c r="W1147" s="7">
        <f t="shared" si="258"/>
        <v>4655</v>
      </c>
      <c r="X1147" s="7">
        <f t="shared" si="259"/>
        <v>4680</v>
      </c>
      <c r="Y1147" s="7">
        <f t="shared" si="260"/>
        <v>13</v>
      </c>
      <c r="Z1147" s="7">
        <f t="shared" si="261"/>
        <v>147771</v>
      </c>
      <c r="AA1147" s="7" t="str">
        <f t="shared" si="262"/>
        <v>03-Feb-2026</v>
      </c>
      <c r="AB1147" s="7">
        <f t="shared" si="263"/>
        <v>4680</v>
      </c>
      <c r="AC1147" s="7">
        <f t="shared" si="266"/>
        <v>1</v>
      </c>
      <c r="AD1147" s="7">
        <f t="shared" si="264"/>
        <v>2026</v>
      </c>
      <c r="AE1147" s="19">
        <f t="shared" si="265"/>
        <v>-2.66</v>
      </c>
    </row>
    <row r="1148" spans="1:31" x14ac:dyDescent="0.3">
      <c r="A1148" s="17">
        <v>46057</v>
      </c>
      <c r="B1148" s="8">
        <v>4920.3999000000003</v>
      </c>
      <c r="C1148" s="7">
        <v>5082.2002000000002</v>
      </c>
      <c r="D1148" s="7">
        <v>4897.8999000000003</v>
      </c>
      <c r="E1148" s="7">
        <v>4923.2997999999998</v>
      </c>
      <c r="F1148" s="18">
        <v>3886</v>
      </c>
      <c r="G1148" s="7">
        <v>5083.5142999999998</v>
      </c>
      <c r="H1148" s="7">
        <v>4681.03</v>
      </c>
      <c r="I1148" s="7">
        <v>4289.4333999999999</v>
      </c>
      <c r="J1148" s="8">
        <v>5.1986999999999997</v>
      </c>
      <c r="K1148" s="7">
        <v>5.3140999999999998</v>
      </c>
      <c r="L1148" s="7">
        <v>2.8336000000000001</v>
      </c>
      <c r="M1148" s="8">
        <v>58.064500000000002</v>
      </c>
      <c r="N1148" s="8">
        <v>161.6422</v>
      </c>
      <c r="O1148" s="7">
        <v>180.72909999999999</v>
      </c>
      <c r="P1148" s="7">
        <v>5420.7784000000001</v>
      </c>
      <c r="Q1148" s="7">
        <v>4209.7615999999998</v>
      </c>
      <c r="R1148" s="7" t="str">
        <f t="shared" si="253"/>
        <v>Up</v>
      </c>
      <c r="S1148" s="7" t="str">
        <f t="shared" si="254"/>
        <v>Hold</v>
      </c>
      <c r="T1148" s="8">
        <f t="shared" si="255"/>
        <v>0.47588260869565202</v>
      </c>
      <c r="U1148" s="18">
        <f t="shared" si="256"/>
        <v>157524</v>
      </c>
      <c r="V1148" s="7">
        <f t="shared" si="257"/>
        <v>5405</v>
      </c>
      <c r="W1148" s="7">
        <f t="shared" si="258"/>
        <v>4655</v>
      </c>
      <c r="X1148" s="7">
        <f t="shared" si="259"/>
        <v>4923.2997999999998</v>
      </c>
      <c r="Y1148" s="7">
        <f t="shared" si="260"/>
        <v>13</v>
      </c>
      <c r="Z1148" s="7">
        <f t="shared" si="261"/>
        <v>147771</v>
      </c>
      <c r="AA1148" s="7" t="str">
        <f t="shared" si="262"/>
        <v>04-Feb-2026</v>
      </c>
      <c r="AB1148" s="7">
        <f t="shared" si="263"/>
        <v>4923.2997999999998</v>
      </c>
      <c r="AC1148" s="7">
        <f t="shared" si="266"/>
        <v>1</v>
      </c>
      <c r="AD1148" s="7">
        <f t="shared" si="264"/>
        <v>2026</v>
      </c>
      <c r="AE1148" s="19">
        <f t="shared" si="265"/>
        <v>5.2</v>
      </c>
    </row>
    <row r="1149" spans="1:31" x14ac:dyDescent="0.3">
      <c r="A1149" s="17">
        <v>46058</v>
      </c>
      <c r="B1149" s="8">
        <v>4861.3999000000003</v>
      </c>
      <c r="C1149" s="7">
        <v>5012.2997999999998</v>
      </c>
      <c r="D1149" s="7">
        <v>4786</v>
      </c>
      <c r="E1149" s="7">
        <v>5008.7002000000002</v>
      </c>
      <c r="F1149" s="18">
        <v>793</v>
      </c>
      <c r="G1149" s="7">
        <v>5073.3428999999996</v>
      </c>
      <c r="H1149" s="7">
        <v>4702.2834000000003</v>
      </c>
      <c r="I1149" s="7">
        <v>4303.1378000000004</v>
      </c>
      <c r="J1149" s="8">
        <v>1.7345999999999999</v>
      </c>
      <c r="K1149" s="7">
        <v>5.3719000000000001</v>
      </c>
      <c r="L1149" s="7">
        <v>2.8433000000000002</v>
      </c>
      <c r="M1149" s="8">
        <v>59.7806</v>
      </c>
      <c r="N1149" s="8">
        <v>155.50790000000001</v>
      </c>
      <c r="O1149" s="7">
        <v>175.6848</v>
      </c>
      <c r="P1149" s="7">
        <v>5428.9889000000003</v>
      </c>
      <c r="Q1149" s="7">
        <v>4257.4211999999998</v>
      </c>
      <c r="R1149" s="7" t="str">
        <f t="shared" si="253"/>
        <v>Up</v>
      </c>
      <c r="S1149" s="7" t="str">
        <f t="shared" si="254"/>
        <v>Hold</v>
      </c>
      <c r="T1149" s="8">
        <f t="shared" si="255"/>
        <v>0.26120909090909089</v>
      </c>
      <c r="U1149" s="18">
        <f t="shared" si="256"/>
        <v>153638</v>
      </c>
      <c r="V1149" s="7">
        <f t="shared" si="257"/>
        <v>5405</v>
      </c>
      <c r="W1149" s="7">
        <f t="shared" si="258"/>
        <v>4655</v>
      </c>
      <c r="X1149" s="7">
        <f t="shared" si="259"/>
        <v>5008.7002000000002</v>
      </c>
      <c r="Y1149" s="7">
        <f t="shared" si="260"/>
        <v>12</v>
      </c>
      <c r="Z1149" s="7">
        <f t="shared" si="261"/>
        <v>143885</v>
      </c>
      <c r="AA1149" s="7" t="str">
        <f t="shared" si="262"/>
        <v>05-Feb-2026</v>
      </c>
      <c r="AB1149" s="7">
        <f t="shared" si="263"/>
        <v>5008.7002000000002</v>
      </c>
      <c r="AC1149" s="7">
        <f t="shared" si="266"/>
        <v>1</v>
      </c>
      <c r="AD1149" s="7">
        <f t="shared" si="264"/>
        <v>2026</v>
      </c>
      <c r="AE1149" s="19">
        <f t="shared" si="265"/>
        <v>1.73</v>
      </c>
    </row>
    <row r="1150" spans="1:31" x14ac:dyDescent="0.3">
      <c r="A1150" s="17">
        <v>46059</v>
      </c>
      <c r="B1150" s="8">
        <v>4951.2002000000002</v>
      </c>
      <c r="C1150" s="7">
        <v>4958.5</v>
      </c>
      <c r="D1150" s="7">
        <v>4655</v>
      </c>
      <c r="E1150" s="7">
        <v>4762</v>
      </c>
      <c r="F1150" s="18">
        <v>1386</v>
      </c>
      <c r="G1150" s="7">
        <v>4996.2572</v>
      </c>
      <c r="H1150" s="7">
        <v>4710.9066999999995</v>
      </c>
      <c r="I1150" s="7">
        <v>4314.3289000000004</v>
      </c>
      <c r="J1150" s="8">
        <v>-4.9253999999999998</v>
      </c>
      <c r="K1150" s="7">
        <v>5.2389000000000001</v>
      </c>
      <c r="L1150" s="7">
        <v>2.9672000000000001</v>
      </c>
      <c r="M1150" s="8">
        <v>53.399299999999997</v>
      </c>
      <c r="N1150" s="8">
        <v>129.24979999999999</v>
      </c>
      <c r="O1150" s="7">
        <v>166.39779999999999</v>
      </c>
      <c r="P1150" s="7">
        <v>5417.4814999999999</v>
      </c>
      <c r="Q1150" s="7">
        <v>4299.1085000000003</v>
      </c>
      <c r="R1150" s="7" t="str">
        <f t="shared" si="253"/>
        <v>Down</v>
      </c>
      <c r="S1150" s="7" t="str">
        <f t="shared" si="254"/>
        <v>Hold</v>
      </c>
      <c r="T1150" s="8">
        <f t="shared" si="255"/>
        <v>0.19104761904761908</v>
      </c>
      <c r="U1150" s="18">
        <f t="shared" si="256"/>
        <v>152845</v>
      </c>
      <c r="V1150" s="7">
        <f t="shared" si="257"/>
        <v>5405</v>
      </c>
      <c r="W1150" s="7">
        <f t="shared" si="258"/>
        <v>4655</v>
      </c>
      <c r="X1150" s="7">
        <f t="shared" si="259"/>
        <v>4762</v>
      </c>
      <c r="Y1150" s="7">
        <f t="shared" si="260"/>
        <v>11</v>
      </c>
      <c r="Z1150" s="7">
        <f t="shared" si="261"/>
        <v>143092</v>
      </c>
      <c r="AA1150" s="7" t="str">
        <f t="shared" si="262"/>
        <v>06-Feb-2026</v>
      </c>
      <c r="AB1150" s="7">
        <f t="shared" si="263"/>
        <v>4762</v>
      </c>
      <c r="AC1150" s="7">
        <f t="shared" si="266"/>
        <v>1</v>
      </c>
      <c r="AD1150" s="7">
        <f t="shared" si="264"/>
        <v>2026</v>
      </c>
      <c r="AE1150" s="19">
        <f t="shared" si="265"/>
        <v>-4.93</v>
      </c>
    </row>
    <row r="1151" spans="1:31" x14ac:dyDescent="0.3">
      <c r="A1151" s="17">
        <v>46062</v>
      </c>
      <c r="B1151" s="8">
        <v>5050.8999000000003</v>
      </c>
      <c r="C1151" s="7">
        <v>5065.7002000000002</v>
      </c>
      <c r="D1151" s="7">
        <v>4979.1000999999997</v>
      </c>
      <c r="E1151" s="7">
        <v>5017.3999000000003</v>
      </c>
      <c r="F1151" s="18">
        <v>170</v>
      </c>
      <c r="G1151" s="7">
        <v>4939.3571000000002</v>
      </c>
      <c r="H1151" s="7">
        <v>4728.13</v>
      </c>
      <c r="I1151" s="7">
        <v>4327.55</v>
      </c>
      <c r="J1151" s="8">
        <v>5.3632999999999997</v>
      </c>
      <c r="K1151" s="7">
        <v>5.7202999999999999</v>
      </c>
      <c r="L1151" s="7">
        <v>3.1107</v>
      </c>
      <c r="M1151" s="8">
        <v>57.200800000000001</v>
      </c>
      <c r="N1151" s="8">
        <v>127.57810000000001</v>
      </c>
      <c r="O1151" s="7">
        <v>158.63390000000001</v>
      </c>
      <c r="P1151" s="7">
        <v>5418.0992999999999</v>
      </c>
      <c r="Q1151" s="7">
        <v>4352.9306999999999</v>
      </c>
      <c r="R1151" s="7" t="str">
        <f t="shared" si="253"/>
        <v>Down</v>
      </c>
      <c r="S1151" s="7" t="str">
        <f t="shared" si="254"/>
        <v>Hold</v>
      </c>
      <c r="T1151" s="8">
        <f t="shared" si="255"/>
        <v>0.44686999999999999</v>
      </c>
      <c r="U1151" s="18">
        <f t="shared" si="256"/>
        <v>151459</v>
      </c>
      <c r="V1151" s="7">
        <f t="shared" si="257"/>
        <v>5405</v>
      </c>
      <c r="W1151" s="7">
        <f t="shared" si="258"/>
        <v>4847.7997999999998</v>
      </c>
      <c r="X1151" s="7">
        <f t="shared" si="259"/>
        <v>5017.3999000000003</v>
      </c>
      <c r="Y1151" s="7">
        <f t="shared" si="260"/>
        <v>11</v>
      </c>
      <c r="Z1151" s="7">
        <f t="shared" si="261"/>
        <v>143092</v>
      </c>
      <c r="AA1151" s="7" t="str">
        <f t="shared" si="262"/>
        <v>09-Feb-2026</v>
      </c>
      <c r="AB1151" s="7">
        <f t="shared" si="263"/>
        <v>5017.3999000000003</v>
      </c>
      <c r="AC1151" s="7">
        <f t="shared" si="266"/>
        <v>1</v>
      </c>
      <c r="AD1151" s="7">
        <f t="shared" si="264"/>
        <v>2026</v>
      </c>
      <c r="AE1151" s="19">
        <f t="shared" si="265"/>
        <v>5.36</v>
      </c>
    </row>
    <row r="1152" spans="1:31" x14ac:dyDescent="0.3">
      <c r="A1152" s="17">
        <v>46063</v>
      </c>
      <c r="B1152" s="8">
        <v>5003.7997999999998</v>
      </c>
      <c r="C1152" s="7">
        <v>5029</v>
      </c>
      <c r="D1152" s="7">
        <v>5002.7002000000002</v>
      </c>
      <c r="E1152" s="7">
        <v>5013.5</v>
      </c>
      <c r="F1152" s="18">
        <v>281</v>
      </c>
      <c r="G1152" s="7">
        <v>4887.5142999999998</v>
      </c>
      <c r="H1152" s="7">
        <v>4744.8467000000001</v>
      </c>
      <c r="I1152" s="7">
        <v>4340.3278</v>
      </c>
      <c r="J1152" s="8">
        <v>-7.7700000000000005E-2</v>
      </c>
      <c r="K1152" s="7">
        <v>5.7295999999999996</v>
      </c>
      <c r="L1152" s="7">
        <v>3.1118000000000001</v>
      </c>
      <c r="M1152" s="8">
        <v>53.305399999999999</v>
      </c>
      <c r="N1152" s="8">
        <v>124.5034</v>
      </c>
      <c r="O1152" s="7">
        <v>151.80779999999999</v>
      </c>
      <c r="P1152" s="7">
        <v>5422.3483999999999</v>
      </c>
      <c r="Q1152" s="7">
        <v>4392.1216000000004</v>
      </c>
      <c r="R1152" s="7" t="str">
        <f t="shared" si="253"/>
        <v>Up</v>
      </c>
      <c r="S1152" s="7" t="str">
        <f t="shared" si="254"/>
        <v>Hold</v>
      </c>
      <c r="T1152" s="8">
        <f t="shared" si="255"/>
        <v>0.18811052631578948</v>
      </c>
      <c r="U1152" s="18">
        <f t="shared" si="256"/>
        <v>151289</v>
      </c>
      <c r="V1152" s="7">
        <f t="shared" si="257"/>
        <v>5405</v>
      </c>
      <c r="W1152" s="7">
        <f t="shared" si="258"/>
        <v>4847.7997999999998</v>
      </c>
      <c r="X1152" s="7">
        <f t="shared" si="259"/>
        <v>5013.5</v>
      </c>
      <c r="Y1152" s="7">
        <f t="shared" si="260"/>
        <v>11</v>
      </c>
      <c r="Z1152" s="7">
        <f t="shared" si="261"/>
        <v>143092</v>
      </c>
      <c r="AA1152" s="7" t="str">
        <f t="shared" si="262"/>
        <v>10-Feb-2026</v>
      </c>
      <c r="AB1152" s="7">
        <f t="shared" si="263"/>
        <v>5013.5</v>
      </c>
      <c r="AC1152" s="7">
        <f t="shared" si="266"/>
        <v>1</v>
      </c>
      <c r="AD1152" s="7">
        <f t="shared" si="264"/>
        <v>2026</v>
      </c>
      <c r="AE1152" s="19">
        <f t="shared" si="265"/>
        <v>-0.08</v>
      </c>
    </row>
    <row r="1153" spans="1:31" x14ac:dyDescent="0.3">
      <c r="A1153" s="17">
        <v>46064</v>
      </c>
      <c r="B1153" s="8">
        <v>5071.6000999999997</v>
      </c>
      <c r="C1153" s="7">
        <v>5111.2997999999998</v>
      </c>
      <c r="D1153" s="7">
        <v>5041.2997999999998</v>
      </c>
      <c r="E1153" s="7">
        <v>5049.8999000000003</v>
      </c>
      <c r="F1153" s="18">
        <v>2681</v>
      </c>
      <c r="G1153" s="7">
        <v>4922.1143000000002</v>
      </c>
      <c r="H1153" s="7">
        <v>4767.46</v>
      </c>
      <c r="I1153" s="7">
        <v>4353.5910999999996</v>
      </c>
      <c r="J1153" s="8">
        <v>0.72599999999999998</v>
      </c>
      <c r="K1153" s="7">
        <v>3.7978000000000001</v>
      </c>
      <c r="L1153" s="7">
        <v>3.0405000000000002</v>
      </c>
      <c r="M1153" s="8">
        <v>55.774900000000002</v>
      </c>
      <c r="N1153" s="8">
        <v>123.5793</v>
      </c>
      <c r="O1153" s="7">
        <v>146.16210000000001</v>
      </c>
      <c r="P1153" s="7">
        <v>5425.3215</v>
      </c>
      <c r="Q1153" s="7">
        <v>4436.2785000000003</v>
      </c>
      <c r="R1153" s="7" t="str">
        <f t="shared" si="253"/>
        <v>Down</v>
      </c>
      <c r="S1153" s="7" t="str">
        <f t="shared" si="254"/>
        <v>Hold</v>
      </c>
      <c r="T1153" s="8">
        <f t="shared" si="255"/>
        <v>0.2028777777777778</v>
      </c>
      <c r="U1153" s="18">
        <f t="shared" si="256"/>
        <v>151008</v>
      </c>
      <c r="V1153" s="7">
        <f t="shared" si="257"/>
        <v>5405</v>
      </c>
      <c r="W1153" s="7">
        <f t="shared" si="258"/>
        <v>4847.7997999999998</v>
      </c>
      <c r="X1153" s="7">
        <f t="shared" si="259"/>
        <v>5049.8999000000003</v>
      </c>
      <c r="Y1153" s="7">
        <f t="shared" si="260"/>
        <v>10</v>
      </c>
      <c r="Z1153" s="7">
        <f t="shared" si="261"/>
        <v>142811</v>
      </c>
      <c r="AA1153" s="7" t="str">
        <f t="shared" si="262"/>
        <v>11-Feb-2026</v>
      </c>
      <c r="AB1153" s="7">
        <f t="shared" si="263"/>
        <v>5049.8999000000003</v>
      </c>
      <c r="AC1153" s="7">
        <f t="shared" si="266"/>
        <v>1</v>
      </c>
      <c r="AD1153" s="7">
        <f t="shared" si="264"/>
        <v>2026</v>
      </c>
      <c r="AE1153" s="19">
        <f t="shared" si="265"/>
        <v>0.73</v>
      </c>
    </row>
    <row r="1154" spans="1:31" x14ac:dyDescent="0.3">
      <c r="A1154" s="17">
        <v>46065</v>
      </c>
      <c r="B1154" s="8">
        <v>4923.7002000000002</v>
      </c>
      <c r="C1154" s="7">
        <v>5078.1000999999997</v>
      </c>
      <c r="D1154" s="7">
        <v>4892</v>
      </c>
      <c r="E1154" s="7">
        <v>5060.3999000000003</v>
      </c>
      <c r="F1154" s="18">
        <v>484</v>
      </c>
      <c r="G1154" s="7">
        <v>4976.4570999999996</v>
      </c>
      <c r="H1154" s="7">
        <v>4791.26</v>
      </c>
      <c r="I1154" s="7">
        <v>4366.9822000000004</v>
      </c>
      <c r="J1154" s="8">
        <v>0.2079</v>
      </c>
      <c r="K1154" s="7">
        <v>3.5110999999999999</v>
      </c>
      <c r="L1154" s="7">
        <v>3.0339999999999998</v>
      </c>
      <c r="M1154" s="8">
        <v>52.655000000000001</v>
      </c>
      <c r="N1154" s="8">
        <v>122.28449999999999</v>
      </c>
      <c r="O1154" s="7">
        <v>141.38659999999999</v>
      </c>
      <c r="P1154" s="7">
        <v>5426.9395999999997</v>
      </c>
      <c r="Q1154" s="7">
        <v>4479.6704</v>
      </c>
      <c r="R1154" s="7" t="str">
        <f t="shared" si="253"/>
        <v>Up</v>
      </c>
      <c r="S1154" s="7" t="str">
        <f t="shared" si="254"/>
        <v>Hold</v>
      </c>
      <c r="T1154" s="8">
        <f t="shared" si="255"/>
        <v>0.17210588235294119</v>
      </c>
      <c r="U1154" s="18">
        <f t="shared" si="256"/>
        <v>148327</v>
      </c>
      <c r="V1154" s="7">
        <f t="shared" si="257"/>
        <v>5405</v>
      </c>
      <c r="W1154" s="7">
        <f t="shared" si="258"/>
        <v>4847.7997999999998</v>
      </c>
      <c r="X1154" s="7">
        <f t="shared" si="259"/>
        <v>5060.3999000000003</v>
      </c>
      <c r="Y1154" s="7">
        <f t="shared" si="260"/>
        <v>10</v>
      </c>
      <c r="Z1154" s="7">
        <f t="shared" si="261"/>
        <v>142811</v>
      </c>
      <c r="AA1154" s="7" t="str">
        <f t="shared" si="262"/>
        <v>12-Feb-2026</v>
      </c>
      <c r="AB1154" s="7">
        <f t="shared" si="263"/>
        <v>5060.3999000000003</v>
      </c>
      <c r="AC1154" s="7">
        <f t="shared" si="266"/>
        <v>1</v>
      </c>
      <c r="AD1154" s="7">
        <f t="shared" si="264"/>
        <v>2026</v>
      </c>
      <c r="AE1154" s="19">
        <f t="shared" si="265"/>
        <v>0.21</v>
      </c>
    </row>
    <row r="1155" spans="1:31" x14ac:dyDescent="0.3">
      <c r="A1155" s="17">
        <v>46066</v>
      </c>
      <c r="B1155" s="8">
        <v>5022</v>
      </c>
      <c r="C1155" s="7">
        <v>5043.8999000000003</v>
      </c>
      <c r="D1155" s="7">
        <v>4946.2002000000002</v>
      </c>
      <c r="E1155" s="7">
        <v>4953</v>
      </c>
      <c r="F1155" s="18">
        <v>232</v>
      </c>
      <c r="G1155" s="7">
        <v>4980.7</v>
      </c>
      <c r="H1155" s="7">
        <v>4811.91</v>
      </c>
      <c r="I1155" s="7">
        <v>4378.3344999999999</v>
      </c>
      <c r="J1155" s="8">
        <v>-2.1223999999999998</v>
      </c>
      <c r="K1155" s="7">
        <v>3.1884000000000001</v>
      </c>
      <c r="L1155" s="7">
        <v>3.0697999999999999</v>
      </c>
      <c r="M1155" s="8">
        <v>46.8842</v>
      </c>
      <c r="N1155" s="8">
        <v>111.3091</v>
      </c>
      <c r="O1155" s="7">
        <v>135.37110000000001</v>
      </c>
      <c r="P1155" s="7">
        <v>5416.0871999999999</v>
      </c>
      <c r="Q1155" s="7">
        <v>4524.5328</v>
      </c>
      <c r="R1155" s="7" t="str">
        <f t="shared" ref="R1155:R1170" si="267">IF(E1155&gt;B1155,"Up","Down")</f>
        <v>Down</v>
      </c>
      <c r="S1155" s="7" t="str">
        <f t="shared" ref="S1155:S1170" si="268">IF(M1155&gt;70,"Sell",IF(M1155&lt;30,"Buy","Hold"))</f>
        <v>Hold</v>
      </c>
      <c r="T1155" s="8">
        <f t="shared" ref="T1155:T1170" si="269">AVERAGE(J1155:J2323)</f>
        <v>0.16986875000000004</v>
      </c>
      <c r="U1155" s="18">
        <f t="shared" ref="U1155:U1170" si="270">SUM(F1155:F2323)</f>
        <v>147843</v>
      </c>
      <c r="V1155" s="7">
        <f t="shared" ref="V1155:V1170" si="271">MAX(C1155:C2323)</f>
        <v>5405</v>
      </c>
      <c r="W1155" s="7">
        <f t="shared" ref="W1155:W1170" si="272">MIN(D1155:D2323)</f>
        <v>4847.7997999999998</v>
      </c>
      <c r="X1155" s="7">
        <f t="shared" ref="X1155:X1170" si="273">INDEX(E1155:E2323,MATCH(A1155,A1155:A2323,0))</f>
        <v>4953</v>
      </c>
      <c r="Y1155" s="7">
        <f t="shared" ref="Y1155:Y1170" si="274">COUNTIF(R1155:R2323,"Up")</f>
        <v>9</v>
      </c>
      <c r="Z1155" s="7">
        <f t="shared" ref="Z1155:Z1170" si="275">SUMIF(R1155:R2323,"Up",F1155:F2323)</f>
        <v>142327</v>
      </c>
      <c r="AA1155" s="7" t="str">
        <f t="shared" ref="AA1155:AA1170" si="276">TEXT(A1155,"DD-MMM-YYYY")</f>
        <v>13-Feb-2026</v>
      </c>
      <c r="AB1155" s="7">
        <f t="shared" ref="AB1155:AB1170" si="277">_xlfn.XLOOKUP(A1155,A1155:A2323,E1155:E2323)</f>
        <v>4953</v>
      </c>
      <c r="AC1155" s="7">
        <f t="shared" si="266"/>
        <v>1</v>
      </c>
      <c r="AD1155" s="7">
        <f t="shared" ref="AD1155:AD1170" si="278">YEAR(A1155)</f>
        <v>2026</v>
      </c>
      <c r="AE1155" s="19">
        <f t="shared" ref="AE1155:AE1170" si="279">ROUND(J1155,2)</f>
        <v>-2.12</v>
      </c>
    </row>
    <row r="1156" spans="1:31" x14ac:dyDescent="0.3">
      <c r="A1156" s="17">
        <v>46070</v>
      </c>
      <c r="B1156" s="8">
        <v>4882.8999000000003</v>
      </c>
      <c r="C1156" s="7">
        <v>5020</v>
      </c>
      <c r="D1156" s="7">
        <v>4847.7997999999998</v>
      </c>
      <c r="E1156" s="7">
        <v>5020</v>
      </c>
      <c r="F1156" s="18">
        <v>540</v>
      </c>
      <c r="G1156" s="7">
        <v>4982.3141999999998</v>
      </c>
      <c r="H1156" s="7">
        <v>4834.2233999999999</v>
      </c>
      <c r="I1156" s="7">
        <v>4390.1189000000004</v>
      </c>
      <c r="J1156" s="8">
        <v>1.3527</v>
      </c>
      <c r="K1156" s="7">
        <v>3.1595</v>
      </c>
      <c r="L1156" s="7">
        <v>3.0737000000000001</v>
      </c>
      <c r="M1156" s="8">
        <v>48.592199999999998</v>
      </c>
      <c r="N1156" s="8">
        <v>106.7863</v>
      </c>
      <c r="O1156" s="7">
        <v>129.6541</v>
      </c>
      <c r="P1156" s="7">
        <v>5402.9960000000001</v>
      </c>
      <c r="Q1156" s="7">
        <v>4578.8239999999996</v>
      </c>
      <c r="R1156" s="7" t="str">
        <f t="shared" si="267"/>
        <v>Up</v>
      </c>
      <c r="S1156" s="7" t="str">
        <f t="shared" si="268"/>
        <v>Hold</v>
      </c>
      <c r="T1156" s="8">
        <f t="shared" si="269"/>
        <v>0.32268666666666662</v>
      </c>
      <c r="U1156" s="18">
        <f t="shared" si="270"/>
        <v>147611</v>
      </c>
      <c r="V1156" s="7">
        <f t="shared" si="271"/>
        <v>5405</v>
      </c>
      <c r="W1156" s="7">
        <f t="shared" si="272"/>
        <v>4847.7997999999998</v>
      </c>
      <c r="X1156" s="7">
        <f t="shared" si="273"/>
        <v>5020</v>
      </c>
      <c r="Y1156" s="7">
        <f t="shared" si="274"/>
        <v>9</v>
      </c>
      <c r="Z1156" s="7">
        <f t="shared" si="275"/>
        <v>142327</v>
      </c>
      <c r="AA1156" s="7" t="str">
        <f t="shared" si="276"/>
        <v>17-Feb-2026</v>
      </c>
      <c r="AB1156" s="7">
        <f t="shared" si="277"/>
        <v>5020</v>
      </c>
      <c r="AC1156" s="7">
        <f t="shared" si="266"/>
        <v>1</v>
      </c>
      <c r="AD1156" s="7">
        <f t="shared" si="278"/>
        <v>2026</v>
      </c>
      <c r="AE1156" s="19">
        <f t="shared" si="279"/>
        <v>1.35</v>
      </c>
    </row>
    <row r="1157" spans="1:31" x14ac:dyDescent="0.3">
      <c r="A1157" s="17">
        <v>46071</v>
      </c>
      <c r="B1157" s="8">
        <v>4986.5</v>
      </c>
      <c r="C1157" s="7">
        <v>4987</v>
      </c>
      <c r="D1157" s="7">
        <v>4869.5</v>
      </c>
      <c r="E1157" s="7">
        <v>4872.2002000000002</v>
      </c>
      <c r="F1157" s="18">
        <v>544</v>
      </c>
      <c r="G1157" s="7">
        <v>4998.0571</v>
      </c>
      <c r="H1157" s="7">
        <v>4850.4066999999995</v>
      </c>
      <c r="I1157" s="7">
        <v>4399.9521999999997</v>
      </c>
      <c r="J1157" s="8">
        <v>-2.9441999999999999</v>
      </c>
      <c r="K1157" s="7">
        <v>2.6909000000000001</v>
      </c>
      <c r="L1157" s="7">
        <v>3.1374</v>
      </c>
      <c r="M1157" s="8">
        <v>39.545200000000001</v>
      </c>
      <c r="N1157" s="8">
        <v>90.235600000000005</v>
      </c>
      <c r="O1157" s="7">
        <v>121.7704</v>
      </c>
      <c r="P1157" s="7">
        <v>5388.1527999999998</v>
      </c>
      <c r="Q1157" s="7">
        <v>4614.6671999999999</v>
      </c>
      <c r="R1157" s="7" t="str">
        <f t="shared" si="267"/>
        <v>Down</v>
      </c>
      <c r="S1157" s="7" t="str">
        <f t="shared" si="268"/>
        <v>Hold</v>
      </c>
      <c r="T1157" s="8">
        <f t="shared" si="269"/>
        <v>0.2491142857142857</v>
      </c>
      <c r="U1157" s="18">
        <f t="shared" si="270"/>
        <v>147071</v>
      </c>
      <c r="V1157" s="7">
        <f t="shared" si="271"/>
        <v>5405</v>
      </c>
      <c r="W1157" s="7">
        <f t="shared" si="272"/>
        <v>4869.5</v>
      </c>
      <c r="X1157" s="7">
        <f t="shared" si="273"/>
        <v>4872.2002000000002</v>
      </c>
      <c r="Y1157" s="7">
        <f t="shared" si="274"/>
        <v>8</v>
      </c>
      <c r="Z1157" s="7">
        <f t="shared" si="275"/>
        <v>141787</v>
      </c>
      <c r="AA1157" s="7" t="str">
        <f t="shared" si="276"/>
        <v>18-Feb-2026</v>
      </c>
      <c r="AB1157" s="7">
        <f t="shared" si="277"/>
        <v>4872.2002000000002</v>
      </c>
      <c r="AC1157" s="7">
        <f t="shared" ref="AC1157:AC1170" si="280">_xlfn.XMATCH(A1157,A1157:A2325)</f>
        <v>1</v>
      </c>
      <c r="AD1157" s="7">
        <f t="shared" si="278"/>
        <v>2026</v>
      </c>
      <c r="AE1157" s="19">
        <f t="shared" si="279"/>
        <v>-2.94</v>
      </c>
    </row>
    <row r="1158" spans="1:31" x14ac:dyDescent="0.3">
      <c r="A1158" s="17">
        <v>46072</v>
      </c>
      <c r="B1158" s="8">
        <v>4975.8999000000003</v>
      </c>
      <c r="C1158" s="7">
        <v>5014.7002000000002</v>
      </c>
      <c r="D1158" s="7">
        <v>4975.8999000000003</v>
      </c>
      <c r="E1158" s="7">
        <v>5014.7002000000002</v>
      </c>
      <c r="F1158" s="18">
        <v>37</v>
      </c>
      <c r="G1158" s="7">
        <v>4997.6715000000004</v>
      </c>
      <c r="H1158" s="7">
        <v>4869.24</v>
      </c>
      <c r="I1158" s="7">
        <v>4411.1022999999996</v>
      </c>
      <c r="J1158" s="8">
        <v>2.9247999999999998</v>
      </c>
      <c r="K1158" s="7">
        <v>2.0055000000000001</v>
      </c>
      <c r="L1158" s="7">
        <v>3.1659999999999999</v>
      </c>
      <c r="M1158" s="8">
        <v>40.369799999999998</v>
      </c>
      <c r="N1158" s="8">
        <v>87.607699999999994</v>
      </c>
      <c r="O1158" s="7">
        <v>114.9379</v>
      </c>
      <c r="P1158" s="7">
        <v>5390.2344000000003</v>
      </c>
      <c r="Q1158" s="7">
        <v>4627.7057000000004</v>
      </c>
      <c r="R1158" s="7" t="str">
        <f t="shared" si="267"/>
        <v>Up</v>
      </c>
      <c r="S1158" s="7" t="str">
        <f t="shared" si="268"/>
        <v>Hold</v>
      </c>
      <c r="T1158" s="8">
        <f t="shared" si="269"/>
        <v>0.4947538461538461</v>
      </c>
      <c r="U1158" s="18">
        <f t="shared" si="270"/>
        <v>146527</v>
      </c>
      <c r="V1158" s="7">
        <f t="shared" si="271"/>
        <v>5405</v>
      </c>
      <c r="W1158" s="7">
        <f t="shared" si="272"/>
        <v>4975.8999000000003</v>
      </c>
      <c r="X1158" s="7">
        <f t="shared" si="273"/>
        <v>5014.7002000000002</v>
      </c>
      <c r="Y1158" s="7">
        <f t="shared" si="274"/>
        <v>8</v>
      </c>
      <c r="Z1158" s="7">
        <f t="shared" si="275"/>
        <v>141787</v>
      </c>
      <c r="AA1158" s="7" t="str">
        <f t="shared" si="276"/>
        <v>19-Feb-2026</v>
      </c>
      <c r="AB1158" s="7">
        <f t="shared" si="277"/>
        <v>5014.7002000000002</v>
      </c>
      <c r="AC1158" s="7">
        <f t="shared" si="280"/>
        <v>1</v>
      </c>
      <c r="AD1158" s="7">
        <f t="shared" si="278"/>
        <v>2026</v>
      </c>
      <c r="AE1158" s="19">
        <f t="shared" si="279"/>
        <v>2.92</v>
      </c>
    </row>
    <row r="1159" spans="1:31" x14ac:dyDescent="0.3">
      <c r="A1159" s="17">
        <v>46073</v>
      </c>
      <c r="B1159" s="8">
        <v>5059.2997999999998</v>
      </c>
      <c r="C1159" s="7">
        <v>5072.7002000000002</v>
      </c>
      <c r="D1159" s="7">
        <v>5039.5</v>
      </c>
      <c r="E1159" s="7">
        <v>5039.5</v>
      </c>
      <c r="F1159" s="18">
        <v>134</v>
      </c>
      <c r="G1159" s="7">
        <v>5001.3856999999998</v>
      </c>
      <c r="H1159" s="7">
        <v>4888.8900000000003</v>
      </c>
      <c r="I1159" s="7">
        <v>4423.13</v>
      </c>
      <c r="J1159" s="8">
        <v>0.4945</v>
      </c>
      <c r="K1159" s="7">
        <v>2.0129999999999999</v>
      </c>
      <c r="L1159" s="7">
        <v>3.1648999999999998</v>
      </c>
      <c r="M1159" s="8">
        <v>41.852499999999999</v>
      </c>
      <c r="N1159" s="8">
        <v>86.528800000000004</v>
      </c>
      <c r="O1159" s="7">
        <v>109.2561</v>
      </c>
      <c r="P1159" s="7">
        <v>5388.7646999999997</v>
      </c>
      <c r="Q1159" s="7">
        <v>4653.9354000000003</v>
      </c>
      <c r="R1159" s="7" t="str">
        <f t="shared" si="267"/>
        <v>Down</v>
      </c>
      <c r="S1159" s="7" t="str">
        <f t="shared" si="268"/>
        <v>Hold</v>
      </c>
      <c r="T1159" s="8">
        <f t="shared" si="269"/>
        <v>0.29225000000000001</v>
      </c>
      <c r="U1159" s="18">
        <f t="shared" si="270"/>
        <v>146490</v>
      </c>
      <c r="V1159" s="7">
        <f t="shared" si="271"/>
        <v>5405</v>
      </c>
      <c r="W1159" s="7">
        <f t="shared" si="272"/>
        <v>5021.2002000000002</v>
      </c>
      <c r="X1159" s="7">
        <f t="shared" si="273"/>
        <v>5039.5</v>
      </c>
      <c r="Y1159" s="7">
        <f t="shared" si="274"/>
        <v>7</v>
      </c>
      <c r="Z1159" s="7">
        <f t="shared" si="275"/>
        <v>141750</v>
      </c>
      <c r="AA1159" s="7" t="str">
        <f t="shared" si="276"/>
        <v>20-Feb-2026</v>
      </c>
      <c r="AB1159" s="7">
        <f t="shared" si="277"/>
        <v>5039.5</v>
      </c>
      <c r="AC1159" s="7">
        <f t="shared" si="280"/>
        <v>1</v>
      </c>
      <c r="AD1159" s="7">
        <f t="shared" si="278"/>
        <v>2026</v>
      </c>
      <c r="AE1159" s="19">
        <f t="shared" si="279"/>
        <v>0.49</v>
      </c>
    </row>
    <row r="1160" spans="1:31" x14ac:dyDescent="0.3">
      <c r="A1160" s="17">
        <v>46076</v>
      </c>
      <c r="B1160" s="8">
        <v>5204.7002000000002</v>
      </c>
      <c r="C1160" s="7">
        <v>5211.6000999999997</v>
      </c>
      <c r="D1160" s="7">
        <v>5120.2997999999998</v>
      </c>
      <c r="E1160" s="7">
        <v>5120.2997999999998</v>
      </c>
      <c r="F1160" s="18">
        <v>779</v>
      </c>
      <c r="G1160" s="7">
        <v>5011.4429</v>
      </c>
      <c r="H1160" s="7">
        <v>4910.8932999999997</v>
      </c>
      <c r="I1160" s="7">
        <v>4435.3999999999996</v>
      </c>
      <c r="J1160" s="8">
        <v>1.6032999999999999</v>
      </c>
      <c r="K1160" s="7">
        <v>2.0851000000000002</v>
      </c>
      <c r="L1160" s="7">
        <v>3.1713</v>
      </c>
      <c r="M1160" s="8">
        <v>59.8949</v>
      </c>
      <c r="N1160" s="8">
        <v>91.143000000000001</v>
      </c>
      <c r="O1160" s="7">
        <v>105.63339999999999</v>
      </c>
      <c r="P1160" s="7">
        <v>5398.2112999999999</v>
      </c>
      <c r="Q1160" s="7">
        <v>4661.5586999999996</v>
      </c>
      <c r="R1160" s="7" t="str">
        <f t="shared" si="267"/>
        <v>Down</v>
      </c>
      <c r="S1160" s="7" t="str">
        <f t="shared" si="268"/>
        <v>Hold</v>
      </c>
      <c r="T1160" s="8">
        <f t="shared" si="269"/>
        <v>0.27386363636363636</v>
      </c>
      <c r="U1160" s="18">
        <f t="shared" si="270"/>
        <v>146356</v>
      </c>
      <c r="V1160" s="7">
        <f t="shared" si="271"/>
        <v>5405</v>
      </c>
      <c r="W1160" s="7">
        <f t="shared" si="272"/>
        <v>5021.2002000000002</v>
      </c>
      <c r="X1160" s="7">
        <f t="shared" si="273"/>
        <v>5120.2997999999998</v>
      </c>
      <c r="Y1160" s="7">
        <f t="shared" si="274"/>
        <v>7</v>
      </c>
      <c r="Z1160" s="7">
        <f t="shared" si="275"/>
        <v>141750</v>
      </c>
      <c r="AA1160" s="7" t="str">
        <f t="shared" si="276"/>
        <v>23-Feb-2026</v>
      </c>
      <c r="AB1160" s="7">
        <f t="shared" si="277"/>
        <v>5120.2997999999998</v>
      </c>
      <c r="AC1160" s="7">
        <f t="shared" si="280"/>
        <v>1</v>
      </c>
      <c r="AD1160" s="7">
        <f t="shared" si="278"/>
        <v>2026</v>
      </c>
      <c r="AE1160" s="19">
        <f t="shared" si="279"/>
        <v>1.6</v>
      </c>
    </row>
    <row r="1161" spans="1:31" x14ac:dyDescent="0.3">
      <c r="A1161" s="17">
        <v>46077</v>
      </c>
      <c r="B1161" s="8">
        <v>5155.7997999999998</v>
      </c>
      <c r="C1161" s="7">
        <v>5159</v>
      </c>
      <c r="D1161" s="7">
        <v>5112.7002000000002</v>
      </c>
      <c r="E1161" s="7">
        <v>5158.7997999999998</v>
      </c>
      <c r="F1161" s="18">
        <v>88</v>
      </c>
      <c r="G1161" s="7">
        <v>5025.5</v>
      </c>
      <c r="H1161" s="7">
        <v>4933.7533000000003</v>
      </c>
      <c r="I1161" s="7">
        <v>4446.8122000000003</v>
      </c>
      <c r="J1161" s="8">
        <v>0.75190000000000001</v>
      </c>
      <c r="K1161" s="7">
        <v>2.0949</v>
      </c>
      <c r="L1161" s="7">
        <v>3.1713</v>
      </c>
      <c r="M1161" s="8">
        <v>66.062799999999996</v>
      </c>
      <c r="N1161" s="8">
        <v>96.790599999999998</v>
      </c>
      <c r="O1161" s="7">
        <v>103.86490000000001</v>
      </c>
      <c r="P1161" s="7">
        <v>5405.9585999999999</v>
      </c>
      <c r="Q1161" s="7">
        <v>4661.5414000000001</v>
      </c>
      <c r="R1161" s="7" t="str">
        <f t="shared" si="267"/>
        <v>Up</v>
      </c>
      <c r="S1161" s="7" t="str">
        <f t="shared" si="268"/>
        <v>Hold</v>
      </c>
      <c r="T1161" s="8">
        <f t="shared" si="269"/>
        <v>0.14091999999999999</v>
      </c>
      <c r="U1161" s="18">
        <f t="shared" si="270"/>
        <v>145577</v>
      </c>
      <c r="V1161" s="7">
        <f t="shared" si="271"/>
        <v>5405</v>
      </c>
      <c r="W1161" s="7">
        <f t="shared" si="272"/>
        <v>5021.2002000000002</v>
      </c>
      <c r="X1161" s="7">
        <f t="shared" si="273"/>
        <v>5158.7997999999998</v>
      </c>
      <c r="Y1161" s="7">
        <f t="shared" si="274"/>
        <v>7</v>
      </c>
      <c r="Z1161" s="7">
        <f t="shared" si="275"/>
        <v>141750</v>
      </c>
      <c r="AA1161" s="7" t="str">
        <f t="shared" si="276"/>
        <v>24-Feb-2026</v>
      </c>
      <c r="AB1161" s="7">
        <f t="shared" si="277"/>
        <v>5158.7997999999998</v>
      </c>
      <c r="AC1161" s="7">
        <f t="shared" si="280"/>
        <v>1</v>
      </c>
      <c r="AD1161" s="7">
        <f t="shared" si="278"/>
        <v>2026</v>
      </c>
      <c r="AE1161" s="19">
        <f t="shared" si="279"/>
        <v>0.75</v>
      </c>
    </row>
    <row r="1162" spans="1:31" x14ac:dyDescent="0.3">
      <c r="A1162" s="17">
        <v>46078</v>
      </c>
      <c r="B1162" s="8">
        <v>5206.3999000000003</v>
      </c>
      <c r="C1162" s="7">
        <v>5206.3999000000003</v>
      </c>
      <c r="D1162" s="7">
        <v>5166</v>
      </c>
      <c r="E1162" s="7">
        <v>5166</v>
      </c>
      <c r="F1162" s="18">
        <v>1772</v>
      </c>
      <c r="G1162" s="7">
        <v>5055.9286000000002</v>
      </c>
      <c r="H1162" s="7">
        <v>4953.3167000000003</v>
      </c>
      <c r="I1162" s="7">
        <v>4458.1566999999995</v>
      </c>
      <c r="J1162" s="8">
        <v>0.1396</v>
      </c>
      <c r="K1162" s="7">
        <v>1.8158000000000001</v>
      </c>
      <c r="L1162" s="7">
        <v>3.1526000000000001</v>
      </c>
      <c r="M1162" s="8">
        <v>59.674700000000001</v>
      </c>
      <c r="N1162" s="8">
        <v>100.68680000000001</v>
      </c>
      <c r="O1162" s="7">
        <v>103.22929999999999</v>
      </c>
      <c r="P1162" s="7">
        <v>5414.4789000000001</v>
      </c>
      <c r="Q1162" s="7">
        <v>4661.6310999999996</v>
      </c>
      <c r="R1162" s="7" t="str">
        <f t="shared" si="267"/>
        <v>Down</v>
      </c>
      <c r="S1162" s="7" t="str">
        <f t="shared" si="268"/>
        <v>Hold</v>
      </c>
      <c r="T1162" s="8">
        <f t="shared" si="269"/>
        <v>7.3033333333333297E-2</v>
      </c>
      <c r="U1162" s="18">
        <f t="shared" si="270"/>
        <v>145489</v>
      </c>
      <c r="V1162" s="7">
        <f t="shared" si="271"/>
        <v>5405</v>
      </c>
      <c r="W1162" s="7">
        <f t="shared" si="272"/>
        <v>5021.2002000000002</v>
      </c>
      <c r="X1162" s="7">
        <f t="shared" si="273"/>
        <v>5166</v>
      </c>
      <c r="Y1162" s="7">
        <f t="shared" si="274"/>
        <v>6</v>
      </c>
      <c r="Z1162" s="7">
        <f t="shared" si="275"/>
        <v>141662</v>
      </c>
      <c r="AA1162" s="7" t="str">
        <f t="shared" si="276"/>
        <v>25-Feb-2026</v>
      </c>
      <c r="AB1162" s="7">
        <f t="shared" si="277"/>
        <v>5166</v>
      </c>
      <c r="AC1162" s="7">
        <f t="shared" si="280"/>
        <v>1</v>
      </c>
      <c r="AD1162" s="7">
        <f t="shared" si="278"/>
        <v>2026</v>
      </c>
      <c r="AE1162" s="19">
        <f t="shared" si="279"/>
        <v>0.14000000000000001</v>
      </c>
    </row>
    <row r="1163" spans="1:31" x14ac:dyDescent="0.3">
      <c r="A1163" s="17">
        <v>46079</v>
      </c>
      <c r="B1163" s="8">
        <v>5176.5</v>
      </c>
      <c r="C1163" s="7">
        <v>5199.2002000000002</v>
      </c>
      <c r="D1163" s="7">
        <v>5143.8999000000003</v>
      </c>
      <c r="E1163" s="7">
        <v>5177.2002000000002</v>
      </c>
      <c r="F1163" s="18">
        <v>1520</v>
      </c>
      <c r="G1163" s="7">
        <v>5078.3856999999998</v>
      </c>
      <c r="H1163" s="7">
        <v>4973.2700000000004</v>
      </c>
      <c r="I1163" s="7">
        <v>4469.0277999999998</v>
      </c>
      <c r="J1163" s="8">
        <v>0.21679999999999999</v>
      </c>
      <c r="K1163" s="7">
        <v>1.7897000000000001</v>
      </c>
      <c r="L1163" s="7">
        <v>3.1516999999999999</v>
      </c>
      <c r="M1163" s="8">
        <v>57.139200000000002</v>
      </c>
      <c r="N1163" s="8">
        <v>103.4853</v>
      </c>
      <c r="O1163" s="7">
        <v>103.2805</v>
      </c>
      <c r="P1163" s="7">
        <v>5393.7546000000002</v>
      </c>
      <c r="Q1163" s="7">
        <v>4669.9153999999999</v>
      </c>
      <c r="R1163" s="7" t="str">
        <f t="shared" si="267"/>
        <v>Up</v>
      </c>
      <c r="S1163" s="7" t="str">
        <f t="shared" si="268"/>
        <v>Hold</v>
      </c>
      <c r="T1163" s="8">
        <f t="shared" si="269"/>
        <v>6.4712499999999992E-2</v>
      </c>
      <c r="U1163" s="18">
        <f t="shared" si="270"/>
        <v>143717</v>
      </c>
      <c r="V1163" s="7">
        <f t="shared" si="271"/>
        <v>5405</v>
      </c>
      <c r="W1163" s="7">
        <f t="shared" si="272"/>
        <v>5021.2002000000002</v>
      </c>
      <c r="X1163" s="7">
        <f t="shared" si="273"/>
        <v>5177.2002000000002</v>
      </c>
      <c r="Y1163" s="7">
        <f t="shared" si="274"/>
        <v>6</v>
      </c>
      <c r="Z1163" s="7">
        <f t="shared" si="275"/>
        <v>141662</v>
      </c>
      <c r="AA1163" s="7" t="str">
        <f t="shared" si="276"/>
        <v>26-Feb-2026</v>
      </c>
      <c r="AB1163" s="7">
        <f t="shared" si="277"/>
        <v>5177.2002000000002</v>
      </c>
      <c r="AC1163" s="7">
        <f t="shared" si="280"/>
        <v>1</v>
      </c>
      <c r="AD1163" s="7">
        <f t="shared" si="278"/>
        <v>2026</v>
      </c>
      <c r="AE1163" s="19">
        <f t="shared" si="279"/>
        <v>0.22</v>
      </c>
    </row>
    <row r="1164" spans="1:31" x14ac:dyDescent="0.3">
      <c r="A1164" s="17">
        <v>46080</v>
      </c>
      <c r="B1164" s="8">
        <v>5230.5</v>
      </c>
      <c r="C1164" s="7">
        <v>5280</v>
      </c>
      <c r="D1164" s="7">
        <v>5176.7002000000002</v>
      </c>
      <c r="E1164" s="7">
        <v>5186.7002000000002</v>
      </c>
      <c r="F1164" s="18">
        <v>354</v>
      </c>
      <c r="G1164" s="7">
        <v>5123.3143</v>
      </c>
      <c r="H1164" s="7">
        <v>4992.4832999999999</v>
      </c>
      <c r="I1164" s="7">
        <v>4478.2722000000003</v>
      </c>
      <c r="J1164" s="8">
        <v>0.1835</v>
      </c>
      <c r="K1164" s="7">
        <v>1.0279</v>
      </c>
      <c r="L1164" s="7">
        <v>3.1518000000000002</v>
      </c>
      <c r="M1164" s="8">
        <v>72.521000000000001</v>
      </c>
      <c r="N1164" s="8">
        <v>105.2565</v>
      </c>
      <c r="O1164" s="7">
        <v>103.67570000000001</v>
      </c>
      <c r="P1164" s="7">
        <v>5343.5897999999997</v>
      </c>
      <c r="Q1164" s="7">
        <v>4697.1801999999998</v>
      </c>
      <c r="R1164" s="7" t="str">
        <f t="shared" si="267"/>
        <v>Down</v>
      </c>
      <c r="S1164" s="7" t="str">
        <f t="shared" si="268"/>
        <v>Sell</v>
      </c>
      <c r="T1164" s="8">
        <f t="shared" si="269"/>
        <v>4.2985714285714259E-2</v>
      </c>
      <c r="U1164" s="18">
        <f t="shared" si="270"/>
        <v>142197</v>
      </c>
      <c r="V1164" s="7">
        <f t="shared" si="271"/>
        <v>5405</v>
      </c>
      <c r="W1164" s="7">
        <f t="shared" si="272"/>
        <v>5021.2002000000002</v>
      </c>
      <c r="X1164" s="7">
        <f t="shared" si="273"/>
        <v>5186.7002000000002</v>
      </c>
      <c r="Y1164" s="7">
        <f t="shared" si="274"/>
        <v>5</v>
      </c>
      <c r="Z1164" s="7">
        <f t="shared" si="275"/>
        <v>140142</v>
      </c>
      <c r="AA1164" s="7" t="str">
        <f t="shared" si="276"/>
        <v>27-Feb-2026</v>
      </c>
      <c r="AB1164" s="7">
        <f t="shared" si="277"/>
        <v>5186.7002000000002</v>
      </c>
      <c r="AC1164" s="7">
        <f t="shared" si="280"/>
        <v>1</v>
      </c>
      <c r="AD1164" s="7">
        <f t="shared" si="278"/>
        <v>2026</v>
      </c>
      <c r="AE1164" s="19">
        <f t="shared" si="279"/>
        <v>0.18</v>
      </c>
    </row>
    <row r="1165" spans="1:31" x14ac:dyDescent="0.3">
      <c r="A1165" s="17">
        <v>46083</v>
      </c>
      <c r="B1165" s="8">
        <v>5294.3999000000003</v>
      </c>
      <c r="C1165" s="7">
        <v>5405</v>
      </c>
      <c r="D1165" s="7">
        <v>5266.2997999999998</v>
      </c>
      <c r="E1165" s="7">
        <v>5346.6000999999997</v>
      </c>
      <c r="F1165" s="18">
        <v>72</v>
      </c>
      <c r="G1165" s="7">
        <v>5170.7286000000004</v>
      </c>
      <c r="H1165" s="7">
        <v>5016.9399999999996</v>
      </c>
      <c r="I1165" s="7">
        <v>4490.5222000000003</v>
      </c>
      <c r="J1165" s="8">
        <v>3.0829</v>
      </c>
      <c r="K1165" s="7">
        <v>1.0801000000000001</v>
      </c>
      <c r="L1165" s="7">
        <v>3.1873</v>
      </c>
      <c r="M1165" s="8">
        <v>69.424099999999996</v>
      </c>
      <c r="N1165" s="8">
        <v>118.20010000000001</v>
      </c>
      <c r="O1165" s="7">
        <v>106.5806</v>
      </c>
      <c r="P1165" s="7">
        <v>5335.3945000000003</v>
      </c>
      <c r="Q1165" s="7">
        <v>4702.3954999999996</v>
      </c>
      <c r="R1165" s="7" t="str">
        <f t="shared" si="267"/>
        <v>Up</v>
      </c>
      <c r="S1165" s="7" t="str">
        <f t="shared" si="268"/>
        <v>Hold</v>
      </c>
      <c r="T1165" s="8">
        <f t="shared" si="269"/>
        <v>1.9566666666666659E-2</v>
      </c>
      <c r="U1165" s="18">
        <f t="shared" si="270"/>
        <v>141843</v>
      </c>
      <c r="V1165" s="7">
        <f t="shared" si="271"/>
        <v>5405</v>
      </c>
      <c r="W1165" s="7">
        <f t="shared" si="272"/>
        <v>5021.2002000000002</v>
      </c>
      <c r="X1165" s="7">
        <f t="shared" si="273"/>
        <v>5346.6000999999997</v>
      </c>
      <c r="Y1165" s="7">
        <f t="shared" si="274"/>
        <v>5</v>
      </c>
      <c r="Z1165" s="7">
        <f t="shared" si="275"/>
        <v>140142</v>
      </c>
      <c r="AA1165" s="7" t="str">
        <f t="shared" si="276"/>
        <v>02-Mar-2026</v>
      </c>
      <c r="AB1165" s="7">
        <f t="shared" si="277"/>
        <v>5346.6000999999997</v>
      </c>
      <c r="AC1165" s="7">
        <f t="shared" si="280"/>
        <v>1</v>
      </c>
      <c r="AD1165" s="7">
        <f t="shared" si="278"/>
        <v>2026</v>
      </c>
      <c r="AE1165" s="19">
        <f t="shared" si="279"/>
        <v>3.08</v>
      </c>
    </row>
    <row r="1166" spans="1:31" x14ac:dyDescent="0.3">
      <c r="A1166" s="17">
        <v>46084</v>
      </c>
      <c r="B1166" s="8">
        <v>5107.3999000000003</v>
      </c>
      <c r="C1166" s="7">
        <v>5303.7997999999998</v>
      </c>
      <c r="D1166" s="7">
        <v>5023</v>
      </c>
      <c r="E1166" s="7">
        <v>5298.7002000000002</v>
      </c>
      <c r="F1166" s="18">
        <v>1776</v>
      </c>
      <c r="G1166" s="7">
        <v>5207.7572</v>
      </c>
      <c r="H1166" s="7">
        <v>5039.9633999999996</v>
      </c>
      <c r="I1166" s="7">
        <v>4501.2556000000004</v>
      </c>
      <c r="J1166" s="8">
        <v>-0.89590000000000003</v>
      </c>
      <c r="K1166" s="7">
        <v>1.2815000000000001</v>
      </c>
      <c r="L1166" s="7">
        <v>3.1960999999999999</v>
      </c>
      <c r="M1166" s="8">
        <v>65.997299999999996</v>
      </c>
      <c r="N1166" s="8">
        <v>123.17310000000001</v>
      </c>
      <c r="O1166" s="7">
        <v>109.8991</v>
      </c>
      <c r="P1166" s="7">
        <v>5367.0595999999996</v>
      </c>
      <c r="Q1166" s="7">
        <v>4719.8305</v>
      </c>
      <c r="R1166" s="7" t="str">
        <f t="shared" si="267"/>
        <v>Up</v>
      </c>
      <c r="S1166" s="7" t="str">
        <f t="shared" si="268"/>
        <v>Hold</v>
      </c>
      <c r="T1166" s="8">
        <f t="shared" si="269"/>
        <v>-0.59309999999999996</v>
      </c>
      <c r="U1166" s="18">
        <f t="shared" si="270"/>
        <v>141771</v>
      </c>
      <c r="V1166" s="7">
        <f t="shared" si="271"/>
        <v>5303.7997999999998</v>
      </c>
      <c r="W1166" s="7">
        <f t="shared" si="272"/>
        <v>5021.2002000000002</v>
      </c>
      <c r="X1166" s="7">
        <f t="shared" si="273"/>
        <v>5298.7002000000002</v>
      </c>
      <c r="Y1166" s="7">
        <f t="shared" si="274"/>
        <v>4</v>
      </c>
      <c r="Z1166" s="7">
        <f t="shared" si="275"/>
        <v>140070</v>
      </c>
      <c r="AA1166" s="7" t="str">
        <f t="shared" si="276"/>
        <v>03-Mar-2026</v>
      </c>
      <c r="AB1166" s="7">
        <f t="shared" si="277"/>
        <v>5298.7002000000002</v>
      </c>
      <c r="AC1166" s="7">
        <f t="shared" si="280"/>
        <v>1</v>
      </c>
      <c r="AD1166" s="7">
        <f t="shared" si="278"/>
        <v>2026</v>
      </c>
      <c r="AE1166" s="19">
        <f t="shared" si="279"/>
        <v>-0.9</v>
      </c>
    </row>
    <row r="1167" spans="1:31" x14ac:dyDescent="0.3">
      <c r="A1167" s="17">
        <v>46085</v>
      </c>
      <c r="B1167" s="8">
        <v>5120.2002000000002</v>
      </c>
      <c r="C1167" s="7">
        <v>5180.2002000000002</v>
      </c>
      <c r="D1167" s="7">
        <v>5117.2002000000002</v>
      </c>
      <c r="E1167" s="7">
        <v>5130.7002000000002</v>
      </c>
      <c r="F1167" s="18">
        <v>679</v>
      </c>
      <c r="G1167" s="7">
        <v>5209.2430000000004</v>
      </c>
      <c r="H1167" s="7">
        <v>5055.58</v>
      </c>
      <c r="I1167" s="7">
        <v>4512.6000000000004</v>
      </c>
      <c r="J1167" s="8">
        <v>-3.1705999999999999</v>
      </c>
      <c r="K1167" s="7">
        <v>1.8713</v>
      </c>
      <c r="L1167" s="7">
        <v>3.2629999999999999</v>
      </c>
      <c r="M1167" s="8">
        <v>53.949199999999998</v>
      </c>
      <c r="N1167" s="8">
        <v>112.26390000000001</v>
      </c>
      <c r="O1167" s="7">
        <v>110.372</v>
      </c>
      <c r="P1167" s="7">
        <v>5342.3531000000003</v>
      </c>
      <c r="Q1167" s="7">
        <v>4789.6068999999998</v>
      </c>
      <c r="R1167" s="7" t="str">
        <f t="shared" si="267"/>
        <v>Up</v>
      </c>
      <c r="S1167" s="7" t="str">
        <f t="shared" si="268"/>
        <v>Hold</v>
      </c>
      <c r="T1167" s="8">
        <f t="shared" si="269"/>
        <v>-0.51739999999999997</v>
      </c>
      <c r="U1167" s="18">
        <f t="shared" si="270"/>
        <v>139995</v>
      </c>
      <c r="V1167" s="7">
        <f t="shared" si="271"/>
        <v>5210.3999000000003</v>
      </c>
      <c r="W1167" s="7">
        <f t="shared" si="272"/>
        <v>5021.2002000000002</v>
      </c>
      <c r="X1167" s="7">
        <f t="shared" si="273"/>
        <v>5130.7002000000002</v>
      </c>
      <c r="Y1167" s="7">
        <f t="shared" si="274"/>
        <v>3</v>
      </c>
      <c r="Z1167" s="7">
        <f t="shared" si="275"/>
        <v>138294</v>
      </c>
      <c r="AA1167" s="7" t="str">
        <f t="shared" si="276"/>
        <v>04-Mar-2026</v>
      </c>
      <c r="AB1167" s="7">
        <f t="shared" si="277"/>
        <v>5130.7002000000002</v>
      </c>
      <c r="AC1167" s="7">
        <f t="shared" si="280"/>
        <v>1</v>
      </c>
      <c r="AD1167" s="7">
        <f t="shared" si="278"/>
        <v>2026</v>
      </c>
      <c r="AE1167" s="19">
        <f t="shared" si="279"/>
        <v>-3.17</v>
      </c>
    </row>
    <row r="1168" spans="1:31" x14ac:dyDescent="0.3">
      <c r="A1168" s="17">
        <v>46086</v>
      </c>
      <c r="B1168" s="8">
        <v>5065.2997999999998</v>
      </c>
      <c r="C1168" s="7">
        <v>5169.5</v>
      </c>
      <c r="D1168" s="7">
        <v>5054.7002000000002</v>
      </c>
      <c r="E1168" s="7">
        <v>5169.5</v>
      </c>
      <c r="F1168" s="18">
        <v>1701</v>
      </c>
      <c r="G1168" s="7">
        <v>5210.7716</v>
      </c>
      <c r="H1168" s="7">
        <v>5065.78</v>
      </c>
      <c r="I1168" s="7">
        <v>4524.7233999999999</v>
      </c>
      <c r="J1168" s="8">
        <v>0.75619999999999998</v>
      </c>
      <c r="K1168" s="7">
        <v>1.8715999999999999</v>
      </c>
      <c r="L1168" s="7">
        <v>3.1781999999999999</v>
      </c>
      <c r="M1168" s="8">
        <v>55.188800000000001</v>
      </c>
      <c r="N1168" s="8">
        <v>105.5326</v>
      </c>
      <c r="O1168" s="7">
        <v>109.4042</v>
      </c>
      <c r="P1168" s="7">
        <v>5349.7938000000004</v>
      </c>
      <c r="Q1168" s="7">
        <v>4806.7862999999998</v>
      </c>
      <c r="R1168" s="7" t="str">
        <f t="shared" si="267"/>
        <v>Up</v>
      </c>
      <c r="S1168" s="7" t="str">
        <f t="shared" si="268"/>
        <v>Hold</v>
      </c>
      <c r="T1168" s="8">
        <f t="shared" si="269"/>
        <v>0.36699999999999999</v>
      </c>
      <c r="U1168" s="18">
        <f t="shared" si="270"/>
        <v>139316</v>
      </c>
      <c r="V1168" s="7">
        <f t="shared" si="271"/>
        <v>5210.3999000000003</v>
      </c>
      <c r="W1168" s="7">
        <f t="shared" si="272"/>
        <v>5021.2002000000002</v>
      </c>
      <c r="X1168" s="7">
        <f t="shared" si="273"/>
        <v>5169.5</v>
      </c>
      <c r="Y1168" s="7">
        <f t="shared" si="274"/>
        <v>2</v>
      </c>
      <c r="Z1168" s="7">
        <f t="shared" si="275"/>
        <v>137615</v>
      </c>
      <c r="AA1168" s="7" t="str">
        <f t="shared" si="276"/>
        <v>05-Mar-2026</v>
      </c>
      <c r="AB1168" s="7">
        <f t="shared" si="277"/>
        <v>5169.5</v>
      </c>
      <c r="AC1168" s="7">
        <f t="shared" si="280"/>
        <v>1</v>
      </c>
      <c r="AD1168" s="7">
        <f t="shared" si="278"/>
        <v>2026</v>
      </c>
      <c r="AE1168" s="19">
        <f t="shared" si="279"/>
        <v>0.76</v>
      </c>
    </row>
    <row r="1169" spans="1:31" x14ac:dyDescent="0.3">
      <c r="A1169" s="17">
        <v>46087</v>
      </c>
      <c r="B1169" s="8">
        <v>5146.1000999999997</v>
      </c>
      <c r="C1169" s="7">
        <v>5146.1000999999997</v>
      </c>
      <c r="D1169" s="7">
        <v>5076.1000999999997</v>
      </c>
      <c r="E1169" s="7">
        <v>5121</v>
      </c>
      <c r="F1169" s="18">
        <v>1701</v>
      </c>
      <c r="G1169" s="7">
        <v>5204.3429999999998</v>
      </c>
      <c r="H1169" s="7">
        <v>5076.75</v>
      </c>
      <c r="I1169" s="7">
        <v>4535.8734000000004</v>
      </c>
      <c r="J1169" s="8">
        <v>-0.93820000000000003</v>
      </c>
      <c r="K1169" s="7">
        <v>1.9065000000000001</v>
      </c>
      <c r="L1169" s="7">
        <v>3.1697000000000002</v>
      </c>
      <c r="M1169" s="8">
        <v>58.464300000000001</v>
      </c>
      <c r="N1169" s="8">
        <v>95.187200000000004</v>
      </c>
      <c r="O1169" s="7">
        <v>106.5608</v>
      </c>
      <c r="P1169" s="7">
        <v>5353.9903000000004</v>
      </c>
      <c r="Q1169" s="7">
        <v>4813.8198000000002</v>
      </c>
      <c r="R1169" s="7" t="str">
        <f t="shared" si="267"/>
        <v>Down</v>
      </c>
      <c r="S1169" s="7" t="str">
        <f t="shared" si="268"/>
        <v>Hold</v>
      </c>
      <c r="T1169" s="8">
        <f t="shared" si="269"/>
        <v>0.17239999999999994</v>
      </c>
      <c r="U1169" s="18">
        <f t="shared" si="270"/>
        <v>137615</v>
      </c>
      <c r="V1169" s="7">
        <f t="shared" si="271"/>
        <v>5210.3999000000003</v>
      </c>
      <c r="W1169" s="7">
        <f t="shared" si="272"/>
        <v>5021.2002000000002</v>
      </c>
      <c r="X1169" s="7">
        <f t="shared" si="273"/>
        <v>5121</v>
      </c>
      <c r="Y1169" s="7">
        <f t="shared" si="274"/>
        <v>1</v>
      </c>
      <c r="Z1169" s="7">
        <f t="shared" si="275"/>
        <v>135914</v>
      </c>
      <c r="AA1169" s="7" t="str">
        <f t="shared" si="276"/>
        <v>06-Mar-2026</v>
      </c>
      <c r="AB1169" s="7">
        <f t="shared" si="277"/>
        <v>5121</v>
      </c>
      <c r="AC1169" s="7">
        <f t="shared" si="280"/>
        <v>1</v>
      </c>
      <c r="AD1169" s="7">
        <f t="shared" si="278"/>
        <v>2026</v>
      </c>
      <c r="AE1169" s="19">
        <f t="shared" si="279"/>
        <v>-0.94</v>
      </c>
    </row>
    <row r="1170" spans="1:31" x14ac:dyDescent="0.3">
      <c r="A1170" s="20">
        <v>46090</v>
      </c>
      <c r="B1170" s="21">
        <v>5114.6000999999997</v>
      </c>
      <c r="C1170" s="22">
        <v>5210.3999000000003</v>
      </c>
      <c r="D1170" s="22">
        <v>5021.2002000000002</v>
      </c>
      <c r="E1170" s="22">
        <v>5186.7002000000002</v>
      </c>
      <c r="F1170" s="23">
        <v>135914</v>
      </c>
      <c r="G1170" s="22">
        <v>5205.7001</v>
      </c>
      <c r="H1170" s="22">
        <v>5084.6534000000001</v>
      </c>
      <c r="I1170" s="22">
        <v>4548.3923000000004</v>
      </c>
      <c r="J1170" s="21">
        <v>1.2829999999999999</v>
      </c>
      <c r="K1170" s="22">
        <v>1.9781</v>
      </c>
      <c r="L1170" s="22">
        <v>3.1246</v>
      </c>
      <c r="M1170" s="21">
        <v>58.4099</v>
      </c>
      <c r="N1170" s="21">
        <v>91.238100000000003</v>
      </c>
      <c r="O1170" s="22">
        <v>103.4962</v>
      </c>
      <c r="P1170" s="22">
        <v>5331.9807000000001</v>
      </c>
      <c r="Q1170" s="22">
        <v>4878.2993999999999</v>
      </c>
      <c r="R1170" s="22" t="str">
        <f t="shared" si="267"/>
        <v>Up</v>
      </c>
      <c r="S1170" s="22" t="str">
        <f t="shared" si="268"/>
        <v>Hold</v>
      </c>
      <c r="T1170" s="21">
        <f t="shared" si="269"/>
        <v>1.2829999999999999</v>
      </c>
      <c r="U1170" s="23">
        <f t="shared" si="270"/>
        <v>135914</v>
      </c>
      <c r="V1170" s="22">
        <f t="shared" si="271"/>
        <v>5210.3999000000003</v>
      </c>
      <c r="W1170" s="22">
        <f t="shared" si="272"/>
        <v>5021.2002000000002</v>
      </c>
      <c r="X1170" s="22">
        <f t="shared" si="273"/>
        <v>5186.7002000000002</v>
      </c>
      <c r="Y1170" s="22">
        <f t="shared" si="274"/>
        <v>1</v>
      </c>
      <c r="Z1170" s="22">
        <f t="shared" si="275"/>
        <v>135914</v>
      </c>
      <c r="AA1170" s="22" t="str">
        <f t="shared" si="276"/>
        <v>09-Mar-2026</v>
      </c>
      <c r="AB1170" s="22">
        <f t="shared" si="277"/>
        <v>5186.7002000000002</v>
      </c>
      <c r="AC1170" s="22">
        <f t="shared" si="280"/>
        <v>1</v>
      </c>
      <c r="AD1170" s="22">
        <f t="shared" si="278"/>
        <v>2026</v>
      </c>
      <c r="AE1170" s="24">
        <f t="shared" si="279"/>
        <v>1.28</v>
      </c>
    </row>
  </sheetData>
  <autoFilter ref="BA1:BA858" xr:uid="{72C5A31A-F8B2-4AB7-8638-79935D4B17F9}"/>
  <mergeCells count="2">
    <mergeCell ref="BC2:BV2"/>
    <mergeCell ref="AF1:AY1"/>
  </mergeCells>
  <conditionalFormatting sqref="J2:J1170">
    <cfRule type="cellIs" dxfId="5" priority="3" operator="lessThan">
      <formula>0</formula>
    </cfRule>
    <cfRule type="cellIs" dxfId="4" priority="4" operator="greaterThan">
      <formula>0</formula>
    </cfRule>
  </conditionalFormatting>
  <conditionalFormatting sqref="M2:M1170">
    <cfRule type="cellIs" dxfId="3" priority="1" operator="lessThan">
      <formula>30</formula>
    </cfRule>
    <cfRule type="cellIs" dxfId="2" priority="2" operator="greaterThan">
      <formula>70</formula>
    </cfRule>
  </conditionalFormatting>
  <conditionalFormatting sqref="R1:R1048576">
    <cfRule type="cellIs" dxfId="1" priority="5" operator="equal">
      <formula>"down"</formula>
    </cfRule>
    <cfRule type="cellIs" dxfId="0" priority="6" operator="equal">
      <formula>"up"</formula>
    </cfRule>
    <cfRule type="colorScale" priority="7">
      <colorScale>
        <cfvo type="min"/>
        <cfvo type="percentile" val="50"/>
        <cfvo type="max"/>
        <color rgb="FF63BE7B"/>
        <color rgb="FFFFEB84"/>
        <color rgb="FFF8696B"/>
      </colorScale>
    </cfRule>
    <cfRule type="colorScale" priority="8">
      <colorScale>
        <cfvo type="min"/>
        <cfvo type="max"/>
        <color rgb="FFFF7128"/>
        <color rgb="FFFFEF9C"/>
      </colorScale>
    </cfRule>
    <cfRule type="colorScale" priority="9">
      <colorScale>
        <cfvo type="min"/>
        <cfvo type="max"/>
        <color theme="9" tint="0.39997558519241921"/>
        <color rgb="FFC00000"/>
      </colorScale>
    </cfRule>
    <cfRule type="colorScale" priority="10">
      <colorScale>
        <cfvo type="min"/>
        <cfvo type="max"/>
        <color theme="9" tint="0.59999389629810485"/>
        <color rgb="FFC00000"/>
      </colorScale>
    </cfRule>
    <cfRule type="dataBar" priority="11">
      <dataBar>
        <cfvo type="min"/>
        <cfvo type="max"/>
        <color rgb="FF63C384"/>
      </dataBar>
      <extLst>
        <ext xmlns:x14="http://schemas.microsoft.com/office/spreadsheetml/2009/9/main" uri="{B025F937-C7B1-47D3-B67F-A62EFF666E3E}">
          <x14:id>{118A3327-5AD5-440A-99F6-E1D814A0A2CA}</x14:id>
        </ext>
      </extLst>
    </cfRule>
  </conditionalFormatting>
  <pageMargins left="0.7" right="0.7" top="0.75" bottom="0.75" header="0.3" footer="0.3"/>
  <ignoredErrors>
    <ignoredError sqref="V1171 BA684:BA858 BA1:BA683 T3:Z1170 AB3:AC1170" formulaRange="1"/>
  </ignoredErrors>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118A3327-5AD5-440A-99F6-E1D814A0A2CA}">
            <x14:dataBar minLength="0" maxLength="100" border="1" negativeBarBorderColorSameAsPositive="0">
              <x14:cfvo type="autoMin"/>
              <x14:cfvo type="autoMax"/>
              <x14:borderColor rgb="FF63C384"/>
              <x14:negativeFillColor rgb="FFFF0000"/>
              <x14:negativeBorderColor rgb="FFFF0000"/>
              <x14:axisColor rgb="FF000000"/>
            </x14:dataBar>
          </x14:cfRule>
          <xm:sqref>R1:R1048576</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Raw data</vt:lpstr>
      <vt:lpstr>Dash Board</vt:lpstr>
      <vt:lpstr>Pivot Table</vt:lpstr>
      <vt:lpstr>Charts</vt:lpstr>
      <vt:lpstr>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priyasavaliya20@outlook.com</dc:creator>
  <cp:lastModifiedBy>priyasavaliya20@outlook.com</cp:lastModifiedBy>
  <dcterms:created xsi:type="dcterms:W3CDTF">2026-03-19T13:49:06Z</dcterms:created>
  <dcterms:modified xsi:type="dcterms:W3CDTF">2026-03-23T04:49:05Z</dcterms:modified>
</cp:coreProperties>
</file>