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c136c9e14ba35254/Documents/"/>
    </mc:Choice>
  </mc:AlternateContent>
  <xr:revisionPtr revIDLastSave="800" documentId="8_{F20F2A8F-4A85-41C0-B224-D6E7CFD0DE47}" xr6:coauthVersionLast="47" xr6:coauthVersionMax="47" xr10:uidLastSave="{F984CD7A-BEAC-4AE2-9D3D-B5CFB7589BB3}"/>
  <bookViews>
    <workbookView xWindow="-108" yWindow="-108" windowWidth="23256" windowHeight="12456" activeTab="4" xr2:uid="{39C2D6D5-D5E2-46EB-8794-DC8FBE25D28C}"/>
  </bookViews>
  <sheets>
    <sheet name="Pivot table" sheetId="4" r:id="rId1"/>
    <sheet name="Analysis" sheetId="3" r:id="rId2"/>
    <sheet name="Raw data" sheetId="8" r:id="rId3"/>
    <sheet name="Charts" sheetId="9" r:id="rId4"/>
    <sheet name="Dash board" sheetId="10" r:id="rId5"/>
    <sheet name=" Data analysis Toolpak " sheetId="2" r:id="rId6"/>
  </sheets>
  <definedNames>
    <definedName name="Slicer_Customer_Name">#N/A</definedName>
    <definedName name="Slicer_Product_Category">#N/A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0" l="1"/>
  <c r="I6" i="10"/>
  <c r="F203" i="3"/>
  <c r="E203" i="3" s="1"/>
  <c r="M203" i="3"/>
  <c r="F6" i="10"/>
  <c r="A202" i="3"/>
  <c r="C6" i="10"/>
  <c r="F202" i="3"/>
  <c r="E202" i="3" s="1"/>
  <c r="M202" i="3"/>
  <c r="R4" i="3"/>
  <c r="R5" i="3"/>
  <c r="R3"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 i="3"/>
  <c r="N2" i="3" l="1"/>
  <c r="N203" i="3"/>
  <c r="L203" i="3"/>
  <c r="K203" i="3"/>
  <c r="N202" i="3"/>
  <c r="L202" i="3"/>
  <c r="K202" i="3"/>
  <c r="K201" i="3"/>
  <c r="E201" i="3"/>
  <c r="N201" i="3" s="1"/>
  <c r="K200" i="3"/>
  <c r="E200" i="3"/>
  <c r="N200" i="3" s="1"/>
  <c r="K199" i="3"/>
  <c r="E199" i="3"/>
  <c r="N199" i="3" s="1"/>
  <c r="K198" i="3"/>
  <c r="E198" i="3"/>
  <c r="N198" i="3" s="1"/>
  <c r="K197" i="3"/>
  <c r="E197" i="3"/>
  <c r="N197" i="3" s="1"/>
  <c r="K196" i="3"/>
  <c r="E196" i="3"/>
  <c r="N196" i="3" s="1"/>
  <c r="K195" i="3"/>
  <c r="E195" i="3"/>
  <c r="K194" i="3"/>
  <c r="E194" i="3"/>
  <c r="K193" i="3"/>
  <c r="E193" i="3"/>
  <c r="K192" i="3"/>
  <c r="E192" i="3"/>
  <c r="K191" i="3"/>
  <c r="E191" i="3"/>
  <c r="K190" i="3"/>
  <c r="E190" i="3"/>
  <c r="N190" i="3" s="1"/>
  <c r="K189" i="3"/>
  <c r="E189" i="3"/>
  <c r="K188" i="3"/>
  <c r="E188" i="3"/>
  <c r="K187" i="3"/>
  <c r="E187" i="3"/>
  <c r="K186" i="3"/>
  <c r="E186" i="3"/>
  <c r="K185" i="3"/>
  <c r="E185" i="3"/>
  <c r="K184" i="3"/>
  <c r="E184" i="3"/>
  <c r="N184" i="3" s="1"/>
  <c r="K183" i="3"/>
  <c r="E183" i="3"/>
  <c r="K182" i="3"/>
  <c r="E182" i="3"/>
  <c r="K181" i="3"/>
  <c r="E181" i="3"/>
  <c r="K180" i="3"/>
  <c r="E180" i="3"/>
  <c r="K179" i="3"/>
  <c r="E179" i="3"/>
  <c r="K178" i="3"/>
  <c r="E178" i="3"/>
  <c r="N178" i="3" s="1"/>
  <c r="K177" i="3"/>
  <c r="E177" i="3"/>
  <c r="K176" i="3"/>
  <c r="E176" i="3"/>
  <c r="K175" i="3"/>
  <c r="E175" i="3"/>
  <c r="K174" i="3"/>
  <c r="E174" i="3"/>
  <c r="K173" i="3"/>
  <c r="E173" i="3"/>
  <c r="K172" i="3"/>
  <c r="E172" i="3"/>
  <c r="N172" i="3" s="1"/>
  <c r="K171" i="3"/>
  <c r="E171" i="3"/>
  <c r="K170" i="3"/>
  <c r="E170" i="3"/>
  <c r="K169" i="3"/>
  <c r="E169" i="3"/>
  <c r="K168" i="3"/>
  <c r="E168" i="3"/>
  <c r="K167" i="3"/>
  <c r="E167" i="3"/>
  <c r="K166" i="3"/>
  <c r="E166" i="3"/>
  <c r="N166" i="3" s="1"/>
  <c r="K165" i="3"/>
  <c r="E165" i="3"/>
  <c r="K164" i="3"/>
  <c r="E164" i="3"/>
  <c r="K163" i="3"/>
  <c r="E163" i="3"/>
  <c r="K162" i="3"/>
  <c r="E162" i="3"/>
  <c r="K161" i="3"/>
  <c r="E161" i="3"/>
  <c r="K160" i="3"/>
  <c r="E160" i="3"/>
  <c r="N160" i="3" s="1"/>
  <c r="K159" i="3"/>
  <c r="E159" i="3"/>
  <c r="K158" i="3"/>
  <c r="E158" i="3"/>
  <c r="K157" i="3"/>
  <c r="E157" i="3"/>
  <c r="K156" i="3"/>
  <c r="E156" i="3"/>
  <c r="K155" i="3"/>
  <c r="E155" i="3"/>
  <c r="K154" i="3"/>
  <c r="E154" i="3"/>
  <c r="N154" i="3" s="1"/>
  <c r="K153" i="3"/>
  <c r="E153" i="3"/>
  <c r="K152" i="3"/>
  <c r="E152" i="3"/>
  <c r="K151" i="3"/>
  <c r="E151" i="3"/>
  <c r="K150" i="3"/>
  <c r="E150" i="3"/>
  <c r="K149" i="3"/>
  <c r="E149" i="3"/>
  <c r="K148" i="3"/>
  <c r="E148" i="3"/>
  <c r="N148" i="3" s="1"/>
  <c r="K147" i="3"/>
  <c r="E147" i="3"/>
  <c r="K146" i="3"/>
  <c r="E146" i="3"/>
  <c r="K145" i="3"/>
  <c r="E145" i="3"/>
  <c r="K144" i="3"/>
  <c r="E144" i="3"/>
  <c r="K143" i="3"/>
  <c r="E143" i="3"/>
  <c r="K142" i="3"/>
  <c r="E142" i="3"/>
  <c r="N142" i="3" s="1"/>
  <c r="K141" i="3"/>
  <c r="E141" i="3"/>
  <c r="K140" i="3"/>
  <c r="E140" i="3"/>
  <c r="K139" i="3"/>
  <c r="E139" i="3"/>
  <c r="K138" i="3"/>
  <c r="E138" i="3"/>
  <c r="K137" i="3"/>
  <c r="E137" i="3"/>
  <c r="K136" i="3"/>
  <c r="E136" i="3"/>
  <c r="N136" i="3" s="1"/>
  <c r="K135" i="3"/>
  <c r="E135" i="3"/>
  <c r="K134" i="3"/>
  <c r="E134" i="3"/>
  <c r="K133" i="3"/>
  <c r="E133" i="3"/>
  <c r="K132" i="3"/>
  <c r="E132" i="3"/>
  <c r="K131" i="3"/>
  <c r="E131" i="3"/>
  <c r="K130" i="3"/>
  <c r="E130" i="3"/>
  <c r="N130" i="3" s="1"/>
  <c r="K129" i="3"/>
  <c r="E129" i="3"/>
  <c r="K128" i="3"/>
  <c r="E128" i="3"/>
  <c r="K127" i="3"/>
  <c r="E127" i="3"/>
  <c r="K126" i="3"/>
  <c r="E126" i="3"/>
  <c r="K125" i="3"/>
  <c r="E125" i="3"/>
  <c r="K124" i="3"/>
  <c r="E124" i="3"/>
  <c r="N124" i="3" s="1"/>
  <c r="K123" i="3"/>
  <c r="E123" i="3"/>
  <c r="K122" i="3"/>
  <c r="E122" i="3"/>
  <c r="K121" i="3"/>
  <c r="E121" i="3"/>
  <c r="K120" i="3"/>
  <c r="E120" i="3"/>
  <c r="K119" i="3"/>
  <c r="E119" i="3"/>
  <c r="K118" i="3"/>
  <c r="E118" i="3"/>
  <c r="N118" i="3" s="1"/>
  <c r="K117" i="3"/>
  <c r="E117" i="3"/>
  <c r="K116" i="3"/>
  <c r="E116" i="3"/>
  <c r="K115" i="3"/>
  <c r="E115" i="3"/>
  <c r="K114" i="3"/>
  <c r="E114" i="3"/>
  <c r="K113" i="3"/>
  <c r="E113" i="3"/>
  <c r="K112" i="3"/>
  <c r="E112" i="3"/>
  <c r="N112" i="3" s="1"/>
  <c r="K111" i="3"/>
  <c r="E111" i="3"/>
  <c r="K110" i="3"/>
  <c r="E110" i="3"/>
  <c r="K109" i="3"/>
  <c r="E109" i="3"/>
  <c r="K108" i="3"/>
  <c r="E108" i="3"/>
  <c r="K107" i="3"/>
  <c r="E107" i="3"/>
  <c r="K106" i="3"/>
  <c r="E106" i="3"/>
  <c r="N106" i="3" s="1"/>
  <c r="K105" i="3"/>
  <c r="E105" i="3"/>
  <c r="K104" i="3"/>
  <c r="E104" i="3"/>
  <c r="K103" i="3"/>
  <c r="E103" i="3"/>
  <c r="K102" i="3"/>
  <c r="E102" i="3"/>
  <c r="K101" i="3"/>
  <c r="E101" i="3"/>
  <c r="K100" i="3"/>
  <c r="E100" i="3"/>
  <c r="N100" i="3" s="1"/>
  <c r="K99" i="3"/>
  <c r="E99" i="3"/>
  <c r="K98" i="3"/>
  <c r="E98" i="3"/>
  <c r="K97" i="3"/>
  <c r="E97" i="3"/>
  <c r="K96" i="3"/>
  <c r="E96" i="3"/>
  <c r="K95" i="3"/>
  <c r="E95" i="3"/>
  <c r="K94" i="3"/>
  <c r="E94" i="3"/>
  <c r="N94" i="3" s="1"/>
  <c r="K93" i="3"/>
  <c r="E93" i="3"/>
  <c r="K92" i="3"/>
  <c r="E92" i="3"/>
  <c r="K91" i="3"/>
  <c r="E91" i="3"/>
  <c r="K90" i="3"/>
  <c r="E90" i="3"/>
  <c r="K89" i="3"/>
  <c r="E89" i="3"/>
  <c r="K88" i="3"/>
  <c r="E88" i="3"/>
  <c r="N88" i="3" s="1"/>
  <c r="K87" i="3"/>
  <c r="E87" i="3"/>
  <c r="K86" i="3"/>
  <c r="E86" i="3"/>
  <c r="K85" i="3"/>
  <c r="E85" i="3"/>
  <c r="K84" i="3"/>
  <c r="E84" i="3"/>
  <c r="K83" i="3"/>
  <c r="E83" i="3"/>
  <c r="K82" i="3"/>
  <c r="E82" i="3"/>
  <c r="N82" i="3" s="1"/>
  <c r="K81" i="3"/>
  <c r="E81" i="3"/>
  <c r="K80" i="3"/>
  <c r="E80" i="3"/>
  <c r="K79" i="3"/>
  <c r="E79" i="3"/>
  <c r="K78" i="3"/>
  <c r="E78" i="3"/>
  <c r="K77" i="3"/>
  <c r="E77" i="3"/>
  <c r="K76" i="3"/>
  <c r="E76" i="3"/>
  <c r="N76" i="3" s="1"/>
  <c r="K75" i="3"/>
  <c r="E75" i="3"/>
  <c r="K74" i="3"/>
  <c r="E74" i="3"/>
  <c r="K73" i="3"/>
  <c r="E73" i="3"/>
  <c r="K72" i="3"/>
  <c r="E72" i="3"/>
  <c r="K71" i="3"/>
  <c r="E71" i="3"/>
  <c r="K70" i="3"/>
  <c r="E70" i="3"/>
  <c r="N70" i="3" s="1"/>
  <c r="K69" i="3"/>
  <c r="E69" i="3"/>
  <c r="K68" i="3"/>
  <c r="E68" i="3"/>
  <c r="K67" i="3"/>
  <c r="E67" i="3"/>
  <c r="K66" i="3"/>
  <c r="E66" i="3"/>
  <c r="K65" i="3"/>
  <c r="E65" i="3"/>
  <c r="K64" i="3"/>
  <c r="E64" i="3"/>
  <c r="N64" i="3" s="1"/>
  <c r="K63" i="3"/>
  <c r="E63" i="3"/>
  <c r="K62" i="3"/>
  <c r="E62" i="3"/>
  <c r="K61" i="3"/>
  <c r="E61" i="3"/>
  <c r="K60" i="3"/>
  <c r="E60" i="3"/>
  <c r="K59" i="3"/>
  <c r="E59" i="3"/>
  <c r="K58" i="3"/>
  <c r="E58" i="3"/>
  <c r="N58" i="3" s="1"/>
  <c r="K57" i="3"/>
  <c r="E57" i="3"/>
  <c r="K56" i="3"/>
  <c r="E56" i="3"/>
  <c r="K55" i="3"/>
  <c r="E55" i="3"/>
  <c r="K54" i="3"/>
  <c r="E54" i="3"/>
  <c r="K53" i="3"/>
  <c r="E53" i="3"/>
  <c r="K52" i="3"/>
  <c r="E52" i="3"/>
  <c r="N52" i="3" s="1"/>
  <c r="K51" i="3"/>
  <c r="E51" i="3"/>
  <c r="K50" i="3"/>
  <c r="E50" i="3"/>
  <c r="K49" i="3"/>
  <c r="E49" i="3"/>
  <c r="K48" i="3"/>
  <c r="E48" i="3"/>
  <c r="K47" i="3"/>
  <c r="E47" i="3"/>
  <c r="K46" i="3"/>
  <c r="E46" i="3"/>
  <c r="N46" i="3" s="1"/>
  <c r="K45" i="3"/>
  <c r="E45" i="3"/>
  <c r="K44" i="3"/>
  <c r="E44" i="3"/>
  <c r="K43" i="3"/>
  <c r="E43" i="3"/>
  <c r="K42" i="3"/>
  <c r="E42" i="3"/>
  <c r="K41" i="3"/>
  <c r="E41" i="3"/>
  <c r="K40" i="3"/>
  <c r="E40" i="3"/>
  <c r="N40" i="3" s="1"/>
  <c r="K39" i="3"/>
  <c r="E39" i="3"/>
  <c r="K38" i="3"/>
  <c r="E38" i="3"/>
  <c r="K37" i="3"/>
  <c r="E37" i="3"/>
  <c r="K36" i="3"/>
  <c r="E36" i="3"/>
  <c r="K35" i="3"/>
  <c r="E35" i="3"/>
  <c r="K34" i="3"/>
  <c r="E34" i="3"/>
  <c r="N34" i="3" s="1"/>
  <c r="K33" i="3"/>
  <c r="E33" i="3"/>
  <c r="K32" i="3"/>
  <c r="E32" i="3"/>
  <c r="K31" i="3"/>
  <c r="E31" i="3"/>
  <c r="K30" i="3"/>
  <c r="E30" i="3"/>
  <c r="K29" i="3"/>
  <c r="E29" i="3"/>
  <c r="K28" i="3"/>
  <c r="E28" i="3"/>
  <c r="N28" i="3" s="1"/>
  <c r="K27" i="3"/>
  <c r="E27" i="3"/>
  <c r="K26" i="3"/>
  <c r="E26" i="3"/>
  <c r="K25" i="3"/>
  <c r="E25" i="3"/>
  <c r="K24" i="3"/>
  <c r="E24" i="3"/>
  <c r="K23" i="3"/>
  <c r="E23" i="3"/>
  <c r="K22" i="3"/>
  <c r="E22" i="3"/>
  <c r="N22" i="3" s="1"/>
  <c r="K21" i="3"/>
  <c r="E21" i="3"/>
  <c r="K20" i="3"/>
  <c r="E20" i="3"/>
  <c r="K19" i="3"/>
  <c r="E19" i="3"/>
  <c r="K18" i="3"/>
  <c r="E18" i="3"/>
  <c r="K17" i="3"/>
  <c r="E17" i="3"/>
  <c r="K16" i="3"/>
  <c r="E16" i="3"/>
  <c r="N16" i="3" s="1"/>
  <c r="K15" i="3"/>
  <c r="E15" i="3"/>
  <c r="K14" i="3"/>
  <c r="E14" i="3"/>
  <c r="K13" i="3"/>
  <c r="E13" i="3"/>
  <c r="K12" i="3"/>
  <c r="E12" i="3"/>
  <c r="K11" i="3"/>
  <c r="E11" i="3"/>
  <c r="K10" i="3"/>
  <c r="E10" i="3"/>
  <c r="N10" i="3" s="1"/>
  <c r="K9" i="3"/>
  <c r="E9" i="3"/>
  <c r="K8" i="3"/>
  <c r="E8" i="3"/>
  <c r="K7" i="3"/>
  <c r="E7" i="3"/>
  <c r="K6" i="3"/>
  <c r="E6" i="3"/>
  <c r="K5" i="3"/>
  <c r="E5" i="3"/>
  <c r="K4" i="3"/>
  <c r="E4" i="3"/>
  <c r="N4" i="3" s="1"/>
  <c r="K3" i="3"/>
  <c r="E3" i="3"/>
  <c r="K2" i="3"/>
  <c r="E2" i="3"/>
  <c r="N5" i="3" l="1"/>
  <c r="N11" i="3"/>
  <c r="N17" i="3"/>
  <c r="N23" i="3"/>
  <c r="N29" i="3"/>
  <c r="N35" i="3"/>
  <c r="N41" i="3"/>
  <c r="N47" i="3"/>
  <c r="N53" i="3"/>
  <c r="N59" i="3"/>
  <c r="N65" i="3"/>
  <c r="N71" i="3"/>
  <c r="N77" i="3"/>
  <c r="N83" i="3"/>
  <c r="N89" i="3"/>
  <c r="N95" i="3"/>
  <c r="N101" i="3"/>
  <c r="N107" i="3"/>
  <c r="N113" i="3"/>
  <c r="N119" i="3"/>
  <c r="N125" i="3"/>
  <c r="N131" i="3"/>
  <c r="N137" i="3"/>
  <c r="N143" i="3"/>
  <c r="N149" i="3"/>
  <c r="N155" i="3"/>
  <c r="N161" i="3"/>
  <c r="N167" i="3"/>
  <c r="N173" i="3"/>
  <c r="N179" i="3"/>
  <c r="N185" i="3"/>
  <c r="N191" i="3"/>
  <c r="N6" i="3"/>
  <c r="N12" i="3"/>
  <c r="N18" i="3"/>
  <c r="N24" i="3"/>
  <c r="N30" i="3"/>
  <c r="N36" i="3"/>
  <c r="N42" i="3"/>
  <c r="N48" i="3"/>
  <c r="N54" i="3"/>
  <c r="N60" i="3"/>
  <c r="N66" i="3"/>
  <c r="N72" i="3"/>
  <c r="N78" i="3"/>
  <c r="N84" i="3"/>
  <c r="N90" i="3"/>
  <c r="N96" i="3"/>
  <c r="N102" i="3"/>
  <c r="N108" i="3"/>
  <c r="N114" i="3"/>
  <c r="N120" i="3"/>
  <c r="N126" i="3"/>
  <c r="N132" i="3"/>
  <c r="N138" i="3"/>
  <c r="N144" i="3"/>
  <c r="N150" i="3"/>
  <c r="N156" i="3"/>
  <c r="N162" i="3"/>
  <c r="N168" i="3"/>
  <c r="N174" i="3"/>
  <c r="N180" i="3"/>
  <c r="N186" i="3"/>
  <c r="N192" i="3"/>
  <c r="N7" i="3"/>
  <c r="N13" i="3"/>
  <c r="N19" i="3"/>
  <c r="N25" i="3"/>
  <c r="N31" i="3"/>
  <c r="N37" i="3"/>
  <c r="N43" i="3"/>
  <c r="N49" i="3"/>
  <c r="N55" i="3"/>
  <c r="N61" i="3"/>
  <c r="N67" i="3"/>
  <c r="N73" i="3"/>
  <c r="N79" i="3"/>
  <c r="N85" i="3"/>
  <c r="N91" i="3"/>
  <c r="N97" i="3"/>
  <c r="N103" i="3"/>
  <c r="N109" i="3"/>
  <c r="N115" i="3"/>
  <c r="N121" i="3"/>
  <c r="N127" i="3"/>
  <c r="N133" i="3"/>
  <c r="N139" i="3"/>
  <c r="N145" i="3"/>
  <c r="N151" i="3"/>
  <c r="N157" i="3"/>
  <c r="N163" i="3"/>
  <c r="N169" i="3"/>
  <c r="N175" i="3"/>
  <c r="N181" i="3"/>
  <c r="N187" i="3"/>
  <c r="N193" i="3"/>
  <c r="N8" i="3"/>
  <c r="N14" i="3"/>
  <c r="N20" i="3"/>
  <c r="N26" i="3"/>
  <c r="N32" i="3"/>
  <c r="N38" i="3"/>
  <c r="N44" i="3"/>
  <c r="N50" i="3"/>
  <c r="N56" i="3"/>
  <c r="N62" i="3"/>
  <c r="N68" i="3"/>
  <c r="N74" i="3"/>
  <c r="N80" i="3"/>
  <c r="N86" i="3"/>
  <c r="N92" i="3"/>
  <c r="N98" i="3"/>
  <c r="N104" i="3"/>
  <c r="N110" i="3"/>
  <c r="N116" i="3"/>
  <c r="N122" i="3"/>
  <c r="N128" i="3"/>
  <c r="N134" i="3"/>
  <c r="N140" i="3"/>
  <c r="N146" i="3"/>
  <c r="N152" i="3"/>
  <c r="N158" i="3"/>
  <c r="N164" i="3"/>
  <c r="N170" i="3"/>
  <c r="N176" i="3"/>
  <c r="N182" i="3"/>
  <c r="N188" i="3"/>
  <c r="N194" i="3"/>
  <c r="N9" i="3"/>
  <c r="N15" i="3"/>
  <c r="N21" i="3"/>
  <c r="N27" i="3"/>
  <c r="N33" i="3"/>
  <c r="N39" i="3"/>
  <c r="N45" i="3"/>
  <c r="N51" i="3"/>
  <c r="N57" i="3"/>
  <c r="N63" i="3"/>
  <c r="N69" i="3"/>
  <c r="N75" i="3"/>
  <c r="N81" i="3"/>
  <c r="N87" i="3"/>
  <c r="N93" i="3"/>
  <c r="N99" i="3"/>
  <c r="N105" i="3"/>
  <c r="N111" i="3"/>
  <c r="N117" i="3"/>
  <c r="N123" i="3"/>
  <c r="N129" i="3"/>
  <c r="N135" i="3"/>
  <c r="N141" i="3"/>
  <c r="N147" i="3"/>
  <c r="N153" i="3"/>
  <c r="N159" i="3"/>
  <c r="N165" i="3"/>
  <c r="N171" i="3"/>
  <c r="N177" i="3"/>
  <c r="N183" i="3"/>
  <c r="N189" i="3"/>
  <c r="N195" i="3"/>
  <c r="N3" i="3"/>
</calcChain>
</file>

<file path=xl/sharedStrings.xml><?xml version="1.0" encoding="utf-8"?>
<sst xmlns="http://schemas.openxmlformats.org/spreadsheetml/2006/main" count="1715" uniqueCount="155">
  <si>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</si>
  <si>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</si>
  <si>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</si>
  <si>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</si>
  <si>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</si>
  <si>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</si>
  <si>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</si>
  <si>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</si>
  <si>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</si>
  <si>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</si>
  <si>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</si>
  <si>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</si>
  <si>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</si>
  <si>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</si>
  <si>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</si>
  <si>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</si>
  <si>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</si>
  <si>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</si>
  <si>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</si>
  <si>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</si>
  <si>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</si>
  <si>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</si>
  <si>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</si>
  <si>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</si>
  <si>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</si>
  <si>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</si>
  <si>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</si>
  <si>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</si>
  <si>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</si>
  <si>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</si>
  <si>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</si>
  <si>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</si>
  <si>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</si>
  <si>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</si>
  <si>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</si>
  <si>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</si>
  <si>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</si>
  <si>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</si>
  <si>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</si>
  <si>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</si>
  <si>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</si>
  <si>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</si>
  <si>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</si>
  <si>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</si>
  <si>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</si>
  <si>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</si>
  <si>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</si>
  <si>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</si>
  <si>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</si>
  <si>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</si>
  <si>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</si>
  <si>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</si>
  <si>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</si>
  <si>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</si>
  <si>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</si>
  <si>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</si>
  <si>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</si>
  <si>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</si>
  <si>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</si>
  <si>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</si>
  <si>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</si>
  <si>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</si>
  <si>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</si>
  <si>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</si>
  <si>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</si>
  <si>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</si>
  <si>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</si>
  <si>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</si>
  <si>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</si>
  <si>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</si>
  <si>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</si>
  <si>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</si>
  <si>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</si>
  <si>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</si>
  <si>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</si>
  <si>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</si>
  <si>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Purchase</t>
  </si>
  <si>
    <t>Profit Result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</si>
  <si>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</si>
  <si>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</si>
  <si>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</si>
  <si>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</si>
  <si>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</si>
  <si>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</si>
  <si>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</si>
  <si>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</si>
  <si>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</si>
  <si>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</si>
  <si>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</si>
  <si>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</si>
  <si>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</si>
  <si>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</si>
  <si>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</si>
  <si>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</si>
  <si>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</si>
  <si>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</si>
  <si>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</si>
  <si>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</si>
  <si>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</si>
  <si>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</si>
  <si>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</si>
  <si>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</si>
  <si>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3. Use Data Analysis Toolpak to run Linear Regression (Profit vs Sales).</t>
  </si>
  <si>
    <t>Mean</t>
  </si>
  <si>
    <t>Median</t>
  </si>
  <si>
    <t>Mode</t>
  </si>
  <si>
    <t>Standard Deviation</t>
  </si>
  <si>
    <t>Sample Variance</t>
  </si>
  <si>
    <t>Kurtosis</t>
  </si>
  <si>
    <t>Skewness</t>
  </si>
  <si>
    <t>Range</t>
  </si>
  <si>
    <t>Minimum</t>
  </si>
  <si>
    <t>Maximum</t>
  </si>
  <si>
    <t>Sum</t>
  </si>
  <si>
    <t>Count</t>
  </si>
  <si>
    <t>4. Use 'Descriptive Statistics' from Analysis Toolpak on the dataset.</t>
  </si>
  <si>
    <t xml:space="preserve">                          Sales</t>
  </si>
  <si>
    <t>Growth</t>
  </si>
  <si>
    <t>Timestamp</t>
  </si>
  <si>
    <t>High Value Customer</t>
  </si>
  <si>
    <t>F2</t>
  </si>
  <si>
    <t>F3</t>
  </si>
  <si>
    <t>F4</t>
  </si>
  <si>
    <t>discount before &amp; after change</t>
  </si>
  <si>
    <t xml:space="preserve">          BEFORE</t>
  </si>
  <si>
    <t xml:space="preserve">           AFTER</t>
  </si>
  <si>
    <t xml:space="preserve">                Discount change leads to change in profit</t>
  </si>
  <si>
    <t xml:space="preserve">      after changing :-</t>
  </si>
  <si>
    <t xml:space="preserve">    before changing :-</t>
  </si>
  <si>
    <t>Row Labels</t>
  </si>
  <si>
    <t>Grand Total</t>
  </si>
  <si>
    <t>Sum of Sales</t>
  </si>
  <si>
    <t>(Region Sales)</t>
  </si>
  <si>
    <t>(Product Category  Sales)</t>
  </si>
  <si>
    <t>Jan</t>
  </si>
  <si>
    <t>Feb</t>
  </si>
  <si>
    <t>Mar</t>
  </si>
  <si>
    <t>Apr</t>
  </si>
  <si>
    <t>May</t>
  </si>
  <si>
    <t>Jun</t>
  </si>
  <si>
    <t>Jul</t>
  </si>
  <si>
    <t>Aug</t>
  </si>
  <si>
    <t>Sep</t>
  </si>
  <si>
    <t>Oct</t>
  </si>
  <si>
    <t>Nov</t>
  </si>
  <si>
    <t>Dec</t>
  </si>
  <si>
    <t>(Sales Trends)</t>
  </si>
  <si>
    <t xml:space="preserve">  SUMMARY OUTPUT</t>
  </si>
  <si>
    <t>Total sales</t>
  </si>
  <si>
    <t>total sale</t>
  </si>
  <si>
    <t>Total orders</t>
  </si>
  <si>
    <t>total orders</t>
  </si>
  <si>
    <t>Hightest sale</t>
  </si>
  <si>
    <t>highest sale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</si>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</sst>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sz val="11"/>
      <color theme="1"/>
      <name val="Aptos Narrow"/>
      <family val="2"/>
      <scheme val="minor"/>
    </font>
    <font>
      <sz val="11"/>
      <color theme="0"/>
      <name val="Aptos Narrow"/>
      <family val="2"/>
      <scheme val="minor"/>
    </font>
    <font>
      <i/>
      <sz val="11"/>
      <color theme="1"/>
      <name val="Aptos Narrow"/>
      <family val="2"/>
      <scheme val="minor"/>
    </font>
    <font>
      <sz val="16"/>
      <color theme="1"/>
      <name val="Aptos Narrow"/>
      <family val="2"/>
      <scheme val="minor"/>
    </font>
    <font>
      <sz val="18"/>
      <color theme="1"/>
      <name val="Aptos Narrow"/>
      <family val="2"/>
      <scheme val="minor"/>
    </font>
    <font>
      <sz val="14"/>
      <color theme="1"/>
      <name val="Aptos Narrow"/>
      <family val="2"/>
      <scheme val="minor"/>
    </font>
    <font>
      <i/>
      <sz val="16"/>
      <color theme="1"/>
      <name val="Aptos Narrow"/>
      <family val="2"/>
      <scheme val="minor"/>
    </font>
    <font>
      <sz val="20"/>
      <color theme="1"/>
      <name val="Aptos Narrow"/>
      <family val="2"/>
      <scheme val="minor"/>
    </font>
    <font>
      <sz val="20"/>
      <color theme="0"/>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8" tint="-0.249977111117893"/>
        <bgColor indexed="64"/>
      </patternFill>
    </fill>
  </fills>
  <borders count="17">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diagonal/>
    </border>
  </borders>
  <cellStyleXfs count="2">
    <xf numFmtId="0" fontId="0" fillId="0" borderId="0"/>
    <xf numFmtId="9" fontId="4" fillId="0" borderId="0" applyFont="0" applyFill="0" applyBorder="0" applyAlignment="0" applyProtection="0"/>
  </cellStyleXfs>
  <cellXfs count="56">
    <xf numFmtId="0" fontId="0" fillId="0" borderId="0" xfId="0"/>
    <xf numFmtId="0" fontId="2" fillId="0" borderId="1" xfId="0" applyFont="1" applyBorder="1" applyAlignment="1">
      <alignment horizontal="center" wrapText="1"/>
    </xf>
    <xf numFmtId="0" fontId="3" fillId="0" borderId="1" xfId="0" applyFont="1" applyBorder="1" applyAlignment="1">
      <alignment horizontal="center" wrapText="1"/>
    </xf>
    <xf numFmtId="14" fontId="3" fillId="0" borderId="1" xfId="0" applyNumberFormat="1" applyFont="1" applyBorder="1" applyAlignment="1">
      <alignment horizontal="center" wrapText="1"/>
    </xf>
    <xf numFmtId="9" fontId="0" fillId="0" borderId="0" xfId="1" applyFont="1"/>
    <xf numFmtId="0" fontId="0" fillId="0" borderId="0" xfId="0" applyAlignment="1">
      <alignment horizontal="center"/>
    </xf>
    <xf numFmtId="0" fontId="0" fillId="2" borderId="0" xfId="0" applyFill="1"/>
    <xf numFmtId="0" fontId="0" fillId="3" borderId="0" xfId="0" applyFill="1"/>
    <xf numFmtId="0" fontId="0" fillId="2" borderId="4" xfId="0" applyFill="1" applyBorder="1"/>
    <xf numFmtId="0" fontId="0" fillId="2" borderId="8" xfId="0" applyFill="1" applyBorder="1"/>
    <xf numFmtId="0" fontId="0" fillId="2" borderId="3" xfId="0" applyFill="1" applyBorder="1"/>
    <xf numFmtId="0" fontId="0" fillId="2" borderId="9" xfId="0" applyFill="1" applyBorder="1"/>
    <xf numFmtId="0" fontId="0" fillId="3" borderId="10" xfId="0" applyFill="1" applyBorder="1"/>
    <xf numFmtId="0" fontId="0" fillId="2" borderId="10" xfId="0" applyFill="1" applyBorder="1"/>
    <xf numFmtId="0" fontId="0" fillId="3" borderId="11" xfId="0" applyFill="1" applyBorder="1"/>
    <xf numFmtId="0" fontId="0" fillId="3" borderId="12" xfId="0" applyFill="1" applyBorder="1"/>
    <xf numFmtId="0" fontId="0" fillId="3" borderId="13" xfId="0" applyFill="1" applyBorder="1"/>
    <xf numFmtId="0" fontId="0" fillId="2" borderId="5" xfId="0" applyFill="1" applyBorder="1"/>
    <xf numFmtId="0" fontId="0" fillId="2" borderId="11" xfId="0" applyFill="1" applyBorder="1"/>
    <xf numFmtId="0" fontId="0" fillId="2" borderId="12" xfId="0" applyFill="1" applyBorder="1" applyAlignment="1">
      <alignment horizontal="center"/>
    </xf>
    <xf numFmtId="0" fontId="0" fillId="2" borderId="13" xfId="0" applyFill="1" applyBorder="1"/>
    <xf numFmtId="0" fontId="0" fillId="2" borderId="6" xfId="0" applyFill="1" applyBorder="1"/>
    <xf numFmtId="0" fontId="0" fillId="2" borderId="2" xfId="0" applyFill="1" applyBorder="1"/>
    <xf numFmtId="0" fontId="0" fillId="2" borderId="7" xfId="0" applyFill="1" applyBorder="1"/>
    <xf numFmtId="0" fontId="1" fillId="3" borderId="0" xfId="0" applyFont="1" applyFill="1" applyAlignment="1">
      <alignment horizontal="center"/>
    </xf>
    <xf numFmtId="9" fontId="1" fillId="3" borderId="0" xfId="1" applyFont="1" applyFill="1" applyAlignment="1">
      <alignment horizontal="center"/>
    </xf>
    <xf numFmtId="0" fontId="2" fillId="3" borderId="14" xfId="0" applyFont="1" applyFill="1" applyBorder="1" applyAlignment="1">
      <alignment horizontal="center" wrapText="1"/>
    </xf>
    <xf numFmtId="0" fontId="2" fillId="3" borderId="15" xfId="0" applyFont="1" applyFill="1" applyBorder="1" applyAlignment="1">
      <alignment horizontal="center" wrapText="1"/>
    </xf>
    <xf numFmtId="0" fontId="3" fillId="0" borderId="10" xfId="0" applyFont="1" applyBorder="1" applyAlignment="1">
      <alignment horizontal="center" wrapText="1"/>
    </xf>
    <xf numFmtId="14" fontId="3" fillId="0" borderId="10" xfId="0" applyNumberFormat="1" applyFont="1" applyBorder="1" applyAlignment="1">
      <alignment horizontal="center" wrapText="1"/>
    </xf>
    <xf numFmtId="0" fontId="0" fillId="0" borderId="10" xfId="0" applyBorder="1" applyAlignment="1">
      <alignment horizontal="center"/>
    </xf>
    <xf numFmtId="9" fontId="0" fillId="0" borderId="10" xfId="1" applyFont="1" applyBorder="1" applyAlignment="1">
      <alignment horizontal="center"/>
    </xf>
    <xf numFmtId="22" fontId="0" fillId="0" borderId="10" xfId="0" applyNumberFormat="1" applyBorder="1" applyAlignment="1">
      <alignment horizontal="center"/>
    </xf>
    <xf numFmtId="0" fontId="7" fillId="2" borderId="0" xfId="0" applyFont="1" applyFill="1"/>
    <xf numFmtId="0" fontId="8" fillId="3" borderId="0" xfId="0" applyFont="1" applyFill="1"/>
    <xf numFmtId="0" fontId="5" fillId="3" borderId="0" xfId="0" applyFont="1" applyFill="1"/>
    <xf numFmtId="0" fontId="0" fillId="3" borderId="0" xfId="0" applyFill="1" applyAlignment="1">
      <alignment horizontal="center"/>
    </xf>
    <xf numFmtId="0" fontId="6" fillId="2" borderId="3" xfId="0" applyFont="1" applyFill="1" applyBorder="1"/>
    <xf numFmtId="0" fontId="0" fillId="2" borderId="0" xfId="0" applyFill="1" applyAlignment="1">
      <alignment horizontal="center"/>
    </xf>
    <xf numFmtId="0" fontId="6" fillId="2" borderId="3" xfId="0" applyFont="1" applyFill="1" applyBorder="1" applyAlignment="1">
      <alignment horizontal="center"/>
    </xf>
    <xf numFmtId="0" fontId="0" fillId="2" borderId="2" xfId="0" applyFill="1" applyBorder="1" applyAlignment="1">
      <alignment horizontal="center"/>
    </xf>
    <xf numFmtId="0" fontId="10" fillId="3" borderId="3" xfId="0" applyFont="1" applyFill="1" applyBorder="1" applyAlignment="1">
      <alignment horizontal="center"/>
    </xf>
    <xf numFmtId="0" fontId="0" fillId="2" borderId="10" xfId="0" applyFill="1" applyBorder="1" applyAlignment="1">
      <alignment horizontal="center"/>
    </xf>
    <xf numFmtId="0" fontId="0" fillId="0" borderId="10" xfId="0" pivotButton="1" applyBorder="1" applyAlignment="1">
      <alignment horizontal="center"/>
    </xf>
    <xf numFmtId="0" fontId="9" fillId="0" borderId="0" xfId="0" applyFont="1" applyAlignment="1">
      <alignment horizontal="center"/>
    </xf>
    <xf numFmtId="0" fontId="8" fillId="3" borderId="0" xfId="0" applyFont="1" applyFill="1" applyAlignment="1">
      <alignment horizontal="center"/>
    </xf>
    <xf numFmtId="0" fontId="3" fillId="0" borderId="16" xfId="0" applyFont="1" applyBorder="1" applyAlignment="1">
      <alignment horizontal="center" wrapText="1"/>
    </xf>
    <xf numFmtId="14" fontId="3" fillId="0" borderId="16" xfId="0" applyNumberFormat="1" applyFont="1" applyBorder="1" applyAlignment="1">
      <alignment horizontal="center" wrapText="1"/>
    </xf>
    <xf numFmtId="0" fontId="0" fillId="0" borderId="16" xfId="0" applyBorder="1" applyAlignment="1">
      <alignment horizontal="center"/>
    </xf>
    <xf numFmtId="9" fontId="0" fillId="0" borderId="16" xfId="1" applyFont="1" applyBorder="1" applyAlignment="1">
      <alignment horizontal="center"/>
    </xf>
    <xf numFmtId="22" fontId="0" fillId="0" borderId="16" xfId="0" applyNumberFormat="1" applyBorder="1" applyAlignment="1">
      <alignment horizontal="center"/>
    </xf>
    <xf numFmtId="0" fontId="11" fillId="0" borderId="0" xfId="0" applyFont="1"/>
    <xf numFmtId="0" fontId="11" fillId="4" borderId="0" xfId="0" applyFont="1" applyFill="1" applyAlignment="1">
      <alignment horizontal="center"/>
    </xf>
    <xf numFmtId="0" fontId="11" fillId="4" borderId="0" xfId="0" applyFont="1" applyFill="1"/>
    <xf numFmtId="0" fontId="12" fillId="4" borderId="0" xfId="0" applyFont="1" applyFill="1" applyAlignment="1">
      <alignment horizontal="center"/>
    </xf>
    <xf numFmtId="0" fontId="0" fillId="0" borderId="10" xfId="0" applyNumberFormat="1" applyBorder="1" applyAlignment="1">
      <alignment horizontal="center"/>
    </xf>
  </cellXfs>
  <cellStyles count="2">
    <cellStyle name="Normal" xfId="0" builtinId="0"/>
    <cellStyle name="Percent" xfId="1" builtinId="5"/>
  </cellStyles>
  <dxfs count="571">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CCCCCC"/>
        </left>
      </border>
    </dxf>
    <dxf>
      <font>
        <b/>
        <i val="0"/>
        <strike val="0"/>
        <condense val="0"/>
        <extend val="0"/>
        <outline val="0"/>
        <shadow val="0"/>
        <u val="none"/>
        <vertAlign val="baseline"/>
        <sz val="11"/>
        <color theme="1"/>
        <name val="Aptos Narrow"/>
        <family val="2"/>
        <scheme val="minor"/>
      </font>
      <fill>
        <patternFill patternType="solid">
          <fgColor indexed="64"/>
          <bgColor theme="8" tint="0.5999938962981048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[PR_2_SALE_DASHBOARD.xlsx]Pivot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sale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5"/>
            </a:solidFill>
            <a:ln>
              <a:noFill/>
            </a:ln>
            <a:effectLst/>
          </c:spPr>
          <c:invertIfNegative val="0"/>
          <c:cat>
            <c:strRef>
              <c:f>'Pivot table'!$A$4:$A$9</c:f>
              <c:strCache>
                <c:ptCount val="5"/>
                <c:pt idx="0">
                  <c:v>Central</c:v>
                </c:pt>
                <c:pt idx="1">
                  <c:v>East</c:v>
                </c:pt>
                <c:pt idx="2">
                  <c:v>North</c:v>
                </c:pt>
                <c:pt idx="3">
                  <c:v>South</c:v>
                </c:pt>
                <c:pt idx="4">
                  <c:v>West</c:v>
                </c:pt>
              </c:strCache>
            </c:strRef>
          </c:cat>
          <c:val>
            <c:numRef>
              <c:f>'Pivot table'!$B$4:$B$9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5ADB-4DBA-B034-D0825A00A303}"/>
            </c:ext>
          </c:extLst>
        </c:ser>
        <c:dLbls>
          <c:showLegendKey val="0"/>
          <c:showVal val="0"/>
          <c:showCatName val="0"/>
          <c:showSerName val="0"/>
          <c:showPercent val="0"/>
          <c:showBubbleSize val="0"/>
        </c:dLbls>
        <c:gapWidth val="182"/>
        <c:axId val="382221024"/>
        <c:axId val="382234944"/>
      </c:barChart>
      <c:catAx>
        <c:axId val="38222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34944"/>
        <c:crosses val="autoZero"/>
        <c:auto val="1"/>
        <c:lblAlgn val="ctr"/>
        <c:lblOffset val="100"/>
        <c:noMultiLvlLbl val="0"/>
      </c:catAx>
      <c:valAx>
        <c:axId val="382234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2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[PR_2_SALE_DASHBOARD.xlsx]Pivot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tint val="54000"/>
            </a:schemeClr>
          </a:solidFill>
          <a:ln w="19050">
            <a:solidFill>
              <a:schemeClr val="lt1"/>
            </a:solidFill>
          </a:ln>
          <a:effectLst/>
        </c:spPr>
      </c:pivotFmt>
      <c:pivotFmt>
        <c:idx val="3"/>
        <c:spPr>
          <a:solidFill>
            <a:schemeClr val="accent5">
              <a:tint val="77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hade val="76000"/>
            </a:schemeClr>
          </a:solidFill>
          <a:ln w="19050">
            <a:solidFill>
              <a:schemeClr val="lt1"/>
            </a:solidFill>
          </a:ln>
          <a:effectLst/>
        </c:spPr>
      </c:pivotFmt>
      <c:pivotFmt>
        <c:idx val="6"/>
        <c:spPr>
          <a:solidFill>
            <a:schemeClr val="accent5">
              <a:shade val="53000"/>
            </a:schemeClr>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tint val="54000"/>
            </a:schemeClr>
          </a:solidFill>
          <a:ln w="19050">
            <a:solidFill>
              <a:schemeClr val="lt1"/>
            </a:solidFill>
          </a:ln>
          <a:effectLst/>
        </c:spPr>
      </c:pivotFmt>
      <c:pivotFmt>
        <c:idx val="9"/>
        <c:spPr>
          <a:solidFill>
            <a:schemeClr val="accent5">
              <a:tint val="77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hade val="76000"/>
            </a:schemeClr>
          </a:solidFill>
          <a:ln w="19050">
            <a:solidFill>
              <a:schemeClr val="lt1"/>
            </a:solidFill>
          </a:ln>
          <a:effectLst/>
        </c:spPr>
      </c:pivotFmt>
      <c:pivotFmt>
        <c:idx val="12"/>
        <c:spPr>
          <a:solidFill>
            <a:schemeClr val="accent5">
              <a:shade val="53000"/>
            </a:schemeClr>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9BFE-45FC-9151-7769E69F4823}"/>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9BFE-45FC-9151-7769E69F482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BFE-45FC-9151-7769E69F4823}"/>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9BFE-45FC-9151-7769E69F4823}"/>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9BFE-45FC-9151-7769E69F4823}"/>
              </c:ext>
            </c:extLst>
          </c:dPt>
          <c:cat>
            <c:strRef>
              <c:f>'Pivot table'!$D$4:$D$9</c:f>
              <c:strCache>
                <c:ptCount val="5"/>
                <c:pt idx="0">
                  <c:v>Books</c:v>
                </c:pt>
                <c:pt idx="1">
                  <c:v>Clothing</c:v>
                </c:pt>
                <c:pt idx="2">
                  <c:v>Electronics</c:v>
                </c:pt>
                <c:pt idx="3">
                  <c:v>Furniture</c:v>
                </c:pt>
                <c:pt idx="4">
                  <c:v>Office Supplies</c:v>
                </c:pt>
              </c:strCache>
            </c:strRef>
          </c:cat>
          <c:val>
            <c:numRef>
              <c:f>'Pivot table'!$E$4:$E$9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9BFE-45FC-9151-7769E69F48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833333333333333"/>
          <c:y val="0.37723242927967338"/>
          <c:w val="0.22500000000000001"/>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[PR_2_SALE_DASHBOARD.xlsx]Pivot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5"/>
              </a:solidFill>
              <a:round/>
            </a:ln>
            <a:effectLst/>
          </c:spPr>
          <c:marker>
            <c:symbol val="none"/>
          </c:marker>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3E2F-498F-A05C-403B08D7C899}"/>
            </c:ext>
          </c:extLst>
        </c:ser>
        <c:dLbls>
          <c:showLegendKey val="0"/>
          <c:showVal val="0"/>
          <c:showCatName val="0"/>
          <c:showSerName val="0"/>
          <c:showPercent val="0"/>
          <c:showBubbleSize val="0"/>
        </c:dLbls>
        <c:smooth val="0"/>
        <c:axId val="387136496"/>
        <c:axId val="2009243920"/>
      </c:lineChart>
      <c:catAx>
        <c:axId val="3871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3920"/>
        <c:crosses val="autoZero"/>
        <c:auto val="1"/>
        <c:lblAlgn val="ctr"/>
        <c:lblOffset val="100"/>
        <c:noMultiLvlLbl val="0"/>
      </c:catAx>
      <c:valAx>
        <c:axId val="200924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[PR_2_SALE_DASHBOARD.xlsx]Pivot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sale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5"/>
            </a:solidFill>
            <a:ln>
              <a:noFill/>
            </a:ln>
            <a:effectLst/>
          </c:spPr>
          <c:invertIfNegative val="0"/>
          <c:cat>
            <c:strRef>
              <c:f>'Pivot table'!$A$4:$A$9</c:f>
              <c:strCache>
                <c:ptCount val="5"/>
                <c:pt idx="0">
                  <c:v>Central</c:v>
                </c:pt>
                <c:pt idx="1">
                  <c:v>East</c:v>
                </c:pt>
                <c:pt idx="2">
                  <c:v>North</c:v>
                </c:pt>
                <c:pt idx="3">
                  <c:v>South</c:v>
                </c:pt>
                <c:pt idx="4">
                  <c:v>West</c:v>
                </c:pt>
              </c:strCache>
            </c:strRef>
          </c:cat>
          <c:val>
            <c:numRef>
              <c:f>'Pivot table'!$B$4:$B$9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3359-4EE4-8F56-08B2FC69229C}"/>
            </c:ext>
          </c:extLst>
        </c:ser>
        <c:dLbls>
          <c:showLegendKey val="0"/>
          <c:showVal val="0"/>
          <c:showCatName val="0"/>
          <c:showSerName val="0"/>
          <c:showPercent val="0"/>
          <c:showBubbleSize val="0"/>
        </c:dLbls>
        <c:gapWidth val="182"/>
        <c:axId val="382221024"/>
        <c:axId val="382234944"/>
      </c:barChart>
      <c:catAx>
        <c:axId val="38222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34944"/>
        <c:crosses val="autoZero"/>
        <c:auto val="1"/>
        <c:lblAlgn val="ctr"/>
        <c:lblOffset val="100"/>
        <c:noMultiLvlLbl val="0"/>
      </c:catAx>
      <c:valAx>
        <c:axId val="382234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2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[PR_2_SALE_DASHBOARD.xlsx]Pivot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tint val="54000"/>
            </a:schemeClr>
          </a:solidFill>
          <a:ln w="19050">
            <a:solidFill>
              <a:schemeClr val="lt1"/>
            </a:solidFill>
          </a:ln>
          <a:effectLst/>
        </c:spPr>
      </c:pivotFmt>
      <c:pivotFmt>
        <c:idx val="3"/>
        <c:spPr>
          <a:solidFill>
            <a:schemeClr val="accent5">
              <a:tint val="77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hade val="76000"/>
            </a:schemeClr>
          </a:solidFill>
          <a:ln w="19050">
            <a:solidFill>
              <a:schemeClr val="lt1"/>
            </a:solidFill>
          </a:ln>
          <a:effectLst/>
        </c:spPr>
      </c:pivotFmt>
      <c:pivotFmt>
        <c:idx val="6"/>
        <c:spPr>
          <a:solidFill>
            <a:schemeClr val="accent5">
              <a:shade val="53000"/>
            </a:schemeClr>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tint val="54000"/>
            </a:schemeClr>
          </a:solidFill>
          <a:ln w="19050">
            <a:solidFill>
              <a:schemeClr val="lt1"/>
            </a:solidFill>
          </a:ln>
          <a:effectLst/>
        </c:spPr>
      </c:pivotFmt>
      <c:pivotFmt>
        <c:idx val="9"/>
        <c:spPr>
          <a:solidFill>
            <a:schemeClr val="accent5">
              <a:tint val="77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hade val="76000"/>
            </a:schemeClr>
          </a:solidFill>
          <a:ln w="19050">
            <a:solidFill>
              <a:schemeClr val="lt1"/>
            </a:solidFill>
          </a:ln>
          <a:effectLst/>
        </c:spPr>
      </c:pivotFmt>
      <c:pivotFmt>
        <c:idx val="12"/>
        <c:spPr>
          <a:solidFill>
            <a:schemeClr val="accent5">
              <a:shade val="53000"/>
            </a:schemeClr>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tint val="54000"/>
            </a:schemeClr>
          </a:solidFill>
          <a:ln w="19050">
            <a:solidFill>
              <a:schemeClr val="lt1"/>
            </a:solidFill>
          </a:ln>
          <a:effectLst/>
        </c:spPr>
      </c:pivotFmt>
      <c:pivotFmt>
        <c:idx val="15"/>
        <c:spPr>
          <a:solidFill>
            <a:schemeClr val="accent5">
              <a:tint val="77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hade val="76000"/>
            </a:schemeClr>
          </a:solidFill>
          <a:ln w="19050">
            <a:solidFill>
              <a:schemeClr val="lt1"/>
            </a:solidFill>
          </a:ln>
          <a:effectLst/>
        </c:spPr>
      </c:pivotFmt>
      <c:pivotFmt>
        <c:idx val="18"/>
        <c:spPr>
          <a:solidFill>
            <a:schemeClr val="accent5">
              <a:shade val="53000"/>
            </a:schemeClr>
          </a:solidFill>
          <a:ln w="19050">
            <a:solidFill>
              <a:schemeClr val="lt1"/>
            </a:solidFill>
          </a:ln>
          <a:effectLst/>
        </c:spP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tint val="54000"/>
            </a:schemeClr>
          </a:solidFill>
          <a:ln w="19050">
            <a:solidFill>
              <a:schemeClr val="lt1"/>
            </a:solidFill>
          </a:ln>
          <a:effectLst/>
        </c:spPr>
      </c:pivotFmt>
      <c:pivotFmt>
        <c:idx val="21"/>
        <c:spPr>
          <a:solidFill>
            <a:schemeClr val="accent5">
              <a:tint val="77000"/>
            </a:schemeClr>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hade val="76000"/>
            </a:schemeClr>
          </a:solidFill>
          <a:ln w="19050">
            <a:solidFill>
              <a:schemeClr val="lt1"/>
            </a:solidFill>
          </a:ln>
          <a:effectLst/>
        </c:spPr>
      </c:pivotFmt>
      <c:pivotFmt>
        <c:idx val="24"/>
        <c:spPr>
          <a:solidFill>
            <a:schemeClr val="accent5">
              <a:shade val="53000"/>
            </a:schemeClr>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D7A0-43B3-8324-AD20034F003D}"/>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D7A0-43B3-8324-AD20034F003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D7A0-43B3-8324-AD20034F003D}"/>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D7A0-43B3-8324-AD20034F003D}"/>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D7A0-43B3-8324-AD20034F003D}"/>
              </c:ext>
            </c:extLst>
          </c:dPt>
          <c:cat>
            <c:strRef>
              <c:f>'Pivot table'!$D$4:$D$9</c:f>
              <c:strCache>
                <c:ptCount val="5"/>
                <c:pt idx="0">
                  <c:v>Books</c:v>
                </c:pt>
                <c:pt idx="1">
                  <c:v>Clothing</c:v>
                </c:pt>
                <c:pt idx="2">
                  <c:v>Electronics</c:v>
                </c:pt>
                <c:pt idx="3">
                  <c:v>Furniture</c:v>
                </c:pt>
                <c:pt idx="4">
                  <c:v>Office Supplies</c:v>
                </c:pt>
              </c:strCache>
            </c:strRef>
          </c:cat>
          <c:val>
            <c:numRef>
              <c:f>'Pivot table'!$E$4:$E$9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D7A0-43B3-8324-AD20034F003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833333333333333"/>
          <c:y val="0.37723242927967338"/>
          <c:w val="0.22500000000000001"/>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[PR_2_SALE_DASHBOARD.xlsx]Pivot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5"/>
              </a:solidFill>
              <a:round/>
            </a:ln>
            <a:effectLst/>
          </c:spPr>
          <c:marker>
            <c:symbol val="none"/>
          </c:marker>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42B5-4368-A788-415911E2C56B}"/>
            </c:ext>
          </c:extLst>
        </c:ser>
        <c:dLbls>
          <c:showLegendKey val="0"/>
          <c:showVal val="0"/>
          <c:showCatName val="0"/>
          <c:showSerName val="0"/>
          <c:showPercent val="0"/>
          <c:showBubbleSize val="0"/>
        </c:dLbls>
        <c:smooth val="0"/>
        <c:axId val="387136496"/>
        <c:axId val="2009243920"/>
      </c:lineChart>
      <c:catAx>
        <c:axId val="3871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3920"/>
        <c:crosses val="autoZero"/>
        <c:auto val="1"/>
        <c:lblAlgn val="ctr"/>
        <c:lblOffset val="100"/>
        <c:noMultiLvlLbl val="0"/>
      </c:catAx>
      <c:valAx>
        <c:axId val="200924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3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6.png"/><Relationship Id="rId7" Type="http://schemas.openxmlformats.org/officeDocument/2006/relationships/chart" Target="../charts/chart4.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1021080</xdr:colOff>
      <xdr:row>4</xdr:row>
      <xdr:rowOff>22860</xdr:rowOff>
    </xdr:from>
    <xdr:to>
      <xdr:col>9</xdr:col>
      <xdr:colOff>426720</xdr:colOff>
      <xdr:row>18</xdr:row>
      <xdr:rowOff>43815</xdr:rowOff>
    </xdr:to>
    <mc:AlternateContent xmlns:mc="http://schemas.openxmlformats.org/markup-compatibility/2006">
      <mc:Choice xmlns:a14="http://schemas.microsoft.com/office/drawing/2010/main" Requires="a14">
        <xdr:graphicFrame macro="">
          <xdr:nvGraphicFramePr>
            <xdr:cNvPr id="2" name="Customer_Name">
              <a:extLst>
                <a:ext uri="{FF2B5EF4-FFF2-40B4-BE49-F238E27FC236}">
                  <a16:creationId xmlns:a16="http://schemas.microsoft.com/office/drawing/2014/main" id="{CA365948-FAD3-4B01-C5BC-BF174802FE2D}"/>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5821680" y="800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365760</xdr:colOff>
      <xdr:row>6</xdr:row>
      <xdr:rowOff>137160</xdr:rowOff>
    </xdr:from>
    <xdr:to>
      <xdr:col>10</xdr:col>
      <xdr:colOff>182880</xdr:colOff>
      <xdr:row>20</xdr:row>
      <xdr:rowOff>158115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3BEF1BAA-201F-845A-962A-9A62CB500B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8744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845820</xdr:colOff>
      <xdr:row>9</xdr:row>
      <xdr:rowOff>68580</xdr:rowOff>
    </xdr:from>
    <xdr:to>
      <xdr:col>11</xdr:col>
      <xdr:colOff>0</xdr:colOff>
      <xdr:row>23</xdr:row>
      <xdr:rowOff>89535</xdr:rowOff>
    </xdr:to>
    <mc:AlternateContent xmlns:mc="http://schemas.openxmlformats.org/markup-compatibility/2006">
      <mc:Choice xmlns:a14="http://schemas.microsoft.com/office/drawing/2010/main" Requires="a14">
        <xdr:graphicFrame macro="">
          <xdr:nvGraphicFramePr>
            <xdr:cNvPr id="4" name="Product_Category">
              <a:extLst>
                <a:ext uri="{FF2B5EF4-FFF2-40B4-BE49-F238E27FC236}">
                  <a16:creationId xmlns:a16="http://schemas.microsoft.com/office/drawing/2014/main" id="{8677F5A6-0B9E-B7B0-1D41-7F6B560BC39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614160" y="1760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48491</xdr:colOff>
      <xdr:row>6</xdr:row>
      <xdr:rowOff>81147</xdr:rowOff>
    </xdr:from>
    <xdr:to>
      <xdr:col>18</xdr:col>
      <xdr:colOff>18803</xdr:colOff>
      <xdr:row>9</xdr:row>
      <xdr:rowOff>124586</xdr:rowOff>
    </xdr:to>
    <xdr:pic>
      <xdr:nvPicPr>
        <xdr:cNvPr id="2" name="Picture 1">
          <a:extLst>
            <a:ext uri="{FF2B5EF4-FFF2-40B4-BE49-F238E27FC236}">
              <a16:creationId xmlns:a16="http://schemas.microsoft.com/office/drawing/2014/main" id="{A2DBE774-F459-68BD-051C-FF9C4986A12C}"/>
            </a:ext>
          </a:extLst>
        </xdr:cNvPr>
        <xdr:cNvPicPr>
          <a:picLocks noChangeAspect="1"/>
        </xdr:cNvPicPr>
      </xdr:nvPicPr>
      <xdr:blipFill>
        <a:blip xmlns:r="http://schemas.openxmlformats.org/officeDocument/2006/relationships" r:embed="rId1"/>
        <a:stretch>
          <a:fillRect/>
        </a:stretch>
      </xdr:blipFill>
      <xdr:spPr>
        <a:xfrm>
          <a:off x="18669000" y="1224147"/>
          <a:ext cx="1189512" cy="594709"/>
        </a:xfrm>
        <a:prstGeom prst="rect">
          <a:avLst/>
        </a:prstGeom>
      </xdr:spPr>
    </xdr:pic>
    <xdr:clientData/>
  </xdr:twoCellAnchor>
  <xdr:twoCellAnchor editAs="oneCell">
    <xdr:from>
      <xdr:col>18</xdr:col>
      <xdr:colOff>222660</xdr:colOff>
      <xdr:row>5</xdr:row>
      <xdr:rowOff>19792</xdr:rowOff>
    </xdr:from>
    <xdr:to>
      <xdr:col>18</xdr:col>
      <xdr:colOff>820893</xdr:colOff>
      <xdr:row>10</xdr:row>
      <xdr:rowOff>1445</xdr:rowOff>
    </xdr:to>
    <xdr:pic>
      <xdr:nvPicPr>
        <xdr:cNvPr id="3" name="Picture 2">
          <a:extLst>
            <a:ext uri="{FF2B5EF4-FFF2-40B4-BE49-F238E27FC236}">
              <a16:creationId xmlns:a16="http://schemas.microsoft.com/office/drawing/2014/main" id="{24CC4C1A-5CFD-017E-DE31-C6DDFCAE0C46}"/>
            </a:ext>
          </a:extLst>
        </xdr:cNvPr>
        <xdr:cNvPicPr>
          <a:picLocks noChangeAspect="1"/>
        </xdr:cNvPicPr>
      </xdr:nvPicPr>
      <xdr:blipFill>
        <a:blip xmlns:r="http://schemas.openxmlformats.org/officeDocument/2006/relationships" r:embed="rId2"/>
        <a:stretch>
          <a:fillRect/>
        </a:stretch>
      </xdr:blipFill>
      <xdr:spPr>
        <a:xfrm>
          <a:off x="20064348" y="984662"/>
          <a:ext cx="598715" cy="915390"/>
        </a:xfrm>
        <a:prstGeom prst="rect">
          <a:avLst/>
        </a:prstGeom>
      </xdr:spPr>
    </xdr:pic>
    <xdr:clientData/>
  </xdr:twoCellAnchor>
  <xdr:twoCellAnchor editAs="oneCell">
    <xdr:from>
      <xdr:col>19</xdr:col>
      <xdr:colOff>393714</xdr:colOff>
      <xdr:row>5</xdr:row>
      <xdr:rowOff>24543</xdr:rowOff>
    </xdr:from>
    <xdr:to>
      <xdr:col>20</xdr:col>
      <xdr:colOff>104828</xdr:colOff>
      <xdr:row>9</xdr:row>
      <xdr:rowOff>148650</xdr:rowOff>
    </xdr:to>
    <xdr:pic>
      <xdr:nvPicPr>
        <xdr:cNvPr id="5" name="Picture 4">
          <a:extLst>
            <a:ext uri="{FF2B5EF4-FFF2-40B4-BE49-F238E27FC236}">
              <a16:creationId xmlns:a16="http://schemas.microsoft.com/office/drawing/2014/main" id="{02E5869B-817B-47D0-11AD-E3F436B4EF29}"/>
            </a:ext>
          </a:extLst>
        </xdr:cNvPr>
        <xdr:cNvPicPr>
          <a:picLocks noChangeAspect="1"/>
        </xdr:cNvPicPr>
      </xdr:nvPicPr>
      <xdr:blipFill>
        <a:blip xmlns:r="http://schemas.openxmlformats.org/officeDocument/2006/relationships" r:embed="rId3"/>
        <a:stretch>
          <a:fillRect/>
        </a:stretch>
      </xdr:blipFill>
      <xdr:spPr>
        <a:xfrm>
          <a:off x="20327095" y="934897"/>
          <a:ext cx="527061" cy="8523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365760</xdr:colOff>
      <xdr:row>2</xdr:row>
      <xdr:rowOff>0</xdr:rowOff>
    </xdr:from>
    <xdr:to>
      <xdr:col>8</xdr:col>
      <xdr:colOff>60960</xdr:colOff>
      <xdr:row>17</xdr:row>
      <xdr:rowOff>0</xdr:rowOff>
    </xdr:to>
    <xdr:graphicFrame macro="">
      <xdr:nvGraphicFramePr>
        <xdr:cNvPr id="2" name="Chart 1">
          <a:extLst>
            <a:ext uri="{FF2B5EF4-FFF2-40B4-BE49-F238E27FC236}">
              <a16:creationId xmlns:a16="http://schemas.microsoft.com/office/drawing/2014/main" id="{A46A4446-8DC7-4A69-85B9-E323EC849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xdr:row>
      <xdr:rowOff>167640</xdr:rowOff>
    </xdr:from>
    <xdr:to>
      <xdr:col>15</xdr:col>
      <xdr:colOff>434340</xdr:colOff>
      <xdr:row>16</xdr:row>
      <xdr:rowOff>167640</xdr:rowOff>
    </xdr:to>
    <xdr:graphicFrame macro="">
      <xdr:nvGraphicFramePr>
        <xdr:cNvPr id="3" name="Chart 2">
          <a:extLst>
            <a:ext uri="{FF2B5EF4-FFF2-40B4-BE49-F238E27FC236}">
              <a16:creationId xmlns:a16="http://schemas.microsoft.com/office/drawing/2014/main" id="{A46C9A32-8AA2-4A81-AF15-67367900E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541020</xdr:colOff>
      <xdr:row>1</xdr:row>
      <xdr:rowOff>175260</xdr:rowOff>
    </xdr:from>
    <xdr:to>
      <xdr:col>23</xdr:col>
      <xdr:colOff>236220</xdr:colOff>
      <xdr:row>16</xdr:row>
      <xdr:rowOff>175260</xdr:rowOff>
    </xdr:to>
    <xdr:graphicFrame macro="">
      <xdr:nvGraphicFramePr>
        <xdr:cNvPr id="4" name="Chart 3">
          <a:extLst>
            <a:ext uri="{FF2B5EF4-FFF2-40B4-BE49-F238E27FC236}">
              <a16:creationId xmlns:a16="http://schemas.microsoft.com/office/drawing/2014/main" id="{810C7393-7D29-4E15-977B-3CB2CC05C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7620</xdr:rowOff>
    </xdr:from>
    <xdr:to>
      <xdr:col>17</xdr:col>
      <xdr:colOff>601980</xdr:colOff>
      <xdr:row>2</xdr:row>
      <xdr:rowOff>297180</xdr:rowOff>
    </xdr:to>
    <xdr:sp macro="" textlink="">
      <xdr:nvSpPr>
        <xdr:cNvPr id="2" name="Rectangle 1">
          <a:extLst>
            <a:ext uri="{FF2B5EF4-FFF2-40B4-BE49-F238E27FC236}">
              <a16:creationId xmlns:a16="http://schemas.microsoft.com/office/drawing/2014/main" id="{7322378C-9F4F-BD9A-F855-BEFE5DC3617A}"/>
            </a:ext>
          </a:extLst>
        </xdr:cNvPr>
        <xdr:cNvSpPr/>
      </xdr:nvSpPr>
      <xdr:spPr>
        <a:xfrm>
          <a:off x="609600" y="190500"/>
          <a:ext cx="13594080" cy="472440"/>
        </a:xfrm>
        <a:prstGeom prst="rect">
          <a:avLst/>
        </a:prstGeom>
        <a:solidFill>
          <a:schemeClr val="accent5">
            <a:lumMod val="60000"/>
            <a:lumOff val="4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        </a:t>
          </a:r>
          <a:r>
            <a:rPr lang="en-IN" sz="2400" b="1">
              <a:solidFill>
                <a:schemeClr val="bg1"/>
              </a:solidFill>
            </a:rPr>
            <a:t>MONTHLY</a:t>
          </a:r>
          <a:r>
            <a:rPr lang="en-IN" sz="2400">
              <a:solidFill>
                <a:schemeClr val="tx1"/>
              </a:solidFill>
            </a:rPr>
            <a:t> </a:t>
          </a:r>
          <a:r>
            <a:rPr lang="en-IN" sz="2400" b="1">
              <a:solidFill>
                <a:schemeClr val="bg1"/>
              </a:solidFill>
            </a:rPr>
            <a:t>PERFORMANCE</a:t>
          </a:r>
          <a:r>
            <a:rPr lang="en-IN" sz="2400" baseline="0">
              <a:solidFill>
                <a:schemeClr val="tx1"/>
              </a:solidFill>
            </a:rPr>
            <a:t> </a:t>
          </a:r>
          <a:r>
            <a:rPr lang="en-IN" sz="2400" b="1" baseline="0">
              <a:solidFill>
                <a:schemeClr val="bg1"/>
              </a:solidFill>
            </a:rPr>
            <a:t>OVERVIEW</a:t>
          </a:r>
          <a:r>
            <a:rPr lang="en-IN" sz="2400" baseline="0">
              <a:solidFill>
                <a:schemeClr val="tx1"/>
              </a:solidFill>
            </a:rPr>
            <a:t> </a:t>
          </a:r>
          <a:endParaRPr lang="en-IN" sz="1600">
            <a:solidFill>
              <a:schemeClr val="tx1"/>
            </a:solidFill>
          </a:endParaRPr>
        </a:p>
      </xdr:txBody>
    </xdr:sp>
    <xdr:clientData/>
  </xdr:twoCellAnchor>
  <xdr:twoCellAnchor editAs="oneCell">
    <xdr:from>
      <xdr:col>1</xdr:col>
      <xdr:colOff>102175</xdr:colOff>
      <xdr:row>4</xdr:row>
      <xdr:rowOff>177078</xdr:rowOff>
    </xdr:from>
    <xdr:to>
      <xdr:col>1</xdr:col>
      <xdr:colOff>423017</xdr:colOff>
      <xdr:row>5</xdr:row>
      <xdr:rowOff>169127</xdr:rowOff>
    </xdr:to>
    <xdr:pic>
      <xdr:nvPicPr>
        <xdr:cNvPr id="4" name="Graphic 3" descr="Upward trend with solid fill">
          <a:extLst>
            <a:ext uri="{FF2B5EF4-FFF2-40B4-BE49-F238E27FC236}">
              <a16:creationId xmlns:a16="http://schemas.microsoft.com/office/drawing/2014/main" id="{E56AA03A-3736-04F1-758E-4D38A51D4D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11775" y="908598"/>
          <a:ext cx="320842" cy="319709"/>
        </a:xfrm>
        <a:prstGeom prst="rect">
          <a:avLst/>
        </a:prstGeom>
      </xdr:spPr>
    </xdr:pic>
    <xdr:clientData/>
  </xdr:twoCellAnchor>
  <xdr:twoCellAnchor editAs="oneCell">
    <xdr:from>
      <xdr:col>4</xdr:col>
      <xdr:colOff>118689</xdr:colOff>
      <xdr:row>4</xdr:row>
      <xdr:rowOff>186513</xdr:rowOff>
    </xdr:from>
    <xdr:to>
      <xdr:col>4</xdr:col>
      <xdr:colOff>437171</xdr:colOff>
      <xdr:row>5</xdr:row>
      <xdr:rowOff>176203</xdr:rowOff>
    </xdr:to>
    <xdr:pic>
      <xdr:nvPicPr>
        <xdr:cNvPr id="6" name="Graphic 5" descr="Shopping cart with solid fill">
          <a:extLst>
            <a:ext uri="{FF2B5EF4-FFF2-40B4-BE49-F238E27FC236}">
              <a16:creationId xmlns:a16="http://schemas.microsoft.com/office/drawing/2014/main" id="{16ADA8CE-ABC2-CC9A-2243-6F4A1418E2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80989" y="918033"/>
          <a:ext cx="318482" cy="317350"/>
        </a:xfrm>
        <a:prstGeom prst="rect">
          <a:avLst/>
        </a:prstGeom>
      </xdr:spPr>
    </xdr:pic>
    <xdr:clientData/>
  </xdr:twoCellAnchor>
  <xdr:twoCellAnchor editAs="oneCell">
    <xdr:from>
      <xdr:col>7</xdr:col>
      <xdr:colOff>173307</xdr:colOff>
      <xdr:row>4</xdr:row>
      <xdr:rowOff>170391</xdr:rowOff>
    </xdr:from>
    <xdr:to>
      <xdr:col>7</xdr:col>
      <xdr:colOff>494149</xdr:colOff>
      <xdr:row>5</xdr:row>
      <xdr:rowOff>162440</xdr:rowOff>
    </xdr:to>
    <xdr:pic>
      <xdr:nvPicPr>
        <xdr:cNvPr id="7" name="Graphic 6" descr="Upward trend with solid fill">
          <a:extLst>
            <a:ext uri="{FF2B5EF4-FFF2-40B4-BE49-F238E27FC236}">
              <a16:creationId xmlns:a16="http://schemas.microsoft.com/office/drawing/2014/main" id="{28D041E1-FFC4-4861-993F-54A40120F4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48327" y="901911"/>
          <a:ext cx="320842" cy="319709"/>
        </a:xfrm>
        <a:prstGeom prst="rect">
          <a:avLst/>
        </a:prstGeom>
      </xdr:spPr>
    </xdr:pic>
    <xdr:clientData/>
  </xdr:twoCellAnchor>
  <xdr:twoCellAnchor editAs="oneCell">
    <xdr:from>
      <xdr:col>10</xdr:col>
      <xdr:colOff>123790</xdr:colOff>
      <xdr:row>4</xdr:row>
      <xdr:rowOff>175893</xdr:rowOff>
    </xdr:from>
    <xdr:to>
      <xdr:col>10</xdr:col>
      <xdr:colOff>445645</xdr:colOff>
      <xdr:row>5</xdr:row>
      <xdr:rowOff>171408</xdr:rowOff>
    </xdr:to>
    <xdr:pic>
      <xdr:nvPicPr>
        <xdr:cNvPr id="9" name="Graphic 8" descr="Coins with solid fill">
          <a:extLst>
            <a:ext uri="{FF2B5EF4-FFF2-40B4-BE49-F238E27FC236}">
              <a16:creationId xmlns:a16="http://schemas.microsoft.com/office/drawing/2014/main" id="{1DCEC46D-E6F6-2B93-1DDC-DDD0174BAF2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780110" y="907413"/>
          <a:ext cx="321855" cy="323175"/>
        </a:xfrm>
        <a:prstGeom prst="rect">
          <a:avLst/>
        </a:prstGeom>
      </xdr:spPr>
    </xdr:pic>
    <xdr:clientData/>
  </xdr:twoCellAnchor>
  <xdr:twoCellAnchor>
    <xdr:from>
      <xdr:col>0</xdr:col>
      <xdr:colOff>598349</xdr:colOff>
      <xdr:row>4</xdr:row>
      <xdr:rowOff>12289</xdr:rowOff>
    </xdr:from>
    <xdr:to>
      <xdr:col>2</xdr:col>
      <xdr:colOff>1329665</xdr:colOff>
      <xdr:row>6</xdr:row>
      <xdr:rowOff>2637</xdr:rowOff>
    </xdr:to>
    <xdr:sp macro="" textlink="">
      <xdr:nvSpPr>
        <xdr:cNvPr id="10" name="Rectangle 9">
          <a:extLst>
            <a:ext uri="{FF2B5EF4-FFF2-40B4-BE49-F238E27FC236}">
              <a16:creationId xmlns:a16="http://schemas.microsoft.com/office/drawing/2014/main" id="{CBA5A022-AE48-C01A-C7F0-1DEC82A3EEE9}"/>
            </a:ext>
          </a:extLst>
        </xdr:cNvPr>
        <xdr:cNvSpPr/>
      </xdr:nvSpPr>
      <xdr:spPr>
        <a:xfrm>
          <a:off x="598349" y="1093837"/>
          <a:ext cx="1960348" cy="654026"/>
        </a:xfrm>
        <a:prstGeom prst="rect">
          <a:avLst/>
        </a:prstGeom>
        <a:noFill/>
        <a:ln>
          <a:solidFill>
            <a:schemeClr val="accent5">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7620</xdr:colOff>
      <xdr:row>4</xdr:row>
      <xdr:rowOff>7133</xdr:rowOff>
    </xdr:from>
    <xdr:to>
      <xdr:col>5</xdr:col>
      <xdr:colOff>1491088</xdr:colOff>
      <xdr:row>6</xdr:row>
      <xdr:rowOff>2147</xdr:rowOff>
    </xdr:to>
    <xdr:sp macro="" textlink="">
      <xdr:nvSpPr>
        <xdr:cNvPr id="11" name="Rectangle 10">
          <a:extLst>
            <a:ext uri="{FF2B5EF4-FFF2-40B4-BE49-F238E27FC236}">
              <a16:creationId xmlns:a16="http://schemas.microsoft.com/office/drawing/2014/main" id="{C2EAE900-906E-4F9A-890E-12A369F1EC0F}"/>
            </a:ext>
          </a:extLst>
        </xdr:cNvPr>
        <xdr:cNvSpPr/>
      </xdr:nvSpPr>
      <xdr:spPr>
        <a:xfrm>
          <a:off x="3169920" y="738653"/>
          <a:ext cx="2093068" cy="650334"/>
        </a:xfrm>
        <a:prstGeom prst="rect">
          <a:avLst/>
        </a:prstGeom>
        <a:noFill/>
        <a:ln>
          <a:solidFill>
            <a:schemeClr val="accent5">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3</xdr:row>
      <xdr:rowOff>182393</xdr:rowOff>
    </xdr:from>
    <xdr:to>
      <xdr:col>8</xdr:col>
      <xdr:colOff>1556425</xdr:colOff>
      <xdr:row>5</xdr:row>
      <xdr:rowOff>322187</xdr:rowOff>
    </xdr:to>
    <xdr:sp macro="" textlink="">
      <xdr:nvSpPr>
        <xdr:cNvPr id="12" name="Rectangle 11">
          <a:extLst>
            <a:ext uri="{FF2B5EF4-FFF2-40B4-BE49-F238E27FC236}">
              <a16:creationId xmlns:a16="http://schemas.microsoft.com/office/drawing/2014/main" id="{9E9C3266-C0AE-4D79-9D80-1C8B2154B22D}"/>
            </a:ext>
          </a:extLst>
        </xdr:cNvPr>
        <xdr:cNvSpPr/>
      </xdr:nvSpPr>
      <xdr:spPr>
        <a:xfrm>
          <a:off x="5864968" y="729574"/>
          <a:ext cx="2164404" cy="650496"/>
        </a:xfrm>
        <a:prstGeom prst="rect">
          <a:avLst/>
        </a:prstGeom>
        <a:noFill/>
        <a:ln>
          <a:solidFill>
            <a:schemeClr val="accent5">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xdr:colOff>
      <xdr:row>3</xdr:row>
      <xdr:rowOff>182393</xdr:rowOff>
    </xdr:from>
    <xdr:to>
      <xdr:col>12</xdr:col>
      <xdr:colOff>1</xdr:colOff>
      <xdr:row>5</xdr:row>
      <xdr:rowOff>322187</xdr:rowOff>
    </xdr:to>
    <xdr:sp macro="" textlink="">
      <xdr:nvSpPr>
        <xdr:cNvPr id="13" name="Rectangle 12">
          <a:extLst>
            <a:ext uri="{FF2B5EF4-FFF2-40B4-BE49-F238E27FC236}">
              <a16:creationId xmlns:a16="http://schemas.microsoft.com/office/drawing/2014/main" id="{B8170775-3DE5-4CC6-9D19-23065FB28DD4}"/>
            </a:ext>
          </a:extLst>
        </xdr:cNvPr>
        <xdr:cNvSpPr/>
      </xdr:nvSpPr>
      <xdr:spPr>
        <a:xfrm>
          <a:off x="8641405" y="729574"/>
          <a:ext cx="1896894" cy="650496"/>
        </a:xfrm>
        <a:prstGeom prst="rect">
          <a:avLst/>
        </a:prstGeom>
        <a:noFill/>
        <a:ln>
          <a:solidFill>
            <a:schemeClr val="accent5">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599872</xdr:colOff>
      <xdr:row>0</xdr:row>
      <xdr:rowOff>178341</xdr:rowOff>
    </xdr:from>
    <xdr:to>
      <xdr:col>18</xdr:col>
      <xdr:colOff>0</xdr:colOff>
      <xdr:row>2</xdr:row>
      <xdr:rowOff>312420</xdr:rowOff>
    </xdr:to>
    <xdr:sp macro="" textlink="">
      <xdr:nvSpPr>
        <xdr:cNvPr id="14" name="Rectangle 13">
          <a:extLst>
            <a:ext uri="{FF2B5EF4-FFF2-40B4-BE49-F238E27FC236}">
              <a16:creationId xmlns:a16="http://schemas.microsoft.com/office/drawing/2014/main" id="{C219706E-3085-4334-8853-8E6BBC28DDDD}"/>
            </a:ext>
          </a:extLst>
        </xdr:cNvPr>
        <xdr:cNvSpPr/>
      </xdr:nvSpPr>
      <xdr:spPr>
        <a:xfrm>
          <a:off x="599872" y="178341"/>
          <a:ext cx="13611428" cy="499839"/>
        </a:xfrm>
        <a:prstGeom prst="rect">
          <a:avLst/>
        </a:prstGeom>
        <a:noFill/>
        <a:ln>
          <a:solidFill>
            <a:schemeClr val="accent5">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603318</xdr:colOff>
      <xdr:row>10</xdr:row>
      <xdr:rowOff>38108</xdr:rowOff>
    </xdr:from>
    <xdr:to>
      <xdr:col>7</xdr:col>
      <xdr:colOff>164768</xdr:colOff>
      <xdr:row>39</xdr:row>
      <xdr:rowOff>64572</xdr:rowOff>
    </xdr:to>
    <xdr:graphicFrame macro="">
      <xdr:nvGraphicFramePr>
        <xdr:cNvPr id="15" name="Chart 14">
          <a:extLst>
            <a:ext uri="{FF2B5EF4-FFF2-40B4-BE49-F238E27FC236}">
              <a16:creationId xmlns:a16="http://schemas.microsoft.com/office/drawing/2014/main" id="{AE4B076D-5EE6-4171-94AC-A31D50D30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280491</xdr:colOff>
      <xdr:row>25</xdr:row>
      <xdr:rowOff>39553</xdr:rowOff>
    </xdr:from>
    <xdr:to>
      <xdr:col>11</xdr:col>
      <xdr:colOff>1226949</xdr:colOff>
      <xdr:row>39</xdr:row>
      <xdr:rowOff>31933</xdr:rowOff>
    </xdr:to>
    <xdr:graphicFrame macro="">
      <xdr:nvGraphicFramePr>
        <xdr:cNvPr id="16" name="Chart 15">
          <a:extLst>
            <a:ext uri="{FF2B5EF4-FFF2-40B4-BE49-F238E27FC236}">
              <a16:creationId xmlns:a16="http://schemas.microsoft.com/office/drawing/2014/main" id="{73DE44C4-A87F-4087-B5FE-C196AB59B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266834</xdr:colOff>
      <xdr:row>10</xdr:row>
      <xdr:rowOff>31233</xdr:rowOff>
    </xdr:from>
    <xdr:to>
      <xdr:col>11</xdr:col>
      <xdr:colOff>1252781</xdr:colOff>
      <xdr:row>22</xdr:row>
      <xdr:rowOff>66486</xdr:rowOff>
    </xdr:to>
    <xdr:graphicFrame macro="">
      <xdr:nvGraphicFramePr>
        <xdr:cNvPr id="17" name="Chart 16">
          <a:extLst>
            <a:ext uri="{FF2B5EF4-FFF2-40B4-BE49-F238E27FC236}">
              <a16:creationId xmlns:a16="http://schemas.microsoft.com/office/drawing/2014/main" id="{65653BAE-5F6B-4F80-B61B-184436D7E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7620</xdr:colOff>
      <xdr:row>7</xdr:row>
      <xdr:rowOff>7620</xdr:rowOff>
    </xdr:from>
    <xdr:to>
      <xdr:col>7</xdr:col>
      <xdr:colOff>152400</xdr:colOff>
      <xdr:row>9</xdr:row>
      <xdr:rowOff>7620</xdr:rowOff>
    </xdr:to>
    <xdr:sp macro="" textlink="">
      <xdr:nvSpPr>
        <xdr:cNvPr id="18" name="Rectangle 17">
          <a:extLst>
            <a:ext uri="{FF2B5EF4-FFF2-40B4-BE49-F238E27FC236}">
              <a16:creationId xmlns:a16="http://schemas.microsoft.com/office/drawing/2014/main" id="{0EC71BAB-9634-695E-93C9-E3E8EF867CDA}"/>
            </a:ext>
          </a:extLst>
        </xdr:cNvPr>
        <xdr:cNvSpPr/>
      </xdr:nvSpPr>
      <xdr:spPr>
        <a:xfrm>
          <a:off x="617220" y="1752600"/>
          <a:ext cx="5410200" cy="36576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REGION</a:t>
          </a:r>
          <a:r>
            <a:rPr lang="en-IN" sz="2000" baseline="0"/>
            <a:t>  SALES</a:t>
          </a:r>
          <a:endParaRPr lang="en-IN" sz="2000"/>
        </a:p>
      </xdr:txBody>
    </xdr:sp>
    <xdr:clientData/>
  </xdr:twoCellAnchor>
  <xdr:twoCellAnchor>
    <xdr:from>
      <xdr:col>7</xdr:col>
      <xdr:colOff>274320</xdr:colOff>
      <xdr:row>7</xdr:row>
      <xdr:rowOff>15240</xdr:rowOff>
    </xdr:from>
    <xdr:to>
      <xdr:col>11</xdr:col>
      <xdr:colOff>1249680</xdr:colOff>
      <xdr:row>9</xdr:row>
      <xdr:rowOff>15240</xdr:rowOff>
    </xdr:to>
    <xdr:sp macro="" textlink="">
      <xdr:nvSpPr>
        <xdr:cNvPr id="19" name="Rectangle 18">
          <a:extLst>
            <a:ext uri="{FF2B5EF4-FFF2-40B4-BE49-F238E27FC236}">
              <a16:creationId xmlns:a16="http://schemas.microsoft.com/office/drawing/2014/main" id="{158EC808-82A1-43E4-BB4F-BFAF85172E48}"/>
            </a:ext>
          </a:extLst>
        </xdr:cNvPr>
        <xdr:cNvSpPr/>
      </xdr:nvSpPr>
      <xdr:spPr>
        <a:xfrm>
          <a:off x="6116320" y="1756954"/>
          <a:ext cx="4349931" cy="362857"/>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SALES</a:t>
          </a:r>
          <a:r>
            <a:rPr lang="en-IN" sz="2000" baseline="0"/>
            <a:t> TREND</a:t>
          </a:r>
          <a:endParaRPr lang="en-IN" sz="2000"/>
        </a:p>
      </xdr:txBody>
    </xdr:sp>
    <xdr:clientData/>
  </xdr:twoCellAnchor>
  <xdr:twoCellAnchor>
    <xdr:from>
      <xdr:col>7</xdr:col>
      <xdr:colOff>289560</xdr:colOff>
      <xdr:row>22</xdr:row>
      <xdr:rowOff>98322</xdr:rowOff>
    </xdr:from>
    <xdr:to>
      <xdr:col>11</xdr:col>
      <xdr:colOff>1242060</xdr:colOff>
      <xdr:row>24</xdr:row>
      <xdr:rowOff>167640</xdr:rowOff>
    </xdr:to>
    <xdr:sp macro="" textlink="">
      <xdr:nvSpPr>
        <xdr:cNvPr id="20" name="Rectangle 19">
          <a:extLst>
            <a:ext uri="{FF2B5EF4-FFF2-40B4-BE49-F238E27FC236}">
              <a16:creationId xmlns:a16="http://schemas.microsoft.com/office/drawing/2014/main" id="{33EE177F-0EB5-47D9-8F8F-5CD72A9B3515}"/>
            </a:ext>
          </a:extLst>
        </xdr:cNvPr>
        <xdr:cNvSpPr/>
      </xdr:nvSpPr>
      <xdr:spPr>
        <a:xfrm>
          <a:off x="6201205" y="4621161"/>
          <a:ext cx="4356920" cy="438027"/>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CATEGORY</a:t>
          </a:r>
          <a:r>
            <a:rPr lang="en-IN" sz="2000" baseline="0"/>
            <a:t> SALES</a:t>
          </a:r>
          <a:endParaRPr lang="en-IN" sz="2000"/>
        </a:p>
      </xdr:txBody>
    </xdr:sp>
    <xdr:clientData/>
  </xdr:twoCellAnchor>
  <xdr:twoCellAnchor editAs="oneCell">
    <xdr:from>
      <xdr:col>12</xdr:col>
      <xdr:colOff>108856</xdr:colOff>
      <xdr:row>27</xdr:row>
      <xdr:rowOff>122463</xdr:rowOff>
    </xdr:from>
    <xdr:to>
      <xdr:col>15</xdr:col>
      <xdr:colOff>218683</xdr:colOff>
      <xdr:row>38</xdr:row>
      <xdr:rowOff>158742</xdr:rowOff>
    </xdr:to>
    <mc:AlternateContent xmlns:mc="http://schemas.openxmlformats.org/markup-compatibility/2006">
      <mc:Choice xmlns:a14="http://schemas.microsoft.com/office/drawing/2010/main" Requires="a14">
        <xdr:graphicFrame macro="">
          <xdr:nvGraphicFramePr>
            <xdr:cNvPr id="21" name="Customer_Name 1">
              <a:extLst>
                <a:ext uri="{FF2B5EF4-FFF2-40B4-BE49-F238E27FC236}">
                  <a16:creationId xmlns:a16="http://schemas.microsoft.com/office/drawing/2014/main" id="{151C3B30-6057-49C6-8F5C-E437DBFEA8F7}"/>
                </a:ext>
              </a:extLst>
            </xdr:cNvPr>
            <xdr:cNvGraphicFramePr/>
          </xdr:nvGraphicFramePr>
          <xdr:xfrm>
            <a:off x="0" y="0"/>
            <a:ext cx="0" cy="0"/>
          </xdr:xfrm>
          <a:graphic>
            <a:graphicData uri="http://schemas.microsoft.com/office/drawing/2010/slicer">
              <sle:slicer xmlns:sle="http://schemas.microsoft.com/office/drawing/2010/slicer" name="Customer_Name 1"/>
            </a:graphicData>
          </a:graphic>
        </xdr:graphicFrame>
      </mc:Choice>
      <mc:Fallback>
        <xdr:sp macro="" textlink="">
          <xdr:nvSpPr>
            <xdr:cNvPr id="0" name=""/>
            <xdr:cNvSpPr>
              <a:spLocks noTextEdit="1"/>
            </xdr:cNvSpPr>
          </xdr:nvSpPr>
          <xdr:spPr>
            <a:xfrm>
              <a:off x="10715404" y="5567076"/>
              <a:ext cx="1953376" cy="2064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314500</xdr:colOff>
      <xdr:row>27</xdr:row>
      <xdr:rowOff>118432</xdr:rowOff>
    </xdr:from>
    <xdr:to>
      <xdr:col>17</xdr:col>
      <xdr:colOff>584200</xdr:colOff>
      <xdr:row>38</xdr:row>
      <xdr:rowOff>154710</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853FFCB3-C330-433F-95A2-123BE47146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764597" y="5563045"/>
              <a:ext cx="1498732" cy="2064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161939</xdr:colOff>
      <xdr:row>18</xdr:row>
      <xdr:rowOff>149679</xdr:rowOff>
    </xdr:from>
    <xdr:to>
      <xdr:col>17</xdr:col>
      <xdr:colOff>595478</xdr:colOff>
      <xdr:row>27</xdr:row>
      <xdr:rowOff>0</xdr:rowOff>
    </xdr:to>
    <mc:AlternateContent xmlns:mc="http://schemas.openxmlformats.org/markup-compatibility/2006">
      <mc:Choice xmlns:a14="http://schemas.microsoft.com/office/drawing/2010/main" Requires="a14">
        <xdr:graphicFrame macro="">
          <xdr:nvGraphicFramePr>
            <xdr:cNvPr id="23" name="Product_Category 1">
              <a:extLst>
                <a:ext uri="{FF2B5EF4-FFF2-40B4-BE49-F238E27FC236}">
                  <a16:creationId xmlns:a16="http://schemas.microsoft.com/office/drawing/2014/main" id="{66552C83-EEE4-47FE-8369-257D7A9CF1F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0768487" y="3935098"/>
              <a:ext cx="3506120" cy="1509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89681</xdr:colOff>
      <xdr:row>3</xdr:row>
      <xdr:rowOff>160467</xdr:rowOff>
    </xdr:from>
    <xdr:to>
      <xdr:col>18</xdr:col>
      <xdr:colOff>12700</xdr:colOff>
      <xdr:row>5</xdr:row>
      <xdr:rowOff>76200</xdr:rowOff>
    </xdr:to>
    <xdr:sp macro="" textlink="">
      <xdr:nvSpPr>
        <xdr:cNvPr id="25" name="Rectangle 24">
          <a:extLst>
            <a:ext uri="{FF2B5EF4-FFF2-40B4-BE49-F238E27FC236}">
              <a16:creationId xmlns:a16="http://schemas.microsoft.com/office/drawing/2014/main" id="{AEC1F2AF-5AD6-47C6-9E64-B98B943E6AD7}"/>
            </a:ext>
          </a:extLst>
        </xdr:cNvPr>
        <xdr:cNvSpPr/>
      </xdr:nvSpPr>
      <xdr:spPr>
        <a:xfrm>
          <a:off x="10643381" y="871667"/>
          <a:ext cx="3580619" cy="423733"/>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KEY INSIGHTS</a:t>
          </a:r>
        </a:p>
      </xdr:txBody>
    </xdr:sp>
    <xdr:clientData/>
  </xdr:twoCellAnchor>
  <xdr:twoCellAnchor>
    <xdr:from>
      <xdr:col>12</xdr:col>
      <xdr:colOff>75128</xdr:colOff>
      <xdr:row>5</xdr:row>
      <xdr:rowOff>150253</xdr:rowOff>
    </xdr:from>
    <xdr:to>
      <xdr:col>18</xdr:col>
      <xdr:colOff>1</xdr:colOff>
      <xdr:row>18</xdr:row>
      <xdr:rowOff>107157</xdr:rowOff>
    </xdr:to>
    <xdr:sp macro="" textlink="">
      <xdr:nvSpPr>
        <xdr:cNvPr id="28" name="Rectangle 27">
          <a:extLst>
            <a:ext uri="{FF2B5EF4-FFF2-40B4-BE49-F238E27FC236}">
              <a16:creationId xmlns:a16="http://schemas.microsoft.com/office/drawing/2014/main" id="{1962291F-945B-9E47-B5C0-46AD733FB562}"/>
            </a:ext>
          </a:extLst>
        </xdr:cNvPr>
        <xdr:cNvSpPr/>
      </xdr:nvSpPr>
      <xdr:spPr>
        <a:xfrm>
          <a:off x="10606206" y="1388503"/>
          <a:ext cx="3568186" cy="2498888"/>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ysClr val="windowText" lastClr="000000"/>
              </a:solidFill>
            </a:rPr>
            <a:t>Strong Overall Performance :- </a:t>
          </a:r>
          <a:r>
            <a:rPr lang="en-IN">
              <a:solidFill>
                <a:sysClr val="windowText" lastClr="000000"/>
              </a:solidFill>
            </a:rPr>
            <a:t>Total Sales are </a:t>
          </a:r>
          <a:r>
            <a:rPr lang="en-IN" b="0">
              <a:solidFill>
                <a:sysClr val="windowText" lastClr="000000"/>
              </a:solidFill>
            </a:rPr>
            <a:t>195,217.76 with 68,287.01 profit, </a:t>
          </a:r>
          <a:r>
            <a:rPr lang="en-IN">
              <a:solidFill>
                <a:sysClr val="windowText" lastClr="000000"/>
              </a:solidFill>
            </a:rPr>
            <a:t>showing a profitable business.</a:t>
          </a:r>
        </a:p>
        <a:p>
          <a:pPr algn="l"/>
          <a:endParaRPr lang="en-IN">
            <a:solidFill>
              <a:sysClr val="windowText" lastClr="000000"/>
            </a:solidFill>
          </a:endParaRPr>
        </a:p>
        <a:p>
          <a:pPr algn="l"/>
          <a:r>
            <a:rPr lang="en-IN" b="1">
              <a:solidFill>
                <a:sysClr val="windowText" lastClr="000000"/>
              </a:solidFill>
            </a:rPr>
            <a:t>Category Distribution</a:t>
          </a:r>
          <a:r>
            <a:rPr lang="en-IN" b="0" baseline="0">
              <a:solidFill>
                <a:sysClr val="windowText" lastClr="000000"/>
              </a:solidFill>
            </a:rPr>
            <a:t> </a:t>
          </a:r>
          <a:r>
            <a:rPr lang="en-IN">
              <a:solidFill>
                <a:sysClr val="windowText" lastClr="000000"/>
              </a:solidFill>
            </a:rPr>
            <a:t>:-The </a:t>
          </a:r>
          <a:r>
            <a:rPr lang="en-IN" b="0">
              <a:solidFill>
                <a:sysClr val="windowText" lastClr="000000"/>
              </a:solidFill>
            </a:rPr>
            <a:t>pie chart shows Clothing and Electronics contribute a large share of sales. </a:t>
          </a:r>
        </a:p>
        <a:p>
          <a:pPr algn="l"/>
          <a:endParaRPr lang="en-IN" sz="1100" b="0">
            <a:solidFill>
              <a:sysClr val="windowText" lastClr="000000"/>
            </a:solidFill>
          </a:endParaRPr>
        </a:p>
        <a:p>
          <a:pPr algn="l"/>
          <a:r>
            <a:rPr lang="en-IN" b="1">
              <a:solidFill>
                <a:sysClr val="windowText" lastClr="000000"/>
              </a:solidFill>
            </a:rPr>
            <a:t>High-Value Transaction</a:t>
          </a:r>
          <a:r>
            <a:rPr lang="en-IN" b="0" baseline="0">
              <a:solidFill>
                <a:sysClr val="windowText" lastClr="000000"/>
              </a:solidFill>
            </a:rPr>
            <a:t> :- </a:t>
          </a:r>
          <a:r>
            <a:rPr lang="en-IN" b="0">
              <a:solidFill>
                <a:sysClr val="windowText" lastClr="000000"/>
              </a:solidFill>
            </a:rPr>
            <a:t>The highest single sale is 1,923.66, indicating high-value purchases</a:t>
          </a:r>
          <a:r>
            <a:rPr lang="en-IN">
              <a:solidFill>
                <a:sysClr val="windowText" lastClr="000000"/>
              </a:solidFill>
            </a:rPr>
            <a:t>.</a:t>
          </a:r>
        </a:p>
        <a:p>
          <a:pPr algn="l"/>
          <a:endParaRPr lang="en-IN" sz="1100" b="0">
            <a:solidFill>
              <a:sysClr val="windowText" lastClr="000000"/>
            </a:solidFill>
          </a:endParaRPr>
        </a:p>
        <a:p>
          <a:pPr algn="l"/>
          <a:r>
            <a:rPr lang="en-IN" b="1">
              <a:solidFill>
                <a:sysClr val="windowText" lastClr="000000"/>
              </a:solidFill>
            </a:rPr>
            <a:t>Regional Performance :- </a:t>
          </a:r>
          <a:r>
            <a:rPr lang="en-IN" b="0" baseline="0">
              <a:solidFill>
                <a:sysClr val="windowText" lastClr="000000"/>
              </a:solidFill>
            </a:rPr>
            <a:t> </a:t>
          </a:r>
          <a:r>
            <a:rPr lang="en-IN" b="0">
              <a:solidFill>
                <a:sysClr val="windowText" lastClr="000000"/>
              </a:solidFill>
            </a:rPr>
            <a:t>The West region has the highest sales, while East has the lowest</a:t>
          </a:r>
          <a:r>
            <a:rPr lang="en-IN">
              <a:solidFill>
                <a:sysClr val="windowText" lastClr="000000"/>
              </a:solidFill>
            </a:rPr>
            <a:t>.</a:t>
          </a:r>
        </a:p>
        <a:p>
          <a:pPr algn="l"/>
          <a:endParaRPr lang="en-IN">
            <a:solidFill>
              <a:sysClr val="windowText" lastClr="000000"/>
            </a:solidFill>
          </a:endParaRPr>
        </a:p>
        <a:p>
          <a:pPr algn="l"/>
          <a:r>
            <a:rPr lang="en-IN" b="1">
              <a:solidFill>
                <a:sysClr val="windowText" lastClr="000000"/>
              </a:solidFill>
            </a:rPr>
            <a:t>Sales Trend Insight</a:t>
          </a:r>
          <a:r>
            <a:rPr lang="en-IN" b="0" baseline="0">
              <a:solidFill>
                <a:sysClr val="windowText" lastClr="000000"/>
              </a:solidFill>
            </a:rPr>
            <a:t> :- </a:t>
          </a:r>
          <a:r>
            <a:rPr lang="en-IN" b="0">
              <a:solidFill>
                <a:sysClr val="windowText" lastClr="000000"/>
              </a:solidFill>
            </a:rPr>
            <a:t>Sales peak around April and September, with a slight drop mid-year.</a:t>
          </a:r>
        </a:p>
        <a:p>
          <a:pPr algn="l"/>
          <a:endParaRPr lang="en-IN" sz="1100" b="0">
            <a:solidFill>
              <a:sysClr val="windowText" lastClr="000000"/>
            </a:solidFill>
          </a:endParaRPr>
        </a:p>
        <a:p>
          <a:pPr algn="l"/>
          <a:endParaRPr lang="en-IN" sz="1100" b="0">
            <a:solidFill>
              <a:sysClr val="windowText" lastClr="00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refreshedDate="46094.407602430554" createdVersion="8" refreshedVersion="8" minRefreshableVersion="3" recordCount="200" xr:uid="{4DC3ABB0-E8D7-4B39-A8A6-B2A97F8EA98C}">
  <cacheSource type="worksheet">
    <worksheetSource name="Table1"/>
  </cacheSource>
  <cacheFields count="17">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Total Purchase" numFmtId="0">
      <sharedItems containsSemiMixedTypes="0" containsString="0" containsNumber="1" minValue="-14316.64" maxValue="1538.9280000000001"/>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6"/>
    </cacheField>
    <cacheField name="Discount" numFmtId="0">
      <sharedItems containsSemiMixedTypes="0" containsString="0" containsNumber="1" minValue="0" maxValue="14"/>
    </cacheField>
    <cacheField name="Profit" numFmtId="0">
      <sharedItems containsSemiMixedTypes="0" containsString="0" containsNumber="1" minValue="64.63" maxValue="769.46"/>
    </cacheField>
    <cacheField name="Profit Result" numFmtId="0">
      <sharedItems containsSemiMixedTypes="0" containsString="0" containsNumber="1" minValue="-14316.64" maxValue="1538.9280000000001"/>
    </cacheField>
    <cacheField name="Growth" numFmtId="9">
      <sharedItems containsSemiMixedTypes="0" containsString="0" containsNumber="1" minValue="-1" maxValue="3.6941317550578319"/>
    </cacheField>
    <cacheField name="Timestamp" numFmtId="22">
      <sharedItems containsSemiMixedTypes="0" containsNonDate="0" containsDate="1" containsString="0" minDate="2026-03-13T09:46:31" maxDate="2026-03-13T09:46:31"/>
    </cacheField>
    <cacheField name="High Value Customer" numFmtId="0">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35435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n v="-4144.3599999999997"/>
    <n v="1036.0899999999999"/>
    <n v="4"/>
    <x v="0"/>
    <n v="5"/>
    <n v="331.55"/>
    <n v="-4144.3599999999997"/>
    <n v="6.2919244467179544E-2"/>
    <d v="2026-03-13T09:46:31"/>
    <s v="James Wilson"/>
  </r>
  <r>
    <s v="CUST012"/>
    <x v="1"/>
    <x v="0"/>
    <x v="1"/>
    <n v="-14316.64"/>
    <n v="1101.28"/>
    <n v="3"/>
    <x v="1"/>
    <n v="14"/>
    <n v="440.51"/>
    <n v="-14316.64"/>
    <n v="-0.35226282144413767"/>
    <d v="2026-03-13T09:46:31"/>
    <s v="James Wilson"/>
  </r>
  <r>
    <s v="CUST017"/>
    <x v="2"/>
    <x v="1"/>
    <x v="0"/>
    <n v="570.67200000000003"/>
    <n v="713.34"/>
    <n v="17"/>
    <x v="2"/>
    <n v="0.2"/>
    <n v="285.33999999999997"/>
    <n v="570.67200000000003"/>
    <n v="6.6714329772618833E-2"/>
    <d v="2026-03-13T09:46:31"/>
    <s v="James Wilson"/>
  </r>
  <r>
    <s v="CUST005"/>
    <x v="1"/>
    <x v="2"/>
    <x v="2"/>
    <n v="646.79049999999995"/>
    <n v="760.93"/>
    <n v="4"/>
    <x v="2"/>
    <n v="0.15"/>
    <n v="161.69999999999999"/>
    <n v="646.79049999999995"/>
    <n v="0.1131115871367932"/>
    <d v="2026-03-13T09:46:31"/>
    <s v="James Wilson"/>
  </r>
  <r>
    <s v="CUST030"/>
    <x v="3"/>
    <x v="3"/>
    <x v="0"/>
    <n v="677.6"/>
    <n v="847"/>
    <n v="12"/>
    <x v="3"/>
    <n v="0.2"/>
    <n v="271.04000000000002"/>
    <n v="677.6"/>
    <n v="0.14007083825265643"/>
    <d v="2026-03-13T09:46:31"/>
    <s v="James Wilson"/>
  </r>
  <r>
    <s v="CUST007"/>
    <x v="4"/>
    <x v="3"/>
    <x v="3"/>
    <n v="869.07600000000002"/>
    <n v="965.64"/>
    <n v="8"/>
    <x v="4"/>
    <n v="0.1"/>
    <n v="304.18"/>
    <n v="869.07600000000002"/>
    <n v="0.36441116772296095"/>
    <d v="2026-03-13T09:46:31"/>
    <s v="James Wilson"/>
  </r>
  <r>
    <s v="CUST001"/>
    <x v="5"/>
    <x v="0"/>
    <x v="2"/>
    <n v="1251.6534999999999"/>
    <n v="1317.53"/>
    <n v="12"/>
    <x v="4"/>
    <n v="0.05"/>
    <n v="312.91000000000003"/>
    <n v="1251.6534999999999"/>
    <n v="-0.18448156778213776"/>
    <d v="2026-03-13T09:46:31"/>
    <s v="James Wilson"/>
  </r>
  <r>
    <s v="CUST026"/>
    <x v="6"/>
    <x v="1"/>
    <x v="3"/>
    <n v="859.57600000000002"/>
    <n v="1074.47"/>
    <n v="6"/>
    <x v="5"/>
    <n v="0.2"/>
    <n v="300.85000000000002"/>
    <n v="859.57600000000002"/>
    <n v="-0.53322102990311504"/>
    <d v="2026-03-13T09:46:31"/>
    <s v="James Wilson"/>
  </r>
  <r>
    <s v="CUST009"/>
    <x v="7"/>
    <x v="4"/>
    <x v="0"/>
    <n v="476.46300000000002"/>
    <n v="501.54"/>
    <n v="11"/>
    <x v="5"/>
    <n v="0.05"/>
    <n v="190.59"/>
    <n v="476.46300000000002"/>
    <n v="0.47009211628185171"/>
    <d v="2026-03-13T09:46:31"/>
    <s v="James Wilson"/>
  </r>
  <r>
    <s v="CUST010"/>
    <x v="8"/>
    <x v="4"/>
    <x v="1"/>
    <n v="700.44449999999995"/>
    <n v="737.31"/>
    <n v="2"/>
    <x v="5"/>
    <n v="0.05"/>
    <n v="350.22"/>
    <n v="700.44449999999995"/>
    <n v="1.1331868549185553"/>
    <d v="2026-03-13T09:46:31"/>
    <s v="James Wilson"/>
  </r>
  <r>
    <s v="CUST014"/>
    <x v="9"/>
    <x v="0"/>
    <x v="4"/>
    <n v="1494.1789999999999"/>
    <n v="1572.82"/>
    <n v="6"/>
    <x v="6"/>
    <n v="0.05"/>
    <n v="672.38"/>
    <n v="1494.1789999999999"/>
    <n v="-0.14603705446268475"/>
    <d v="2026-03-13T09:46:31"/>
    <s v="James Wilson"/>
  </r>
  <r>
    <s v="CUST014"/>
    <x v="8"/>
    <x v="4"/>
    <x v="0"/>
    <n v="1141.6605000000002"/>
    <n v="1343.13"/>
    <n v="14"/>
    <x v="7"/>
    <n v="0.15"/>
    <n v="456.66"/>
    <n v="1141.6605000000002"/>
    <n v="-0.11283345618071235"/>
    <d v="2026-03-13T09:46:31"/>
    <s v="James Wilson"/>
  </r>
  <r>
    <s v="CUST007"/>
    <x v="4"/>
    <x v="4"/>
    <x v="0"/>
    <n v="1132.001"/>
    <n v="1191.58"/>
    <n v="14"/>
    <x v="8"/>
    <n v="0.05"/>
    <n v="452.8"/>
    <n v="1132.001"/>
    <n v="-0.30992463787576158"/>
    <d v="2026-03-13T09:46:31"/>
    <s v="James Wilson"/>
  </r>
  <r>
    <s v="CUST023"/>
    <x v="1"/>
    <x v="0"/>
    <x v="3"/>
    <n v="781.16599999999994"/>
    <n v="822.28"/>
    <n v="7"/>
    <x v="8"/>
    <n v="0.05"/>
    <n v="273.41000000000003"/>
    <n v="781.16599999999994"/>
    <n v="-0.36558106727635359"/>
    <d v="2026-03-13T09:46:31"/>
    <s v="James Wilson"/>
  </r>
  <r>
    <s v="CUST029"/>
    <x v="10"/>
    <x v="3"/>
    <x v="3"/>
    <n v="443.41949999999997"/>
    <n v="521.66999999999996"/>
    <n v="15"/>
    <x v="9"/>
    <n v="0.15"/>
    <n v="155.19999999999999"/>
    <n v="443.41949999999997"/>
    <n v="1.8809975655107638"/>
    <d v="2026-03-13T09:46:31"/>
    <s v="James Wilson"/>
  </r>
  <r>
    <s v="CUST005"/>
    <x v="11"/>
    <x v="2"/>
    <x v="2"/>
    <n v="1202.3440000000001"/>
    <n v="1502.93"/>
    <n v="14"/>
    <x v="10"/>
    <n v="0.2"/>
    <n v="300.58999999999997"/>
    <n v="1202.3440000000001"/>
    <n v="-0.41608724291883187"/>
    <d v="2026-03-13T09:46:31"/>
    <s v="James Wilson"/>
  </r>
  <r>
    <s v="CUST008"/>
    <x v="1"/>
    <x v="2"/>
    <x v="0"/>
    <n v="745.94299999999998"/>
    <n v="877.58"/>
    <n v="10"/>
    <x v="11"/>
    <n v="0.15"/>
    <n v="298.38"/>
    <n v="745.94299999999998"/>
    <n v="-0.27448209849814259"/>
    <d v="2026-03-13T09:46:31"/>
    <s v="James Wilson"/>
  </r>
  <r>
    <s v="CUST001"/>
    <x v="12"/>
    <x v="0"/>
    <x v="0"/>
    <n v="509.36"/>
    <n v="636.70000000000005"/>
    <n v="4"/>
    <x v="11"/>
    <n v="0.2"/>
    <n v="203.74"/>
    <n v="509.36"/>
    <n v="1.3655410711481075"/>
    <d v="2026-03-13T09:46:31"/>
    <s v="James Wilson"/>
  </r>
  <r>
    <s v="CUST006"/>
    <x v="13"/>
    <x v="0"/>
    <x v="0"/>
    <n v="1204.912"/>
    <n v="1506.14"/>
    <n v="13"/>
    <x v="12"/>
    <n v="0.2"/>
    <n v="481.96"/>
    <n v="1204.912"/>
    <n v="-0.57173967891431077"/>
    <d v="2026-03-13T09:46:31"/>
    <s v="James Wilson"/>
  </r>
  <r>
    <s v="CUST026"/>
    <x v="6"/>
    <x v="4"/>
    <x v="2"/>
    <n v="645.02"/>
    <n v="645.02"/>
    <n v="4"/>
    <x v="13"/>
    <n v="0"/>
    <n v="161.26"/>
    <n v="645.02"/>
    <n v="0.47793866856841644"/>
    <d v="2026-03-13T09:46:31"/>
    <s v="James Wilson"/>
  </r>
  <r>
    <s v="CUST007"/>
    <x v="14"/>
    <x v="2"/>
    <x v="1"/>
    <n v="953.3"/>
    <n v="953.3"/>
    <n v="11"/>
    <x v="14"/>
    <n v="0"/>
    <n v="476.65"/>
    <n v="953.3"/>
    <n v="-0.5924053288576524"/>
    <d v="2026-03-13T09:46:31"/>
    <s v="James Wilson"/>
  </r>
  <r>
    <s v="CUST022"/>
    <x v="1"/>
    <x v="3"/>
    <x v="2"/>
    <n v="330.27600000000001"/>
    <n v="388.56"/>
    <n v="14"/>
    <x v="15"/>
    <n v="0.15"/>
    <n v="82.57"/>
    <n v="330.27600000000001"/>
    <n v="0.9126261066501955"/>
    <d v="2026-03-13T09:46:31"/>
    <s v="James Wilson"/>
  </r>
  <r>
    <s v="CUST019"/>
    <x v="6"/>
    <x v="0"/>
    <x v="0"/>
    <n v="743.17"/>
    <n v="743.17"/>
    <n v="9"/>
    <x v="15"/>
    <n v="0"/>
    <n v="297.27"/>
    <n v="743.17"/>
    <n v="-4.95176070078178E-2"/>
    <d v="2026-03-13T09:46:31"/>
    <s v="James Wilson"/>
  </r>
  <r>
    <s v="CUST023"/>
    <x v="6"/>
    <x v="4"/>
    <x v="2"/>
    <n v="706.37"/>
    <n v="706.37"/>
    <n v="6"/>
    <x v="15"/>
    <n v="0"/>
    <n v="176.59"/>
    <n v="706.37"/>
    <n v="0.3099508756034372"/>
    <d v="2026-03-13T09:46:31"/>
    <s v="James Wilson"/>
  </r>
  <r>
    <s v="CUST012"/>
    <x v="6"/>
    <x v="4"/>
    <x v="4"/>
    <n v="832.779"/>
    <n v="925.31"/>
    <n v="8"/>
    <x v="16"/>
    <n v="0.1"/>
    <n v="374.75"/>
    <n v="832.779"/>
    <n v="0.26781294917379034"/>
    <d v="2026-03-13T09:46:31"/>
    <s v="James Wilson"/>
  </r>
  <r>
    <s v="CUST010"/>
    <x v="15"/>
    <x v="2"/>
    <x v="2"/>
    <n v="1173.1199999999999"/>
    <n v="1173.1199999999999"/>
    <n v="18"/>
    <x v="16"/>
    <n v="0"/>
    <n v="293.27999999999997"/>
    <n v="1173.1199999999999"/>
    <n v="-0.42415098199672663"/>
    <d v="2026-03-13T09:46:31"/>
    <s v="James Wilson"/>
  </r>
  <r>
    <s v="CUST030"/>
    <x v="16"/>
    <x v="3"/>
    <x v="3"/>
    <n v="675.54"/>
    <n v="675.54"/>
    <n v="17"/>
    <x v="17"/>
    <n v="0"/>
    <n v="236.44"/>
    <n v="675.54"/>
    <n v="0.3901323385735857"/>
    <d v="2026-03-13T09:46:31"/>
    <s v="James Wilson"/>
  </r>
  <r>
    <s v="CUST007"/>
    <x v="1"/>
    <x v="4"/>
    <x v="0"/>
    <n v="892.13549999999998"/>
    <n v="939.09"/>
    <n v="2"/>
    <x v="18"/>
    <n v="0.05"/>
    <n v="356.85"/>
    <n v="892.13549999999998"/>
    <n v="4.7120084336964504E-2"/>
    <d v="2026-03-13T09:46:31"/>
    <s v="James Wilson"/>
  </r>
  <r>
    <s v="CUST028"/>
    <x v="17"/>
    <x v="1"/>
    <x v="4"/>
    <n v="885.00600000000009"/>
    <n v="983.34"/>
    <n v="19"/>
    <x v="19"/>
    <n v="0.1"/>
    <n v="398.25"/>
    <n v="885.00600000000009"/>
    <n v="-0.18521569345292574"/>
    <d v="2026-03-13T09:46:31"/>
    <s v="James Wilson"/>
  </r>
  <r>
    <s v="CUST028"/>
    <x v="3"/>
    <x v="2"/>
    <x v="2"/>
    <n v="640.96800000000007"/>
    <n v="801.21"/>
    <n v="3"/>
    <x v="19"/>
    <n v="0.2"/>
    <n v="160.24"/>
    <n v="640.96800000000007"/>
    <n v="0.81064889354850789"/>
    <d v="2026-03-13T09:46:31"/>
    <s v="James Wilson"/>
  </r>
  <r>
    <s v="CUST025"/>
    <x v="18"/>
    <x v="3"/>
    <x v="2"/>
    <n v="1305.6390000000001"/>
    <n v="1450.71"/>
    <n v="5"/>
    <x v="20"/>
    <n v="0.1"/>
    <n v="326.41000000000003"/>
    <n v="1305.6390000000001"/>
    <n v="-0.29468329300825113"/>
    <d v="2026-03-13T09:46:31"/>
    <s v="James Wilson"/>
  </r>
  <r>
    <s v="CUST022"/>
    <x v="19"/>
    <x v="4"/>
    <x v="0"/>
    <n v="972.04950000000008"/>
    <n v="1023.21"/>
    <n v="18"/>
    <x v="21"/>
    <n v="0.05"/>
    <n v="388.82"/>
    <n v="972.04950000000008"/>
    <n v="-0.16564537094047166"/>
    <d v="2026-03-13T09:46:31"/>
    <s v="James Wilson"/>
  </r>
  <r>
    <s v="CUST001"/>
    <x v="13"/>
    <x v="0"/>
    <x v="3"/>
    <n v="725.66200000000003"/>
    <n v="853.72"/>
    <n v="5"/>
    <x v="21"/>
    <n v="0.15"/>
    <n v="253.98"/>
    <n v="725.66200000000003"/>
    <n v="0.13373237126926857"/>
    <d v="2026-03-13T09:46:31"/>
    <s v="James Wilson"/>
  </r>
  <r>
    <s v="CUST021"/>
    <x v="11"/>
    <x v="2"/>
    <x v="2"/>
    <n v="871.101"/>
    <n v="967.89"/>
    <n v="10"/>
    <x v="22"/>
    <n v="0.1"/>
    <n v="217.78"/>
    <n v="871.101"/>
    <n v="0.24074016675448667"/>
    <d v="2026-03-13T09:46:31"/>
    <s v="James Wilson"/>
  </r>
  <r>
    <s v="CUST015"/>
    <x v="17"/>
    <x v="3"/>
    <x v="4"/>
    <n v="1140.855"/>
    <n v="1200.9000000000001"/>
    <n v="14"/>
    <x v="22"/>
    <n v="0.05"/>
    <n v="513.38"/>
    <n v="1140.855"/>
    <n v="-0.60664501623782163"/>
    <d v="2026-03-13T09:46:31"/>
    <s v="James Wilson"/>
  </r>
  <r>
    <s v="CUST012"/>
    <x v="4"/>
    <x v="0"/>
    <x v="0"/>
    <n v="377.904"/>
    <n v="472.38"/>
    <n v="12"/>
    <x v="22"/>
    <n v="0.2"/>
    <n v="151.16"/>
    <n v="377.904"/>
    <n v="0.78017697616325832"/>
    <d v="2026-03-13T09:46:31"/>
    <s v="James Wilson"/>
  </r>
  <r>
    <s v="CUST019"/>
    <x v="18"/>
    <x v="1"/>
    <x v="4"/>
    <n v="798.87399999999991"/>
    <n v="840.92"/>
    <n v="9"/>
    <x v="22"/>
    <n v="0.05"/>
    <n v="359.49"/>
    <n v="798.87399999999991"/>
    <n v="0.67680635494458452"/>
    <d v="2026-03-13T09:46:31"/>
    <s v="James Wilson"/>
  </r>
  <r>
    <s v="CUST028"/>
    <x v="14"/>
    <x v="4"/>
    <x v="3"/>
    <n v="1339.557"/>
    <n v="1410.06"/>
    <n v="11"/>
    <x v="23"/>
    <n v="0.05"/>
    <n v="468.84"/>
    <n v="1339.557"/>
    <n v="-0.4517325503879267"/>
    <d v="2026-03-13T09:46:31"/>
    <s v="James Wilson"/>
  </r>
  <r>
    <s v="CUST008"/>
    <x v="20"/>
    <x v="4"/>
    <x v="3"/>
    <n v="657.12650000000008"/>
    <n v="773.09"/>
    <n v="13"/>
    <x v="23"/>
    <n v="0.15"/>
    <n v="229.99"/>
    <n v="657.12650000000008"/>
    <n v="-0.24920772484445547"/>
    <d v="2026-03-13T09:46:31"/>
    <s v="James Wilson"/>
  </r>
  <r>
    <s v="CUST016"/>
    <x v="21"/>
    <x v="1"/>
    <x v="0"/>
    <n v="493.36549999999994"/>
    <n v="580.42999999999995"/>
    <n v="19"/>
    <x v="24"/>
    <n v="0.15"/>
    <n v="197.35"/>
    <n v="493.36549999999994"/>
    <n v="0.98337439484520117"/>
    <d v="2026-03-13T09:46:31"/>
    <s v="James Wilson"/>
  </r>
  <r>
    <s v="CUST005"/>
    <x v="10"/>
    <x v="2"/>
    <x v="0"/>
    <n v="1036.0889999999999"/>
    <n v="1151.21"/>
    <n v="15"/>
    <x v="25"/>
    <n v="0.1"/>
    <n v="414.44"/>
    <n v="1036.0889999999999"/>
    <n v="-0.10878119543784368"/>
    <d v="2026-03-13T09:46:31"/>
    <s v="James Wilson"/>
  </r>
  <r>
    <s v="CUST028"/>
    <x v="3"/>
    <x v="4"/>
    <x v="4"/>
    <n v="820.78399999999999"/>
    <n v="1025.98"/>
    <n v="5"/>
    <x v="26"/>
    <n v="0.2"/>
    <n v="369.35"/>
    <n v="820.78399999999999"/>
    <n v="-0.45766974015088019"/>
    <d v="2026-03-13T09:46:31"/>
    <s v="James Wilson"/>
  </r>
  <r>
    <s v="CUST023"/>
    <x v="19"/>
    <x v="1"/>
    <x v="4"/>
    <n v="472.95699999999999"/>
    <n v="556.41999999999996"/>
    <n v="11"/>
    <x v="26"/>
    <n v="0.15"/>
    <n v="212.83"/>
    <n v="472.95699999999999"/>
    <n v="0.51117860608892574"/>
    <d v="2026-03-13T09:46:31"/>
    <s v="James Wilson"/>
  </r>
  <r>
    <s v="CUST021"/>
    <x v="3"/>
    <x v="4"/>
    <x v="0"/>
    <n v="756.76499999999999"/>
    <n v="840.85"/>
    <n v="19"/>
    <x v="27"/>
    <n v="0.1"/>
    <n v="302.70999999999998"/>
    <n v="756.76499999999999"/>
    <n v="0.45953499435095435"/>
    <d v="2026-03-13T09:46:31"/>
    <s v="James Wilson"/>
  </r>
  <r>
    <s v="CUST026"/>
    <x v="21"/>
    <x v="3"/>
    <x v="3"/>
    <n v="1043.1624999999999"/>
    <n v="1227.25"/>
    <n v="12"/>
    <x v="27"/>
    <n v="0.15"/>
    <n v="365.11"/>
    <n v="1043.1624999999999"/>
    <n v="-0.3019352210226115"/>
    <d v="2026-03-13T09:46:31"/>
    <s v="James Wilson"/>
  </r>
  <r>
    <s v="CUST017"/>
    <x v="22"/>
    <x v="4"/>
    <x v="2"/>
    <n v="856.7"/>
    <n v="856.7"/>
    <n v="2"/>
    <x v="28"/>
    <n v="0"/>
    <n v="214.18"/>
    <n v="856.7"/>
    <n v="0.4303957044472978"/>
    <d v="2026-03-13T09:46:31"/>
    <s v="James Wilson"/>
  </r>
  <r>
    <s v="CUST025"/>
    <x v="19"/>
    <x v="4"/>
    <x v="4"/>
    <n v="1041.607"/>
    <n v="1225.42"/>
    <n v="8"/>
    <x v="28"/>
    <n v="0.15"/>
    <n v="468.72"/>
    <n v="1041.607"/>
    <n v="-0.18267206345579476"/>
    <d v="2026-03-13T09:46:31"/>
    <s v="James Wilson"/>
  </r>
  <r>
    <s v="CUST011"/>
    <x v="6"/>
    <x v="3"/>
    <x v="4"/>
    <n v="1001.57"/>
    <n v="1001.57"/>
    <n v="12"/>
    <x v="29"/>
    <n v="0"/>
    <n v="450.71"/>
    <n v="1001.57"/>
    <n v="0.18498956638078201"/>
    <d v="2026-03-13T09:46:31"/>
    <s v="James Wilson"/>
  </r>
  <r>
    <s v="CUST021"/>
    <x v="4"/>
    <x v="1"/>
    <x v="3"/>
    <n v="949.4799999999999"/>
    <n v="1186.8499999999999"/>
    <n v="19"/>
    <x v="30"/>
    <n v="0.2"/>
    <n v="332.32"/>
    <n v="949.4799999999999"/>
    <n v="-0.34663184058642615"/>
    <d v="2026-03-13T09:46:31"/>
    <s v="James Wilson"/>
  </r>
  <r>
    <s v="CUST008"/>
    <x v="16"/>
    <x v="2"/>
    <x v="2"/>
    <n v="697.90499999999997"/>
    <n v="775.45"/>
    <n v="6"/>
    <x v="31"/>
    <n v="0.1"/>
    <n v="174.48"/>
    <n v="697.90499999999997"/>
    <n v="0.3172609452575923"/>
    <d v="2026-03-13T09:46:31"/>
    <s v="James Wilson"/>
  </r>
  <r>
    <s v="CUST007"/>
    <x v="7"/>
    <x v="2"/>
    <x v="2"/>
    <n v="970.39650000000006"/>
    <n v="1021.47"/>
    <n v="6"/>
    <x v="32"/>
    <n v="0.05"/>
    <n v="242.6"/>
    <n v="970.39650000000006"/>
    <n v="0.20083800796890741"/>
    <d v="2026-03-13T09:46:31"/>
    <s v="James Wilson"/>
  </r>
  <r>
    <s v="CUST015"/>
    <x v="3"/>
    <x v="2"/>
    <x v="1"/>
    <n v="1103.9579999999999"/>
    <n v="1226.6199999999999"/>
    <n v="7"/>
    <x v="33"/>
    <n v="0.1"/>
    <n v="551.98"/>
    <n v="1103.9579999999999"/>
    <n v="-0.11388204986059239"/>
    <d v="2026-03-13T09:46:31"/>
    <s v="James Wilson"/>
  </r>
  <r>
    <s v="CUST030"/>
    <x v="23"/>
    <x v="2"/>
    <x v="3"/>
    <n v="1086.93"/>
    <n v="1086.93"/>
    <n v="2"/>
    <x v="34"/>
    <n v="0"/>
    <n v="380.43"/>
    <n v="1086.93"/>
    <n v="-0.13251083326433172"/>
    <d v="2026-03-13T09:46:31"/>
    <s v="James Wilson"/>
  </r>
  <r>
    <s v="CUST002"/>
    <x v="14"/>
    <x v="0"/>
    <x v="0"/>
    <n v="848.61"/>
    <n v="942.9"/>
    <n v="18"/>
    <x v="35"/>
    <n v="0.1"/>
    <n v="339.44"/>
    <n v="848.61"/>
    <n v="-0.13161522961077529"/>
    <d v="2026-03-13T09:46:31"/>
    <s v="James Wilson"/>
  </r>
  <r>
    <s v="CUST009"/>
    <x v="9"/>
    <x v="3"/>
    <x v="2"/>
    <n v="695.98"/>
    <n v="818.8"/>
    <n v="15"/>
    <x v="36"/>
    <n v="0.15"/>
    <n v="173.99"/>
    <n v="695.98"/>
    <n v="0.12242305813385444"/>
    <d v="2026-03-13T09:46:31"/>
    <s v="James Wilson"/>
  </r>
  <r>
    <s v="CUST005"/>
    <x v="1"/>
    <x v="2"/>
    <x v="3"/>
    <n v="735.23199999999997"/>
    <n v="919.04"/>
    <n v="10"/>
    <x v="36"/>
    <n v="0.2"/>
    <n v="257.33"/>
    <n v="735.23199999999997"/>
    <n v="5.8996344011142093E-2"/>
    <d v="2026-03-13T09:46:31"/>
    <s v="James Wilson"/>
  </r>
  <r>
    <s v="CUST030"/>
    <x v="24"/>
    <x v="4"/>
    <x v="0"/>
    <n v="973.26"/>
    <n v="973.26"/>
    <n v="11"/>
    <x v="37"/>
    <n v="0"/>
    <n v="389.3"/>
    <n v="973.26"/>
    <n v="-0.23801450794237919"/>
    <d v="2026-03-13T09:46:31"/>
    <s v="James Wilson"/>
  </r>
  <r>
    <s v="CUST029"/>
    <x v="23"/>
    <x v="3"/>
    <x v="2"/>
    <n v="593.28800000000001"/>
    <n v="741.61"/>
    <n v="1"/>
    <x v="38"/>
    <n v="0.2"/>
    <n v="148.32"/>
    <n v="593.28800000000001"/>
    <n v="0.68393090708054083"/>
    <d v="2026-03-13T09:46:31"/>
    <s v="James Wilson"/>
  </r>
  <r>
    <s v="CUST003"/>
    <x v="9"/>
    <x v="3"/>
    <x v="0"/>
    <n v="1123.9379999999999"/>
    <n v="1248.82"/>
    <n v="2"/>
    <x v="39"/>
    <n v="0.1"/>
    <n v="449.58"/>
    <n v="1123.9379999999999"/>
    <n v="8.9316314600983299E-2"/>
    <d v="2026-03-13T09:46:31"/>
    <s v="James Wilson"/>
  </r>
  <r>
    <s v="CUST012"/>
    <x v="20"/>
    <x v="0"/>
    <x v="1"/>
    <n v="1360.36"/>
    <n v="1360.36"/>
    <n v="17"/>
    <x v="39"/>
    <n v="0"/>
    <n v="680.18"/>
    <n v="1360.36"/>
    <n v="1.6863183275015479E-2"/>
    <d v="2026-03-13T09:46:31"/>
    <s v="James Wilson"/>
  </r>
  <r>
    <s v="CUST021"/>
    <x v="6"/>
    <x v="1"/>
    <x v="0"/>
    <n v="1244.97"/>
    <n v="1383.3"/>
    <n v="8"/>
    <x v="40"/>
    <n v="0.1"/>
    <n v="497.99"/>
    <n v="1244.97"/>
    <n v="-0.64650473505385675"/>
    <d v="2026-03-13T09:46:31"/>
    <s v="James Wilson"/>
  </r>
  <r>
    <s v="CUST010"/>
    <x v="18"/>
    <x v="4"/>
    <x v="4"/>
    <n v="488.99"/>
    <n v="488.99"/>
    <n v="9"/>
    <x v="41"/>
    <n v="0"/>
    <n v="220.05"/>
    <n v="488.99"/>
    <n v="0.90946645125667192"/>
    <d v="2026-03-13T09:46:31"/>
    <s v="James Wilson"/>
  </r>
  <r>
    <s v="CUST026"/>
    <x v="6"/>
    <x v="1"/>
    <x v="3"/>
    <n v="840.33900000000006"/>
    <n v="933.71"/>
    <n v="17"/>
    <x v="42"/>
    <n v="0.1"/>
    <n v="294.12"/>
    <n v="840.33900000000006"/>
    <n v="7.6918957706354152E-2"/>
    <d v="2026-03-13T09:46:31"/>
    <s v="James Wilson"/>
  </r>
  <r>
    <s v="CUST003"/>
    <x v="0"/>
    <x v="0"/>
    <x v="2"/>
    <n v="804.42399999999998"/>
    <n v="1005.53"/>
    <n v="17"/>
    <x v="42"/>
    <n v="0.2"/>
    <n v="201.11"/>
    <n v="804.42399999999998"/>
    <n v="9.4049904030710119E-2"/>
    <d v="2026-03-13T09:46:31"/>
    <s v="James Wilson"/>
  </r>
  <r>
    <s v="CUST029"/>
    <x v="21"/>
    <x v="2"/>
    <x v="2"/>
    <n v="1045.0949999999998"/>
    <n v="1100.0999999999999"/>
    <n v="5"/>
    <x v="43"/>
    <n v="0.05"/>
    <n v="261.27"/>
    <n v="1045.0949999999998"/>
    <n v="-5.9449140987182868E-2"/>
    <d v="2026-03-13T09:46:31"/>
    <s v="James Wilson"/>
  </r>
  <r>
    <s v="CUST003"/>
    <x v="3"/>
    <x v="3"/>
    <x v="3"/>
    <n v="879.495"/>
    <n v="1034.7"/>
    <n v="15"/>
    <x v="44"/>
    <n v="0.15"/>
    <n v="307.82"/>
    <n v="879.495"/>
    <n v="-0.15295254663187396"/>
    <d v="2026-03-13T09:46:31"/>
    <s v="James Wilson"/>
  </r>
  <r>
    <s v="CUST002"/>
    <x v="6"/>
    <x v="2"/>
    <x v="0"/>
    <n v="832.61800000000005"/>
    <n v="876.44"/>
    <n v="12"/>
    <x v="45"/>
    <n v="0.05"/>
    <n v="333.05"/>
    <n v="832.61800000000005"/>
    <n v="0.56467071334033114"/>
    <d v="2026-03-13T09:46:31"/>
    <s v="James Wilson"/>
  </r>
  <r>
    <s v="CUST020"/>
    <x v="18"/>
    <x v="0"/>
    <x v="3"/>
    <n v="1302.7729999999999"/>
    <n v="1371.34"/>
    <n v="5"/>
    <x v="45"/>
    <n v="0.05"/>
    <n v="455.97"/>
    <n v="1302.7729999999999"/>
    <n v="-0.25601236746539879"/>
    <d v="2026-03-13T09:46:31"/>
    <s v="James Wilson"/>
  </r>
  <r>
    <s v="CUST021"/>
    <x v="13"/>
    <x v="3"/>
    <x v="2"/>
    <n v="969.24699999999996"/>
    <n v="1020.26"/>
    <n v="11"/>
    <x v="46"/>
    <n v="0.05"/>
    <n v="242.31"/>
    <n v="969.24699999999996"/>
    <n v="-0.21117166212534064"/>
    <d v="2026-03-13T09:46:31"/>
    <s v="James Wilson"/>
  </r>
  <r>
    <s v="CUST008"/>
    <x v="0"/>
    <x v="4"/>
    <x v="4"/>
    <n v="764.56949999999995"/>
    <n v="804.81"/>
    <n v="1"/>
    <x v="47"/>
    <n v="0.05"/>
    <n v="344.06"/>
    <n v="764.56949999999995"/>
    <n v="-0.24372212074899666"/>
    <d v="2026-03-13T09:46:31"/>
    <s v="James Wilson"/>
  </r>
  <r>
    <s v="CUST030"/>
    <x v="18"/>
    <x v="4"/>
    <x v="2"/>
    <n v="578.22699999999998"/>
    <n v="608.66"/>
    <n v="1"/>
    <x v="48"/>
    <n v="0.05"/>
    <n v="144.56"/>
    <n v="578.22699999999998"/>
    <n v="0.61206584957118937"/>
    <d v="2026-03-13T09:46:31"/>
    <s v="James Wilson"/>
  </r>
  <r>
    <s v="CUST020"/>
    <x v="25"/>
    <x v="2"/>
    <x v="4"/>
    <n v="981.2"/>
    <n v="981.2"/>
    <n v="19"/>
    <x v="49"/>
    <n v="0"/>
    <n v="441.54"/>
    <n v="981.2"/>
    <n v="-0.44988789237668164"/>
    <d v="2026-03-13T09:46:31"/>
    <s v="James Wilson"/>
  </r>
  <r>
    <s v="CUST024"/>
    <x v="18"/>
    <x v="1"/>
    <x v="2"/>
    <n v="458.80449999999996"/>
    <n v="539.77"/>
    <n v="10"/>
    <x v="50"/>
    <n v="0.15"/>
    <n v="114.7"/>
    <n v="458.80449999999996"/>
    <n v="0.4903570039090725"/>
    <d v="2026-03-13T09:46:31"/>
    <s v="James Wilson"/>
  </r>
  <r>
    <s v="CUST012"/>
    <x v="26"/>
    <x v="2"/>
    <x v="0"/>
    <n v="643.56000000000006"/>
    <n v="804.45"/>
    <n v="5"/>
    <x v="50"/>
    <n v="0.2"/>
    <n v="257.42"/>
    <n v="643.56000000000006"/>
    <n v="0.8976940766983651"/>
    <d v="2026-03-13T09:46:31"/>
    <s v="James Wilson"/>
  </r>
  <r>
    <s v="CUST024"/>
    <x v="9"/>
    <x v="0"/>
    <x v="2"/>
    <n v="1221.28"/>
    <n v="1526.6"/>
    <n v="13"/>
    <x v="51"/>
    <n v="0.2"/>
    <n v="305.32"/>
    <n v="1221.28"/>
    <n v="-0.20394340364208041"/>
    <d v="2026-03-13T09:46:31"/>
    <s v="James Wilson"/>
  </r>
  <r>
    <s v="CUST012"/>
    <x v="5"/>
    <x v="0"/>
    <x v="2"/>
    <n v="1032.971"/>
    <n v="1215.26"/>
    <n v="5"/>
    <x v="52"/>
    <n v="0.15"/>
    <n v="258.24"/>
    <n v="1032.971"/>
    <n v="3.79178118262758E-2"/>
    <d v="2026-03-13T09:46:31"/>
    <s v="James Wilson"/>
  </r>
  <r>
    <s v="CUST005"/>
    <x v="17"/>
    <x v="4"/>
    <x v="3"/>
    <n v="1261.3399999999999"/>
    <n v="1261.3399999999999"/>
    <n v="3"/>
    <x v="53"/>
    <n v="0"/>
    <n v="441.47"/>
    <n v="1261.3399999999999"/>
    <n v="-0.589270141278323"/>
    <d v="2026-03-13T09:46:31"/>
    <s v="James Wilson"/>
  </r>
  <r>
    <s v="CUST004"/>
    <x v="12"/>
    <x v="3"/>
    <x v="3"/>
    <n v="492.16650000000004"/>
    <n v="518.07000000000005"/>
    <n v="7"/>
    <x v="54"/>
    <n v="0.05"/>
    <n v="172.26"/>
    <n v="492.16650000000004"/>
    <n v="1.1451541297508054"/>
    <d v="2026-03-13T09:46:31"/>
    <s v="James Wilson"/>
  </r>
  <r>
    <s v="CUST026"/>
    <x v="5"/>
    <x v="0"/>
    <x v="4"/>
    <n v="1111.3399999999999"/>
    <n v="1111.3399999999999"/>
    <n v="1"/>
    <x v="55"/>
    <n v="0"/>
    <n v="500.1"/>
    <n v="1111.3399999999999"/>
    <n v="0.16208361077618022"/>
    <d v="2026-03-13T09:46:31"/>
    <s v="James Wilson"/>
  </r>
  <r>
    <s v="CUST030"/>
    <x v="6"/>
    <x v="1"/>
    <x v="1"/>
    <n v="1162.3230000000001"/>
    <n v="1291.47"/>
    <n v="18"/>
    <x v="56"/>
    <n v="0.1"/>
    <n v="581.16"/>
    <n v="1162.3230000000001"/>
    <n v="-0.4736927687054287"/>
    <d v="2026-03-13T09:46:31"/>
    <s v="James Wilson"/>
  </r>
  <r>
    <s v="CUST007"/>
    <x v="18"/>
    <x v="3"/>
    <x v="0"/>
    <n v="679.71"/>
    <n v="679.71"/>
    <n v="19"/>
    <x v="57"/>
    <n v="0"/>
    <n v="271.88"/>
    <n v="679.71"/>
    <n v="0.68261464448073439"/>
    <d v="2026-03-13T09:46:31"/>
    <s v="James Wilson"/>
  </r>
  <r>
    <s v="CUST020"/>
    <x v="7"/>
    <x v="1"/>
    <x v="3"/>
    <n v="1143.69"/>
    <n v="1143.69"/>
    <n v="17"/>
    <x v="57"/>
    <n v="0"/>
    <n v="400.29"/>
    <n v="1143.69"/>
    <n v="-0.30918343257351205"/>
    <d v="2026-03-13T09:46:31"/>
    <s v="James Wilson"/>
  </r>
  <r>
    <s v="CUST028"/>
    <x v="15"/>
    <x v="4"/>
    <x v="2"/>
    <n v="711.072"/>
    <n v="790.08"/>
    <n v="7"/>
    <x v="58"/>
    <n v="0.1"/>
    <n v="177.77"/>
    <n v="711.072"/>
    <n v="0.35515390846496558"/>
    <d v="2026-03-13T09:46:31"/>
    <s v="James Wilson"/>
  </r>
  <r>
    <s v="CUST005"/>
    <x v="14"/>
    <x v="4"/>
    <x v="0"/>
    <n v="1017.1460000000001"/>
    <n v="1070.68"/>
    <n v="7"/>
    <x v="58"/>
    <n v="0.05"/>
    <n v="406.86"/>
    <n v="1017.1460000000001"/>
    <n v="9.1726753091493279E-2"/>
    <d v="2026-03-13T09:46:31"/>
    <s v="James Wilson"/>
  </r>
  <r>
    <s v="CUST015"/>
    <x v="8"/>
    <x v="0"/>
    <x v="1"/>
    <n v="1052.0010000000002"/>
    <n v="1168.8900000000001"/>
    <n v="4"/>
    <x v="59"/>
    <n v="0.1"/>
    <n v="526"/>
    <n v="1052.0010000000002"/>
    <n v="0.14285347637502227"/>
    <d v="2026-03-13T09:46:31"/>
    <s v="James Wilson"/>
  </r>
  <r>
    <s v="CUST003"/>
    <x v="0"/>
    <x v="2"/>
    <x v="2"/>
    <n v="1335.87"/>
    <n v="1335.87"/>
    <n v="17"/>
    <x v="59"/>
    <n v="0"/>
    <n v="333.97"/>
    <n v="1335.87"/>
    <n v="-0.34596929341926974"/>
    <d v="2026-03-13T09:46:31"/>
    <s v="James Wilson"/>
  </r>
  <r>
    <s v="CUST023"/>
    <x v="18"/>
    <x v="1"/>
    <x v="3"/>
    <n v="873.7"/>
    <n v="873.7"/>
    <n v="9"/>
    <x v="60"/>
    <n v="0"/>
    <n v="305.8"/>
    <n v="873.7"/>
    <n v="0.65271832436763189"/>
    <d v="2026-03-13T09:46:31"/>
    <s v="James Wilson"/>
  </r>
  <r>
    <s v="CUST004"/>
    <x v="23"/>
    <x v="0"/>
    <x v="4"/>
    <n v="1443.98"/>
    <n v="1443.98"/>
    <n v="19"/>
    <x v="61"/>
    <n v="0"/>
    <n v="649.79"/>
    <n v="1443.98"/>
    <n v="-0.200591420933808"/>
    <d v="2026-03-13T09:46:31"/>
    <s v="James Wilson"/>
  </r>
  <r>
    <s v="CUST023"/>
    <x v="3"/>
    <x v="1"/>
    <x v="4"/>
    <n v="981.18049999999994"/>
    <n v="1154.33"/>
    <n v="11"/>
    <x v="62"/>
    <n v="0.15"/>
    <n v="441.53"/>
    <n v="981.18049999999994"/>
    <n v="9.5431982188802236E-2"/>
    <d v="2026-03-13T09:46:31"/>
    <s v="James Wilson"/>
  </r>
  <r>
    <s v="CUST022"/>
    <x v="15"/>
    <x v="2"/>
    <x v="0"/>
    <n v="1201.2655"/>
    <n v="1264.49"/>
    <n v="16"/>
    <x v="62"/>
    <n v="0.05"/>
    <n v="480.51"/>
    <n v="1201.2655"/>
    <n v="-0.12885827487761869"/>
    <d v="2026-03-13T09:46:31"/>
    <s v="James Wilson"/>
  </r>
  <r>
    <s v="CUST007"/>
    <x v="24"/>
    <x v="0"/>
    <x v="3"/>
    <n v="991.39499999999998"/>
    <n v="1101.55"/>
    <n v="4"/>
    <x v="63"/>
    <n v="0.1"/>
    <n v="346.99"/>
    <n v="991.39499999999998"/>
    <n v="-0.33935817711406652"/>
    <d v="2026-03-13T09:46:31"/>
    <s v="James Wilson"/>
  </r>
  <r>
    <s v="CUST013"/>
    <x v="1"/>
    <x v="2"/>
    <x v="3"/>
    <n v="654.95699999999999"/>
    <n v="727.73"/>
    <n v="1"/>
    <x v="64"/>
    <n v="0.1"/>
    <n v="229.23"/>
    <n v="654.95699999999999"/>
    <n v="0.20293240624957051"/>
    <d v="2026-03-13T09:46:31"/>
    <s v="James Wilson"/>
  </r>
  <r>
    <s v="CUST027"/>
    <x v="9"/>
    <x v="1"/>
    <x v="4"/>
    <n v="744.09849999999994"/>
    <n v="875.41"/>
    <n v="13"/>
    <x v="64"/>
    <n v="0.15"/>
    <n v="334.84"/>
    <n v="744.09849999999994"/>
    <n v="0.32388252361750502"/>
    <d v="2026-03-13T09:46:31"/>
    <s v="James Wilson"/>
  </r>
  <r>
    <s v="CUST003"/>
    <x v="3"/>
    <x v="0"/>
    <x v="2"/>
    <n v="927.15200000000004"/>
    <n v="1158.94"/>
    <n v="19"/>
    <x v="65"/>
    <n v="0.2"/>
    <n v="231.79"/>
    <n v="927.15200000000004"/>
    <n v="-0.16622085699000819"/>
    <d v="2026-03-13T09:46:31"/>
    <s v="James Wilson"/>
  </r>
  <r>
    <s v="CUST018"/>
    <x v="13"/>
    <x v="2"/>
    <x v="0"/>
    <n v="821.35500000000002"/>
    <n v="966.3"/>
    <n v="2"/>
    <x v="66"/>
    <n v="0.15"/>
    <n v="328.54"/>
    <n v="821.35500000000002"/>
    <n v="-5.0522612025250893E-2"/>
    <d v="2026-03-13T09:46:31"/>
    <s v="James Wilson"/>
  </r>
  <r>
    <s v="CUST020"/>
    <x v="2"/>
    <x v="2"/>
    <x v="0"/>
    <n v="917.48"/>
    <n v="917.48"/>
    <n v="6"/>
    <x v="67"/>
    <n v="0"/>
    <n v="366.99"/>
    <n v="917.48"/>
    <n v="0.27846928543401489"/>
    <d v="2026-03-13T09:46:31"/>
    <s v="James Wilson"/>
  </r>
  <r>
    <s v="CUST029"/>
    <x v="21"/>
    <x v="0"/>
    <x v="3"/>
    <n v="997.02449999999999"/>
    <n v="1172.97"/>
    <n v="7"/>
    <x v="68"/>
    <n v="0.15"/>
    <n v="348.96"/>
    <n v="997.02449999999999"/>
    <n v="2.8005831351185374E-2"/>
    <d v="2026-03-13T09:46:31"/>
    <s v="James Wilson"/>
  </r>
  <r>
    <s v="CUST021"/>
    <x v="3"/>
    <x v="3"/>
    <x v="1"/>
    <n v="1085.2379999999998"/>
    <n v="1205.82"/>
    <n v="11"/>
    <x v="68"/>
    <n v="0.1"/>
    <n v="542.62"/>
    <n v="1085.2379999999998"/>
    <n v="-0.31421771076943489"/>
    <d v="2026-03-13T09:46:31"/>
    <s v="James Wilson"/>
  </r>
  <r>
    <s v="CUST017"/>
    <x v="23"/>
    <x v="0"/>
    <x v="4"/>
    <n v="661.54399999999998"/>
    <n v="826.93"/>
    <n v="10"/>
    <x v="69"/>
    <n v="0.2"/>
    <n v="297.69"/>
    <n v="661.54399999999998"/>
    <n v="9.1011331067926068E-2"/>
    <d v="2026-03-13T09:46:31"/>
    <s v="James Wilson"/>
  </r>
  <r>
    <s v="CUST003"/>
    <x v="3"/>
    <x v="4"/>
    <x v="1"/>
    <n v="902.19"/>
    <n v="902.19"/>
    <n v="12"/>
    <x v="69"/>
    <n v="0"/>
    <n v="451.1"/>
    <n v="902.19"/>
    <n v="-0.35050266573559896"/>
    <d v="2026-03-13T09:46:31"/>
    <s v="James Wilson"/>
  </r>
  <r>
    <s v="CUST027"/>
    <x v="9"/>
    <x v="3"/>
    <x v="0"/>
    <n v="527.37300000000005"/>
    <n v="585.97"/>
    <n v="17"/>
    <x v="70"/>
    <n v="0.1"/>
    <n v="210.95"/>
    <n v="527.37300000000005"/>
    <n v="0.6898305373995256"/>
    <d v="2026-03-13T09:46:31"/>
    <s v="James Wilson"/>
  </r>
  <r>
    <s v="CUST016"/>
    <x v="4"/>
    <x v="3"/>
    <x v="1"/>
    <n v="891.17100000000005"/>
    <n v="990.19"/>
    <n v="8"/>
    <x v="70"/>
    <n v="0.1"/>
    <n v="445.59"/>
    <n v="891.17100000000005"/>
    <n v="2.413678182974982E-2"/>
    <d v="2026-03-13T09:46:31"/>
    <s v="James Wilson"/>
  </r>
  <r>
    <s v="CUST008"/>
    <x v="19"/>
    <x v="4"/>
    <x v="2"/>
    <n v="811.27200000000005"/>
    <n v="1014.09"/>
    <n v="13"/>
    <x v="71"/>
    <n v="0.2"/>
    <n v="202.82"/>
    <n v="811.27200000000005"/>
    <n v="-8.7566192349791502E-2"/>
    <d v="2026-03-13T09:46:31"/>
    <s v="James Wilson"/>
  </r>
  <r>
    <s v="CUST012"/>
    <x v="14"/>
    <x v="3"/>
    <x v="2"/>
    <n v="925.29"/>
    <n v="925.29"/>
    <n v="17"/>
    <x v="72"/>
    <n v="0"/>
    <n v="231.32"/>
    <n v="925.29"/>
    <n v="0.39041813917798746"/>
    <d v="2026-03-13T09:46:31"/>
    <s v="James Wilson"/>
  </r>
  <r>
    <s v="CUST025"/>
    <x v="13"/>
    <x v="1"/>
    <x v="3"/>
    <n v="1286.54"/>
    <n v="1286.54"/>
    <n v="8"/>
    <x v="73"/>
    <n v="0"/>
    <n v="450.29"/>
    <n v="1286.54"/>
    <n v="-0.25255336017535401"/>
    <d v="2026-03-13T09:46:31"/>
    <s v="James Wilson"/>
  </r>
  <r>
    <s v="CUST014"/>
    <x v="23"/>
    <x v="2"/>
    <x v="0"/>
    <n v="769.29600000000005"/>
    <n v="961.62"/>
    <n v="8"/>
    <x v="74"/>
    <n v="0.2"/>
    <n v="307.72000000000003"/>
    <n v="769.29600000000005"/>
    <n v="0.12429026018593634"/>
    <d v="2026-03-13T09:46:31"/>
    <s v="James Wilson"/>
  </r>
  <r>
    <s v="CUST008"/>
    <x v="3"/>
    <x v="1"/>
    <x v="0"/>
    <n v="918.96900000000005"/>
    <n v="1081.1400000000001"/>
    <n v="19"/>
    <x v="74"/>
    <n v="0.15"/>
    <n v="367.59"/>
    <n v="918.96900000000005"/>
    <n v="0.77928852877518162"/>
    <d v="2026-03-13T09:46:31"/>
    <s v="James Wilson"/>
  </r>
  <r>
    <s v="CUST015"/>
    <x v="3"/>
    <x v="0"/>
    <x v="1"/>
    <n v="1538.9280000000001"/>
    <n v="1923.66"/>
    <n v="9"/>
    <x v="75"/>
    <n v="0.2"/>
    <n v="769.46"/>
    <n v="1538.9280000000001"/>
    <n v="-0.62118565650894653"/>
    <d v="2026-03-13T09:46:31"/>
    <s v="James Wilson"/>
  </r>
  <r>
    <s v="CUST025"/>
    <x v="24"/>
    <x v="4"/>
    <x v="1"/>
    <n v="655.83900000000006"/>
    <n v="728.71"/>
    <n v="14"/>
    <x v="76"/>
    <n v="0.1"/>
    <n v="327.92"/>
    <n v="655.83900000000006"/>
    <n v="0.78656804490126397"/>
    <d v="2026-03-13T09:46:31"/>
    <s v="David Brown"/>
  </r>
  <r>
    <s v="CUST019"/>
    <x v="7"/>
    <x v="4"/>
    <x v="1"/>
    <n v="1106.6065000000001"/>
    <n v="1301.8900000000001"/>
    <n v="7"/>
    <x v="76"/>
    <n v="0.15"/>
    <n v="553.29999999999995"/>
    <n v="1106.6065000000001"/>
    <n v="-0.24710997088847761"/>
    <d v="2026-03-13T09:46:31"/>
    <s v="David Brown"/>
  </r>
  <r>
    <s v="CUST024"/>
    <x v="24"/>
    <x v="1"/>
    <x v="0"/>
    <n v="882.16199999999992"/>
    <n v="980.18"/>
    <n v="16"/>
    <x v="77"/>
    <n v="0.1"/>
    <n v="352.86"/>
    <n v="882.16199999999992"/>
    <n v="-0.28832459344202077"/>
    <d v="2026-03-13T09:46:31"/>
    <s v="David Brown"/>
  </r>
  <r>
    <s v="CUST027"/>
    <x v="3"/>
    <x v="0"/>
    <x v="1"/>
    <n v="627.8130000000001"/>
    <n v="697.57"/>
    <n v="17"/>
    <x v="78"/>
    <n v="0.1"/>
    <n v="313.91000000000003"/>
    <n v="627.8130000000001"/>
    <n v="0.71109709419843148"/>
    <d v="2026-03-13T09:46:31"/>
    <s v="David Brown"/>
  </r>
  <r>
    <s v="CUST006"/>
    <x v="26"/>
    <x v="0"/>
    <x v="3"/>
    <n v="1014.5684999999999"/>
    <n v="1193.6099999999999"/>
    <n v="1"/>
    <x v="78"/>
    <n v="0.15"/>
    <n v="355.1"/>
    <n v="1014.5684999999999"/>
    <n v="-0.35404361558633052"/>
    <d v="2026-03-13T09:46:31"/>
    <s v="David Brown"/>
  </r>
  <r>
    <s v="CUST009"/>
    <x v="9"/>
    <x v="2"/>
    <x v="2"/>
    <n v="771.02"/>
    <n v="771.02"/>
    <n v="1"/>
    <x v="79"/>
    <n v="0"/>
    <n v="192.76"/>
    <n v="771.02"/>
    <n v="-0.1425773650488962"/>
    <d v="2026-03-13T09:46:31"/>
    <s v="David Brown"/>
  </r>
  <r>
    <s v="CUST003"/>
    <x v="25"/>
    <x v="3"/>
    <x v="1"/>
    <n v="528.87200000000007"/>
    <n v="661.09"/>
    <n v="1"/>
    <x v="80"/>
    <n v="0.2"/>
    <n v="264.44"/>
    <n v="528.87200000000007"/>
    <n v="4.1961003796759912E-2"/>
    <d v="2026-03-13T09:46:31"/>
    <s v="David Brown"/>
  </r>
  <r>
    <s v="CUST012"/>
    <x v="18"/>
    <x v="0"/>
    <x v="2"/>
    <n v="688.83"/>
    <n v="688.83"/>
    <n v="15"/>
    <x v="81"/>
    <n v="0"/>
    <n v="172.21"/>
    <n v="688.83"/>
    <n v="0.81336469085260488"/>
    <d v="2026-03-13T09:46:31"/>
    <s v="David Brown"/>
  </r>
  <r>
    <s v="CUST013"/>
    <x v="5"/>
    <x v="4"/>
    <x v="0"/>
    <n v="1186.645"/>
    <n v="1249.0999999999999"/>
    <n v="4"/>
    <x v="82"/>
    <n v="0.05"/>
    <n v="474.66"/>
    <n v="1186.645"/>
    <n v="-0.18803938835961884"/>
    <d v="2026-03-13T09:46:31"/>
    <s v="David Brown"/>
  </r>
  <r>
    <s v="CUST008"/>
    <x v="3"/>
    <x v="1"/>
    <x v="4"/>
    <n v="963.50900000000001"/>
    <n v="1014.22"/>
    <n v="14"/>
    <x v="83"/>
    <n v="0.05"/>
    <n v="433.58"/>
    <n v="963.50900000000001"/>
    <n v="-3.5889649188538841E-3"/>
    <d v="2026-03-13T09:46:31"/>
    <s v="David Brown"/>
  </r>
  <r>
    <s v="CUST025"/>
    <x v="14"/>
    <x v="1"/>
    <x v="0"/>
    <n v="858.99300000000005"/>
    <n v="1010.58"/>
    <n v="2"/>
    <x v="84"/>
    <n v="0.15"/>
    <n v="343.6"/>
    <n v="858.99300000000005"/>
    <n v="-5.2732094440816238E-2"/>
    <d v="2026-03-13T09:46:31"/>
    <s v="David Brown"/>
  </r>
  <r>
    <s v="CUST026"/>
    <x v="20"/>
    <x v="3"/>
    <x v="3"/>
    <n v="909.42549999999994"/>
    <n v="957.29"/>
    <n v="4"/>
    <x v="84"/>
    <n v="0.05"/>
    <n v="318.3"/>
    <n v="909.42549999999994"/>
    <n v="0.12601197129396538"/>
    <d v="2026-03-13T09:46:31"/>
    <s v="David Brown"/>
  </r>
  <r>
    <s v="CUST001"/>
    <x v="12"/>
    <x v="3"/>
    <x v="3"/>
    <n v="1024.0240000000001"/>
    <n v="1077.92"/>
    <n v="3"/>
    <x v="85"/>
    <n v="0.05"/>
    <n v="358.41"/>
    <n v="1024.0240000000001"/>
    <n v="7.8939067834347551E-2"/>
    <d v="2026-03-13T09:46:31"/>
    <s v="David Brown"/>
  </r>
  <r>
    <s v="CUST028"/>
    <x v="15"/>
    <x v="2"/>
    <x v="1"/>
    <n v="1163.01"/>
    <n v="1163.01"/>
    <n v="5"/>
    <x v="86"/>
    <n v="0"/>
    <n v="581.5"/>
    <n v="1163.01"/>
    <n v="-0.12764292654405382"/>
    <d v="2026-03-13T09:46:31"/>
    <s v="David Brown"/>
  </r>
  <r>
    <s v="CUST025"/>
    <x v="12"/>
    <x v="1"/>
    <x v="4"/>
    <n v="913.10399999999993"/>
    <n v="1014.56"/>
    <n v="10"/>
    <x v="87"/>
    <n v="0.1"/>
    <n v="410.9"/>
    <n v="913.10399999999993"/>
    <n v="-0.29226462703043682"/>
    <d v="2026-03-13T09:46:31"/>
    <s v="David Brown"/>
  </r>
  <r>
    <s v="CUST019"/>
    <x v="2"/>
    <x v="2"/>
    <x v="2"/>
    <n v="718.04"/>
    <n v="718.04"/>
    <n v="14"/>
    <x v="88"/>
    <n v="0"/>
    <n v="179.51"/>
    <n v="718.04"/>
    <n v="0.77963623196479304"/>
    <d v="2026-03-13T09:46:31"/>
    <s v="David Brown"/>
  </r>
  <r>
    <s v="CUST004"/>
    <x v="2"/>
    <x v="4"/>
    <x v="1"/>
    <n v="1022.28"/>
    <n v="1277.8499999999999"/>
    <n v="18"/>
    <x v="88"/>
    <n v="0.2"/>
    <n v="511.14"/>
    <n v="1022.28"/>
    <n v="-0.44693821653558707"/>
    <d v="2026-03-13T09:46:31"/>
    <s v="David Brown"/>
  </r>
  <r>
    <s v="CUST024"/>
    <x v="3"/>
    <x v="3"/>
    <x v="2"/>
    <n v="600.72050000000002"/>
    <n v="706.73"/>
    <n v="1"/>
    <x v="88"/>
    <n v="0.15"/>
    <n v="150.18"/>
    <n v="600.72050000000002"/>
    <n v="0.99593904319895843"/>
    <d v="2026-03-13T09:46:31"/>
    <s v="David Brown"/>
  </r>
  <r>
    <s v="CUST002"/>
    <x v="15"/>
    <x v="1"/>
    <x v="2"/>
    <n v="1410.59"/>
    <n v="1410.59"/>
    <n v="15"/>
    <x v="89"/>
    <n v="0"/>
    <n v="352.65"/>
    <n v="1410.59"/>
    <n v="-4.2719713027881946E-2"/>
    <d v="2026-03-13T09:46:31"/>
    <s v="David Brown"/>
  </r>
  <r>
    <s v="CUST009"/>
    <x v="21"/>
    <x v="2"/>
    <x v="3"/>
    <n v="1350.33"/>
    <n v="1350.33"/>
    <n v="10"/>
    <x v="89"/>
    <n v="0"/>
    <n v="472.62"/>
    <n v="1350.33"/>
    <n v="-0.31929232113631484"/>
    <d v="2026-03-13T09:46:31"/>
    <s v="David Brown"/>
  </r>
  <r>
    <s v="CUST029"/>
    <x v="12"/>
    <x v="1"/>
    <x v="2"/>
    <n v="781.303"/>
    <n v="919.18"/>
    <n v="4"/>
    <x v="89"/>
    <n v="0.15"/>
    <n v="195.33"/>
    <n v="781.303"/>
    <n v="-0.71876019930807888"/>
    <d v="2026-03-13T09:46:31"/>
    <s v="David Brown"/>
  </r>
  <r>
    <s v="CUST027"/>
    <x v="3"/>
    <x v="0"/>
    <x v="2"/>
    <n v="258.51"/>
    <n v="258.51"/>
    <n v="19"/>
    <x v="90"/>
    <n v="0"/>
    <n v="64.63"/>
    <n v="258.51"/>
    <n v="3.6941317550578319"/>
    <d v="2026-03-13T09:46:31"/>
    <s v="David Brown"/>
  </r>
  <r>
    <s v="CUST011"/>
    <x v="21"/>
    <x v="1"/>
    <x v="0"/>
    <n v="1152.806"/>
    <n v="1213.48"/>
    <n v="5"/>
    <x v="90"/>
    <n v="0.05"/>
    <n v="461.12"/>
    <n v="1152.806"/>
    <n v="-5.2081616507894689E-2"/>
    <d v="2026-03-13T09:46:31"/>
    <s v="David Brown"/>
  </r>
  <r>
    <s v="CUST021"/>
    <x v="9"/>
    <x v="4"/>
    <x v="0"/>
    <n v="1092.7660000000001"/>
    <n v="1150.28"/>
    <n v="8"/>
    <x v="91"/>
    <n v="0.05"/>
    <n v="437.11"/>
    <n v="1092.7660000000001"/>
    <n v="-0.25769377890600548"/>
    <d v="2026-03-13T09:46:31"/>
    <s v="David Brown"/>
  </r>
  <r>
    <s v="CUST014"/>
    <x v="26"/>
    <x v="2"/>
    <x v="3"/>
    <n v="768.47400000000005"/>
    <n v="853.86"/>
    <n v="8"/>
    <x v="91"/>
    <n v="0.1"/>
    <n v="268.97000000000003"/>
    <n v="768.47400000000005"/>
    <n v="0.24263930855175314"/>
    <d v="2026-03-13T09:46:31"/>
    <s v="David Brown"/>
  </r>
  <r>
    <s v="CUST018"/>
    <x v="12"/>
    <x v="2"/>
    <x v="2"/>
    <n v="1061.04"/>
    <n v="1061.04"/>
    <n v="1"/>
    <x v="92"/>
    <n v="0"/>
    <n v="265.26"/>
    <n v="1061.04"/>
    <n v="-0.15691208625499511"/>
    <d v="2026-03-13T09:46:31"/>
    <s v="David Brown"/>
  </r>
  <r>
    <s v="CUST001"/>
    <x v="11"/>
    <x v="0"/>
    <x v="2"/>
    <n v="715.64"/>
    <n v="894.55"/>
    <n v="19"/>
    <x v="93"/>
    <n v="0.2"/>
    <n v="178.91"/>
    <n v="715.64"/>
    <n v="-6.778827343356994E-2"/>
    <d v="2026-03-13T09:46:31"/>
    <s v="David Brown"/>
  </r>
  <r>
    <s v="CUST007"/>
    <x v="9"/>
    <x v="3"/>
    <x v="4"/>
    <n v="792.21449999999993"/>
    <n v="833.91"/>
    <n v="3"/>
    <x v="94"/>
    <n v="0.05"/>
    <n v="356.5"/>
    <n v="792.21449999999993"/>
    <n v="-1.6452614790564826E-2"/>
    <d v="2026-03-13T09:46:31"/>
    <s v="David Brown"/>
  </r>
  <r>
    <s v="CUST015"/>
    <x v="26"/>
    <x v="0"/>
    <x v="3"/>
    <n v="656.15200000000004"/>
    <n v="820.19"/>
    <n v="4"/>
    <x v="95"/>
    <n v="0.2"/>
    <n v="229.65"/>
    <n v="656.15200000000004"/>
    <n v="-0.37607139809068635"/>
    <d v="2026-03-13T09:46:31"/>
    <s v="David Brown"/>
  </r>
  <r>
    <s v="CUST015"/>
    <x v="9"/>
    <x v="4"/>
    <x v="2"/>
    <n v="486.15300000000002"/>
    <n v="511.74"/>
    <n v="8"/>
    <x v="96"/>
    <n v="0.05"/>
    <n v="121.54"/>
    <n v="486.15300000000002"/>
    <n v="0.57507718763434545"/>
    <d v="2026-03-13T09:46:31"/>
    <s v="David Brown"/>
  </r>
  <r>
    <s v="CUST002"/>
    <x v="21"/>
    <x v="2"/>
    <x v="3"/>
    <n v="765.72849999999994"/>
    <n v="806.03"/>
    <n v="19"/>
    <x v="97"/>
    <n v="0.05"/>
    <n v="268"/>
    <n v="765.72849999999994"/>
    <n v="0.77719191593365022"/>
    <d v="2026-03-13T09:46:31"/>
    <s v="David Brown"/>
  </r>
  <r>
    <s v="CUST001"/>
    <x v="4"/>
    <x v="4"/>
    <x v="3"/>
    <n v="1217.5995"/>
    <n v="1432.47"/>
    <n v="16"/>
    <x v="98"/>
    <n v="0.15"/>
    <n v="426.16"/>
    <n v="1217.5995"/>
    <n v="3.9170104784044271E-2"/>
    <d v="2026-03-13T09:46:31"/>
    <s v="David Brown"/>
  </r>
  <r>
    <s v="CUST027"/>
    <x v="5"/>
    <x v="4"/>
    <x v="2"/>
    <n v="1265.2929999999999"/>
    <n v="1488.58"/>
    <n v="10"/>
    <x v="98"/>
    <n v="0.15"/>
    <n v="316.32"/>
    <n v="1265.2929999999999"/>
    <n v="-0.17286272823764928"/>
    <d v="2026-03-13T09:46:31"/>
    <s v="David Brown"/>
  </r>
  <r>
    <s v="CUST026"/>
    <x v="24"/>
    <x v="1"/>
    <x v="0"/>
    <n v="1231.26"/>
    <n v="1231.26"/>
    <n v="9"/>
    <x v="99"/>
    <n v="0"/>
    <n v="492.5"/>
    <n v="1231.26"/>
    <n v="-5.651933791400672E-2"/>
    <d v="2026-03-13T09:46:31"/>
    <s v="David Brown"/>
  </r>
  <r>
    <s v="CUST026"/>
    <x v="11"/>
    <x v="0"/>
    <x v="2"/>
    <n v="929.33600000000001"/>
    <n v="1161.67"/>
    <n v="19"/>
    <x v="100"/>
    <n v="0.2"/>
    <n v="232.33"/>
    <n v="929.33600000000001"/>
    <n v="-0.66580009813458207"/>
    <d v="2026-03-13T09:46:31"/>
    <s v="David Brown"/>
  </r>
  <r>
    <s v="CUST022"/>
    <x v="12"/>
    <x v="4"/>
    <x v="4"/>
    <n v="368.81850000000003"/>
    <n v="388.23"/>
    <n v="16"/>
    <x v="101"/>
    <n v="0.05"/>
    <n v="165.97"/>
    <n v="368.81850000000003"/>
    <n v="3.0940164335574272"/>
    <d v="2026-03-13T09:46:31"/>
    <s v="David Brown"/>
  </r>
  <r>
    <s v="CUST004"/>
    <x v="6"/>
    <x v="3"/>
    <x v="1"/>
    <n v="1351.0070000000001"/>
    <n v="1589.42"/>
    <n v="6"/>
    <x v="102"/>
    <n v="0.15"/>
    <n v="675.5"/>
    <n v="1351.0070000000001"/>
    <n v="-0.78818688578223495"/>
    <d v="2026-03-13T09:46:31"/>
    <s v="David Brown"/>
  </r>
  <r>
    <s v="CUST001"/>
    <x v="26"/>
    <x v="3"/>
    <x v="1"/>
    <n v="269.32800000000003"/>
    <n v="336.66"/>
    <n v="13"/>
    <x v="102"/>
    <n v="0.2"/>
    <n v="134.66"/>
    <n v="269.32800000000003"/>
    <n v="3.0212380443177085"/>
    <d v="2026-03-13T09:46:31"/>
    <s v="David Brown"/>
  </r>
  <r>
    <s v="CUST022"/>
    <x v="3"/>
    <x v="0"/>
    <x v="0"/>
    <n v="1218.4110000000001"/>
    <n v="1353.79"/>
    <n v="14"/>
    <x v="103"/>
    <n v="0.1"/>
    <n v="487.36"/>
    <n v="1218.4110000000001"/>
    <n v="-0.51055185811684234"/>
    <d v="2026-03-13T09:46:31"/>
    <s v="David Brown"/>
  </r>
  <r>
    <s v="CUST011"/>
    <x v="25"/>
    <x v="4"/>
    <x v="1"/>
    <n v="629.47950000000003"/>
    <n v="662.61"/>
    <n v="11"/>
    <x v="104"/>
    <n v="0.05"/>
    <n v="314.74"/>
    <n v="629.47950000000003"/>
    <n v="-0.53302847829039701"/>
    <d v="2026-03-13T09:46:31"/>
    <s v="David Brown"/>
  </r>
  <r>
    <s v="CUST028"/>
    <x v="14"/>
    <x v="3"/>
    <x v="4"/>
    <n v="247.536"/>
    <n v="309.42"/>
    <n v="1"/>
    <x v="104"/>
    <n v="0.2"/>
    <n v="111.39"/>
    <n v="247.536"/>
    <n v="1.8589942473014027"/>
    <d v="2026-03-13T09:46:31"/>
    <s v="David Brown"/>
  </r>
  <r>
    <s v="CUST011"/>
    <x v="5"/>
    <x v="3"/>
    <x v="0"/>
    <n v="796.16700000000003"/>
    <n v="884.63"/>
    <n v="18"/>
    <x v="105"/>
    <n v="0.1"/>
    <n v="318.47000000000003"/>
    <n v="796.16700000000003"/>
    <n v="-0.15778348009902449"/>
    <d v="2026-03-13T09:46:31"/>
    <s v="David Brown"/>
  </r>
  <r>
    <s v="CUST028"/>
    <x v="3"/>
    <x v="4"/>
    <x v="4"/>
    <n v="670.54499999999996"/>
    <n v="745.05"/>
    <n v="10"/>
    <x v="106"/>
    <n v="0.1"/>
    <n v="301.75"/>
    <n v="670.54499999999996"/>
    <n v="0.16801556942487092"/>
    <d v="2026-03-13T09:46:31"/>
    <s v="David Brown"/>
  </r>
  <r>
    <s v="CUST016"/>
    <x v="2"/>
    <x v="2"/>
    <x v="1"/>
    <n v="826.71850000000006"/>
    <n v="870.23"/>
    <n v="5"/>
    <x v="106"/>
    <n v="0.05"/>
    <n v="413.36"/>
    <n v="826.71850000000006"/>
    <n v="-9.2389368327912887E-3"/>
    <d v="2026-03-13T09:46:31"/>
    <s v="David Brown"/>
  </r>
  <r>
    <s v="CUST010"/>
    <x v="5"/>
    <x v="0"/>
    <x v="3"/>
    <n v="819.08050000000003"/>
    <n v="862.19"/>
    <n v="18"/>
    <x v="107"/>
    <n v="0.05"/>
    <n v="286.68"/>
    <n v="819.08050000000003"/>
    <n v="0.3583780837170461"/>
    <d v="2026-03-13T09:46:31"/>
    <s v="David Brown"/>
  </r>
  <r>
    <s v="CUST013"/>
    <x v="20"/>
    <x v="3"/>
    <x v="1"/>
    <n v="1112.6210000000001"/>
    <n v="1171.18"/>
    <n v="19"/>
    <x v="108"/>
    <n v="0.05"/>
    <n v="556.30999999999995"/>
    <n v="1112.6210000000001"/>
    <n v="-9.9574787820830374E-2"/>
    <d v="2026-03-13T09:46:31"/>
    <s v="David Brown"/>
  </r>
  <r>
    <s v="CUST015"/>
    <x v="1"/>
    <x v="2"/>
    <x v="3"/>
    <n v="949.10399999999993"/>
    <n v="1054.56"/>
    <n v="11"/>
    <x v="109"/>
    <n v="0.1"/>
    <n v="332.19"/>
    <n v="949.10399999999993"/>
    <n v="0.59422887270520419"/>
    <d v="2026-03-13T09:46:31"/>
    <s v="David Brown"/>
  </r>
  <r>
    <s v="CUST015"/>
    <x v="3"/>
    <x v="3"/>
    <x v="2"/>
    <n v="1344.9680000000001"/>
    <n v="1681.21"/>
    <n v="5"/>
    <x v="110"/>
    <n v="0.2"/>
    <n v="336.24"/>
    <n v="1344.9680000000001"/>
    <n v="-0.77410912378584473"/>
    <d v="2026-03-13T09:46:31"/>
    <s v="David Brown"/>
  </r>
  <r>
    <s v="CUST015"/>
    <x v="8"/>
    <x v="0"/>
    <x v="1"/>
    <n v="360.78149999999999"/>
    <n v="379.77"/>
    <n v="9"/>
    <x v="111"/>
    <n v="0.05"/>
    <n v="180.39"/>
    <n v="360.78149999999999"/>
    <n v="1.8341627827369196"/>
    <d v="2026-03-13T09:46:31"/>
    <s v="David Brown"/>
  </r>
  <r>
    <s v="CUST008"/>
    <x v="12"/>
    <x v="4"/>
    <x v="1"/>
    <n v="968.69699999999989"/>
    <n v="1076.33"/>
    <n v="2"/>
    <x v="112"/>
    <n v="0.1"/>
    <n v="484.35"/>
    <n v="968.69699999999989"/>
    <n v="0.16201350886809818"/>
    <d v="2026-03-13T09:46:31"/>
    <s v="David Brown"/>
  </r>
  <r>
    <s v="CUST008"/>
    <x v="6"/>
    <x v="4"/>
    <x v="4"/>
    <n v="1250.71"/>
    <n v="1250.71"/>
    <n v="7"/>
    <x v="112"/>
    <n v="0"/>
    <n v="562.82000000000005"/>
    <n v="1250.71"/>
    <n v="-0.10583588521719672"/>
    <d v="2026-03-13T09:46:31"/>
    <s v="David Brown"/>
  </r>
  <r>
    <s v="CUST023"/>
    <x v="2"/>
    <x v="2"/>
    <x v="1"/>
    <n v="894.67199999999991"/>
    <n v="1118.3399999999999"/>
    <n v="6"/>
    <x v="112"/>
    <n v="0.2"/>
    <n v="447.34"/>
    <n v="894.67199999999991"/>
    <n v="0.45091832537510956"/>
    <d v="2026-03-13T09:46:31"/>
    <s v="David Brown"/>
  </r>
  <r>
    <s v="CUST024"/>
    <x v="17"/>
    <x v="3"/>
    <x v="1"/>
    <n v="1298.096"/>
    <n v="1622.62"/>
    <n v="12"/>
    <x v="113"/>
    <n v="0.2"/>
    <n v="649.04999999999995"/>
    <n v="1298.096"/>
    <n v="-0.60518174310682726"/>
    <d v="2026-03-13T09:46:31"/>
    <s v="David Brown"/>
  </r>
  <r>
    <s v="CUST018"/>
    <x v="14"/>
    <x v="3"/>
    <x v="0"/>
    <n v="512.51199999999994"/>
    <n v="640.64"/>
    <n v="11"/>
    <x v="114"/>
    <n v="0.2"/>
    <n v="205"/>
    <n v="512.51199999999994"/>
    <n v="-8.6600899100899131E-2"/>
    <d v="2026-03-13T09:46:31"/>
    <s v="David Brown"/>
  </r>
  <r>
    <s v="CUST030"/>
    <x v="11"/>
    <x v="0"/>
    <x v="1"/>
    <n v="526.64400000000001"/>
    <n v="585.16"/>
    <n v="17"/>
    <x v="115"/>
    <n v="0.1"/>
    <n v="263.32"/>
    <n v="526.64400000000001"/>
    <n v="0.8968829038211773"/>
    <d v="2026-03-13T09:46:31"/>
    <s v="David Brown"/>
  </r>
  <r>
    <s v="CUST030"/>
    <x v="6"/>
    <x v="1"/>
    <x v="1"/>
    <n v="887.98400000000004"/>
    <n v="1109.98"/>
    <n v="5"/>
    <x v="116"/>
    <n v="0.2"/>
    <n v="443.99"/>
    <n v="887.98400000000004"/>
    <n v="-1.0720913890340448E-2"/>
    <d v="2026-03-13T09:46:31"/>
    <s v="David Brown"/>
  </r>
  <r>
    <s v="CUST015"/>
    <x v="12"/>
    <x v="1"/>
    <x v="0"/>
    <n v="988.27199999999993"/>
    <n v="1098.08"/>
    <n v="9"/>
    <x v="117"/>
    <n v="0.1"/>
    <n v="395.31"/>
    <n v="988.27199999999993"/>
    <n v="-0.24663958910097619"/>
    <d v="2026-03-13T09:46:31"/>
    <s v="David Brown"/>
  </r>
  <r>
    <s v="CUST002"/>
    <x v="14"/>
    <x v="0"/>
    <x v="4"/>
    <n v="744.52499999999998"/>
    <n v="827.25"/>
    <n v="7"/>
    <x v="118"/>
    <n v="0.1"/>
    <n v="335.04"/>
    <n v="744.52499999999998"/>
    <n v="-0.10319734058627984"/>
    <d v="2026-03-13T09:46:31"/>
    <s v="David Brown"/>
  </r>
  <r>
    <s v="CUST024"/>
    <x v="5"/>
    <x v="4"/>
    <x v="1"/>
    <n v="667.69200000000001"/>
    <n v="741.88"/>
    <n v="16"/>
    <x v="119"/>
    <n v="0.1"/>
    <n v="333.85"/>
    <n v="667.69200000000001"/>
    <n v="0.76748261174313903"/>
    <d v="2026-03-13T09:46:31"/>
    <s v="David Brown"/>
  </r>
  <r>
    <s v="CUST004"/>
    <x v="0"/>
    <x v="1"/>
    <x v="4"/>
    <n v="1180.134"/>
    <n v="1311.26"/>
    <n v="6"/>
    <x v="120"/>
    <n v="0.1"/>
    <n v="531.05999999999995"/>
    <n v="1180.134"/>
    <n v="-0.56277168524930221"/>
    <d v="2026-03-13T09:46:31"/>
    <s v="David Brown"/>
  </r>
  <r>
    <s v="CUST004"/>
    <x v="6"/>
    <x v="2"/>
    <x v="4"/>
    <n v="515.98800000000006"/>
    <n v="573.32000000000005"/>
    <n v="19"/>
    <x v="121"/>
    <n v="0.1"/>
    <n v="232.19"/>
    <n v="515.98800000000006"/>
    <n v="0.94519639991627702"/>
    <d v="2026-03-13T09:46:31"/>
    <s v="David Brown"/>
  </r>
  <r>
    <s v="CUST028"/>
    <x v="3"/>
    <x v="0"/>
    <x v="2"/>
    <n v="892.17600000000004"/>
    <n v="1115.22"/>
    <n v="14"/>
    <x v="122"/>
    <n v="0.2"/>
    <n v="223.04"/>
    <n v="892.17600000000004"/>
    <n v="-0.24154875271246928"/>
    <d v="2026-03-13T09:46:31"/>
    <s v="David Brown"/>
  </r>
  <r>
    <s v="CUST012"/>
    <x v="12"/>
    <x v="3"/>
    <x v="1"/>
    <n v="845.84"/>
    <n v="845.84"/>
    <n v="4"/>
    <x v="123"/>
    <n v="0"/>
    <n v="422.92"/>
    <n v="845.84"/>
    <n v="0.21748794098174587"/>
    <d v="2026-03-13T09:46:31"/>
    <s v="David Brown"/>
  </r>
  <r>
    <s v="CUST026"/>
    <x v="18"/>
    <x v="0"/>
    <x v="2"/>
    <n v="1029.8"/>
    <n v="1029.8"/>
    <n v="3"/>
    <x v="124"/>
    <n v="0"/>
    <n v="257.45"/>
    <n v="1029.8"/>
    <n v="0.15539910662264517"/>
    <d v="2026-03-13T09:46:31"/>
    <s v="David Brown"/>
  </r>
  <r>
    <s v="CUST009"/>
    <x v="6"/>
    <x v="3"/>
    <x v="0"/>
    <n v="951.86399999999992"/>
    <n v="1189.83"/>
    <n v="2"/>
    <x v="125"/>
    <n v="0.2"/>
    <n v="380.75"/>
    <n v="951.86399999999992"/>
    <n v="-0.40808350772799473"/>
    <d v="2026-03-13T09:46:31"/>
    <s v="David Brown"/>
  </r>
  <r>
    <s v="CUST003"/>
    <x v="11"/>
    <x v="2"/>
    <x v="0"/>
    <n v="563.42399999999998"/>
    <n v="704.28"/>
    <n v="15"/>
    <x v="126"/>
    <n v="0.2"/>
    <n v="225.37"/>
    <n v="563.42399999999998"/>
    <n v="1.2976940989379226"/>
    <d v="2026-03-13T09:46:31"/>
    <s v="David Brown"/>
  </r>
  <r>
    <s v="CUST002"/>
    <x v="13"/>
    <x v="4"/>
    <x v="4"/>
    <n v="1294.576"/>
    <n v="1618.22"/>
    <n v="12"/>
    <x v="126"/>
    <n v="0.2"/>
    <n v="582.55999999999995"/>
    <n v="1294.576"/>
    <n v="-0.37311984773392992"/>
    <d v="2026-03-13T09:46:31"/>
    <s v="David Brown"/>
  </r>
  <r>
    <s v="CUST013"/>
    <x v="17"/>
    <x v="4"/>
    <x v="0"/>
    <n v="862.26549999999997"/>
    <n v="1014.43"/>
    <n v="2"/>
    <x v="127"/>
    <n v="0.15"/>
    <n v="344.91"/>
    <n v="862.26549999999997"/>
    <n v="-0.1847934307936476"/>
    <d v="2026-03-13T09:46:31"/>
    <s v="David Brown"/>
  </r>
  <r>
    <s v="CUST018"/>
    <x v="6"/>
    <x v="4"/>
    <x v="1"/>
    <n v="661.57600000000002"/>
    <n v="826.97"/>
    <n v="18"/>
    <x v="128"/>
    <n v="0.2"/>
    <n v="330.79"/>
    <n v="661.57600000000002"/>
    <n v="0.23611497394101355"/>
    <d v="2026-03-13T09:46:31"/>
    <s v="David Brown"/>
  </r>
  <r>
    <s v="CUST017"/>
    <x v="6"/>
    <x v="4"/>
    <x v="1"/>
    <n v="920.00700000000006"/>
    <n v="1022.23"/>
    <n v="8"/>
    <x v="129"/>
    <n v="0.1"/>
    <n v="460"/>
    <n v="920.00700000000006"/>
    <n v="7.5775510403725224E-2"/>
    <d v="2026-03-13T09:46:31"/>
    <s v="David Brown"/>
  </r>
  <r>
    <s v="CUST004"/>
    <x v="5"/>
    <x v="1"/>
    <x v="0"/>
    <n v="1099.69"/>
    <n v="1099.69"/>
    <n v="6"/>
    <x v="130"/>
    <n v="0"/>
    <n v="439.88"/>
    <n v="1099.69"/>
    <n v="-0.35389064190817415"/>
    <d v="2026-03-13T09:46:31"/>
    <s v="David Brown"/>
  </r>
  <r>
    <s v="CUST028"/>
    <x v="23"/>
    <x v="3"/>
    <x v="0"/>
    <n v="639.46799999999996"/>
    <n v="710.52"/>
    <n v="8"/>
    <x v="131"/>
    <n v="0.1"/>
    <n v="255.79"/>
    <n v="639.46799999999996"/>
    <n v="-0.29744412542926307"/>
    <d v="2026-03-13T09:46:31"/>
    <s v="David Brown"/>
  </r>
  <r>
    <s v="CUST028"/>
    <x v="20"/>
    <x v="3"/>
    <x v="0"/>
    <n v="399.34399999999999"/>
    <n v="499.18"/>
    <n v="15"/>
    <x v="132"/>
    <n v="0.2"/>
    <n v="159.74"/>
    <n v="399.34399999999999"/>
    <n v="1.1318762770944348"/>
    <d v="2026-03-13T09:46:31"/>
    <s v="David Brown"/>
  </r>
  <r>
    <s v="CUST014"/>
    <x v="9"/>
    <x v="2"/>
    <x v="0"/>
    <n v="1010.9805"/>
    <n v="1064.19"/>
    <n v="18"/>
    <x v="133"/>
    <n v="0.05"/>
    <n v="404.39"/>
    <n v="1010.9805"/>
    <n v="-0.58770520301825802"/>
    <d v="2026-03-13T09:46:31"/>
    <s v="David Brown"/>
  </r>
  <r>
    <s v="CUST003"/>
    <x v="9"/>
    <x v="1"/>
    <x v="4"/>
    <n v="416.822"/>
    <n v="438.76"/>
    <n v="18"/>
    <x v="134"/>
    <n v="0.05"/>
    <n v="187.57"/>
    <n v="416.822"/>
    <n v="0.97141945482724046"/>
    <d v="2026-03-13T09:46:31"/>
    <s v="David Brown"/>
  </r>
  <r>
    <s v="CUST029"/>
    <x v="18"/>
    <x v="0"/>
    <x v="1"/>
    <n v="821.73099999999999"/>
    <n v="864.98"/>
    <n v="2"/>
    <x v="135"/>
    <n v="0.05"/>
    <n v="410.87"/>
    <n v="821.73099999999999"/>
    <n v="0.13867372656015159"/>
    <d v="2026-03-13T09:46:31"/>
    <s v="David Brown"/>
  </r>
  <r>
    <s v="CUST021"/>
    <x v="18"/>
    <x v="0"/>
    <x v="3"/>
    <n v="787.94399999999996"/>
    <n v="984.93"/>
    <n v="14"/>
    <x v="136"/>
    <n v="0.2"/>
    <n v="275.77999999999997"/>
    <n v="787.94399999999996"/>
    <n v="0.51634126283086113"/>
    <d v="2026-03-13T09:46:31"/>
    <s v="David Brown"/>
  </r>
  <r>
    <s v="CUST007"/>
    <x v="18"/>
    <x v="0"/>
    <x v="1"/>
    <n v="1493.49"/>
    <n v="1493.49"/>
    <n v="18"/>
    <x v="137"/>
    <n v="0"/>
    <n v="746.74"/>
    <n v="1493.49"/>
    <n v="-0.53837655424542519"/>
    <d v="2026-03-13T09:46:31"/>
    <s v="David Brown"/>
  </r>
  <r>
    <s v="CUST009"/>
    <x v="17"/>
    <x v="2"/>
    <x v="1"/>
    <n v="620.48699999999997"/>
    <n v="689.43"/>
    <n v="9"/>
    <x v="138"/>
    <n v="0.1"/>
    <n v="310.24"/>
    <n v="620.48699999999997"/>
    <n v="-1.0428905037494657E-2"/>
    <d v="2026-03-13T09:46:31"/>
    <s v="David Anderson"/>
  </r>
  <r>
    <s v="CUST023"/>
    <x v="20"/>
    <x v="2"/>
    <x v="1"/>
    <n v="682.24"/>
    <n v="682.24"/>
    <n v="1"/>
    <x v="139"/>
    <n v="0"/>
    <n v="341.12"/>
    <n v="682.24"/>
    <n v="-0.32789047842401498"/>
    <d v="2026-03-13T09:46:31"/>
    <s v="David Anderson"/>
  </r>
  <r>
    <s v="CUST029"/>
    <x v="4"/>
    <x v="3"/>
    <x v="2"/>
    <n v="366.83199999999999"/>
    <n v="458.54"/>
    <n v="15"/>
    <x v="140"/>
    <n v="0.2"/>
    <n v="91.71"/>
    <n v="366.83199999999999"/>
    <n v="1.5826536398133206"/>
    <d v="2026-03-13T09:46:31"/>
    <s v="David Anderson"/>
  </r>
  <r>
    <s v="CUST009"/>
    <x v="4"/>
    <x v="2"/>
    <x v="3"/>
    <n v="947.4"/>
    <n v="1184.25"/>
    <n v="11"/>
    <x v="141"/>
    <n v="0.2"/>
    <n v="331.59"/>
    <n v="947.4"/>
    <n v="-0.35643656322567024"/>
    <d v="2026-03-13T09:46:31"/>
    <s v="David Anderson"/>
  </r>
  <r>
    <s v="CUST007"/>
    <x v="0"/>
    <x v="2"/>
    <x v="1"/>
    <n v="762.14"/>
    <n v="762.14"/>
    <n v="9"/>
    <x v="142"/>
    <n v="0"/>
    <n v="381.07"/>
    <n v="762.14"/>
    <n v="-1.4997244600729459E-2"/>
    <d v="2026-03-13T09:46:31"/>
    <s v="David Anderson"/>
  </r>
  <r>
    <s v="CUST030"/>
    <x v="17"/>
    <x v="3"/>
    <x v="0"/>
    <n v="638.10350000000005"/>
    <n v="750.71"/>
    <n v="10"/>
    <x v="142"/>
    <n v="0.15"/>
    <n v="255.24"/>
    <n v="638.10350000000005"/>
    <n v="0.94074942387872806"/>
    <d v="2026-03-13T09:46:31"/>
    <s v="David Anderson"/>
  </r>
  <r>
    <s v="CUST018"/>
    <x v="26"/>
    <x v="4"/>
    <x v="1"/>
    <n v="1384.0930000000001"/>
    <n v="1456.94"/>
    <n v="14"/>
    <x v="143"/>
    <n v="0.05"/>
    <n v="692.05"/>
    <n v="1384.0930000000001"/>
    <n v="-0.24953670020728372"/>
    <d v="2026-03-13T09:46:31"/>
    <s v="David Anderson"/>
  </r>
  <r>
    <s v="CUST008"/>
    <x v="21"/>
    <x v="1"/>
    <x v="3"/>
    <n v="984.04200000000014"/>
    <n v="1093.3800000000001"/>
    <n v="17"/>
    <x v="143"/>
    <n v="0.1"/>
    <n v="344.41"/>
    <n v="984.04200000000014"/>
    <n v="-0.14552122775247409"/>
    <d v="2026-03-13T09:46:31"/>
    <s v="David Thomas"/>
  </r>
  <r>
    <s v="CUST014"/>
    <x v="11"/>
    <x v="0"/>
    <x v="1"/>
    <n v="794.12950000000001"/>
    <n v="934.27"/>
    <n v="8"/>
    <x v="144"/>
    <n v="0.15"/>
    <n v="397.06"/>
    <n v="794.12950000000001"/>
    <n v="0.56844381174606906"/>
    <d v="2026-03-13T09:46:31"/>
    <s v="David Thomas"/>
  </r>
  <r>
    <s v="CUST024"/>
    <x v="8"/>
    <x v="4"/>
    <x v="1"/>
    <n v="1172.28"/>
    <n v="1465.35"/>
    <n v="8"/>
    <x v="144"/>
    <n v="0.2"/>
    <n v="586.14"/>
    <n v="1172.28"/>
    <n v="-0.49445524959907189"/>
    <d v="2026-03-13T09:46:31"/>
    <s v="David Thomas"/>
  </r>
  <r>
    <s v="CUST028"/>
    <x v="1"/>
    <x v="2"/>
    <x v="4"/>
    <n v="740.8"/>
    <n v="740.8"/>
    <n v="3"/>
    <x v="145"/>
    <n v="0"/>
    <n v="333.36"/>
    <n v="740.8"/>
    <n v="-0.26371490280777526"/>
    <d v="2026-03-13T09:46:31"/>
    <s v="David Thomas"/>
  </r>
  <r>
    <s v="CUST015"/>
    <x v="11"/>
    <x v="0"/>
    <x v="4"/>
    <n v="545.44000000000005"/>
    <n v="545.44000000000005"/>
    <n v="17"/>
    <x v="146"/>
    <n v="0"/>
    <n v="245.45"/>
    <n v="545.44000000000005"/>
    <n v="0.82900044001173345"/>
    <d v="2026-03-13T09:46:31"/>
    <s v="David Thomas"/>
  </r>
  <r>
    <s v="CUST010"/>
    <x v="8"/>
    <x v="1"/>
    <x v="0"/>
    <n v="947.72950000000003"/>
    <n v="997.61"/>
    <n v="8"/>
    <x v="146"/>
    <n v="0.05"/>
    <n v="379.09"/>
    <n v="947.72950000000003"/>
    <n v="-6.9455999839616644E-2"/>
    <d v="2026-03-13T09:46:31"/>
    <s v="David Thomas"/>
  </r>
  <r>
    <s v="CUST016"/>
    <x v="8"/>
    <x v="2"/>
    <x v="1"/>
    <n v="881.904"/>
    <n v="928.32"/>
    <n v="2"/>
    <x v="147"/>
    <n v="0.05"/>
    <n v="440.95"/>
    <n v="881.904"/>
    <n v="-1"/>
    <d v="2026-03-13T09:46:31"/>
    <s v="David Thom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15163-4744-4334-B77E-F0DBC39E062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9" firstHeaderRow="1" firstDataRow="1" firstDataCol="1"/>
  <pivotFields count="17">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axis="axisRow" showAll="0">
      <items count="6">
        <item x="0"/>
        <item x="1"/>
        <item x="2"/>
        <item x="3"/>
        <item x="4"/>
        <item t="default"/>
      </items>
    </pivotField>
    <pivotField showAll="0"/>
    <pivotField dataField="1"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numFmtId="9" showAll="0"/>
    <pivotField numFmtId="2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5" baseField="0" baseItem="0"/>
  </dataFields>
  <formats count="12">
    <format dxfId="530">
      <pivotArea type="all" dataOnly="0" outline="0" fieldPosition="0"/>
    </format>
    <format dxfId="529">
      <pivotArea outline="0" collapsedLevelsAreSubtotals="1" fieldPosition="0"/>
    </format>
    <format dxfId="528">
      <pivotArea field="3" type="button" dataOnly="0" labelOnly="1" outline="0" axis="axisRow" fieldPosition="0"/>
    </format>
    <format dxfId="527">
      <pivotArea dataOnly="0" labelOnly="1" fieldPosition="0">
        <references count="1">
          <reference field="3" count="0"/>
        </references>
      </pivotArea>
    </format>
    <format dxfId="526">
      <pivotArea dataOnly="0" labelOnly="1" grandRow="1" outline="0" fieldPosition="0"/>
    </format>
    <format dxfId="525">
      <pivotArea dataOnly="0" labelOnly="1" outline="0" axis="axisValues" fieldPosition="0"/>
    </format>
    <format dxfId="524">
      <pivotArea type="all" dataOnly="0" outline="0" fieldPosition="0"/>
    </format>
    <format dxfId="523">
      <pivotArea outline="0" collapsedLevelsAreSubtotals="1" fieldPosition="0"/>
    </format>
    <format dxfId="522">
      <pivotArea field="3" type="button" dataOnly="0" labelOnly="1" outline="0" axis="axisRow" fieldPosition="0"/>
    </format>
    <format dxfId="521">
      <pivotArea dataOnly="0" labelOnly="1" fieldPosition="0">
        <references count="1">
          <reference field="3" count="0"/>
        </references>
      </pivotArea>
    </format>
    <format dxfId="520">
      <pivotArea dataOnly="0" labelOnly="1" grandRow="1" outline="0" fieldPosition="0"/>
    </format>
    <format dxfId="51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3" count="1" selected="0">
            <x v="0"/>
          </reference>
        </references>
      </pivotArea>
    </chartFormat>
    <chartFormat chart="7" format="21">
      <pivotArea type="data" outline="0" fieldPosition="0">
        <references count="2">
          <reference field="4294967294" count="1" selected="0">
            <x v="0"/>
          </reference>
          <reference field="3" count="1" selected="0">
            <x v="1"/>
          </reference>
        </references>
      </pivotArea>
    </chartFormat>
    <chartFormat chart="7" format="22">
      <pivotArea type="data" outline="0" fieldPosition="0">
        <references count="2">
          <reference field="4294967294" count="1" selected="0">
            <x v="0"/>
          </reference>
          <reference field="3" count="1" selected="0">
            <x v="2"/>
          </reference>
        </references>
      </pivotArea>
    </chartFormat>
    <chartFormat chart="7" format="23">
      <pivotArea type="data" outline="0" fieldPosition="0">
        <references count="2">
          <reference field="4294967294" count="1" selected="0">
            <x v="0"/>
          </reference>
          <reference field="3" count="1" selected="0">
            <x v="3"/>
          </reference>
        </references>
      </pivotArea>
    </chartFormat>
    <chartFormat chart="7" format="24">
      <pivotArea type="data" outline="0" fieldPosition="0">
        <references count="2">
          <reference field="4294967294" count="1" selected="0">
            <x v="0"/>
          </reference>
          <reference field="3"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0D55E5-92EC-4C0C-B2DD-3591CFE023E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7">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Row" showAll="0">
      <items count="6">
        <item x="4"/>
        <item x="1"/>
        <item x="3"/>
        <item x="2"/>
        <item x="0"/>
        <item t="default"/>
      </items>
    </pivotField>
    <pivotField showAll="0">
      <items count="6">
        <item x="0"/>
        <item x="1"/>
        <item x="2"/>
        <item x="3"/>
        <item x="4"/>
        <item t="default"/>
      </items>
    </pivotField>
    <pivotField showAll="0"/>
    <pivotField dataField="1"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numFmtId="9" showAll="0"/>
    <pivotField numFmtId="2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5" baseField="0" baseItem="0"/>
  </dataFields>
  <formats count="12">
    <format dxfId="542">
      <pivotArea type="all" dataOnly="0" outline="0" fieldPosition="0"/>
    </format>
    <format dxfId="541">
      <pivotArea outline="0" collapsedLevelsAreSubtotals="1" fieldPosition="0"/>
    </format>
    <format dxfId="540">
      <pivotArea field="2" type="button" dataOnly="0" labelOnly="1" outline="0" axis="axisRow" fieldPosition="0"/>
    </format>
    <format dxfId="539">
      <pivotArea dataOnly="0" labelOnly="1" fieldPosition="0">
        <references count="1">
          <reference field="2" count="0"/>
        </references>
      </pivotArea>
    </format>
    <format dxfId="538">
      <pivotArea dataOnly="0" labelOnly="1" grandRow="1" outline="0" fieldPosition="0"/>
    </format>
    <format dxfId="537">
      <pivotArea dataOnly="0" labelOnly="1" outline="0" axis="axisValues" fieldPosition="0"/>
    </format>
    <format dxfId="536">
      <pivotArea type="all" dataOnly="0" outline="0" fieldPosition="0"/>
    </format>
    <format dxfId="535">
      <pivotArea outline="0" collapsedLevelsAreSubtotals="1" fieldPosition="0"/>
    </format>
    <format dxfId="534">
      <pivotArea field="2" type="button" dataOnly="0" labelOnly="1" outline="0" axis="axisRow" fieldPosition="0"/>
    </format>
    <format dxfId="533">
      <pivotArea dataOnly="0" labelOnly="1" fieldPosition="0">
        <references count="1">
          <reference field="2" count="0"/>
        </references>
      </pivotArea>
    </format>
    <format dxfId="532">
      <pivotArea dataOnly="0" labelOnly="1" grandRow="1" outline="0" fieldPosition="0"/>
    </format>
    <format dxfId="53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E65D5B-D5A4-45FE-834C-F7343EEEBDD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17">
    <pivotField showAll="0"/>
    <pivotField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showAll="0"/>
    <pivotField dataField="1" showAll="0"/>
    <pivotField showAll="0"/>
    <pivotField axis="axisRow"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pivotField numFmtId="9" showAll="0"/>
    <pivotField numFmtId="22"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7"/>
  </rowFields>
  <rowItems count="13">
    <i>
      <x v="1"/>
    </i>
    <i>
      <x v="2"/>
    </i>
    <i>
      <x v="3"/>
    </i>
    <i>
      <x v="4"/>
    </i>
    <i>
      <x v="5"/>
    </i>
    <i>
      <x v="6"/>
    </i>
    <i>
      <x v="7"/>
    </i>
    <i>
      <x v="8"/>
    </i>
    <i>
      <x v="9"/>
    </i>
    <i>
      <x v="10"/>
    </i>
    <i>
      <x v="11"/>
    </i>
    <i>
      <x v="12"/>
    </i>
    <i t="grand">
      <x/>
    </i>
  </rowItems>
  <colItems count="1">
    <i/>
  </colItems>
  <dataFields count="1">
    <dataField name="Sum of Sales" fld="5" baseField="0" baseItem="0"/>
  </dataFields>
  <formats count="12">
    <format dxfId="554">
      <pivotArea type="all" dataOnly="0" outline="0" fieldPosition="0"/>
    </format>
    <format dxfId="553">
      <pivotArea outline="0" collapsedLevelsAreSubtotals="1" fieldPosition="0"/>
    </format>
    <format dxfId="552">
      <pivotArea field="14" type="button" dataOnly="0" labelOnly="1" outline="0" axis="axisRow" fieldPosition="0"/>
    </format>
    <format dxfId="551">
      <pivotArea dataOnly="0" labelOnly="1" fieldPosition="0">
        <references count="1">
          <reference field="14" count="12">
            <x v="1"/>
            <x v="2"/>
            <x v="3"/>
            <x v="4"/>
            <x v="5"/>
            <x v="6"/>
            <x v="7"/>
            <x v="8"/>
            <x v="9"/>
            <x v="10"/>
            <x v="11"/>
            <x v="12"/>
          </reference>
        </references>
      </pivotArea>
    </format>
    <format dxfId="550">
      <pivotArea dataOnly="0" labelOnly="1" grandRow="1" outline="0" fieldPosition="0"/>
    </format>
    <format dxfId="549">
      <pivotArea dataOnly="0" labelOnly="1" outline="0" axis="axisValues" fieldPosition="0"/>
    </format>
    <format dxfId="548">
      <pivotArea type="all" dataOnly="0" outline="0" fieldPosition="0"/>
    </format>
    <format dxfId="547">
      <pivotArea outline="0" collapsedLevelsAreSubtotals="1" fieldPosition="0"/>
    </format>
    <format dxfId="546">
      <pivotArea field="14" type="button" dataOnly="0" labelOnly="1" outline="0" axis="axisRow" fieldPosition="0"/>
    </format>
    <format dxfId="545">
      <pivotArea dataOnly="0" labelOnly="1" fieldPosition="0">
        <references count="1">
          <reference field="14" count="12">
            <x v="1"/>
            <x v="2"/>
            <x v="3"/>
            <x v="4"/>
            <x v="5"/>
            <x v="6"/>
            <x v="7"/>
            <x v="8"/>
            <x v="9"/>
            <x v="10"/>
            <x v="11"/>
            <x v="12"/>
          </reference>
        </references>
      </pivotArea>
    </format>
    <format dxfId="544">
      <pivotArea dataOnly="0" labelOnly="1" grandRow="1" outline="0" fieldPosition="0"/>
    </format>
    <format dxfId="54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70F0D35A-1CE4-4026-AE09-5C568201DF5E}" sourceName="Customer_Name">
  <pivotTables>
    <pivotTable tabId="4" name="PivotTable1"/>
    <pivotTable tabId="4" name="PivotTable3"/>
    <pivotTable tabId="4" name="PivotTable6"/>
  </pivotTables>
  <data>
    <tabular pivotCacheId="1935435984">
      <items count="27">
        <i x="26" s="1"/>
        <i x="18" s="1"/>
        <i x="19" s="1"/>
        <i x="10" s="1"/>
        <i x="8" s="1"/>
        <i x="9" s="1"/>
        <i x="24" s="1"/>
        <i x="21" s="1"/>
        <i x="0" s="1"/>
        <i x="2" s="1"/>
        <i x="3" s="1"/>
        <i x="16" s="1"/>
        <i x="15" s="1"/>
        <i x="22" s="1"/>
        <i x="7" s="1"/>
        <i x="25" s="1"/>
        <i x="17" s="1"/>
        <i x="5" s="1"/>
        <i x="14" s="1"/>
        <i x="12" s="1"/>
        <i x="6" s="1"/>
        <i x="13" s="1"/>
        <i x="20" s="1"/>
        <i x="4" s="1"/>
        <i x="1" s="1"/>
        <i x="11"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45B22A-4605-47FE-B633-8A0BEE3C9167}" sourceName="Region">
  <pivotTables>
    <pivotTable tabId="4" name="PivotTable1"/>
    <pivotTable tabId="4" name="PivotTable3"/>
    <pivotTable tabId="4" name="PivotTable6"/>
  </pivotTables>
  <data>
    <tabular pivotCacheId="1935435984">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CA62D5C-D690-4AE0-AF34-96E19AAD7020}" sourceName="Product_Category">
  <pivotTables>
    <pivotTable tabId="4" name="PivotTable1"/>
    <pivotTable tabId="4" name="PivotTable3"/>
    <pivotTable tabId="4" name="PivotTable6"/>
  </pivotTables>
  <data>
    <tabular pivotCacheId="1935435984">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A577AB34-93EE-4777-87FB-D961DCB479E4}" cache="Slicer_Customer_Name" caption="Customer_Name" style="SlicerStyleDark5" rowHeight="247650"/>
  <slicer name="Region" xr10:uid="{5F9B1264-FD12-498D-B868-C640F24D1CAB}" cache="Slicer_Region" caption="Region" style="SlicerStyleDark5" rowHeight="247650"/>
  <slicer name="Product_Category" xr10:uid="{9D500F6D-1913-4BFD-A1F3-2E5C9830B214}" cache="Slicer_Product_Category" caption="Product_Category"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1" xr10:uid="{9AB817FB-01DF-419C-A10F-0F9E8428D047}" cache="Slicer_Customer_Name" caption="Customer_Name" style="SlicerStyleDark5" rowHeight="247650"/>
  <slicer name="Region 1" xr10:uid="{129F51EE-30A9-4754-9589-95B9D0D4111D}" cache="Slicer_Region" caption="Region" style="SlicerStyleDark5" rowHeight="247650"/>
  <slicer name="Product_Category 1" xr10:uid="{A904CBCC-54A8-4E7E-A2FC-12F40B0F5E71}" cache="Slicer_Product_Category" caption="Product_Category"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E25F0E-719A-449B-9FAB-C4CC8BB653D1}" name="Table1" displayName="Table1" ref="A1:N203" totalsRowShown="0" headerRowDxfId="570" tableBorderDxfId="569">
  <autoFilter ref="A1:N203" xr:uid="{A0E25F0E-719A-449B-9FAB-C4CC8BB653D1}"/>
  <tableColumns count="14">
    <tableColumn id="1" xr3:uid="{EC42FC14-0106-4B47-A7C3-C1CCBA6CCC8F}" name="Customer_ID" dataDxfId="568"/>
    <tableColumn id="2" xr3:uid="{81A7C99B-A913-42D9-9A64-2C4D1BAD2C8C}" name="Customer_Name" dataDxfId="567"/>
    <tableColumn id="3" xr3:uid="{2823E914-C97A-4CBB-ADDD-C816F964D8EB}" name="Region" dataDxfId="566"/>
    <tableColumn id="4" xr3:uid="{E11EDCCF-9CAA-4649-89E5-CB40B31E1D8E}" name="Product_Category" dataDxfId="565"/>
    <tableColumn id="5" xr3:uid="{A6CC0A30-6967-425E-A51A-033FEEDA5BD2}" name="Total Purchase" dataDxfId="564">
      <calculatedColumnFormula>F2-(F2*I2)</calculatedColumnFormula>
    </tableColumn>
    <tableColumn id="6" xr3:uid="{F57DEBEB-ED15-404B-9B6B-C2F95F2E1F3A}" name="Sales" dataDxfId="563"/>
    <tableColumn id="7" xr3:uid="{A1959C65-78D5-467C-9EE9-D698D868ECCF}" name="Quantity" dataDxfId="562"/>
    <tableColumn id="8" xr3:uid="{9744E5A8-B324-4705-AA2D-52066571A81F}" name="Order_Date" dataDxfId="561"/>
    <tableColumn id="9" xr3:uid="{F7A7DB7A-C6D3-4DFC-B24A-93704354EEE7}" name="Discount" dataDxfId="560"/>
    <tableColumn id="10" xr3:uid="{421C41FB-BC1B-4992-A125-710BD587D707}" name="Profit" dataDxfId="559"/>
    <tableColumn id="11" xr3:uid="{7960A073-A41E-4F20-98D7-DBFE9E8E20A6}" name="Profit Result" dataDxfId="558">
      <calculatedColumnFormula>F2-(F2*I2)</calculatedColumnFormula>
    </tableColumn>
    <tableColumn id="12" xr3:uid="{A604650C-D9FE-4E77-9D1E-261A50F099A8}" name="Growth" dataDxfId="557" dataCellStyle="Percent">
      <calculatedColumnFormula>(F3-F2)/F2</calculatedColumnFormula>
    </tableColumn>
    <tableColumn id="13" xr3:uid="{5C83A7A5-7ACB-4701-98FD-6CA9205BC03C}" name="Timestamp" dataDxfId="556">
      <calculatedColumnFormula>NOW()</calculatedColumnFormula>
    </tableColumn>
    <tableColumn id="14" xr3:uid="{45EACECB-3599-4ABA-9790-8E31E8EAECC5}" name="High Value Customer" dataDxfId="555">
      <calculatedColumnFormula>INDEX(B2:B203,MATCH(MAX(E2:E203),E2:E203,0))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0E778-AD97-4B27-B53A-DFB0F2CFD8E4}">
  <dimension ref="A1:H16"/>
  <sheetViews>
    <sheetView showGridLines="0" workbookViewId="0">
      <selection activeCell="A4" sqref="A4"/>
    </sheetView>
  </sheetViews>
  <sheetFormatPr defaultRowHeight="14.4" x14ac:dyDescent="0.3"/>
  <cols>
    <col min="1" max="1" width="14.6640625" bestFit="1" customWidth="1"/>
    <col min="2" max="2" width="11.5546875" bestFit="1" customWidth="1"/>
    <col min="4" max="4" width="14.6640625" bestFit="1" customWidth="1"/>
    <col min="5" max="5" width="11.5546875" bestFit="1" customWidth="1"/>
    <col min="7" max="7" width="14.6640625" bestFit="1" customWidth="1"/>
    <col min="8" max="8" width="11.5546875" bestFit="1" customWidth="1"/>
  </cols>
  <sheetData>
    <row r="1" spans="1:8" ht="18" x14ac:dyDescent="0.35">
      <c r="A1" s="44" t="s">
        <v>132</v>
      </c>
      <c r="B1" s="44"/>
      <c r="D1" s="44" t="s">
        <v>133</v>
      </c>
      <c r="E1" s="44"/>
      <c r="G1" s="44" t="s">
        <v>146</v>
      </c>
      <c r="H1" s="44"/>
    </row>
    <row r="3" spans="1:8" x14ac:dyDescent="0.3">
      <c r="A3" s="43" t="s">
        <v>129</v>
      </c>
      <c r="B3" s="30" t="s">
        <v>131</v>
      </c>
      <c r="D3" s="43" t="s">
        <v>129</v>
      </c>
      <c r="E3" s="30" t="s">
        <v>131</v>
      </c>
      <c r="G3" s="43" t="s">
        <v>129</v>
      </c>
      <c r="H3" s="30" t="s">
        <v>131</v>
      </c>
    </row>
    <row r="4" spans="1:8" x14ac:dyDescent="0.3">
      <c r="A4" s="30" t="s">
        <v>34</v>
      </c>
      <c r="B4" s="55">
        <v>43468.33</v>
      </c>
      <c r="D4" s="30" t="s">
        <v>12</v>
      </c>
      <c r="E4" s="55">
        <v>47002.460000000006</v>
      </c>
      <c r="G4" s="30" t="s">
        <v>134</v>
      </c>
      <c r="H4" s="55">
        <v>14914.650000000001</v>
      </c>
    </row>
    <row r="5" spans="1:8" x14ac:dyDescent="0.3">
      <c r="A5" s="30" t="s">
        <v>18</v>
      </c>
      <c r="B5" s="55">
        <v>32441.64</v>
      </c>
      <c r="D5" s="30" t="s">
        <v>15</v>
      </c>
      <c r="E5" s="55">
        <v>41927.589999999989</v>
      </c>
      <c r="G5" s="30" t="s">
        <v>135</v>
      </c>
      <c r="H5" s="55">
        <v>14006.359999999999</v>
      </c>
    </row>
    <row r="6" spans="1:8" x14ac:dyDescent="0.3">
      <c r="A6" s="30" t="s">
        <v>24</v>
      </c>
      <c r="B6" s="55">
        <v>34975.42</v>
      </c>
      <c r="D6" s="30" t="s">
        <v>21</v>
      </c>
      <c r="E6" s="55">
        <v>41044.000000000007</v>
      </c>
      <c r="G6" s="30" t="s">
        <v>136</v>
      </c>
      <c r="H6" s="55">
        <v>17655.219999999998</v>
      </c>
    </row>
    <row r="7" spans="1:8" x14ac:dyDescent="0.3">
      <c r="A7" s="30" t="s">
        <v>20</v>
      </c>
      <c r="B7" s="55">
        <v>40248.79</v>
      </c>
      <c r="D7" s="30" t="s">
        <v>27</v>
      </c>
      <c r="E7" s="55">
        <v>36612.89</v>
      </c>
      <c r="G7" s="30" t="s">
        <v>137</v>
      </c>
      <c r="H7" s="55">
        <v>22242.129999999997</v>
      </c>
    </row>
    <row r="8" spans="1:8" x14ac:dyDescent="0.3">
      <c r="A8" s="30" t="s">
        <v>11</v>
      </c>
      <c r="B8" s="55">
        <v>44083.58</v>
      </c>
      <c r="D8" s="30" t="s">
        <v>39</v>
      </c>
      <c r="E8" s="55">
        <v>28630.819999999992</v>
      </c>
      <c r="G8" s="30" t="s">
        <v>138</v>
      </c>
      <c r="H8" s="55">
        <v>18507.339999999997</v>
      </c>
    </row>
    <row r="9" spans="1:8" x14ac:dyDescent="0.3">
      <c r="A9" s="30" t="s">
        <v>130</v>
      </c>
      <c r="B9" s="55">
        <v>195217.76</v>
      </c>
      <c r="D9" s="30" t="s">
        <v>130</v>
      </c>
      <c r="E9" s="55">
        <v>195217.76</v>
      </c>
      <c r="G9" s="30" t="s">
        <v>139</v>
      </c>
      <c r="H9" s="55">
        <v>20187.509999999998</v>
      </c>
    </row>
    <row r="10" spans="1:8" x14ac:dyDescent="0.3">
      <c r="G10" s="30" t="s">
        <v>140</v>
      </c>
      <c r="H10" s="55">
        <v>11609.039999999999</v>
      </c>
    </row>
    <row r="11" spans="1:8" x14ac:dyDescent="0.3">
      <c r="G11" s="30" t="s">
        <v>141</v>
      </c>
      <c r="H11" s="55">
        <v>10091.699999999999</v>
      </c>
    </row>
    <row r="12" spans="1:8" x14ac:dyDescent="0.3">
      <c r="G12" s="30" t="s">
        <v>142</v>
      </c>
      <c r="H12" s="55">
        <v>20533.499999999996</v>
      </c>
    </row>
    <row r="13" spans="1:8" x14ac:dyDescent="0.3">
      <c r="G13" s="30" t="s">
        <v>143</v>
      </c>
      <c r="H13" s="55">
        <v>14215.240000000002</v>
      </c>
    </row>
    <row r="14" spans="1:8" x14ac:dyDescent="0.3">
      <c r="G14" s="30" t="s">
        <v>144</v>
      </c>
      <c r="H14" s="55">
        <v>20135.030000000002</v>
      </c>
    </row>
    <row r="15" spans="1:8" x14ac:dyDescent="0.3">
      <c r="G15" s="30" t="s">
        <v>145</v>
      </c>
      <c r="H15" s="55">
        <v>11120.04</v>
      </c>
    </row>
    <row r="16" spans="1:8" x14ac:dyDescent="0.3">
      <c r="G16" s="30" t="s">
        <v>130</v>
      </c>
      <c r="H16" s="55">
        <v>195217.75999999995</v>
      </c>
    </row>
  </sheetData>
  <mergeCells count="3">
    <mergeCell ref="A1:B1"/>
    <mergeCell ref="D1:E1"/>
    <mergeCell ref="G1:H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D03B-B324-4EF0-BE3A-8A7F01AC24E1}">
  <dimension ref="A1:U203"/>
  <sheetViews>
    <sheetView showGridLines="0" topLeftCell="C189" zoomScale="113" zoomScaleNormal="110" workbookViewId="0">
      <selection activeCell="I203" sqref="I203"/>
    </sheetView>
  </sheetViews>
  <sheetFormatPr defaultRowHeight="14.4" x14ac:dyDescent="0.3"/>
  <cols>
    <col min="1" max="1" width="15.21875" customWidth="1"/>
    <col min="2" max="2" width="19.44140625" customWidth="1"/>
    <col min="3" max="3" width="16.6640625" customWidth="1"/>
    <col min="4" max="4" width="17.88671875" customWidth="1"/>
    <col min="5" max="5" width="16.6640625" customWidth="1"/>
    <col min="6" max="6" width="18.77734375" customWidth="1"/>
    <col min="7" max="7" width="14.109375" customWidth="1"/>
    <col min="8" max="8" width="26.109375" customWidth="1"/>
    <col min="9" max="9" width="14" customWidth="1"/>
    <col min="10" max="10" width="12" customWidth="1"/>
    <col min="11" max="11" width="19" customWidth="1"/>
    <col min="12" max="12" width="14.44140625" style="4" customWidth="1"/>
    <col min="13" max="13" width="21.109375" customWidth="1"/>
    <col min="14" max="14" width="20.77734375" customWidth="1"/>
    <col min="19" max="19" width="12.88671875" customWidth="1"/>
    <col min="20" max="20" width="11.88671875" customWidth="1"/>
    <col min="21" max="21" width="8.88671875" customWidth="1"/>
    <col min="22" max="22" width="9" customWidth="1"/>
  </cols>
  <sheetData>
    <row r="1" spans="1:21" x14ac:dyDescent="0.3">
      <c r="A1" s="26" t="s">
        <v>0</v>
      </c>
      <c r="B1" s="27" t="s">
        <v>1</v>
      </c>
      <c r="C1" s="27" t="s">
        <v>2</v>
      </c>
      <c r="D1" s="27" t="s">
        <v>3</v>
      </c>
      <c r="E1" s="27" t="s">
        <v>76</v>
      </c>
      <c r="F1" s="27" t="s">
        <v>4</v>
      </c>
      <c r="G1" s="27" t="s">
        <v>5</v>
      </c>
      <c r="H1" s="27" t="s">
        <v>7</v>
      </c>
      <c r="I1" s="27" t="s">
        <v>6</v>
      </c>
      <c r="J1" s="27" t="s">
        <v>8</v>
      </c>
      <c r="K1" s="24" t="s">
        <v>77</v>
      </c>
      <c r="L1" s="25" t="s">
        <v>117</v>
      </c>
      <c r="M1" s="24" t="s">
        <v>118</v>
      </c>
      <c r="N1" s="24" t="s">
        <v>119</v>
      </c>
      <c r="Q1" s="9" t="s">
        <v>126</v>
      </c>
      <c r="R1" s="10"/>
      <c r="S1" s="10"/>
      <c r="T1" s="10"/>
      <c r="U1" s="11"/>
    </row>
    <row r="2" spans="1:21" x14ac:dyDescent="0.3">
      <c r="A2" s="28" t="s">
        <v>9</v>
      </c>
      <c r="B2" s="28" t="s">
        <v>10</v>
      </c>
      <c r="C2" s="28" t="s">
        <v>11</v>
      </c>
      <c r="D2" s="28" t="s">
        <v>12</v>
      </c>
      <c r="E2" s="28">
        <f>F2-(F2*I2)</f>
        <v>-4144.3599999999997</v>
      </c>
      <c r="F2" s="28">
        <v>1036.0899999999999</v>
      </c>
      <c r="G2" s="28">
        <v>4</v>
      </c>
      <c r="H2" s="29">
        <v>45392</v>
      </c>
      <c r="I2" s="28">
        <v>5</v>
      </c>
      <c r="J2" s="28">
        <v>331.55</v>
      </c>
      <c r="K2" s="30">
        <f>F2-(F2*I2)</f>
        <v>-4144.3599999999997</v>
      </c>
      <c r="L2" s="31">
        <f>(F3-F2)/F2</f>
        <v>6.2919244467179544E-2</v>
      </c>
      <c r="M2" s="32">
        <f ca="1">NOW()</f>
        <v>46094.483751967593</v>
      </c>
      <c r="N2" s="30" t="str">
        <f>INDEX(B2:B203,MATCH(MAX(E2:E203),E2:E203,0))</f>
        <v>total orders</v>
      </c>
      <c r="Q2" s="12" t="s">
        <v>127</v>
      </c>
      <c r="R2" s="12"/>
      <c r="S2" s="6"/>
      <c r="T2" s="6"/>
      <c r="U2" s="17"/>
    </row>
    <row r="3" spans="1:21" x14ac:dyDescent="0.3">
      <c r="A3" s="28" t="s">
        <v>13</v>
      </c>
      <c r="B3" s="28" t="s">
        <v>14</v>
      </c>
      <c r="C3" s="28" t="s">
        <v>11</v>
      </c>
      <c r="D3" s="28" t="s">
        <v>15</v>
      </c>
      <c r="E3" s="28">
        <f t="shared" ref="E3:E66" si="0">F3-(F3*I3)</f>
        <v>-14316.64</v>
      </c>
      <c r="F3" s="28">
        <v>1101.28</v>
      </c>
      <c r="G3" s="28">
        <v>3</v>
      </c>
      <c r="H3" s="29">
        <v>45393</v>
      </c>
      <c r="I3" s="28">
        <v>14</v>
      </c>
      <c r="J3" s="28">
        <v>440.51</v>
      </c>
      <c r="K3" s="30">
        <f t="shared" ref="K3:K66" si="1">F3-(F3*I3)</f>
        <v>-14316.64</v>
      </c>
      <c r="L3" s="31">
        <f t="shared" ref="L3:L66" si="2">(F4-F3)/F3</f>
        <v>-0.35226282144413767</v>
      </c>
      <c r="M3" s="32">
        <f t="shared" ref="M3:M66" ca="1" si="3">NOW()</f>
        <v>46094.483751967593</v>
      </c>
      <c r="N3" s="30" t="str">
        <f t="shared" ref="N3:N66" si="4">INDEX(B3:B202,MATCH(MAX(E3:E202),E3:E202,0))</f>
        <v>total orders</v>
      </c>
      <c r="Q3" s="13" t="s">
        <v>120</v>
      </c>
      <c r="R3" s="13">
        <f>F2*(1-I2)</f>
        <v>-4144.3599999999997</v>
      </c>
      <c r="S3" s="6"/>
      <c r="T3" s="6"/>
      <c r="U3" s="17"/>
    </row>
    <row r="4" spans="1:21" x14ac:dyDescent="0.3">
      <c r="A4" s="28" t="s">
        <v>16</v>
      </c>
      <c r="B4" s="28" t="s">
        <v>17</v>
      </c>
      <c r="C4" s="28" t="s">
        <v>18</v>
      </c>
      <c r="D4" s="28" t="s">
        <v>12</v>
      </c>
      <c r="E4" s="28">
        <f t="shared" si="0"/>
        <v>570.67200000000003</v>
      </c>
      <c r="F4" s="28">
        <v>713.34</v>
      </c>
      <c r="G4" s="28">
        <v>17</v>
      </c>
      <c r="H4" s="29">
        <v>45396</v>
      </c>
      <c r="I4" s="28">
        <v>0.2</v>
      </c>
      <c r="J4" s="28">
        <v>285.33999999999997</v>
      </c>
      <c r="K4" s="30">
        <f t="shared" si="1"/>
        <v>570.67200000000003</v>
      </c>
      <c r="L4" s="31">
        <f t="shared" si="2"/>
        <v>6.6714329772618833E-2</v>
      </c>
      <c r="M4" s="32">
        <f t="shared" ca="1" si="3"/>
        <v>46094.483751967593</v>
      </c>
      <c r="N4" s="30" t="str">
        <f t="shared" si="4"/>
        <v>total orders</v>
      </c>
      <c r="Q4" s="13" t="s">
        <v>121</v>
      </c>
      <c r="R4" s="13">
        <f>F3*(1-I3)</f>
        <v>-14316.64</v>
      </c>
      <c r="S4" s="14" t="s">
        <v>123</v>
      </c>
      <c r="T4" s="15"/>
      <c r="U4" s="16"/>
    </row>
    <row r="5" spans="1:21" x14ac:dyDescent="0.3">
      <c r="A5" s="28" t="s">
        <v>19</v>
      </c>
      <c r="B5" s="28" t="s">
        <v>14</v>
      </c>
      <c r="C5" s="28" t="s">
        <v>20</v>
      </c>
      <c r="D5" s="28" t="s">
        <v>21</v>
      </c>
      <c r="E5" s="28">
        <f t="shared" si="0"/>
        <v>646.79049999999995</v>
      </c>
      <c r="F5" s="28">
        <v>760.93</v>
      </c>
      <c r="G5" s="28">
        <v>4</v>
      </c>
      <c r="H5" s="29">
        <v>45396</v>
      </c>
      <c r="I5" s="28">
        <v>0.15</v>
      </c>
      <c r="J5" s="28">
        <v>161.69999999999999</v>
      </c>
      <c r="K5" s="30">
        <f t="shared" si="1"/>
        <v>646.79049999999995</v>
      </c>
      <c r="L5" s="31">
        <f t="shared" si="2"/>
        <v>0.1131115871367932</v>
      </c>
      <c r="M5" s="32">
        <f t="shared" ca="1" si="3"/>
        <v>46094.483751967593</v>
      </c>
      <c r="N5" s="30" t="str">
        <f t="shared" si="4"/>
        <v>total orders</v>
      </c>
      <c r="Q5" s="13" t="s">
        <v>122</v>
      </c>
      <c r="R5" s="13">
        <f>F4*(1-I4)</f>
        <v>570.67200000000003</v>
      </c>
      <c r="S5" s="18" t="s">
        <v>124</v>
      </c>
      <c r="T5" s="19" t="s">
        <v>125</v>
      </c>
      <c r="U5" s="20"/>
    </row>
    <row r="6" spans="1:21" x14ac:dyDescent="0.3">
      <c r="A6" s="28" t="s">
        <v>22</v>
      </c>
      <c r="B6" s="28" t="s">
        <v>23</v>
      </c>
      <c r="C6" s="28" t="s">
        <v>24</v>
      </c>
      <c r="D6" s="28" t="s">
        <v>12</v>
      </c>
      <c r="E6" s="28">
        <f t="shared" si="0"/>
        <v>677.6</v>
      </c>
      <c r="F6" s="28">
        <v>847</v>
      </c>
      <c r="G6" s="28">
        <v>12</v>
      </c>
      <c r="H6" s="29">
        <v>45397</v>
      </c>
      <c r="I6" s="28">
        <v>0.2</v>
      </c>
      <c r="J6" s="28">
        <v>271.04000000000002</v>
      </c>
      <c r="K6" s="30">
        <f t="shared" si="1"/>
        <v>677.6</v>
      </c>
      <c r="L6" s="31">
        <f t="shared" si="2"/>
        <v>0.14007083825265643</v>
      </c>
      <c r="M6" s="32">
        <f t="shared" ca="1" si="3"/>
        <v>46094.483751967593</v>
      </c>
      <c r="N6" s="30" t="str">
        <f t="shared" si="4"/>
        <v>total orders</v>
      </c>
      <c r="Q6" s="12" t="s">
        <v>128</v>
      </c>
      <c r="R6" s="12"/>
      <c r="S6" s="6"/>
      <c r="T6" s="6"/>
      <c r="U6" s="17"/>
    </row>
    <row r="7" spans="1:21" x14ac:dyDescent="0.3">
      <c r="A7" s="28" t="s">
        <v>25</v>
      </c>
      <c r="B7" s="28" t="s">
        <v>26</v>
      </c>
      <c r="C7" s="28" t="s">
        <v>24</v>
      </c>
      <c r="D7" s="28" t="s">
        <v>27</v>
      </c>
      <c r="E7" s="28">
        <f t="shared" si="0"/>
        <v>869.07600000000002</v>
      </c>
      <c r="F7" s="28">
        <v>965.64</v>
      </c>
      <c r="G7" s="28">
        <v>8</v>
      </c>
      <c r="H7" s="29">
        <v>45398</v>
      </c>
      <c r="I7" s="28">
        <v>0.1</v>
      </c>
      <c r="J7" s="28">
        <v>304.18</v>
      </c>
      <c r="K7" s="30">
        <f t="shared" si="1"/>
        <v>869.07600000000002</v>
      </c>
      <c r="L7" s="31">
        <f t="shared" si="2"/>
        <v>0.36441116772296095</v>
      </c>
      <c r="M7" s="32">
        <f t="shared" ca="1" si="3"/>
        <v>46094.483751967593</v>
      </c>
      <c r="N7" s="30" t="str">
        <f t="shared" si="4"/>
        <v>total orders</v>
      </c>
      <c r="Q7" s="8"/>
      <c r="R7" s="6"/>
      <c r="S7" s="6"/>
      <c r="T7" s="6"/>
      <c r="U7" s="17"/>
    </row>
    <row r="8" spans="1:21" x14ac:dyDescent="0.3">
      <c r="A8" s="28" t="s">
        <v>28</v>
      </c>
      <c r="B8" s="28" t="s">
        <v>29</v>
      </c>
      <c r="C8" s="28" t="s">
        <v>11</v>
      </c>
      <c r="D8" s="28" t="s">
        <v>21</v>
      </c>
      <c r="E8" s="28">
        <f t="shared" si="0"/>
        <v>1251.6534999999999</v>
      </c>
      <c r="F8" s="28">
        <v>1317.53</v>
      </c>
      <c r="G8" s="28">
        <v>12</v>
      </c>
      <c r="H8" s="29">
        <v>45398</v>
      </c>
      <c r="I8" s="28">
        <v>0.05</v>
      </c>
      <c r="J8" s="28">
        <v>312.91000000000003</v>
      </c>
      <c r="K8" s="30">
        <f t="shared" si="1"/>
        <v>1251.6534999999999</v>
      </c>
      <c r="L8" s="31">
        <f t="shared" si="2"/>
        <v>-0.18448156778213776</v>
      </c>
      <c r="M8" s="32">
        <f t="shared" ca="1" si="3"/>
        <v>46094.483751967593</v>
      </c>
      <c r="N8" s="30" t="str">
        <f t="shared" si="4"/>
        <v>total orders</v>
      </c>
      <c r="Q8" s="8"/>
      <c r="R8" s="6"/>
      <c r="S8" s="6"/>
      <c r="T8" s="6"/>
      <c r="U8" s="17"/>
    </row>
    <row r="9" spans="1:21" x14ac:dyDescent="0.3">
      <c r="A9" s="28" t="s">
        <v>30</v>
      </c>
      <c r="B9" s="28" t="s">
        <v>31</v>
      </c>
      <c r="C9" s="28" t="s">
        <v>18</v>
      </c>
      <c r="D9" s="28" t="s">
        <v>27</v>
      </c>
      <c r="E9" s="28">
        <f t="shared" si="0"/>
        <v>859.57600000000002</v>
      </c>
      <c r="F9" s="28">
        <v>1074.47</v>
      </c>
      <c r="G9" s="28">
        <v>6</v>
      </c>
      <c r="H9" s="29">
        <v>45401</v>
      </c>
      <c r="I9" s="28">
        <v>0.2</v>
      </c>
      <c r="J9" s="28">
        <v>300.85000000000002</v>
      </c>
      <c r="K9" s="30">
        <f t="shared" si="1"/>
        <v>859.57600000000002</v>
      </c>
      <c r="L9" s="31">
        <f t="shared" si="2"/>
        <v>-0.53322102990311504</v>
      </c>
      <c r="M9" s="32">
        <f t="shared" ca="1" si="3"/>
        <v>46094.483751967593</v>
      </c>
      <c r="N9" s="30" t="str">
        <f t="shared" si="4"/>
        <v>total orders</v>
      </c>
      <c r="Q9" s="8"/>
      <c r="R9" s="6"/>
      <c r="S9" s="6"/>
      <c r="T9" s="6"/>
      <c r="U9" s="17"/>
    </row>
    <row r="10" spans="1:21" ht="15" thickBot="1" x14ac:dyDescent="0.35">
      <c r="A10" s="28" t="s">
        <v>32</v>
      </c>
      <c r="B10" s="28" t="s">
        <v>33</v>
      </c>
      <c r="C10" s="28" t="s">
        <v>34</v>
      </c>
      <c r="D10" s="28" t="s">
        <v>12</v>
      </c>
      <c r="E10" s="28">
        <f t="shared" si="0"/>
        <v>476.46300000000002</v>
      </c>
      <c r="F10" s="28">
        <v>501.54</v>
      </c>
      <c r="G10" s="28">
        <v>11</v>
      </c>
      <c r="H10" s="29">
        <v>45401</v>
      </c>
      <c r="I10" s="28">
        <v>0.05</v>
      </c>
      <c r="J10" s="28">
        <v>190.59</v>
      </c>
      <c r="K10" s="30">
        <f t="shared" si="1"/>
        <v>476.46300000000002</v>
      </c>
      <c r="L10" s="31">
        <f t="shared" si="2"/>
        <v>0.47009211628185171</v>
      </c>
      <c r="M10" s="32">
        <f t="shared" ca="1" si="3"/>
        <v>46094.483751967593</v>
      </c>
      <c r="N10" s="30" t="str">
        <f t="shared" si="4"/>
        <v>total orders</v>
      </c>
      <c r="Q10" s="21"/>
      <c r="R10" s="22"/>
      <c r="S10" s="22"/>
      <c r="T10" s="22"/>
      <c r="U10" s="23"/>
    </row>
    <row r="11" spans="1:21" x14ac:dyDescent="0.3">
      <c r="A11" s="28" t="s">
        <v>35</v>
      </c>
      <c r="B11" s="28" t="s">
        <v>36</v>
      </c>
      <c r="C11" s="28" t="s">
        <v>34</v>
      </c>
      <c r="D11" s="28" t="s">
        <v>15</v>
      </c>
      <c r="E11" s="28">
        <f t="shared" si="0"/>
        <v>700.44449999999995</v>
      </c>
      <c r="F11" s="28">
        <v>737.31</v>
      </c>
      <c r="G11" s="28">
        <v>2</v>
      </c>
      <c r="H11" s="29">
        <v>45401</v>
      </c>
      <c r="I11" s="28">
        <v>0.05</v>
      </c>
      <c r="J11" s="28">
        <v>350.22</v>
      </c>
      <c r="K11" s="30">
        <f t="shared" si="1"/>
        <v>700.44449999999995</v>
      </c>
      <c r="L11" s="31">
        <f t="shared" si="2"/>
        <v>1.1331868549185553</v>
      </c>
      <c r="M11" s="32">
        <f t="shared" ca="1" si="3"/>
        <v>46094.483751967593</v>
      </c>
      <c r="N11" s="30" t="str">
        <f t="shared" si="4"/>
        <v>total orders</v>
      </c>
    </row>
    <row r="12" spans="1:21" x14ac:dyDescent="0.3">
      <c r="A12" s="28" t="s">
        <v>37</v>
      </c>
      <c r="B12" s="28" t="s">
        <v>38</v>
      </c>
      <c r="C12" s="28" t="s">
        <v>11</v>
      </c>
      <c r="D12" s="28" t="s">
        <v>39</v>
      </c>
      <c r="E12" s="28">
        <f t="shared" si="0"/>
        <v>1494.1789999999999</v>
      </c>
      <c r="F12" s="28">
        <v>1572.82</v>
      </c>
      <c r="G12" s="28">
        <v>6</v>
      </c>
      <c r="H12" s="29">
        <v>45402</v>
      </c>
      <c r="I12" s="28">
        <v>0.05</v>
      </c>
      <c r="J12" s="28">
        <v>672.38</v>
      </c>
      <c r="K12" s="30">
        <f t="shared" si="1"/>
        <v>1494.1789999999999</v>
      </c>
      <c r="L12" s="31">
        <f t="shared" si="2"/>
        <v>-0.14603705446268475</v>
      </c>
      <c r="M12" s="32">
        <f t="shared" ca="1" si="3"/>
        <v>46094.483751967593</v>
      </c>
      <c r="N12" s="30" t="str">
        <f t="shared" si="4"/>
        <v>total orders</v>
      </c>
    </row>
    <row r="13" spans="1:21" x14ac:dyDescent="0.3">
      <c r="A13" s="28" t="s">
        <v>37</v>
      </c>
      <c r="B13" s="28" t="s">
        <v>36</v>
      </c>
      <c r="C13" s="28" t="s">
        <v>34</v>
      </c>
      <c r="D13" s="28" t="s">
        <v>12</v>
      </c>
      <c r="E13" s="28">
        <f t="shared" si="0"/>
        <v>1141.6605000000002</v>
      </c>
      <c r="F13" s="28">
        <v>1343.13</v>
      </c>
      <c r="G13" s="28">
        <v>14</v>
      </c>
      <c r="H13" s="29">
        <v>45404</v>
      </c>
      <c r="I13" s="28">
        <v>0.15</v>
      </c>
      <c r="J13" s="28">
        <v>456.66</v>
      </c>
      <c r="K13" s="30">
        <f t="shared" si="1"/>
        <v>1141.6605000000002</v>
      </c>
      <c r="L13" s="31">
        <f t="shared" si="2"/>
        <v>-0.11283345618071235</v>
      </c>
      <c r="M13" s="32">
        <f t="shared" ca="1" si="3"/>
        <v>46094.483751967593</v>
      </c>
      <c r="N13" s="30" t="str">
        <f t="shared" si="4"/>
        <v>total orders</v>
      </c>
    </row>
    <row r="14" spans="1:21" x14ac:dyDescent="0.3">
      <c r="A14" s="28" t="s">
        <v>25</v>
      </c>
      <c r="B14" s="28" t="s">
        <v>26</v>
      </c>
      <c r="C14" s="28" t="s">
        <v>34</v>
      </c>
      <c r="D14" s="28" t="s">
        <v>12</v>
      </c>
      <c r="E14" s="28">
        <f t="shared" si="0"/>
        <v>1132.001</v>
      </c>
      <c r="F14" s="28">
        <v>1191.58</v>
      </c>
      <c r="G14" s="28">
        <v>14</v>
      </c>
      <c r="H14" s="29">
        <v>45406</v>
      </c>
      <c r="I14" s="28">
        <v>0.05</v>
      </c>
      <c r="J14" s="28">
        <v>452.8</v>
      </c>
      <c r="K14" s="30">
        <f t="shared" si="1"/>
        <v>1132.001</v>
      </c>
      <c r="L14" s="31">
        <f t="shared" si="2"/>
        <v>-0.30992463787576158</v>
      </c>
      <c r="M14" s="32">
        <f t="shared" ca="1" si="3"/>
        <v>46094.483751967593</v>
      </c>
      <c r="N14" s="30" t="str">
        <f t="shared" si="4"/>
        <v>total orders</v>
      </c>
    </row>
    <row r="15" spans="1:21" x14ac:dyDescent="0.3">
      <c r="A15" s="28" t="s">
        <v>40</v>
      </c>
      <c r="B15" s="28" t="s">
        <v>14</v>
      </c>
      <c r="C15" s="28" t="s">
        <v>11</v>
      </c>
      <c r="D15" s="28" t="s">
        <v>27</v>
      </c>
      <c r="E15" s="28">
        <f t="shared" si="0"/>
        <v>781.16599999999994</v>
      </c>
      <c r="F15" s="28">
        <v>822.28</v>
      </c>
      <c r="G15" s="28">
        <v>7</v>
      </c>
      <c r="H15" s="29">
        <v>45406</v>
      </c>
      <c r="I15" s="28">
        <v>0.05</v>
      </c>
      <c r="J15" s="28">
        <v>273.41000000000003</v>
      </c>
      <c r="K15" s="30">
        <f t="shared" si="1"/>
        <v>781.16599999999994</v>
      </c>
      <c r="L15" s="31">
        <f t="shared" si="2"/>
        <v>-0.36558106727635359</v>
      </c>
      <c r="M15" s="32">
        <f t="shared" ca="1" si="3"/>
        <v>46094.483751967593</v>
      </c>
      <c r="N15" s="30" t="str">
        <f t="shared" si="4"/>
        <v>total orders</v>
      </c>
    </row>
    <row r="16" spans="1:21" x14ac:dyDescent="0.3">
      <c r="A16" s="28" t="s">
        <v>41</v>
      </c>
      <c r="B16" s="28" t="s">
        <v>42</v>
      </c>
      <c r="C16" s="28" t="s">
        <v>24</v>
      </c>
      <c r="D16" s="28" t="s">
        <v>27</v>
      </c>
      <c r="E16" s="28">
        <f t="shared" si="0"/>
        <v>443.41949999999997</v>
      </c>
      <c r="F16" s="28">
        <v>521.66999999999996</v>
      </c>
      <c r="G16" s="28">
        <v>15</v>
      </c>
      <c r="H16" s="29">
        <v>45409</v>
      </c>
      <c r="I16" s="28">
        <v>0.15</v>
      </c>
      <c r="J16" s="28">
        <v>155.19999999999999</v>
      </c>
      <c r="K16" s="30">
        <f t="shared" si="1"/>
        <v>443.41949999999997</v>
      </c>
      <c r="L16" s="31">
        <f t="shared" si="2"/>
        <v>1.8809975655107638</v>
      </c>
      <c r="M16" s="32">
        <f t="shared" ca="1" si="3"/>
        <v>46094.483751967593</v>
      </c>
      <c r="N16" s="30" t="str">
        <f t="shared" si="4"/>
        <v>total orders</v>
      </c>
    </row>
    <row r="17" spans="1:14" x14ac:dyDescent="0.3">
      <c r="A17" s="28" t="s">
        <v>19</v>
      </c>
      <c r="B17" s="28" t="s">
        <v>43</v>
      </c>
      <c r="C17" s="28" t="s">
        <v>20</v>
      </c>
      <c r="D17" s="28" t="s">
        <v>21</v>
      </c>
      <c r="E17" s="28">
        <f t="shared" si="0"/>
        <v>1202.3440000000001</v>
      </c>
      <c r="F17" s="28">
        <v>1502.93</v>
      </c>
      <c r="G17" s="28">
        <v>14</v>
      </c>
      <c r="H17" s="29">
        <v>45410</v>
      </c>
      <c r="I17" s="28">
        <v>0.2</v>
      </c>
      <c r="J17" s="28">
        <v>300.58999999999997</v>
      </c>
      <c r="K17" s="30">
        <f t="shared" si="1"/>
        <v>1202.3440000000001</v>
      </c>
      <c r="L17" s="31">
        <f t="shared" si="2"/>
        <v>-0.41608724291883187</v>
      </c>
      <c r="M17" s="32">
        <f t="shared" ca="1" si="3"/>
        <v>46094.483751967593</v>
      </c>
      <c r="N17" s="30" t="str">
        <f t="shared" si="4"/>
        <v>total orders</v>
      </c>
    </row>
    <row r="18" spans="1:14" x14ac:dyDescent="0.3">
      <c r="A18" s="28" t="s">
        <v>44</v>
      </c>
      <c r="B18" s="28" t="s">
        <v>14</v>
      </c>
      <c r="C18" s="28" t="s">
        <v>20</v>
      </c>
      <c r="D18" s="28" t="s">
        <v>12</v>
      </c>
      <c r="E18" s="28">
        <f t="shared" si="0"/>
        <v>745.94299999999998</v>
      </c>
      <c r="F18" s="28">
        <v>877.58</v>
      </c>
      <c r="G18" s="28">
        <v>10</v>
      </c>
      <c r="H18" s="29">
        <v>45411</v>
      </c>
      <c r="I18" s="28">
        <v>0.15</v>
      </c>
      <c r="J18" s="28">
        <v>298.38</v>
      </c>
      <c r="K18" s="30">
        <f t="shared" si="1"/>
        <v>745.94299999999998</v>
      </c>
      <c r="L18" s="31">
        <f t="shared" si="2"/>
        <v>-0.27448209849814259</v>
      </c>
      <c r="M18" s="32">
        <f t="shared" ca="1" si="3"/>
        <v>46094.483751967593</v>
      </c>
      <c r="N18" s="30" t="str">
        <f t="shared" si="4"/>
        <v>total orders</v>
      </c>
    </row>
    <row r="19" spans="1:14" x14ac:dyDescent="0.3">
      <c r="A19" s="28" t="s">
        <v>28</v>
      </c>
      <c r="B19" s="28" t="s">
        <v>45</v>
      </c>
      <c r="C19" s="28" t="s">
        <v>11</v>
      </c>
      <c r="D19" s="28" t="s">
        <v>12</v>
      </c>
      <c r="E19" s="28">
        <f t="shared" si="0"/>
        <v>509.36</v>
      </c>
      <c r="F19" s="28">
        <v>636.70000000000005</v>
      </c>
      <c r="G19" s="28">
        <v>4</v>
      </c>
      <c r="H19" s="29">
        <v>45411</v>
      </c>
      <c r="I19" s="28">
        <v>0.2</v>
      </c>
      <c r="J19" s="28">
        <v>203.74</v>
      </c>
      <c r="K19" s="30">
        <f t="shared" si="1"/>
        <v>509.36</v>
      </c>
      <c r="L19" s="31">
        <f t="shared" si="2"/>
        <v>1.3655410711481075</v>
      </c>
      <c r="M19" s="32">
        <f t="shared" ca="1" si="3"/>
        <v>46094.483751967593</v>
      </c>
      <c r="N19" s="30" t="str">
        <f t="shared" si="4"/>
        <v>total orders</v>
      </c>
    </row>
    <row r="20" spans="1:14" x14ac:dyDescent="0.3">
      <c r="A20" s="28" t="s">
        <v>46</v>
      </c>
      <c r="B20" s="28" t="s">
        <v>47</v>
      </c>
      <c r="C20" s="28" t="s">
        <v>11</v>
      </c>
      <c r="D20" s="28" t="s">
        <v>12</v>
      </c>
      <c r="E20" s="28">
        <f t="shared" si="0"/>
        <v>1204.912</v>
      </c>
      <c r="F20" s="28">
        <v>1506.14</v>
      </c>
      <c r="G20" s="28">
        <v>13</v>
      </c>
      <c r="H20" s="29">
        <v>45412</v>
      </c>
      <c r="I20" s="28">
        <v>0.2</v>
      </c>
      <c r="J20" s="28">
        <v>481.96</v>
      </c>
      <c r="K20" s="30">
        <f t="shared" si="1"/>
        <v>1204.912</v>
      </c>
      <c r="L20" s="31">
        <f t="shared" si="2"/>
        <v>-0.57173967891431077</v>
      </c>
      <c r="M20" s="32">
        <f t="shared" ca="1" si="3"/>
        <v>46094.483751967593</v>
      </c>
      <c r="N20" s="30" t="str">
        <f t="shared" si="4"/>
        <v>total orders</v>
      </c>
    </row>
    <row r="21" spans="1:14" x14ac:dyDescent="0.3">
      <c r="A21" s="28" t="s">
        <v>30</v>
      </c>
      <c r="B21" s="28" t="s">
        <v>31</v>
      </c>
      <c r="C21" s="28" t="s">
        <v>34</v>
      </c>
      <c r="D21" s="28" t="s">
        <v>21</v>
      </c>
      <c r="E21" s="28">
        <f t="shared" si="0"/>
        <v>645.02</v>
      </c>
      <c r="F21" s="28">
        <v>645.02</v>
      </c>
      <c r="G21" s="28">
        <v>4</v>
      </c>
      <c r="H21" s="29">
        <v>45414</v>
      </c>
      <c r="I21" s="28">
        <v>0</v>
      </c>
      <c r="J21" s="28">
        <v>161.26</v>
      </c>
      <c r="K21" s="30">
        <f t="shared" si="1"/>
        <v>645.02</v>
      </c>
      <c r="L21" s="31">
        <f t="shared" si="2"/>
        <v>0.47793866856841644</v>
      </c>
      <c r="M21" s="32">
        <f t="shared" ca="1" si="3"/>
        <v>46094.483751967593</v>
      </c>
      <c r="N21" s="30" t="str">
        <f t="shared" si="4"/>
        <v>total orders</v>
      </c>
    </row>
    <row r="22" spans="1:14" x14ac:dyDescent="0.3">
      <c r="A22" s="28" t="s">
        <v>25</v>
      </c>
      <c r="B22" s="28" t="s">
        <v>48</v>
      </c>
      <c r="C22" s="28" t="s">
        <v>20</v>
      </c>
      <c r="D22" s="28" t="s">
        <v>15</v>
      </c>
      <c r="E22" s="28">
        <f t="shared" si="0"/>
        <v>953.3</v>
      </c>
      <c r="F22" s="28">
        <v>953.3</v>
      </c>
      <c r="G22" s="28">
        <v>11</v>
      </c>
      <c r="H22" s="29">
        <v>45415</v>
      </c>
      <c r="I22" s="28">
        <v>0</v>
      </c>
      <c r="J22" s="28">
        <v>476.65</v>
      </c>
      <c r="K22" s="30">
        <f t="shared" si="1"/>
        <v>953.3</v>
      </c>
      <c r="L22" s="31">
        <f t="shared" si="2"/>
        <v>-0.5924053288576524</v>
      </c>
      <c r="M22" s="32">
        <f t="shared" ca="1" si="3"/>
        <v>46094.483751967593</v>
      </c>
      <c r="N22" s="30" t="str">
        <f t="shared" si="4"/>
        <v>total orders</v>
      </c>
    </row>
    <row r="23" spans="1:14" x14ac:dyDescent="0.3">
      <c r="A23" s="28" t="s">
        <v>49</v>
      </c>
      <c r="B23" s="28" t="s">
        <v>14</v>
      </c>
      <c r="C23" s="28" t="s">
        <v>24</v>
      </c>
      <c r="D23" s="28" t="s">
        <v>21</v>
      </c>
      <c r="E23" s="28">
        <f t="shared" si="0"/>
        <v>330.27600000000001</v>
      </c>
      <c r="F23" s="28">
        <v>388.56</v>
      </c>
      <c r="G23" s="28">
        <v>14</v>
      </c>
      <c r="H23" s="29">
        <v>45416</v>
      </c>
      <c r="I23" s="28">
        <v>0.15</v>
      </c>
      <c r="J23" s="28">
        <v>82.57</v>
      </c>
      <c r="K23" s="30">
        <f t="shared" si="1"/>
        <v>330.27600000000001</v>
      </c>
      <c r="L23" s="31">
        <f t="shared" si="2"/>
        <v>0.9126261066501955</v>
      </c>
      <c r="M23" s="32">
        <f t="shared" ca="1" si="3"/>
        <v>46094.483751967593</v>
      </c>
      <c r="N23" s="30" t="str">
        <f t="shared" si="4"/>
        <v>total orders</v>
      </c>
    </row>
    <row r="24" spans="1:14" x14ac:dyDescent="0.3">
      <c r="A24" s="28" t="s">
        <v>9</v>
      </c>
      <c r="B24" s="28" t="s">
        <v>31</v>
      </c>
      <c r="C24" s="28" t="s">
        <v>11</v>
      </c>
      <c r="D24" s="28" t="s">
        <v>12</v>
      </c>
      <c r="E24" s="28">
        <f t="shared" si="0"/>
        <v>743.17</v>
      </c>
      <c r="F24" s="28">
        <v>743.17</v>
      </c>
      <c r="G24" s="28">
        <v>9</v>
      </c>
      <c r="H24" s="29">
        <v>45416</v>
      </c>
      <c r="I24" s="28">
        <v>0</v>
      </c>
      <c r="J24" s="28">
        <v>297.27</v>
      </c>
      <c r="K24" s="30">
        <f t="shared" si="1"/>
        <v>743.17</v>
      </c>
      <c r="L24" s="31">
        <f t="shared" si="2"/>
        <v>-4.95176070078178E-2</v>
      </c>
      <c r="M24" s="32">
        <f t="shared" ca="1" si="3"/>
        <v>46094.483751967593</v>
      </c>
      <c r="N24" s="30" t="str">
        <f t="shared" si="4"/>
        <v>total orders</v>
      </c>
    </row>
    <row r="25" spans="1:14" x14ac:dyDescent="0.3">
      <c r="A25" s="28" t="s">
        <v>40</v>
      </c>
      <c r="B25" s="28" t="s">
        <v>31</v>
      </c>
      <c r="C25" s="28" t="s">
        <v>34</v>
      </c>
      <c r="D25" s="28" t="s">
        <v>21</v>
      </c>
      <c r="E25" s="28">
        <f t="shared" si="0"/>
        <v>706.37</v>
      </c>
      <c r="F25" s="28">
        <v>706.37</v>
      </c>
      <c r="G25" s="28">
        <v>6</v>
      </c>
      <c r="H25" s="29">
        <v>45416</v>
      </c>
      <c r="I25" s="28">
        <v>0</v>
      </c>
      <c r="J25" s="28">
        <v>176.59</v>
      </c>
      <c r="K25" s="30">
        <f t="shared" si="1"/>
        <v>706.37</v>
      </c>
      <c r="L25" s="31">
        <f t="shared" si="2"/>
        <v>0.3099508756034372</v>
      </c>
      <c r="M25" s="32">
        <f t="shared" ca="1" si="3"/>
        <v>46094.483751967593</v>
      </c>
      <c r="N25" s="30" t="str">
        <f t="shared" si="4"/>
        <v>total orders</v>
      </c>
    </row>
    <row r="26" spans="1:14" x14ac:dyDescent="0.3">
      <c r="A26" s="28" t="s">
        <v>13</v>
      </c>
      <c r="B26" s="28" t="s">
        <v>31</v>
      </c>
      <c r="C26" s="28" t="s">
        <v>34</v>
      </c>
      <c r="D26" s="28" t="s">
        <v>39</v>
      </c>
      <c r="E26" s="28">
        <f t="shared" si="0"/>
        <v>832.779</v>
      </c>
      <c r="F26" s="28">
        <v>925.31</v>
      </c>
      <c r="G26" s="28">
        <v>8</v>
      </c>
      <c r="H26" s="29">
        <v>45418</v>
      </c>
      <c r="I26" s="28">
        <v>0.1</v>
      </c>
      <c r="J26" s="28">
        <v>374.75</v>
      </c>
      <c r="K26" s="30">
        <f t="shared" si="1"/>
        <v>832.779</v>
      </c>
      <c r="L26" s="31">
        <f t="shared" si="2"/>
        <v>0.26781294917379034</v>
      </c>
      <c r="M26" s="32">
        <f t="shared" ca="1" si="3"/>
        <v>46094.483751967593</v>
      </c>
      <c r="N26" s="30" t="str">
        <f t="shared" si="4"/>
        <v>total orders</v>
      </c>
    </row>
    <row r="27" spans="1:14" x14ac:dyDescent="0.3">
      <c r="A27" s="28" t="s">
        <v>35</v>
      </c>
      <c r="B27" s="28" t="s">
        <v>50</v>
      </c>
      <c r="C27" s="28" t="s">
        <v>20</v>
      </c>
      <c r="D27" s="28" t="s">
        <v>21</v>
      </c>
      <c r="E27" s="28">
        <f t="shared" si="0"/>
        <v>1173.1199999999999</v>
      </c>
      <c r="F27" s="28">
        <v>1173.1199999999999</v>
      </c>
      <c r="G27" s="28">
        <v>18</v>
      </c>
      <c r="H27" s="29">
        <v>45418</v>
      </c>
      <c r="I27" s="28">
        <v>0</v>
      </c>
      <c r="J27" s="28">
        <v>293.27999999999997</v>
      </c>
      <c r="K27" s="30">
        <f t="shared" si="1"/>
        <v>1173.1199999999999</v>
      </c>
      <c r="L27" s="31">
        <f t="shared" si="2"/>
        <v>-0.42415098199672663</v>
      </c>
      <c r="M27" s="32">
        <f t="shared" ca="1" si="3"/>
        <v>46094.483751967593</v>
      </c>
      <c r="N27" s="30" t="str">
        <f t="shared" si="4"/>
        <v>total orders</v>
      </c>
    </row>
    <row r="28" spans="1:14" x14ac:dyDescent="0.3">
      <c r="A28" s="28" t="s">
        <v>22</v>
      </c>
      <c r="B28" s="28" t="s">
        <v>51</v>
      </c>
      <c r="C28" s="28" t="s">
        <v>24</v>
      </c>
      <c r="D28" s="28" t="s">
        <v>27</v>
      </c>
      <c r="E28" s="28">
        <f t="shared" si="0"/>
        <v>675.54</v>
      </c>
      <c r="F28" s="28">
        <v>675.54</v>
      </c>
      <c r="G28" s="28">
        <v>17</v>
      </c>
      <c r="H28" s="29">
        <v>45420</v>
      </c>
      <c r="I28" s="28">
        <v>0</v>
      </c>
      <c r="J28" s="28">
        <v>236.44</v>
      </c>
      <c r="K28" s="30">
        <f t="shared" si="1"/>
        <v>675.54</v>
      </c>
      <c r="L28" s="31">
        <f t="shared" si="2"/>
        <v>0.3901323385735857</v>
      </c>
      <c r="M28" s="32">
        <f t="shared" ca="1" si="3"/>
        <v>46094.483751967593</v>
      </c>
      <c r="N28" s="30" t="str">
        <f t="shared" si="4"/>
        <v>total orders</v>
      </c>
    </row>
    <row r="29" spans="1:14" x14ac:dyDescent="0.3">
      <c r="A29" s="28" t="s">
        <v>25</v>
      </c>
      <c r="B29" s="28" t="s">
        <v>14</v>
      </c>
      <c r="C29" s="28" t="s">
        <v>34</v>
      </c>
      <c r="D29" s="28" t="s">
        <v>12</v>
      </c>
      <c r="E29" s="28">
        <f t="shared" si="0"/>
        <v>892.13549999999998</v>
      </c>
      <c r="F29" s="28">
        <v>939.09</v>
      </c>
      <c r="G29" s="28">
        <v>2</v>
      </c>
      <c r="H29" s="29">
        <v>45422</v>
      </c>
      <c r="I29" s="28">
        <v>0.05</v>
      </c>
      <c r="J29" s="28">
        <v>356.85</v>
      </c>
      <c r="K29" s="30">
        <f t="shared" si="1"/>
        <v>892.13549999999998</v>
      </c>
      <c r="L29" s="31">
        <f t="shared" si="2"/>
        <v>4.7120084336964504E-2</v>
      </c>
      <c r="M29" s="32">
        <f t="shared" ca="1" si="3"/>
        <v>46094.483751967593</v>
      </c>
      <c r="N29" s="30" t="str">
        <f t="shared" si="4"/>
        <v>total orders</v>
      </c>
    </row>
    <row r="30" spans="1:14" x14ac:dyDescent="0.3">
      <c r="A30" s="28" t="s">
        <v>52</v>
      </c>
      <c r="B30" s="28" t="s">
        <v>53</v>
      </c>
      <c r="C30" s="28" t="s">
        <v>18</v>
      </c>
      <c r="D30" s="28" t="s">
        <v>39</v>
      </c>
      <c r="E30" s="28">
        <f t="shared" si="0"/>
        <v>885.00600000000009</v>
      </c>
      <c r="F30" s="28">
        <v>983.34</v>
      </c>
      <c r="G30" s="28">
        <v>19</v>
      </c>
      <c r="H30" s="29">
        <v>45426</v>
      </c>
      <c r="I30" s="28">
        <v>0.1</v>
      </c>
      <c r="J30" s="28">
        <v>398.25</v>
      </c>
      <c r="K30" s="30">
        <f t="shared" si="1"/>
        <v>885.00600000000009</v>
      </c>
      <c r="L30" s="31">
        <f t="shared" si="2"/>
        <v>-0.18521569345292574</v>
      </c>
      <c r="M30" s="32">
        <f t="shared" ca="1" si="3"/>
        <v>46094.483751967593</v>
      </c>
      <c r="N30" s="30" t="str">
        <f t="shared" si="4"/>
        <v>total orders</v>
      </c>
    </row>
    <row r="31" spans="1:14" x14ac:dyDescent="0.3">
      <c r="A31" s="28" t="s">
        <v>52</v>
      </c>
      <c r="B31" s="28" t="s">
        <v>23</v>
      </c>
      <c r="C31" s="28" t="s">
        <v>20</v>
      </c>
      <c r="D31" s="28" t="s">
        <v>21</v>
      </c>
      <c r="E31" s="28">
        <f t="shared" si="0"/>
        <v>640.96800000000007</v>
      </c>
      <c r="F31" s="28">
        <v>801.21</v>
      </c>
      <c r="G31" s="28">
        <v>3</v>
      </c>
      <c r="H31" s="29">
        <v>45426</v>
      </c>
      <c r="I31" s="28">
        <v>0.2</v>
      </c>
      <c r="J31" s="28">
        <v>160.24</v>
      </c>
      <c r="K31" s="30">
        <f t="shared" si="1"/>
        <v>640.96800000000007</v>
      </c>
      <c r="L31" s="31">
        <f t="shared" si="2"/>
        <v>0.81064889354850789</v>
      </c>
      <c r="M31" s="32">
        <f t="shared" ca="1" si="3"/>
        <v>46094.483751967593</v>
      </c>
      <c r="N31" s="30" t="str">
        <f t="shared" si="4"/>
        <v>total orders</v>
      </c>
    </row>
    <row r="32" spans="1:14" x14ac:dyDescent="0.3">
      <c r="A32" s="28" t="s">
        <v>54</v>
      </c>
      <c r="B32" s="28" t="s">
        <v>55</v>
      </c>
      <c r="C32" s="28" t="s">
        <v>24</v>
      </c>
      <c r="D32" s="28" t="s">
        <v>21</v>
      </c>
      <c r="E32" s="28">
        <f t="shared" si="0"/>
        <v>1305.6390000000001</v>
      </c>
      <c r="F32" s="28">
        <v>1450.71</v>
      </c>
      <c r="G32" s="28">
        <v>5</v>
      </c>
      <c r="H32" s="29">
        <v>45427</v>
      </c>
      <c r="I32" s="28">
        <v>0.1</v>
      </c>
      <c r="J32" s="28">
        <v>326.41000000000003</v>
      </c>
      <c r="K32" s="30">
        <f t="shared" si="1"/>
        <v>1305.6390000000001</v>
      </c>
      <c r="L32" s="31">
        <f t="shared" si="2"/>
        <v>-0.29468329300825113</v>
      </c>
      <c r="M32" s="32">
        <f t="shared" ca="1" si="3"/>
        <v>46094.483751967593</v>
      </c>
      <c r="N32" s="30" t="str">
        <f t="shared" si="4"/>
        <v>total orders</v>
      </c>
    </row>
    <row r="33" spans="1:14" x14ac:dyDescent="0.3">
      <c r="A33" s="28" t="s">
        <v>49</v>
      </c>
      <c r="B33" s="28" t="s">
        <v>56</v>
      </c>
      <c r="C33" s="28" t="s">
        <v>34</v>
      </c>
      <c r="D33" s="28" t="s">
        <v>12</v>
      </c>
      <c r="E33" s="28">
        <f t="shared" si="0"/>
        <v>972.04950000000008</v>
      </c>
      <c r="F33" s="28">
        <v>1023.21</v>
      </c>
      <c r="G33" s="28">
        <v>18</v>
      </c>
      <c r="H33" s="29">
        <v>45428</v>
      </c>
      <c r="I33" s="28">
        <v>0.05</v>
      </c>
      <c r="J33" s="28">
        <v>388.82</v>
      </c>
      <c r="K33" s="30">
        <f t="shared" si="1"/>
        <v>972.04950000000008</v>
      </c>
      <c r="L33" s="31">
        <f t="shared" si="2"/>
        <v>-0.16564537094047166</v>
      </c>
      <c r="M33" s="32">
        <f t="shared" ca="1" si="3"/>
        <v>46094.483751967593</v>
      </c>
      <c r="N33" s="30" t="str">
        <f t="shared" si="4"/>
        <v>total orders</v>
      </c>
    </row>
    <row r="34" spans="1:14" x14ac:dyDescent="0.3">
      <c r="A34" s="28" t="s">
        <v>28</v>
      </c>
      <c r="B34" s="28" t="s">
        <v>47</v>
      </c>
      <c r="C34" s="28" t="s">
        <v>11</v>
      </c>
      <c r="D34" s="28" t="s">
        <v>27</v>
      </c>
      <c r="E34" s="28">
        <f t="shared" si="0"/>
        <v>725.66200000000003</v>
      </c>
      <c r="F34" s="28">
        <v>853.72</v>
      </c>
      <c r="G34" s="28">
        <v>5</v>
      </c>
      <c r="H34" s="29">
        <v>45428</v>
      </c>
      <c r="I34" s="28">
        <v>0.15</v>
      </c>
      <c r="J34" s="28">
        <v>253.98</v>
      </c>
      <c r="K34" s="30">
        <f t="shared" si="1"/>
        <v>725.66200000000003</v>
      </c>
      <c r="L34" s="31">
        <f t="shared" si="2"/>
        <v>0.13373237126926857</v>
      </c>
      <c r="M34" s="32">
        <f t="shared" ca="1" si="3"/>
        <v>46094.483751967593</v>
      </c>
      <c r="N34" s="30" t="str">
        <f t="shared" si="4"/>
        <v>total orders</v>
      </c>
    </row>
    <row r="35" spans="1:14" x14ac:dyDescent="0.3">
      <c r="A35" s="28" t="s">
        <v>57</v>
      </c>
      <c r="B35" s="28" t="s">
        <v>43</v>
      </c>
      <c r="C35" s="28" t="s">
        <v>20</v>
      </c>
      <c r="D35" s="28" t="s">
        <v>21</v>
      </c>
      <c r="E35" s="28">
        <f t="shared" si="0"/>
        <v>871.101</v>
      </c>
      <c r="F35" s="28">
        <v>967.89</v>
      </c>
      <c r="G35" s="28">
        <v>10</v>
      </c>
      <c r="H35" s="29">
        <v>45429</v>
      </c>
      <c r="I35" s="28">
        <v>0.1</v>
      </c>
      <c r="J35" s="28">
        <v>217.78</v>
      </c>
      <c r="K35" s="30">
        <f t="shared" si="1"/>
        <v>871.101</v>
      </c>
      <c r="L35" s="31">
        <f t="shared" si="2"/>
        <v>0.24074016675448667</v>
      </c>
      <c r="M35" s="32">
        <f t="shared" ca="1" si="3"/>
        <v>46094.483751967593</v>
      </c>
      <c r="N35" s="30" t="str">
        <f t="shared" si="4"/>
        <v>total orders</v>
      </c>
    </row>
    <row r="36" spans="1:14" x14ac:dyDescent="0.3">
      <c r="A36" s="28" t="s">
        <v>58</v>
      </c>
      <c r="B36" s="28" t="s">
        <v>53</v>
      </c>
      <c r="C36" s="28" t="s">
        <v>24</v>
      </c>
      <c r="D36" s="28" t="s">
        <v>39</v>
      </c>
      <c r="E36" s="28">
        <f t="shared" si="0"/>
        <v>1140.855</v>
      </c>
      <c r="F36" s="28">
        <v>1200.9000000000001</v>
      </c>
      <c r="G36" s="28">
        <v>14</v>
      </c>
      <c r="H36" s="29">
        <v>45429</v>
      </c>
      <c r="I36" s="28">
        <v>0.05</v>
      </c>
      <c r="J36" s="28">
        <v>513.38</v>
      </c>
      <c r="K36" s="30">
        <f t="shared" si="1"/>
        <v>1140.855</v>
      </c>
      <c r="L36" s="31">
        <f t="shared" si="2"/>
        <v>-0.60664501623782163</v>
      </c>
      <c r="M36" s="32">
        <f t="shared" ca="1" si="3"/>
        <v>46094.483751967593</v>
      </c>
      <c r="N36" s="30" t="str">
        <f t="shared" si="4"/>
        <v>total orders</v>
      </c>
    </row>
    <row r="37" spans="1:14" x14ac:dyDescent="0.3">
      <c r="A37" s="28" t="s">
        <v>13</v>
      </c>
      <c r="B37" s="28" t="s">
        <v>26</v>
      </c>
      <c r="C37" s="28" t="s">
        <v>11</v>
      </c>
      <c r="D37" s="28" t="s">
        <v>12</v>
      </c>
      <c r="E37" s="28">
        <f t="shared" si="0"/>
        <v>377.904</v>
      </c>
      <c r="F37" s="28">
        <v>472.38</v>
      </c>
      <c r="G37" s="28">
        <v>12</v>
      </c>
      <c r="H37" s="29">
        <v>45429</v>
      </c>
      <c r="I37" s="28">
        <v>0.2</v>
      </c>
      <c r="J37" s="28">
        <v>151.16</v>
      </c>
      <c r="K37" s="30">
        <f t="shared" si="1"/>
        <v>377.904</v>
      </c>
      <c r="L37" s="31">
        <f t="shared" si="2"/>
        <v>0.78017697616325832</v>
      </c>
      <c r="M37" s="32">
        <f t="shared" ca="1" si="3"/>
        <v>46094.483751967593</v>
      </c>
      <c r="N37" s="30" t="str">
        <f t="shared" si="4"/>
        <v>total orders</v>
      </c>
    </row>
    <row r="38" spans="1:14" x14ac:dyDescent="0.3">
      <c r="A38" s="28" t="s">
        <v>9</v>
      </c>
      <c r="B38" s="28" t="s">
        <v>55</v>
      </c>
      <c r="C38" s="28" t="s">
        <v>18</v>
      </c>
      <c r="D38" s="28" t="s">
        <v>39</v>
      </c>
      <c r="E38" s="28">
        <f t="shared" si="0"/>
        <v>798.87399999999991</v>
      </c>
      <c r="F38" s="28">
        <v>840.92</v>
      </c>
      <c r="G38" s="28">
        <v>9</v>
      </c>
      <c r="H38" s="29">
        <v>45429</v>
      </c>
      <c r="I38" s="28">
        <v>0.05</v>
      </c>
      <c r="J38" s="28">
        <v>359.49</v>
      </c>
      <c r="K38" s="30">
        <f t="shared" si="1"/>
        <v>798.87399999999991</v>
      </c>
      <c r="L38" s="31">
        <f t="shared" si="2"/>
        <v>0.67680635494458452</v>
      </c>
      <c r="M38" s="32">
        <f t="shared" ca="1" si="3"/>
        <v>46094.483751967593</v>
      </c>
      <c r="N38" s="30" t="str">
        <f t="shared" si="4"/>
        <v>total orders</v>
      </c>
    </row>
    <row r="39" spans="1:14" x14ac:dyDescent="0.3">
      <c r="A39" s="28" t="s">
        <v>52</v>
      </c>
      <c r="B39" s="28" t="s">
        <v>48</v>
      </c>
      <c r="C39" s="28" t="s">
        <v>34</v>
      </c>
      <c r="D39" s="28" t="s">
        <v>27</v>
      </c>
      <c r="E39" s="28">
        <f t="shared" si="0"/>
        <v>1339.557</v>
      </c>
      <c r="F39" s="28">
        <v>1410.06</v>
      </c>
      <c r="G39" s="28">
        <v>11</v>
      </c>
      <c r="H39" s="29">
        <v>45434</v>
      </c>
      <c r="I39" s="28">
        <v>0.05</v>
      </c>
      <c r="J39" s="28">
        <v>468.84</v>
      </c>
      <c r="K39" s="30">
        <f t="shared" si="1"/>
        <v>1339.557</v>
      </c>
      <c r="L39" s="31">
        <f t="shared" si="2"/>
        <v>-0.4517325503879267</v>
      </c>
      <c r="M39" s="32">
        <f t="shared" ca="1" si="3"/>
        <v>46094.483751967593</v>
      </c>
      <c r="N39" s="30" t="str">
        <f t="shared" si="4"/>
        <v>total orders</v>
      </c>
    </row>
    <row r="40" spans="1:14" x14ac:dyDescent="0.3">
      <c r="A40" s="28" t="s">
        <v>44</v>
      </c>
      <c r="B40" s="28" t="s">
        <v>59</v>
      </c>
      <c r="C40" s="28" t="s">
        <v>34</v>
      </c>
      <c r="D40" s="28" t="s">
        <v>27</v>
      </c>
      <c r="E40" s="28">
        <f t="shared" si="0"/>
        <v>657.12650000000008</v>
      </c>
      <c r="F40" s="28">
        <v>773.09</v>
      </c>
      <c r="G40" s="28">
        <v>13</v>
      </c>
      <c r="H40" s="29">
        <v>45434</v>
      </c>
      <c r="I40" s="28">
        <v>0.15</v>
      </c>
      <c r="J40" s="28">
        <v>229.99</v>
      </c>
      <c r="K40" s="30">
        <f t="shared" si="1"/>
        <v>657.12650000000008</v>
      </c>
      <c r="L40" s="31">
        <f t="shared" si="2"/>
        <v>-0.24920772484445547</v>
      </c>
      <c r="M40" s="32">
        <f t="shared" ca="1" si="3"/>
        <v>46094.483751967593</v>
      </c>
      <c r="N40" s="30" t="str">
        <f t="shared" si="4"/>
        <v>total orders</v>
      </c>
    </row>
    <row r="41" spans="1:14" x14ac:dyDescent="0.3">
      <c r="A41" s="28" t="s">
        <v>60</v>
      </c>
      <c r="B41" s="28" t="s">
        <v>61</v>
      </c>
      <c r="C41" s="28" t="s">
        <v>18</v>
      </c>
      <c r="D41" s="28" t="s">
        <v>12</v>
      </c>
      <c r="E41" s="28">
        <f t="shared" si="0"/>
        <v>493.36549999999994</v>
      </c>
      <c r="F41" s="28">
        <v>580.42999999999995</v>
      </c>
      <c r="G41" s="28">
        <v>19</v>
      </c>
      <c r="H41" s="29">
        <v>45435</v>
      </c>
      <c r="I41" s="28">
        <v>0.15</v>
      </c>
      <c r="J41" s="28">
        <v>197.35</v>
      </c>
      <c r="K41" s="30">
        <f t="shared" si="1"/>
        <v>493.36549999999994</v>
      </c>
      <c r="L41" s="31">
        <f t="shared" si="2"/>
        <v>0.98337439484520117</v>
      </c>
      <c r="M41" s="32">
        <f t="shared" ca="1" si="3"/>
        <v>46094.483751967593</v>
      </c>
      <c r="N41" s="30" t="str">
        <f t="shared" si="4"/>
        <v>total orders</v>
      </c>
    </row>
    <row r="42" spans="1:14" x14ac:dyDescent="0.3">
      <c r="A42" s="28" t="s">
        <v>19</v>
      </c>
      <c r="B42" s="28" t="s">
        <v>42</v>
      </c>
      <c r="C42" s="28" t="s">
        <v>20</v>
      </c>
      <c r="D42" s="28" t="s">
        <v>12</v>
      </c>
      <c r="E42" s="28">
        <f t="shared" si="0"/>
        <v>1036.0889999999999</v>
      </c>
      <c r="F42" s="28">
        <v>1151.21</v>
      </c>
      <c r="G42" s="28">
        <v>15</v>
      </c>
      <c r="H42" s="29">
        <v>45445</v>
      </c>
      <c r="I42" s="28">
        <v>0.1</v>
      </c>
      <c r="J42" s="28">
        <v>414.44</v>
      </c>
      <c r="K42" s="30">
        <f t="shared" si="1"/>
        <v>1036.0889999999999</v>
      </c>
      <c r="L42" s="31">
        <f t="shared" si="2"/>
        <v>-0.10878119543784368</v>
      </c>
      <c r="M42" s="32">
        <f t="shared" ca="1" si="3"/>
        <v>46094.483751967593</v>
      </c>
      <c r="N42" s="30" t="str">
        <f t="shared" si="4"/>
        <v>total orders</v>
      </c>
    </row>
    <row r="43" spans="1:14" x14ac:dyDescent="0.3">
      <c r="A43" s="28" t="s">
        <v>52</v>
      </c>
      <c r="B43" s="28" t="s">
        <v>23</v>
      </c>
      <c r="C43" s="28" t="s">
        <v>34</v>
      </c>
      <c r="D43" s="28" t="s">
        <v>39</v>
      </c>
      <c r="E43" s="28">
        <f t="shared" si="0"/>
        <v>820.78399999999999</v>
      </c>
      <c r="F43" s="28">
        <v>1025.98</v>
      </c>
      <c r="G43" s="28">
        <v>5</v>
      </c>
      <c r="H43" s="29">
        <v>45447</v>
      </c>
      <c r="I43" s="28">
        <v>0.2</v>
      </c>
      <c r="J43" s="28">
        <v>369.35</v>
      </c>
      <c r="K43" s="30">
        <f t="shared" si="1"/>
        <v>820.78399999999999</v>
      </c>
      <c r="L43" s="31">
        <f t="shared" si="2"/>
        <v>-0.45766974015088019</v>
      </c>
      <c r="M43" s="32">
        <f t="shared" ca="1" si="3"/>
        <v>46094.483751967593</v>
      </c>
      <c r="N43" s="30" t="str">
        <f t="shared" si="4"/>
        <v>total orders</v>
      </c>
    </row>
    <row r="44" spans="1:14" x14ac:dyDescent="0.3">
      <c r="A44" s="28" t="s">
        <v>40</v>
      </c>
      <c r="B44" s="28" t="s">
        <v>56</v>
      </c>
      <c r="C44" s="28" t="s">
        <v>18</v>
      </c>
      <c r="D44" s="28" t="s">
        <v>39</v>
      </c>
      <c r="E44" s="28">
        <f t="shared" si="0"/>
        <v>472.95699999999999</v>
      </c>
      <c r="F44" s="28">
        <v>556.41999999999996</v>
      </c>
      <c r="G44" s="28">
        <v>11</v>
      </c>
      <c r="H44" s="29">
        <v>45447</v>
      </c>
      <c r="I44" s="28">
        <v>0.15</v>
      </c>
      <c r="J44" s="28">
        <v>212.83</v>
      </c>
      <c r="K44" s="30">
        <f t="shared" si="1"/>
        <v>472.95699999999999</v>
      </c>
      <c r="L44" s="31">
        <f t="shared" si="2"/>
        <v>0.51117860608892574</v>
      </c>
      <c r="M44" s="32">
        <f t="shared" ca="1" si="3"/>
        <v>46094.483751967593</v>
      </c>
      <c r="N44" s="30" t="str">
        <f t="shared" si="4"/>
        <v>total orders</v>
      </c>
    </row>
    <row r="45" spans="1:14" x14ac:dyDescent="0.3">
      <c r="A45" s="28" t="s">
        <v>57</v>
      </c>
      <c r="B45" s="28" t="s">
        <v>23</v>
      </c>
      <c r="C45" s="28" t="s">
        <v>34</v>
      </c>
      <c r="D45" s="28" t="s">
        <v>12</v>
      </c>
      <c r="E45" s="28">
        <f t="shared" si="0"/>
        <v>756.76499999999999</v>
      </c>
      <c r="F45" s="28">
        <v>840.85</v>
      </c>
      <c r="G45" s="28">
        <v>19</v>
      </c>
      <c r="H45" s="29">
        <v>45448</v>
      </c>
      <c r="I45" s="28">
        <v>0.1</v>
      </c>
      <c r="J45" s="28">
        <v>302.70999999999998</v>
      </c>
      <c r="K45" s="30">
        <f t="shared" si="1"/>
        <v>756.76499999999999</v>
      </c>
      <c r="L45" s="31">
        <f t="shared" si="2"/>
        <v>0.45953499435095435</v>
      </c>
      <c r="M45" s="32">
        <f t="shared" ca="1" si="3"/>
        <v>46094.483751967593</v>
      </c>
      <c r="N45" s="30" t="str">
        <f t="shared" si="4"/>
        <v>total orders</v>
      </c>
    </row>
    <row r="46" spans="1:14" x14ac:dyDescent="0.3">
      <c r="A46" s="28" t="s">
        <v>30</v>
      </c>
      <c r="B46" s="28" t="s">
        <v>61</v>
      </c>
      <c r="C46" s="28" t="s">
        <v>24</v>
      </c>
      <c r="D46" s="28" t="s">
        <v>27</v>
      </c>
      <c r="E46" s="28">
        <f t="shared" si="0"/>
        <v>1043.1624999999999</v>
      </c>
      <c r="F46" s="28">
        <v>1227.25</v>
      </c>
      <c r="G46" s="28">
        <v>12</v>
      </c>
      <c r="H46" s="29">
        <v>45448</v>
      </c>
      <c r="I46" s="28">
        <v>0.15</v>
      </c>
      <c r="J46" s="28">
        <v>365.11</v>
      </c>
      <c r="K46" s="30">
        <f t="shared" si="1"/>
        <v>1043.1624999999999</v>
      </c>
      <c r="L46" s="31">
        <f t="shared" si="2"/>
        <v>-0.3019352210226115</v>
      </c>
      <c r="M46" s="32">
        <f t="shared" ca="1" si="3"/>
        <v>46094.483751967593</v>
      </c>
      <c r="N46" s="30" t="str">
        <f t="shared" si="4"/>
        <v>total orders</v>
      </c>
    </row>
    <row r="47" spans="1:14" x14ac:dyDescent="0.3">
      <c r="A47" s="28" t="s">
        <v>16</v>
      </c>
      <c r="B47" s="28" t="s">
        <v>62</v>
      </c>
      <c r="C47" s="28" t="s">
        <v>34</v>
      </c>
      <c r="D47" s="28" t="s">
        <v>21</v>
      </c>
      <c r="E47" s="28">
        <f t="shared" si="0"/>
        <v>856.7</v>
      </c>
      <c r="F47" s="28">
        <v>856.7</v>
      </c>
      <c r="G47" s="28">
        <v>2</v>
      </c>
      <c r="H47" s="29">
        <v>45449</v>
      </c>
      <c r="I47" s="28">
        <v>0</v>
      </c>
      <c r="J47" s="28">
        <v>214.18</v>
      </c>
      <c r="K47" s="30">
        <f t="shared" si="1"/>
        <v>856.7</v>
      </c>
      <c r="L47" s="31">
        <f t="shared" si="2"/>
        <v>0.4303957044472978</v>
      </c>
      <c r="M47" s="32">
        <f t="shared" ca="1" si="3"/>
        <v>46094.483751967593</v>
      </c>
      <c r="N47" s="30" t="str">
        <f t="shared" si="4"/>
        <v>total orders</v>
      </c>
    </row>
    <row r="48" spans="1:14" x14ac:dyDescent="0.3">
      <c r="A48" s="28" t="s">
        <v>54</v>
      </c>
      <c r="B48" s="28" t="s">
        <v>56</v>
      </c>
      <c r="C48" s="28" t="s">
        <v>34</v>
      </c>
      <c r="D48" s="28" t="s">
        <v>39</v>
      </c>
      <c r="E48" s="28">
        <f t="shared" si="0"/>
        <v>1041.607</v>
      </c>
      <c r="F48" s="28">
        <v>1225.42</v>
      </c>
      <c r="G48" s="28">
        <v>8</v>
      </c>
      <c r="H48" s="29">
        <v>45449</v>
      </c>
      <c r="I48" s="28">
        <v>0.15</v>
      </c>
      <c r="J48" s="28">
        <v>468.72</v>
      </c>
      <c r="K48" s="30">
        <f t="shared" si="1"/>
        <v>1041.607</v>
      </c>
      <c r="L48" s="31">
        <f t="shared" si="2"/>
        <v>-0.18267206345579476</v>
      </c>
      <c r="M48" s="32">
        <f t="shared" ca="1" si="3"/>
        <v>46094.483751967593</v>
      </c>
      <c r="N48" s="30" t="str">
        <f t="shared" si="4"/>
        <v>total orders</v>
      </c>
    </row>
    <row r="49" spans="1:14" x14ac:dyDescent="0.3">
      <c r="A49" s="28" t="s">
        <v>63</v>
      </c>
      <c r="B49" s="28" t="s">
        <v>31</v>
      </c>
      <c r="C49" s="28" t="s">
        <v>24</v>
      </c>
      <c r="D49" s="28" t="s">
        <v>39</v>
      </c>
      <c r="E49" s="28">
        <f t="shared" si="0"/>
        <v>1001.57</v>
      </c>
      <c r="F49" s="28">
        <v>1001.57</v>
      </c>
      <c r="G49" s="28">
        <v>12</v>
      </c>
      <c r="H49" s="29">
        <v>45450</v>
      </c>
      <c r="I49" s="28">
        <v>0</v>
      </c>
      <c r="J49" s="28">
        <v>450.71</v>
      </c>
      <c r="K49" s="30">
        <f t="shared" si="1"/>
        <v>1001.57</v>
      </c>
      <c r="L49" s="31">
        <f t="shared" si="2"/>
        <v>0.18498956638078201</v>
      </c>
      <c r="M49" s="32">
        <f t="shared" ca="1" si="3"/>
        <v>46094.483751967593</v>
      </c>
      <c r="N49" s="30" t="str">
        <f t="shared" si="4"/>
        <v>total orders</v>
      </c>
    </row>
    <row r="50" spans="1:14" x14ac:dyDescent="0.3">
      <c r="A50" s="28" t="s">
        <v>57</v>
      </c>
      <c r="B50" s="28" t="s">
        <v>26</v>
      </c>
      <c r="C50" s="28" t="s">
        <v>18</v>
      </c>
      <c r="D50" s="28" t="s">
        <v>27</v>
      </c>
      <c r="E50" s="28">
        <f t="shared" si="0"/>
        <v>949.4799999999999</v>
      </c>
      <c r="F50" s="28">
        <v>1186.8499999999999</v>
      </c>
      <c r="G50" s="28">
        <v>19</v>
      </c>
      <c r="H50" s="29">
        <v>45451</v>
      </c>
      <c r="I50" s="28">
        <v>0.2</v>
      </c>
      <c r="J50" s="28">
        <v>332.32</v>
      </c>
      <c r="K50" s="30">
        <f t="shared" si="1"/>
        <v>949.4799999999999</v>
      </c>
      <c r="L50" s="31">
        <f t="shared" si="2"/>
        <v>-0.34663184058642615</v>
      </c>
      <c r="M50" s="32">
        <f t="shared" ca="1" si="3"/>
        <v>46094.483751967593</v>
      </c>
      <c r="N50" s="30" t="str">
        <f t="shared" si="4"/>
        <v>total orders</v>
      </c>
    </row>
    <row r="51" spans="1:14" x14ac:dyDescent="0.3">
      <c r="A51" s="28" t="s">
        <v>44</v>
      </c>
      <c r="B51" s="28" t="s">
        <v>51</v>
      </c>
      <c r="C51" s="28" t="s">
        <v>20</v>
      </c>
      <c r="D51" s="28" t="s">
        <v>21</v>
      </c>
      <c r="E51" s="28">
        <f t="shared" si="0"/>
        <v>697.90499999999997</v>
      </c>
      <c r="F51" s="28">
        <v>775.45</v>
      </c>
      <c r="G51" s="28">
        <v>6</v>
      </c>
      <c r="H51" s="29">
        <v>45457</v>
      </c>
      <c r="I51" s="28">
        <v>0.1</v>
      </c>
      <c r="J51" s="28">
        <v>174.48</v>
      </c>
      <c r="K51" s="30">
        <f t="shared" si="1"/>
        <v>697.90499999999997</v>
      </c>
      <c r="L51" s="31">
        <f t="shared" si="2"/>
        <v>0.3172609452575923</v>
      </c>
      <c r="M51" s="32">
        <f t="shared" ca="1" si="3"/>
        <v>46094.483751967593</v>
      </c>
      <c r="N51" s="30" t="str">
        <f t="shared" si="4"/>
        <v>total orders</v>
      </c>
    </row>
    <row r="52" spans="1:14" x14ac:dyDescent="0.3">
      <c r="A52" s="28" t="s">
        <v>25</v>
      </c>
      <c r="B52" s="28" t="s">
        <v>33</v>
      </c>
      <c r="C52" s="28" t="s">
        <v>20</v>
      </c>
      <c r="D52" s="28" t="s">
        <v>21</v>
      </c>
      <c r="E52" s="28">
        <f t="shared" si="0"/>
        <v>970.39650000000006</v>
      </c>
      <c r="F52" s="28">
        <v>1021.47</v>
      </c>
      <c r="G52" s="28">
        <v>6</v>
      </c>
      <c r="H52" s="29">
        <v>45461</v>
      </c>
      <c r="I52" s="28">
        <v>0.05</v>
      </c>
      <c r="J52" s="28">
        <v>242.6</v>
      </c>
      <c r="K52" s="30">
        <f t="shared" si="1"/>
        <v>970.39650000000006</v>
      </c>
      <c r="L52" s="31">
        <f t="shared" si="2"/>
        <v>0.20083800796890741</v>
      </c>
      <c r="M52" s="32">
        <f t="shared" ca="1" si="3"/>
        <v>46094.483751967593</v>
      </c>
      <c r="N52" s="30" t="str">
        <f t="shared" si="4"/>
        <v>total orders</v>
      </c>
    </row>
    <row r="53" spans="1:14" x14ac:dyDescent="0.3">
      <c r="A53" s="28" t="s">
        <v>58</v>
      </c>
      <c r="B53" s="28" t="s">
        <v>23</v>
      </c>
      <c r="C53" s="28" t="s">
        <v>20</v>
      </c>
      <c r="D53" s="28" t="s">
        <v>15</v>
      </c>
      <c r="E53" s="28">
        <f t="shared" si="0"/>
        <v>1103.9579999999999</v>
      </c>
      <c r="F53" s="28">
        <v>1226.6199999999999</v>
      </c>
      <c r="G53" s="28">
        <v>7</v>
      </c>
      <c r="H53" s="29">
        <v>45463</v>
      </c>
      <c r="I53" s="28">
        <v>0.1</v>
      </c>
      <c r="J53" s="28">
        <v>551.98</v>
      </c>
      <c r="K53" s="30">
        <f t="shared" si="1"/>
        <v>1103.9579999999999</v>
      </c>
      <c r="L53" s="31">
        <f t="shared" si="2"/>
        <v>-0.11388204986059239</v>
      </c>
      <c r="M53" s="32">
        <f t="shared" ca="1" si="3"/>
        <v>46094.483751967593</v>
      </c>
      <c r="N53" s="30" t="str">
        <f t="shared" si="4"/>
        <v>total orders</v>
      </c>
    </row>
    <row r="54" spans="1:14" x14ac:dyDescent="0.3">
      <c r="A54" s="28" t="s">
        <v>22</v>
      </c>
      <c r="B54" s="28" t="s">
        <v>64</v>
      </c>
      <c r="C54" s="28" t="s">
        <v>20</v>
      </c>
      <c r="D54" s="28" t="s">
        <v>27</v>
      </c>
      <c r="E54" s="28">
        <f t="shared" si="0"/>
        <v>1086.93</v>
      </c>
      <c r="F54" s="28">
        <v>1086.93</v>
      </c>
      <c r="G54" s="28">
        <v>2</v>
      </c>
      <c r="H54" s="29">
        <v>45464</v>
      </c>
      <c r="I54" s="28">
        <v>0</v>
      </c>
      <c r="J54" s="28">
        <v>380.43</v>
      </c>
      <c r="K54" s="30">
        <f t="shared" si="1"/>
        <v>1086.93</v>
      </c>
      <c r="L54" s="31">
        <f t="shared" si="2"/>
        <v>-0.13251083326433172</v>
      </c>
      <c r="M54" s="32">
        <f t="shared" ca="1" si="3"/>
        <v>46094.483751967593</v>
      </c>
      <c r="N54" s="30" t="str">
        <f t="shared" si="4"/>
        <v>total orders</v>
      </c>
    </row>
    <row r="55" spans="1:14" x14ac:dyDescent="0.3">
      <c r="A55" s="28" t="s">
        <v>65</v>
      </c>
      <c r="B55" s="28" t="s">
        <v>48</v>
      </c>
      <c r="C55" s="28" t="s">
        <v>11</v>
      </c>
      <c r="D55" s="28" t="s">
        <v>12</v>
      </c>
      <c r="E55" s="28">
        <f t="shared" si="0"/>
        <v>848.61</v>
      </c>
      <c r="F55" s="28">
        <v>942.9</v>
      </c>
      <c r="G55" s="28">
        <v>18</v>
      </c>
      <c r="H55" s="29">
        <v>45466</v>
      </c>
      <c r="I55" s="28">
        <v>0.1</v>
      </c>
      <c r="J55" s="28">
        <v>339.44</v>
      </c>
      <c r="K55" s="30">
        <f t="shared" si="1"/>
        <v>848.61</v>
      </c>
      <c r="L55" s="31">
        <f t="shared" si="2"/>
        <v>-0.13161522961077529</v>
      </c>
      <c r="M55" s="32">
        <f t="shared" ca="1" si="3"/>
        <v>46094.483751967593</v>
      </c>
      <c r="N55" s="30" t="str">
        <f t="shared" si="4"/>
        <v>total orders</v>
      </c>
    </row>
    <row r="56" spans="1:14" x14ac:dyDescent="0.3">
      <c r="A56" s="28" t="s">
        <v>32</v>
      </c>
      <c r="B56" s="28" t="s">
        <v>38</v>
      </c>
      <c r="C56" s="28" t="s">
        <v>24</v>
      </c>
      <c r="D56" s="28" t="s">
        <v>21</v>
      </c>
      <c r="E56" s="28">
        <f t="shared" si="0"/>
        <v>695.98</v>
      </c>
      <c r="F56" s="28">
        <v>818.8</v>
      </c>
      <c r="G56" s="28">
        <v>15</v>
      </c>
      <c r="H56" s="29">
        <v>45468</v>
      </c>
      <c r="I56" s="28">
        <v>0.15</v>
      </c>
      <c r="J56" s="28">
        <v>173.99</v>
      </c>
      <c r="K56" s="30">
        <f t="shared" si="1"/>
        <v>695.98</v>
      </c>
      <c r="L56" s="31">
        <f t="shared" si="2"/>
        <v>0.12242305813385444</v>
      </c>
      <c r="M56" s="32">
        <f t="shared" ca="1" si="3"/>
        <v>46094.483751967593</v>
      </c>
      <c r="N56" s="30" t="str">
        <f t="shared" si="4"/>
        <v>total orders</v>
      </c>
    </row>
    <row r="57" spans="1:14" x14ac:dyDescent="0.3">
      <c r="A57" s="28" t="s">
        <v>19</v>
      </c>
      <c r="B57" s="28" t="s">
        <v>14</v>
      </c>
      <c r="C57" s="28" t="s">
        <v>20</v>
      </c>
      <c r="D57" s="28" t="s">
        <v>27</v>
      </c>
      <c r="E57" s="28">
        <f t="shared" si="0"/>
        <v>735.23199999999997</v>
      </c>
      <c r="F57" s="28">
        <v>919.04</v>
      </c>
      <c r="G57" s="28">
        <v>10</v>
      </c>
      <c r="H57" s="29">
        <v>45468</v>
      </c>
      <c r="I57" s="28">
        <v>0.2</v>
      </c>
      <c r="J57" s="28">
        <v>257.33</v>
      </c>
      <c r="K57" s="30">
        <f t="shared" si="1"/>
        <v>735.23199999999997</v>
      </c>
      <c r="L57" s="31">
        <f t="shared" si="2"/>
        <v>5.8996344011142093E-2</v>
      </c>
      <c r="M57" s="32">
        <f t="shared" ca="1" si="3"/>
        <v>46094.483751967593</v>
      </c>
      <c r="N57" s="30" t="str">
        <f t="shared" si="4"/>
        <v>total orders</v>
      </c>
    </row>
    <row r="58" spans="1:14" x14ac:dyDescent="0.3">
      <c r="A58" s="28" t="s">
        <v>22</v>
      </c>
      <c r="B58" s="28" t="s">
        <v>66</v>
      </c>
      <c r="C58" s="28" t="s">
        <v>34</v>
      </c>
      <c r="D58" s="28" t="s">
        <v>12</v>
      </c>
      <c r="E58" s="28">
        <f t="shared" si="0"/>
        <v>973.26</v>
      </c>
      <c r="F58" s="28">
        <v>973.26</v>
      </c>
      <c r="G58" s="28">
        <v>11</v>
      </c>
      <c r="H58" s="29">
        <v>45470</v>
      </c>
      <c r="I58" s="28">
        <v>0</v>
      </c>
      <c r="J58" s="28">
        <v>389.3</v>
      </c>
      <c r="K58" s="30">
        <f t="shared" si="1"/>
        <v>973.26</v>
      </c>
      <c r="L58" s="31">
        <f t="shared" si="2"/>
        <v>-0.23801450794237919</v>
      </c>
      <c r="M58" s="32">
        <f t="shared" ca="1" si="3"/>
        <v>46094.483751967593</v>
      </c>
      <c r="N58" s="30" t="str">
        <f t="shared" si="4"/>
        <v>total orders</v>
      </c>
    </row>
    <row r="59" spans="1:14" x14ac:dyDescent="0.3">
      <c r="A59" s="28" t="s">
        <v>41</v>
      </c>
      <c r="B59" s="28" t="s">
        <v>64</v>
      </c>
      <c r="C59" s="28" t="s">
        <v>24</v>
      </c>
      <c r="D59" s="28" t="s">
        <v>21</v>
      </c>
      <c r="E59" s="28">
        <f t="shared" si="0"/>
        <v>593.28800000000001</v>
      </c>
      <c r="F59" s="28">
        <v>741.61</v>
      </c>
      <c r="G59" s="28">
        <v>1</v>
      </c>
      <c r="H59" s="29">
        <v>45471</v>
      </c>
      <c r="I59" s="28">
        <v>0.2</v>
      </c>
      <c r="J59" s="28">
        <v>148.32</v>
      </c>
      <c r="K59" s="30">
        <f t="shared" si="1"/>
        <v>593.28800000000001</v>
      </c>
      <c r="L59" s="31">
        <f t="shared" si="2"/>
        <v>0.68393090708054083</v>
      </c>
      <c r="M59" s="32">
        <f t="shared" ca="1" si="3"/>
        <v>46094.483751967593</v>
      </c>
      <c r="N59" s="30" t="str">
        <f t="shared" si="4"/>
        <v>total orders</v>
      </c>
    </row>
    <row r="60" spans="1:14" x14ac:dyDescent="0.3">
      <c r="A60" s="28" t="s">
        <v>67</v>
      </c>
      <c r="B60" s="28" t="s">
        <v>38</v>
      </c>
      <c r="C60" s="28" t="s">
        <v>24</v>
      </c>
      <c r="D60" s="28" t="s">
        <v>12</v>
      </c>
      <c r="E60" s="28">
        <f t="shared" si="0"/>
        <v>1123.9379999999999</v>
      </c>
      <c r="F60" s="28">
        <v>1248.82</v>
      </c>
      <c r="G60" s="28">
        <v>2</v>
      </c>
      <c r="H60" s="29">
        <v>45473</v>
      </c>
      <c r="I60" s="28">
        <v>0.1</v>
      </c>
      <c r="J60" s="28">
        <v>449.58</v>
      </c>
      <c r="K60" s="30">
        <f t="shared" si="1"/>
        <v>1123.9379999999999</v>
      </c>
      <c r="L60" s="31">
        <f t="shared" si="2"/>
        <v>8.9316314600983299E-2</v>
      </c>
      <c r="M60" s="32">
        <f t="shared" ca="1" si="3"/>
        <v>46094.483751967593</v>
      </c>
      <c r="N60" s="30" t="str">
        <f t="shared" si="4"/>
        <v>total orders</v>
      </c>
    </row>
    <row r="61" spans="1:14" x14ac:dyDescent="0.3">
      <c r="A61" s="28" t="s">
        <v>13</v>
      </c>
      <c r="B61" s="28" t="s">
        <v>59</v>
      </c>
      <c r="C61" s="28" t="s">
        <v>11</v>
      </c>
      <c r="D61" s="28" t="s">
        <v>15</v>
      </c>
      <c r="E61" s="28">
        <f t="shared" si="0"/>
        <v>1360.36</v>
      </c>
      <c r="F61" s="28">
        <v>1360.36</v>
      </c>
      <c r="G61" s="28">
        <v>17</v>
      </c>
      <c r="H61" s="29">
        <v>45473</v>
      </c>
      <c r="I61" s="28">
        <v>0</v>
      </c>
      <c r="J61" s="28">
        <v>680.18</v>
      </c>
      <c r="K61" s="30">
        <f t="shared" si="1"/>
        <v>1360.36</v>
      </c>
      <c r="L61" s="31">
        <f t="shared" si="2"/>
        <v>1.6863183275015479E-2</v>
      </c>
      <c r="M61" s="32">
        <f t="shared" ca="1" si="3"/>
        <v>46094.483751967593</v>
      </c>
      <c r="N61" s="30" t="str">
        <f t="shared" si="4"/>
        <v>total orders</v>
      </c>
    </row>
    <row r="62" spans="1:14" x14ac:dyDescent="0.3">
      <c r="A62" s="28" t="s">
        <v>57</v>
      </c>
      <c r="B62" s="28" t="s">
        <v>31</v>
      </c>
      <c r="C62" s="28" t="s">
        <v>18</v>
      </c>
      <c r="D62" s="28" t="s">
        <v>12</v>
      </c>
      <c r="E62" s="28">
        <f t="shared" si="0"/>
        <v>1244.97</v>
      </c>
      <c r="F62" s="28">
        <v>1383.3</v>
      </c>
      <c r="G62" s="28">
        <v>8</v>
      </c>
      <c r="H62" s="29">
        <v>45478</v>
      </c>
      <c r="I62" s="28">
        <v>0.1</v>
      </c>
      <c r="J62" s="28">
        <v>497.99</v>
      </c>
      <c r="K62" s="30">
        <f t="shared" si="1"/>
        <v>1244.97</v>
      </c>
      <c r="L62" s="31">
        <f t="shared" si="2"/>
        <v>-0.64650473505385675</v>
      </c>
      <c r="M62" s="32">
        <f t="shared" ca="1" si="3"/>
        <v>46094.483751967593</v>
      </c>
      <c r="N62" s="30" t="str">
        <f t="shared" si="4"/>
        <v>total orders</v>
      </c>
    </row>
    <row r="63" spans="1:14" x14ac:dyDescent="0.3">
      <c r="A63" s="28" t="s">
        <v>35</v>
      </c>
      <c r="B63" s="28" t="s">
        <v>55</v>
      </c>
      <c r="C63" s="28" t="s">
        <v>34</v>
      </c>
      <c r="D63" s="28" t="s">
        <v>39</v>
      </c>
      <c r="E63" s="28">
        <f t="shared" si="0"/>
        <v>488.99</v>
      </c>
      <c r="F63" s="28">
        <v>488.99</v>
      </c>
      <c r="G63" s="28">
        <v>9</v>
      </c>
      <c r="H63" s="29">
        <v>45479</v>
      </c>
      <c r="I63" s="28">
        <v>0</v>
      </c>
      <c r="J63" s="28">
        <v>220.05</v>
      </c>
      <c r="K63" s="30">
        <f t="shared" si="1"/>
        <v>488.99</v>
      </c>
      <c r="L63" s="31">
        <f t="shared" si="2"/>
        <v>0.90946645125667192</v>
      </c>
      <c r="M63" s="32">
        <f t="shared" ca="1" si="3"/>
        <v>46094.483751967593</v>
      </c>
      <c r="N63" s="30" t="str">
        <f t="shared" si="4"/>
        <v>total orders</v>
      </c>
    </row>
    <row r="64" spans="1:14" x14ac:dyDescent="0.3">
      <c r="A64" s="28" t="s">
        <v>30</v>
      </c>
      <c r="B64" s="28" t="s">
        <v>31</v>
      </c>
      <c r="C64" s="28" t="s">
        <v>18</v>
      </c>
      <c r="D64" s="28" t="s">
        <v>27</v>
      </c>
      <c r="E64" s="28">
        <f t="shared" si="0"/>
        <v>840.33900000000006</v>
      </c>
      <c r="F64" s="28">
        <v>933.71</v>
      </c>
      <c r="G64" s="28">
        <v>17</v>
      </c>
      <c r="H64" s="29">
        <v>45481</v>
      </c>
      <c r="I64" s="28">
        <v>0.1</v>
      </c>
      <c r="J64" s="28">
        <v>294.12</v>
      </c>
      <c r="K64" s="30">
        <f t="shared" si="1"/>
        <v>840.33900000000006</v>
      </c>
      <c r="L64" s="31">
        <f t="shared" si="2"/>
        <v>7.6918957706354152E-2</v>
      </c>
      <c r="M64" s="32">
        <f t="shared" ca="1" si="3"/>
        <v>46094.483751967593</v>
      </c>
      <c r="N64" s="30" t="str">
        <f t="shared" si="4"/>
        <v>total orders</v>
      </c>
    </row>
    <row r="65" spans="1:14" x14ac:dyDescent="0.3">
      <c r="A65" s="28" t="s">
        <v>67</v>
      </c>
      <c r="B65" s="28" t="s">
        <v>10</v>
      </c>
      <c r="C65" s="28" t="s">
        <v>11</v>
      </c>
      <c r="D65" s="28" t="s">
        <v>21</v>
      </c>
      <c r="E65" s="28">
        <f t="shared" si="0"/>
        <v>804.42399999999998</v>
      </c>
      <c r="F65" s="28">
        <v>1005.53</v>
      </c>
      <c r="G65" s="28">
        <v>17</v>
      </c>
      <c r="H65" s="29">
        <v>45481</v>
      </c>
      <c r="I65" s="28">
        <v>0.2</v>
      </c>
      <c r="J65" s="28">
        <v>201.11</v>
      </c>
      <c r="K65" s="30">
        <f t="shared" si="1"/>
        <v>804.42399999999998</v>
      </c>
      <c r="L65" s="31">
        <f t="shared" si="2"/>
        <v>9.4049904030710119E-2</v>
      </c>
      <c r="M65" s="32">
        <f t="shared" ca="1" si="3"/>
        <v>46094.483751967593</v>
      </c>
      <c r="N65" s="30" t="str">
        <f t="shared" si="4"/>
        <v>total orders</v>
      </c>
    </row>
    <row r="66" spans="1:14" x14ac:dyDescent="0.3">
      <c r="A66" s="28" t="s">
        <v>41</v>
      </c>
      <c r="B66" s="28" t="s">
        <v>61</v>
      </c>
      <c r="C66" s="28" t="s">
        <v>20</v>
      </c>
      <c r="D66" s="28" t="s">
        <v>21</v>
      </c>
      <c r="E66" s="28">
        <f t="shared" si="0"/>
        <v>1045.0949999999998</v>
      </c>
      <c r="F66" s="28">
        <v>1100.0999999999999</v>
      </c>
      <c r="G66" s="28">
        <v>5</v>
      </c>
      <c r="H66" s="29">
        <v>45482</v>
      </c>
      <c r="I66" s="28">
        <v>0.05</v>
      </c>
      <c r="J66" s="28">
        <v>261.27</v>
      </c>
      <c r="K66" s="30">
        <f t="shared" si="1"/>
        <v>1045.0949999999998</v>
      </c>
      <c r="L66" s="31">
        <f t="shared" si="2"/>
        <v>-5.9449140987182868E-2</v>
      </c>
      <c r="M66" s="32">
        <f t="shared" ca="1" si="3"/>
        <v>46094.483751967593</v>
      </c>
      <c r="N66" s="30" t="str">
        <f t="shared" si="4"/>
        <v>total orders</v>
      </c>
    </row>
    <row r="67" spans="1:14" x14ac:dyDescent="0.3">
      <c r="A67" s="28" t="s">
        <v>67</v>
      </c>
      <c r="B67" s="28" t="s">
        <v>23</v>
      </c>
      <c r="C67" s="28" t="s">
        <v>24</v>
      </c>
      <c r="D67" s="28" t="s">
        <v>27</v>
      </c>
      <c r="E67" s="28">
        <f t="shared" ref="E67:E130" si="5">F67-(F67*I67)</f>
        <v>879.495</v>
      </c>
      <c r="F67" s="28">
        <v>1034.7</v>
      </c>
      <c r="G67" s="28">
        <v>15</v>
      </c>
      <c r="H67" s="29">
        <v>45487</v>
      </c>
      <c r="I67" s="28">
        <v>0.15</v>
      </c>
      <c r="J67" s="28">
        <v>307.82</v>
      </c>
      <c r="K67" s="30">
        <f t="shared" ref="K67:K130" si="6">F67-(F67*I67)</f>
        <v>879.495</v>
      </c>
      <c r="L67" s="31">
        <f t="shared" ref="L67:L130" si="7">(F68-F67)/F67</f>
        <v>-0.15295254663187396</v>
      </c>
      <c r="M67" s="32">
        <f t="shared" ref="M67:M130" ca="1" si="8">NOW()</f>
        <v>46094.483751967593</v>
      </c>
      <c r="N67" s="30" t="str">
        <f t="shared" ref="N67:N130" si="9">INDEX(B67:B266,MATCH(MAX(E67:E266),E67:E266,0))</f>
        <v>total orders</v>
      </c>
    </row>
    <row r="68" spans="1:14" x14ac:dyDescent="0.3">
      <c r="A68" s="28" t="s">
        <v>65</v>
      </c>
      <c r="B68" s="28" t="s">
        <v>31</v>
      </c>
      <c r="C68" s="28" t="s">
        <v>20</v>
      </c>
      <c r="D68" s="28" t="s">
        <v>12</v>
      </c>
      <c r="E68" s="28">
        <f t="shared" si="5"/>
        <v>832.61800000000005</v>
      </c>
      <c r="F68" s="28">
        <v>876.44</v>
      </c>
      <c r="G68" s="28">
        <v>12</v>
      </c>
      <c r="H68" s="29">
        <v>45488</v>
      </c>
      <c r="I68" s="28">
        <v>0.05</v>
      </c>
      <c r="J68" s="28">
        <v>333.05</v>
      </c>
      <c r="K68" s="30">
        <f t="shared" si="6"/>
        <v>832.61800000000005</v>
      </c>
      <c r="L68" s="31">
        <f t="shared" si="7"/>
        <v>0.56467071334033114</v>
      </c>
      <c r="M68" s="32">
        <f t="shared" ca="1" si="8"/>
        <v>46094.483751967593</v>
      </c>
      <c r="N68" s="30" t="str">
        <f t="shared" si="9"/>
        <v>total orders</v>
      </c>
    </row>
    <row r="69" spans="1:14" x14ac:dyDescent="0.3">
      <c r="A69" s="28" t="s">
        <v>68</v>
      </c>
      <c r="B69" s="28" t="s">
        <v>55</v>
      </c>
      <c r="C69" s="28" t="s">
        <v>11</v>
      </c>
      <c r="D69" s="28" t="s">
        <v>27</v>
      </c>
      <c r="E69" s="28">
        <f t="shared" si="5"/>
        <v>1302.7729999999999</v>
      </c>
      <c r="F69" s="28">
        <v>1371.34</v>
      </c>
      <c r="G69" s="28">
        <v>5</v>
      </c>
      <c r="H69" s="29">
        <v>45488</v>
      </c>
      <c r="I69" s="28">
        <v>0.05</v>
      </c>
      <c r="J69" s="28">
        <v>455.97</v>
      </c>
      <c r="K69" s="30">
        <f t="shared" si="6"/>
        <v>1302.7729999999999</v>
      </c>
      <c r="L69" s="31">
        <f t="shared" si="7"/>
        <v>-0.25601236746539879</v>
      </c>
      <c r="M69" s="32">
        <f t="shared" ca="1" si="8"/>
        <v>46094.483751967593</v>
      </c>
      <c r="N69" s="30" t="str">
        <f t="shared" si="9"/>
        <v>total orders</v>
      </c>
    </row>
    <row r="70" spans="1:14" x14ac:dyDescent="0.3">
      <c r="A70" s="28" t="s">
        <v>57</v>
      </c>
      <c r="B70" s="28" t="s">
        <v>47</v>
      </c>
      <c r="C70" s="28" t="s">
        <v>24</v>
      </c>
      <c r="D70" s="28" t="s">
        <v>21</v>
      </c>
      <c r="E70" s="28">
        <f t="shared" si="5"/>
        <v>969.24699999999996</v>
      </c>
      <c r="F70" s="28">
        <v>1020.26</v>
      </c>
      <c r="G70" s="28">
        <v>11</v>
      </c>
      <c r="H70" s="29">
        <v>45494</v>
      </c>
      <c r="I70" s="28">
        <v>0.05</v>
      </c>
      <c r="J70" s="28">
        <v>242.31</v>
      </c>
      <c r="K70" s="30">
        <f t="shared" si="6"/>
        <v>969.24699999999996</v>
      </c>
      <c r="L70" s="31">
        <f t="shared" si="7"/>
        <v>-0.21117166212534064</v>
      </c>
      <c r="M70" s="32">
        <f t="shared" ca="1" si="8"/>
        <v>46094.483751967593</v>
      </c>
      <c r="N70" s="30" t="str">
        <f t="shared" si="9"/>
        <v>total orders</v>
      </c>
    </row>
    <row r="71" spans="1:14" x14ac:dyDescent="0.3">
      <c r="A71" s="28" t="s">
        <v>44</v>
      </c>
      <c r="B71" s="28" t="s">
        <v>10</v>
      </c>
      <c r="C71" s="28" t="s">
        <v>34</v>
      </c>
      <c r="D71" s="28" t="s">
        <v>39</v>
      </c>
      <c r="E71" s="28">
        <f t="shared" si="5"/>
        <v>764.56949999999995</v>
      </c>
      <c r="F71" s="28">
        <v>804.81</v>
      </c>
      <c r="G71" s="28">
        <v>1</v>
      </c>
      <c r="H71" s="29">
        <v>45502</v>
      </c>
      <c r="I71" s="28">
        <v>0.05</v>
      </c>
      <c r="J71" s="28">
        <v>344.06</v>
      </c>
      <c r="K71" s="30">
        <f t="shared" si="6"/>
        <v>764.56949999999995</v>
      </c>
      <c r="L71" s="31">
        <f t="shared" si="7"/>
        <v>-0.24372212074899666</v>
      </c>
      <c r="M71" s="32">
        <f t="shared" ca="1" si="8"/>
        <v>46094.483751967593</v>
      </c>
      <c r="N71" s="30" t="str">
        <f t="shared" si="9"/>
        <v>total orders</v>
      </c>
    </row>
    <row r="72" spans="1:14" x14ac:dyDescent="0.3">
      <c r="A72" s="28" t="s">
        <v>22</v>
      </c>
      <c r="B72" s="28" t="s">
        <v>55</v>
      </c>
      <c r="C72" s="28" t="s">
        <v>34</v>
      </c>
      <c r="D72" s="28" t="s">
        <v>21</v>
      </c>
      <c r="E72" s="28">
        <f t="shared" si="5"/>
        <v>578.22699999999998</v>
      </c>
      <c r="F72" s="28">
        <v>608.66</v>
      </c>
      <c r="G72" s="28">
        <v>1</v>
      </c>
      <c r="H72" s="29">
        <v>45503</v>
      </c>
      <c r="I72" s="28">
        <v>0.05</v>
      </c>
      <c r="J72" s="28">
        <v>144.56</v>
      </c>
      <c r="K72" s="30">
        <f t="shared" si="6"/>
        <v>578.22699999999998</v>
      </c>
      <c r="L72" s="31">
        <f t="shared" si="7"/>
        <v>0.61206584957118937</v>
      </c>
      <c r="M72" s="32">
        <f t="shared" ca="1" si="8"/>
        <v>46094.483751967593</v>
      </c>
      <c r="N72" s="30" t="str">
        <f t="shared" si="9"/>
        <v>total orders</v>
      </c>
    </row>
    <row r="73" spans="1:14" x14ac:dyDescent="0.3">
      <c r="A73" s="28" t="s">
        <v>68</v>
      </c>
      <c r="B73" s="28" t="s">
        <v>69</v>
      </c>
      <c r="C73" s="28" t="s">
        <v>20</v>
      </c>
      <c r="D73" s="28" t="s">
        <v>39</v>
      </c>
      <c r="E73" s="28">
        <f t="shared" si="5"/>
        <v>981.2</v>
      </c>
      <c r="F73" s="28">
        <v>981.2</v>
      </c>
      <c r="G73" s="28">
        <v>19</v>
      </c>
      <c r="H73" s="29">
        <v>45504</v>
      </c>
      <c r="I73" s="28">
        <v>0</v>
      </c>
      <c r="J73" s="28">
        <v>441.54</v>
      </c>
      <c r="K73" s="30">
        <f t="shared" si="6"/>
        <v>981.2</v>
      </c>
      <c r="L73" s="31">
        <f t="shared" si="7"/>
        <v>-0.44988789237668164</v>
      </c>
      <c r="M73" s="32">
        <f t="shared" ca="1" si="8"/>
        <v>46094.483751967593</v>
      </c>
      <c r="N73" s="30" t="str">
        <f t="shared" si="9"/>
        <v>total orders</v>
      </c>
    </row>
    <row r="74" spans="1:14" x14ac:dyDescent="0.3">
      <c r="A74" s="28" t="s">
        <v>70</v>
      </c>
      <c r="B74" s="28" t="s">
        <v>55</v>
      </c>
      <c r="C74" s="28" t="s">
        <v>18</v>
      </c>
      <c r="D74" s="28" t="s">
        <v>21</v>
      </c>
      <c r="E74" s="28">
        <f t="shared" si="5"/>
        <v>458.80449999999996</v>
      </c>
      <c r="F74" s="28">
        <v>539.77</v>
      </c>
      <c r="G74" s="28">
        <v>10</v>
      </c>
      <c r="H74" s="29">
        <v>45509</v>
      </c>
      <c r="I74" s="28">
        <v>0.15</v>
      </c>
      <c r="J74" s="28">
        <v>114.7</v>
      </c>
      <c r="K74" s="30">
        <f t="shared" si="6"/>
        <v>458.80449999999996</v>
      </c>
      <c r="L74" s="31">
        <f t="shared" si="7"/>
        <v>0.4903570039090725</v>
      </c>
      <c r="M74" s="32">
        <f t="shared" ca="1" si="8"/>
        <v>46094.483751967593</v>
      </c>
      <c r="N74" s="30" t="str">
        <f t="shared" si="9"/>
        <v>total orders</v>
      </c>
    </row>
    <row r="75" spans="1:14" x14ac:dyDescent="0.3">
      <c r="A75" s="28" t="s">
        <v>13</v>
      </c>
      <c r="B75" s="28" t="s">
        <v>71</v>
      </c>
      <c r="C75" s="28" t="s">
        <v>20</v>
      </c>
      <c r="D75" s="28" t="s">
        <v>12</v>
      </c>
      <c r="E75" s="28">
        <f t="shared" si="5"/>
        <v>643.56000000000006</v>
      </c>
      <c r="F75" s="28">
        <v>804.45</v>
      </c>
      <c r="G75" s="28">
        <v>5</v>
      </c>
      <c r="H75" s="29">
        <v>45509</v>
      </c>
      <c r="I75" s="28">
        <v>0.2</v>
      </c>
      <c r="J75" s="28">
        <v>257.42</v>
      </c>
      <c r="K75" s="30">
        <f t="shared" si="6"/>
        <v>643.56000000000006</v>
      </c>
      <c r="L75" s="31">
        <f t="shared" si="7"/>
        <v>0.8976940766983651</v>
      </c>
      <c r="M75" s="32">
        <f t="shared" ca="1" si="8"/>
        <v>46094.483751967593</v>
      </c>
      <c r="N75" s="30" t="str">
        <f t="shared" si="9"/>
        <v>total orders</v>
      </c>
    </row>
    <row r="76" spans="1:14" x14ac:dyDescent="0.3">
      <c r="A76" s="28" t="s">
        <v>70</v>
      </c>
      <c r="B76" s="28" t="s">
        <v>38</v>
      </c>
      <c r="C76" s="28" t="s">
        <v>11</v>
      </c>
      <c r="D76" s="28" t="s">
        <v>21</v>
      </c>
      <c r="E76" s="28">
        <f t="shared" si="5"/>
        <v>1221.28</v>
      </c>
      <c r="F76" s="28">
        <v>1526.6</v>
      </c>
      <c r="G76" s="28">
        <v>13</v>
      </c>
      <c r="H76" s="29">
        <v>45512</v>
      </c>
      <c r="I76" s="28">
        <v>0.2</v>
      </c>
      <c r="J76" s="28">
        <v>305.32</v>
      </c>
      <c r="K76" s="30">
        <f t="shared" si="6"/>
        <v>1221.28</v>
      </c>
      <c r="L76" s="31">
        <f t="shared" si="7"/>
        <v>-0.20394340364208041</v>
      </c>
      <c r="M76" s="32">
        <f t="shared" ca="1" si="8"/>
        <v>46094.483751967593</v>
      </c>
      <c r="N76" s="30" t="str">
        <f t="shared" si="9"/>
        <v>total orders</v>
      </c>
    </row>
    <row r="77" spans="1:14" x14ac:dyDescent="0.3">
      <c r="A77" s="28" t="s">
        <v>13</v>
      </c>
      <c r="B77" s="28" t="s">
        <v>29</v>
      </c>
      <c r="C77" s="28" t="s">
        <v>11</v>
      </c>
      <c r="D77" s="28" t="s">
        <v>21</v>
      </c>
      <c r="E77" s="28">
        <f t="shared" si="5"/>
        <v>1032.971</v>
      </c>
      <c r="F77" s="28">
        <v>1215.26</v>
      </c>
      <c r="G77" s="28">
        <v>5</v>
      </c>
      <c r="H77" s="29">
        <v>45513</v>
      </c>
      <c r="I77" s="28">
        <v>0.15</v>
      </c>
      <c r="J77" s="28">
        <v>258.24</v>
      </c>
      <c r="K77" s="30">
        <f t="shared" si="6"/>
        <v>1032.971</v>
      </c>
      <c r="L77" s="31">
        <f t="shared" si="7"/>
        <v>3.79178118262758E-2</v>
      </c>
      <c r="M77" s="32">
        <f t="shared" ca="1" si="8"/>
        <v>46094.483751967593</v>
      </c>
      <c r="N77" s="30" t="str">
        <f t="shared" si="9"/>
        <v>total orders</v>
      </c>
    </row>
    <row r="78" spans="1:14" x14ac:dyDescent="0.3">
      <c r="A78" s="28" t="s">
        <v>19</v>
      </c>
      <c r="B78" s="28" t="s">
        <v>53</v>
      </c>
      <c r="C78" s="28" t="s">
        <v>34</v>
      </c>
      <c r="D78" s="28" t="s">
        <v>27</v>
      </c>
      <c r="E78" s="28">
        <f t="shared" si="5"/>
        <v>1261.3399999999999</v>
      </c>
      <c r="F78" s="28">
        <v>1261.3399999999999</v>
      </c>
      <c r="G78" s="28">
        <v>3</v>
      </c>
      <c r="H78" s="29">
        <v>45519</v>
      </c>
      <c r="I78" s="28">
        <v>0</v>
      </c>
      <c r="J78" s="28">
        <v>441.47</v>
      </c>
      <c r="K78" s="30">
        <f t="shared" si="6"/>
        <v>1261.3399999999999</v>
      </c>
      <c r="L78" s="31">
        <f t="shared" si="7"/>
        <v>-0.589270141278323</v>
      </c>
      <c r="M78" s="32">
        <f t="shared" ca="1" si="8"/>
        <v>46094.483751967593</v>
      </c>
      <c r="N78" s="30" t="str">
        <f t="shared" si="9"/>
        <v>total orders</v>
      </c>
    </row>
    <row r="79" spans="1:14" x14ac:dyDescent="0.3">
      <c r="A79" s="28" t="s">
        <v>72</v>
      </c>
      <c r="B79" s="28" t="s">
        <v>45</v>
      </c>
      <c r="C79" s="28" t="s">
        <v>24</v>
      </c>
      <c r="D79" s="28" t="s">
        <v>27</v>
      </c>
      <c r="E79" s="28">
        <f t="shared" si="5"/>
        <v>492.16650000000004</v>
      </c>
      <c r="F79" s="28">
        <v>518.07000000000005</v>
      </c>
      <c r="G79" s="28">
        <v>7</v>
      </c>
      <c r="H79" s="29">
        <v>45522</v>
      </c>
      <c r="I79" s="28">
        <v>0.05</v>
      </c>
      <c r="J79" s="28">
        <v>172.26</v>
      </c>
      <c r="K79" s="30">
        <f t="shared" si="6"/>
        <v>492.16650000000004</v>
      </c>
      <c r="L79" s="31">
        <f t="shared" si="7"/>
        <v>1.1451541297508054</v>
      </c>
      <c r="M79" s="32">
        <f t="shared" ca="1" si="8"/>
        <v>46094.483751967593</v>
      </c>
      <c r="N79" s="30" t="str">
        <f t="shared" si="9"/>
        <v>total orders</v>
      </c>
    </row>
    <row r="80" spans="1:14" x14ac:dyDescent="0.3">
      <c r="A80" s="28" t="s">
        <v>30</v>
      </c>
      <c r="B80" s="28" t="s">
        <v>29</v>
      </c>
      <c r="C80" s="28" t="s">
        <v>11</v>
      </c>
      <c r="D80" s="28" t="s">
        <v>39</v>
      </c>
      <c r="E80" s="28">
        <f t="shared" si="5"/>
        <v>1111.3399999999999</v>
      </c>
      <c r="F80" s="28">
        <v>1111.3399999999999</v>
      </c>
      <c r="G80" s="28">
        <v>1</v>
      </c>
      <c r="H80" s="29">
        <v>45523</v>
      </c>
      <c r="I80" s="28">
        <v>0</v>
      </c>
      <c r="J80" s="28">
        <v>500.1</v>
      </c>
      <c r="K80" s="30">
        <f t="shared" si="6"/>
        <v>1111.3399999999999</v>
      </c>
      <c r="L80" s="31">
        <f t="shared" si="7"/>
        <v>0.16208361077618022</v>
      </c>
      <c r="M80" s="32">
        <f t="shared" ca="1" si="8"/>
        <v>46094.483751967593</v>
      </c>
      <c r="N80" s="30" t="str">
        <f t="shared" si="9"/>
        <v>total orders</v>
      </c>
    </row>
    <row r="81" spans="1:14" x14ac:dyDescent="0.3">
      <c r="A81" s="28" t="s">
        <v>22</v>
      </c>
      <c r="B81" s="28" t="s">
        <v>31</v>
      </c>
      <c r="C81" s="28" t="s">
        <v>18</v>
      </c>
      <c r="D81" s="28" t="s">
        <v>15</v>
      </c>
      <c r="E81" s="28">
        <f t="shared" si="5"/>
        <v>1162.3230000000001</v>
      </c>
      <c r="F81" s="28">
        <v>1291.47</v>
      </c>
      <c r="G81" s="28">
        <v>18</v>
      </c>
      <c r="H81" s="29">
        <v>45526</v>
      </c>
      <c r="I81" s="28">
        <v>0.1</v>
      </c>
      <c r="J81" s="28">
        <v>581.16</v>
      </c>
      <c r="K81" s="30">
        <f t="shared" si="6"/>
        <v>1162.3230000000001</v>
      </c>
      <c r="L81" s="31">
        <f t="shared" si="7"/>
        <v>-0.4736927687054287</v>
      </c>
      <c r="M81" s="32">
        <f t="shared" ca="1" si="8"/>
        <v>46094.483751967593</v>
      </c>
      <c r="N81" s="30" t="str">
        <f t="shared" si="9"/>
        <v>total orders</v>
      </c>
    </row>
    <row r="82" spans="1:14" x14ac:dyDescent="0.3">
      <c r="A82" s="28" t="s">
        <v>25</v>
      </c>
      <c r="B82" s="28" t="s">
        <v>55</v>
      </c>
      <c r="C82" s="28" t="s">
        <v>24</v>
      </c>
      <c r="D82" s="28" t="s">
        <v>12</v>
      </c>
      <c r="E82" s="28">
        <f t="shared" si="5"/>
        <v>679.71</v>
      </c>
      <c r="F82" s="28">
        <v>679.71</v>
      </c>
      <c r="G82" s="28">
        <v>19</v>
      </c>
      <c r="H82" s="29">
        <v>45534</v>
      </c>
      <c r="I82" s="28">
        <v>0</v>
      </c>
      <c r="J82" s="28">
        <v>271.88</v>
      </c>
      <c r="K82" s="30">
        <f t="shared" si="6"/>
        <v>679.71</v>
      </c>
      <c r="L82" s="31">
        <f t="shared" si="7"/>
        <v>0.68261464448073439</v>
      </c>
      <c r="M82" s="32">
        <f t="shared" ca="1" si="8"/>
        <v>46094.483751967593</v>
      </c>
      <c r="N82" s="30" t="str">
        <f t="shared" si="9"/>
        <v>total orders</v>
      </c>
    </row>
    <row r="83" spans="1:14" x14ac:dyDescent="0.3">
      <c r="A83" s="28" t="s">
        <v>68</v>
      </c>
      <c r="B83" s="28" t="s">
        <v>33</v>
      </c>
      <c r="C83" s="28" t="s">
        <v>18</v>
      </c>
      <c r="D83" s="28" t="s">
        <v>27</v>
      </c>
      <c r="E83" s="28">
        <f t="shared" si="5"/>
        <v>1143.69</v>
      </c>
      <c r="F83" s="28">
        <v>1143.69</v>
      </c>
      <c r="G83" s="28">
        <v>17</v>
      </c>
      <c r="H83" s="29">
        <v>45534</v>
      </c>
      <c r="I83" s="28">
        <v>0</v>
      </c>
      <c r="J83" s="28">
        <v>400.29</v>
      </c>
      <c r="K83" s="30">
        <f t="shared" si="6"/>
        <v>1143.69</v>
      </c>
      <c r="L83" s="31">
        <f t="shared" si="7"/>
        <v>-0.30918343257351205</v>
      </c>
      <c r="M83" s="32">
        <f t="shared" ca="1" si="8"/>
        <v>46094.483751967593</v>
      </c>
      <c r="N83" s="30" t="str">
        <f t="shared" si="9"/>
        <v>total orders</v>
      </c>
    </row>
    <row r="84" spans="1:14" x14ac:dyDescent="0.3">
      <c r="A84" s="28" t="s">
        <v>52</v>
      </c>
      <c r="B84" s="28" t="s">
        <v>50</v>
      </c>
      <c r="C84" s="28" t="s">
        <v>34</v>
      </c>
      <c r="D84" s="28" t="s">
        <v>21</v>
      </c>
      <c r="E84" s="28">
        <f t="shared" si="5"/>
        <v>711.072</v>
      </c>
      <c r="F84" s="28">
        <v>790.08</v>
      </c>
      <c r="G84" s="28">
        <v>7</v>
      </c>
      <c r="H84" s="29">
        <v>45536</v>
      </c>
      <c r="I84" s="28">
        <v>0.1</v>
      </c>
      <c r="J84" s="28">
        <v>177.77</v>
      </c>
      <c r="K84" s="30">
        <f t="shared" si="6"/>
        <v>711.072</v>
      </c>
      <c r="L84" s="31">
        <f t="shared" si="7"/>
        <v>0.35515390846496558</v>
      </c>
      <c r="M84" s="32">
        <f t="shared" ca="1" si="8"/>
        <v>46094.483751967593</v>
      </c>
      <c r="N84" s="30" t="str">
        <f t="shared" si="9"/>
        <v>total orders</v>
      </c>
    </row>
    <row r="85" spans="1:14" x14ac:dyDescent="0.3">
      <c r="A85" s="28" t="s">
        <v>19</v>
      </c>
      <c r="B85" s="28" t="s">
        <v>48</v>
      </c>
      <c r="C85" s="28" t="s">
        <v>34</v>
      </c>
      <c r="D85" s="28" t="s">
        <v>12</v>
      </c>
      <c r="E85" s="28">
        <f t="shared" si="5"/>
        <v>1017.1460000000001</v>
      </c>
      <c r="F85" s="28">
        <v>1070.68</v>
      </c>
      <c r="G85" s="28">
        <v>7</v>
      </c>
      <c r="H85" s="29">
        <v>45536</v>
      </c>
      <c r="I85" s="28">
        <v>0.05</v>
      </c>
      <c r="J85" s="28">
        <v>406.86</v>
      </c>
      <c r="K85" s="30">
        <f t="shared" si="6"/>
        <v>1017.1460000000001</v>
      </c>
      <c r="L85" s="31">
        <f t="shared" si="7"/>
        <v>9.1726753091493279E-2</v>
      </c>
      <c r="M85" s="32">
        <f t="shared" ca="1" si="8"/>
        <v>46094.483751967593</v>
      </c>
      <c r="N85" s="30" t="str">
        <f t="shared" si="9"/>
        <v>total orders</v>
      </c>
    </row>
    <row r="86" spans="1:14" x14ac:dyDescent="0.3">
      <c r="A86" s="28" t="s">
        <v>58</v>
      </c>
      <c r="B86" s="28" t="s">
        <v>36</v>
      </c>
      <c r="C86" s="28" t="s">
        <v>11</v>
      </c>
      <c r="D86" s="28" t="s">
        <v>15</v>
      </c>
      <c r="E86" s="28">
        <f t="shared" si="5"/>
        <v>1052.0010000000002</v>
      </c>
      <c r="F86" s="28">
        <v>1168.8900000000001</v>
      </c>
      <c r="G86" s="28">
        <v>4</v>
      </c>
      <c r="H86" s="29">
        <v>45544</v>
      </c>
      <c r="I86" s="28">
        <v>0.1</v>
      </c>
      <c r="J86" s="28">
        <v>526</v>
      </c>
      <c r="K86" s="30">
        <f t="shared" si="6"/>
        <v>1052.0010000000002</v>
      </c>
      <c r="L86" s="31">
        <f t="shared" si="7"/>
        <v>0.14285347637502227</v>
      </c>
      <c r="M86" s="32">
        <f t="shared" ca="1" si="8"/>
        <v>46094.483751967593</v>
      </c>
      <c r="N86" s="30" t="str">
        <f t="shared" si="9"/>
        <v>total orders</v>
      </c>
    </row>
    <row r="87" spans="1:14" x14ac:dyDescent="0.3">
      <c r="A87" s="28" t="s">
        <v>67</v>
      </c>
      <c r="B87" s="28" t="s">
        <v>10</v>
      </c>
      <c r="C87" s="28" t="s">
        <v>20</v>
      </c>
      <c r="D87" s="28" t="s">
        <v>21</v>
      </c>
      <c r="E87" s="28">
        <f t="shared" si="5"/>
        <v>1335.87</v>
      </c>
      <c r="F87" s="28">
        <v>1335.87</v>
      </c>
      <c r="G87" s="28">
        <v>17</v>
      </c>
      <c r="H87" s="29">
        <v>45544</v>
      </c>
      <c r="I87" s="28">
        <v>0</v>
      </c>
      <c r="J87" s="28">
        <v>333.97</v>
      </c>
      <c r="K87" s="30">
        <f t="shared" si="6"/>
        <v>1335.87</v>
      </c>
      <c r="L87" s="31">
        <f t="shared" si="7"/>
        <v>-0.34596929341926974</v>
      </c>
      <c r="M87" s="32">
        <f t="shared" ca="1" si="8"/>
        <v>46094.483751967593</v>
      </c>
      <c r="N87" s="30" t="str">
        <f t="shared" si="9"/>
        <v>total orders</v>
      </c>
    </row>
    <row r="88" spans="1:14" x14ac:dyDescent="0.3">
      <c r="A88" s="28" t="s">
        <v>40</v>
      </c>
      <c r="B88" s="28" t="s">
        <v>55</v>
      </c>
      <c r="C88" s="28" t="s">
        <v>18</v>
      </c>
      <c r="D88" s="28" t="s">
        <v>27</v>
      </c>
      <c r="E88" s="28">
        <f t="shared" si="5"/>
        <v>873.7</v>
      </c>
      <c r="F88" s="28">
        <v>873.7</v>
      </c>
      <c r="G88" s="28">
        <v>9</v>
      </c>
      <c r="H88" s="29">
        <v>45546</v>
      </c>
      <c r="I88" s="28">
        <v>0</v>
      </c>
      <c r="J88" s="28">
        <v>305.8</v>
      </c>
      <c r="K88" s="30">
        <f t="shared" si="6"/>
        <v>873.7</v>
      </c>
      <c r="L88" s="31">
        <f t="shared" si="7"/>
        <v>0.65271832436763189</v>
      </c>
      <c r="M88" s="32">
        <f t="shared" ca="1" si="8"/>
        <v>46094.483751967593</v>
      </c>
      <c r="N88" s="30" t="str">
        <f t="shared" si="9"/>
        <v>total orders</v>
      </c>
    </row>
    <row r="89" spans="1:14" x14ac:dyDescent="0.3">
      <c r="A89" s="28" t="s">
        <v>72</v>
      </c>
      <c r="B89" s="28" t="s">
        <v>64</v>
      </c>
      <c r="C89" s="28" t="s">
        <v>11</v>
      </c>
      <c r="D89" s="28" t="s">
        <v>39</v>
      </c>
      <c r="E89" s="28">
        <f t="shared" si="5"/>
        <v>1443.98</v>
      </c>
      <c r="F89" s="28">
        <v>1443.98</v>
      </c>
      <c r="G89" s="28">
        <v>19</v>
      </c>
      <c r="H89" s="29">
        <v>45547</v>
      </c>
      <c r="I89" s="28">
        <v>0</v>
      </c>
      <c r="J89" s="28">
        <v>649.79</v>
      </c>
      <c r="K89" s="30">
        <f t="shared" si="6"/>
        <v>1443.98</v>
      </c>
      <c r="L89" s="31">
        <f t="shared" si="7"/>
        <v>-0.200591420933808</v>
      </c>
      <c r="M89" s="32">
        <f t="shared" ca="1" si="8"/>
        <v>46094.483751967593</v>
      </c>
      <c r="N89" s="30" t="str">
        <f t="shared" si="9"/>
        <v>total orders</v>
      </c>
    </row>
    <row r="90" spans="1:14" x14ac:dyDescent="0.3">
      <c r="A90" s="28" t="s">
        <v>40</v>
      </c>
      <c r="B90" s="28" t="s">
        <v>23</v>
      </c>
      <c r="C90" s="28" t="s">
        <v>18</v>
      </c>
      <c r="D90" s="28" t="s">
        <v>39</v>
      </c>
      <c r="E90" s="28">
        <f t="shared" si="5"/>
        <v>981.18049999999994</v>
      </c>
      <c r="F90" s="28">
        <v>1154.33</v>
      </c>
      <c r="G90" s="28">
        <v>11</v>
      </c>
      <c r="H90" s="29">
        <v>45549</v>
      </c>
      <c r="I90" s="28">
        <v>0.15</v>
      </c>
      <c r="J90" s="28">
        <v>441.53</v>
      </c>
      <c r="K90" s="30">
        <f t="shared" si="6"/>
        <v>981.18049999999994</v>
      </c>
      <c r="L90" s="31">
        <f t="shared" si="7"/>
        <v>9.5431982188802236E-2</v>
      </c>
      <c r="M90" s="32">
        <f t="shared" ca="1" si="8"/>
        <v>46094.483751967593</v>
      </c>
      <c r="N90" s="30" t="str">
        <f t="shared" si="9"/>
        <v>total orders</v>
      </c>
    </row>
    <row r="91" spans="1:14" x14ac:dyDescent="0.3">
      <c r="A91" s="28" t="s">
        <v>49</v>
      </c>
      <c r="B91" s="28" t="s">
        <v>50</v>
      </c>
      <c r="C91" s="28" t="s">
        <v>20</v>
      </c>
      <c r="D91" s="28" t="s">
        <v>12</v>
      </c>
      <c r="E91" s="28">
        <f t="shared" si="5"/>
        <v>1201.2655</v>
      </c>
      <c r="F91" s="28">
        <v>1264.49</v>
      </c>
      <c r="G91" s="28">
        <v>16</v>
      </c>
      <c r="H91" s="29">
        <v>45549</v>
      </c>
      <c r="I91" s="28">
        <v>0.05</v>
      </c>
      <c r="J91" s="28">
        <v>480.51</v>
      </c>
      <c r="K91" s="30">
        <f t="shared" si="6"/>
        <v>1201.2655</v>
      </c>
      <c r="L91" s="31">
        <f t="shared" si="7"/>
        <v>-0.12885827487761869</v>
      </c>
      <c r="M91" s="32">
        <f t="shared" ca="1" si="8"/>
        <v>46094.483751967593</v>
      </c>
      <c r="N91" s="30" t="str">
        <f t="shared" si="9"/>
        <v>total orders</v>
      </c>
    </row>
    <row r="92" spans="1:14" x14ac:dyDescent="0.3">
      <c r="A92" s="28" t="s">
        <v>25</v>
      </c>
      <c r="B92" s="28" t="s">
        <v>66</v>
      </c>
      <c r="C92" s="28" t="s">
        <v>11</v>
      </c>
      <c r="D92" s="28" t="s">
        <v>27</v>
      </c>
      <c r="E92" s="28">
        <f t="shared" si="5"/>
        <v>991.39499999999998</v>
      </c>
      <c r="F92" s="28">
        <v>1101.55</v>
      </c>
      <c r="G92" s="28">
        <v>4</v>
      </c>
      <c r="H92" s="29">
        <v>45551</v>
      </c>
      <c r="I92" s="28">
        <v>0.1</v>
      </c>
      <c r="J92" s="28">
        <v>346.99</v>
      </c>
      <c r="K92" s="30">
        <f t="shared" si="6"/>
        <v>991.39499999999998</v>
      </c>
      <c r="L92" s="31">
        <f t="shared" si="7"/>
        <v>-0.33935817711406652</v>
      </c>
      <c r="M92" s="32">
        <f t="shared" ca="1" si="8"/>
        <v>46094.483751967593</v>
      </c>
      <c r="N92" s="30" t="str">
        <f t="shared" si="9"/>
        <v>total orders</v>
      </c>
    </row>
    <row r="93" spans="1:14" x14ac:dyDescent="0.3">
      <c r="A93" s="28" t="s">
        <v>73</v>
      </c>
      <c r="B93" s="28" t="s">
        <v>14</v>
      </c>
      <c r="C93" s="28" t="s">
        <v>20</v>
      </c>
      <c r="D93" s="28" t="s">
        <v>27</v>
      </c>
      <c r="E93" s="28">
        <f t="shared" si="5"/>
        <v>654.95699999999999</v>
      </c>
      <c r="F93" s="28">
        <v>727.73</v>
      </c>
      <c r="G93" s="28">
        <v>1</v>
      </c>
      <c r="H93" s="29">
        <v>45552</v>
      </c>
      <c r="I93" s="28">
        <v>0.1</v>
      </c>
      <c r="J93" s="28">
        <v>229.23</v>
      </c>
      <c r="K93" s="30">
        <f t="shared" si="6"/>
        <v>654.95699999999999</v>
      </c>
      <c r="L93" s="31">
        <f t="shared" si="7"/>
        <v>0.20293240624957051</v>
      </c>
      <c r="M93" s="32">
        <f t="shared" ca="1" si="8"/>
        <v>46094.483751967593</v>
      </c>
      <c r="N93" s="30" t="str">
        <f t="shared" si="9"/>
        <v>total orders</v>
      </c>
    </row>
    <row r="94" spans="1:14" x14ac:dyDescent="0.3">
      <c r="A94" s="28" t="s">
        <v>74</v>
      </c>
      <c r="B94" s="28" t="s">
        <v>38</v>
      </c>
      <c r="C94" s="28" t="s">
        <v>18</v>
      </c>
      <c r="D94" s="28" t="s">
        <v>39</v>
      </c>
      <c r="E94" s="28">
        <f t="shared" si="5"/>
        <v>744.09849999999994</v>
      </c>
      <c r="F94" s="28">
        <v>875.41</v>
      </c>
      <c r="G94" s="28">
        <v>13</v>
      </c>
      <c r="H94" s="29">
        <v>45552</v>
      </c>
      <c r="I94" s="28">
        <v>0.15</v>
      </c>
      <c r="J94" s="28">
        <v>334.84</v>
      </c>
      <c r="K94" s="30">
        <f t="shared" si="6"/>
        <v>744.09849999999994</v>
      </c>
      <c r="L94" s="31">
        <f t="shared" si="7"/>
        <v>0.32388252361750502</v>
      </c>
      <c r="M94" s="32">
        <f t="shared" ca="1" si="8"/>
        <v>46094.483751967593</v>
      </c>
      <c r="N94" s="30" t="str">
        <f t="shared" si="9"/>
        <v>total orders</v>
      </c>
    </row>
    <row r="95" spans="1:14" x14ac:dyDescent="0.3">
      <c r="A95" s="28" t="s">
        <v>67</v>
      </c>
      <c r="B95" s="28" t="s">
        <v>23</v>
      </c>
      <c r="C95" s="28" t="s">
        <v>11</v>
      </c>
      <c r="D95" s="28" t="s">
        <v>21</v>
      </c>
      <c r="E95" s="28">
        <f t="shared" si="5"/>
        <v>927.15200000000004</v>
      </c>
      <c r="F95" s="28">
        <v>1158.94</v>
      </c>
      <c r="G95" s="28">
        <v>19</v>
      </c>
      <c r="H95" s="29">
        <v>45553</v>
      </c>
      <c r="I95" s="28">
        <v>0.2</v>
      </c>
      <c r="J95" s="28">
        <v>231.79</v>
      </c>
      <c r="K95" s="30">
        <f t="shared" si="6"/>
        <v>927.15200000000004</v>
      </c>
      <c r="L95" s="31">
        <f t="shared" si="7"/>
        <v>-0.16622085699000819</v>
      </c>
      <c r="M95" s="32">
        <f t="shared" ca="1" si="8"/>
        <v>46094.483751967593</v>
      </c>
      <c r="N95" s="30" t="str">
        <f t="shared" si="9"/>
        <v>total orders</v>
      </c>
    </row>
    <row r="96" spans="1:14" x14ac:dyDescent="0.3">
      <c r="A96" s="28" t="s">
        <v>75</v>
      </c>
      <c r="B96" s="28" t="s">
        <v>47</v>
      </c>
      <c r="C96" s="28" t="s">
        <v>20</v>
      </c>
      <c r="D96" s="28" t="s">
        <v>12</v>
      </c>
      <c r="E96" s="28">
        <f t="shared" si="5"/>
        <v>821.35500000000002</v>
      </c>
      <c r="F96" s="28">
        <v>966.3</v>
      </c>
      <c r="G96" s="28">
        <v>2</v>
      </c>
      <c r="H96" s="29">
        <v>45557</v>
      </c>
      <c r="I96" s="28">
        <v>0.15</v>
      </c>
      <c r="J96" s="28">
        <v>328.54</v>
      </c>
      <c r="K96" s="30">
        <f t="shared" si="6"/>
        <v>821.35500000000002</v>
      </c>
      <c r="L96" s="31">
        <f t="shared" si="7"/>
        <v>-5.0522612025250893E-2</v>
      </c>
      <c r="M96" s="32">
        <f t="shared" ca="1" si="8"/>
        <v>46094.483751967593</v>
      </c>
      <c r="N96" s="30" t="str">
        <f t="shared" si="9"/>
        <v>total orders</v>
      </c>
    </row>
    <row r="97" spans="1:14" x14ac:dyDescent="0.3">
      <c r="A97" s="28" t="s">
        <v>68</v>
      </c>
      <c r="B97" s="28" t="s">
        <v>17</v>
      </c>
      <c r="C97" s="28" t="s">
        <v>20</v>
      </c>
      <c r="D97" s="28" t="s">
        <v>12</v>
      </c>
      <c r="E97" s="28">
        <f t="shared" si="5"/>
        <v>917.48</v>
      </c>
      <c r="F97" s="28">
        <v>917.48</v>
      </c>
      <c r="G97" s="28">
        <v>6</v>
      </c>
      <c r="H97" s="29">
        <v>45558</v>
      </c>
      <c r="I97" s="28">
        <v>0</v>
      </c>
      <c r="J97" s="28">
        <v>366.99</v>
      </c>
      <c r="K97" s="30">
        <f t="shared" si="6"/>
        <v>917.48</v>
      </c>
      <c r="L97" s="31">
        <f t="shared" si="7"/>
        <v>0.27846928543401489</v>
      </c>
      <c r="M97" s="32">
        <f t="shared" ca="1" si="8"/>
        <v>46094.483751967593</v>
      </c>
      <c r="N97" s="30" t="str">
        <f t="shared" si="9"/>
        <v>total orders</v>
      </c>
    </row>
    <row r="98" spans="1:14" x14ac:dyDescent="0.3">
      <c r="A98" s="28" t="s">
        <v>41</v>
      </c>
      <c r="B98" s="28" t="s">
        <v>61</v>
      </c>
      <c r="C98" s="28" t="s">
        <v>11</v>
      </c>
      <c r="D98" s="28" t="s">
        <v>27</v>
      </c>
      <c r="E98" s="28">
        <f t="shared" si="5"/>
        <v>997.02449999999999</v>
      </c>
      <c r="F98" s="28">
        <v>1172.97</v>
      </c>
      <c r="G98" s="28">
        <v>7</v>
      </c>
      <c r="H98" s="29">
        <v>45559</v>
      </c>
      <c r="I98" s="28">
        <v>0.15</v>
      </c>
      <c r="J98" s="28">
        <v>348.96</v>
      </c>
      <c r="K98" s="30">
        <f t="shared" si="6"/>
        <v>997.02449999999999</v>
      </c>
      <c r="L98" s="31">
        <f t="shared" si="7"/>
        <v>2.8005831351185374E-2</v>
      </c>
      <c r="M98" s="32">
        <f t="shared" ca="1" si="8"/>
        <v>46094.483751967593</v>
      </c>
      <c r="N98" s="30" t="str">
        <f t="shared" si="9"/>
        <v>total orders</v>
      </c>
    </row>
    <row r="99" spans="1:14" x14ac:dyDescent="0.3">
      <c r="A99" s="28" t="s">
        <v>57</v>
      </c>
      <c r="B99" s="28" t="s">
        <v>23</v>
      </c>
      <c r="C99" s="28" t="s">
        <v>24</v>
      </c>
      <c r="D99" s="28" t="s">
        <v>15</v>
      </c>
      <c r="E99" s="28">
        <f t="shared" si="5"/>
        <v>1085.2379999999998</v>
      </c>
      <c r="F99" s="28">
        <v>1205.82</v>
      </c>
      <c r="G99" s="28">
        <v>11</v>
      </c>
      <c r="H99" s="29">
        <v>45559</v>
      </c>
      <c r="I99" s="28">
        <v>0.1</v>
      </c>
      <c r="J99" s="28">
        <v>542.62</v>
      </c>
      <c r="K99" s="30">
        <f t="shared" si="6"/>
        <v>1085.2379999999998</v>
      </c>
      <c r="L99" s="31">
        <f t="shared" si="7"/>
        <v>-0.31421771076943489</v>
      </c>
      <c r="M99" s="32">
        <f t="shared" ca="1" si="8"/>
        <v>46094.483751967593</v>
      </c>
      <c r="N99" s="30" t="str">
        <f t="shared" si="9"/>
        <v>total orders</v>
      </c>
    </row>
    <row r="100" spans="1:14" x14ac:dyDescent="0.3">
      <c r="A100" s="28" t="s">
        <v>16</v>
      </c>
      <c r="B100" s="28" t="s">
        <v>64</v>
      </c>
      <c r="C100" s="28" t="s">
        <v>11</v>
      </c>
      <c r="D100" s="28" t="s">
        <v>39</v>
      </c>
      <c r="E100" s="28">
        <f t="shared" si="5"/>
        <v>661.54399999999998</v>
      </c>
      <c r="F100" s="28">
        <v>826.93</v>
      </c>
      <c r="G100" s="28">
        <v>10</v>
      </c>
      <c r="H100" s="29">
        <v>45564</v>
      </c>
      <c r="I100" s="28">
        <v>0.2</v>
      </c>
      <c r="J100" s="28">
        <v>297.69</v>
      </c>
      <c r="K100" s="30">
        <f t="shared" si="6"/>
        <v>661.54399999999998</v>
      </c>
      <c r="L100" s="31">
        <f t="shared" si="7"/>
        <v>9.1011331067926068E-2</v>
      </c>
      <c r="M100" s="32">
        <f t="shared" ca="1" si="8"/>
        <v>46094.483751967593</v>
      </c>
      <c r="N100" s="30" t="str">
        <f t="shared" si="9"/>
        <v>total orders</v>
      </c>
    </row>
    <row r="101" spans="1:14" x14ac:dyDescent="0.3">
      <c r="A101" s="28" t="s">
        <v>67</v>
      </c>
      <c r="B101" s="28" t="s">
        <v>23</v>
      </c>
      <c r="C101" s="28" t="s">
        <v>34</v>
      </c>
      <c r="D101" s="28" t="s">
        <v>15</v>
      </c>
      <c r="E101" s="28">
        <f t="shared" si="5"/>
        <v>902.19</v>
      </c>
      <c r="F101" s="28">
        <v>902.19</v>
      </c>
      <c r="G101" s="28">
        <v>12</v>
      </c>
      <c r="H101" s="29">
        <v>45564</v>
      </c>
      <c r="I101" s="28">
        <v>0</v>
      </c>
      <c r="J101" s="28">
        <v>451.1</v>
      </c>
      <c r="K101" s="30">
        <f t="shared" si="6"/>
        <v>902.19</v>
      </c>
      <c r="L101" s="31">
        <f t="shared" si="7"/>
        <v>-0.35050266573559896</v>
      </c>
      <c r="M101" s="32">
        <f t="shared" ca="1" si="8"/>
        <v>46094.483751967593</v>
      </c>
      <c r="N101" s="30" t="str">
        <f t="shared" si="9"/>
        <v>total orders</v>
      </c>
    </row>
    <row r="102" spans="1:14" x14ac:dyDescent="0.3">
      <c r="A102" s="28" t="s">
        <v>74</v>
      </c>
      <c r="B102" s="28" t="s">
        <v>38</v>
      </c>
      <c r="C102" s="28" t="s">
        <v>24</v>
      </c>
      <c r="D102" s="28" t="s">
        <v>12</v>
      </c>
      <c r="E102" s="28">
        <f t="shared" si="5"/>
        <v>527.37300000000005</v>
      </c>
      <c r="F102" s="28">
        <v>585.97</v>
      </c>
      <c r="G102" s="28">
        <v>17</v>
      </c>
      <c r="H102" s="29">
        <v>45565</v>
      </c>
      <c r="I102" s="28">
        <v>0.1</v>
      </c>
      <c r="J102" s="28">
        <v>210.95</v>
      </c>
      <c r="K102" s="30">
        <f t="shared" si="6"/>
        <v>527.37300000000005</v>
      </c>
      <c r="L102" s="31">
        <f t="shared" si="7"/>
        <v>0.6898305373995256</v>
      </c>
      <c r="M102" s="32">
        <f t="shared" ca="1" si="8"/>
        <v>46094.483751967593</v>
      </c>
      <c r="N102" s="30" t="str">
        <f t="shared" si="9"/>
        <v>total orders</v>
      </c>
    </row>
    <row r="103" spans="1:14" x14ac:dyDescent="0.3">
      <c r="A103" s="28" t="s">
        <v>60</v>
      </c>
      <c r="B103" s="28" t="s">
        <v>26</v>
      </c>
      <c r="C103" s="28" t="s">
        <v>24</v>
      </c>
      <c r="D103" s="28" t="s">
        <v>15</v>
      </c>
      <c r="E103" s="28">
        <f t="shared" si="5"/>
        <v>891.17100000000005</v>
      </c>
      <c r="F103" s="28">
        <v>990.19</v>
      </c>
      <c r="G103" s="28">
        <v>8</v>
      </c>
      <c r="H103" s="29">
        <v>45565</v>
      </c>
      <c r="I103" s="28">
        <v>0.1</v>
      </c>
      <c r="J103" s="28">
        <v>445.59</v>
      </c>
      <c r="K103" s="30">
        <f t="shared" si="6"/>
        <v>891.17100000000005</v>
      </c>
      <c r="L103" s="31">
        <f t="shared" si="7"/>
        <v>2.413678182974982E-2</v>
      </c>
      <c r="M103" s="32">
        <f t="shared" ca="1" si="8"/>
        <v>46094.483751967593</v>
      </c>
      <c r="N103" s="30" t="str">
        <f t="shared" si="9"/>
        <v>total orders</v>
      </c>
    </row>
    <row r="104" spans="1:14" x14ac:dyDescent="0.3">
      <c r="A104" s="28" t="s">
        <v>44</v>
      </c>
      <c r="B104" s="28" t="s">
        <v>56</v>
      </c>
      <c r="C104" s="28" t="s">
        <v>34</v>
      </c>
      <c r="D104" s="28" t="s">
        <v>21</v>
      </c>
      <c r="E104" s="28">
        <f t="shared" si="5"/>
        <v>811.27200000000005</v>
      </c>
      <c r="F104" s="28">
        <v>1014.09</v>
      </c>
      <c r="G104" s="28">
        <v>13</v>
      </c>
      <c r="H104" s="29">
        <v>45567</v>
      </c>
      <c r="I104" s="28">
        <v>0.2</v>
      </c>
      <c r="J104" s="28">
        <v>202.82</v>
      </c>
      <c r="K104" s="30">
        <f t="shared" si="6"/>
        <v>811.27200000000005</v>
      </c>
      <c r="L104" s="31">
        <f t="shared" si="7"/>
        <v>-8.7566192349791502E-2</v>
      </c>
      <c r="M104" s="32">
        <f t="shared" ca="1" si="8"/>
        <v>46094.483751967593</v>
      </c>
      <c r="N104" s="30" t="str">
        <f t="shared" si="9"/>
        <v>total orders</v>
      </c>
    </row>
    <row r="105" spans="1:14" x14ac:dyDescent="0.3">
      <c r="A105" s="28" t="s">
        <v>13</v>
      </c>
      <c r="B105" s="28" t="s">
        <v>48</v>
      </c>
      <c r="C105" s="28" t="s">
        <v>24</v>
      </c>
      <c r="D105" s="28" t="s">
        <v>21</v>
      </c>
      <c r="E105" s="28">
        <f t="shared" si="5"/>
        <v>925.29</v>
      </c>
      <c r="F105" s="28">
        <v>925.29</v>
      </c>
      <c r="G105" s="28">
        <v>17</v>
      </c>
      <c r="H105" s="29">
        <v>45570</v>
      </c>
      <c r="I105" s="28">
        <v>0</v>
      </c>
      <c r="J105" s="28">
        <v>231.32</v>
      </c>
      <c r="K105" s="30">
        <f t="shared" si="6"/>
        <v>925.29</v>
      </c>
      <c r="L105" s="31">
        <f t="shared" si="7"/>
        <v>0.39041813917798746</v>
      </c>
      <c r="M105" s="32">
        <f t="shared" ca="1" si="8"/>
        <v>46094.483751967593</v>
      </c>
      <c r="N105" s="30" t="str">
        <f t="shared" si="9"/>
        <v>total orders</v>
      </c>
    </row>
    <row r="106" spans="1:14" x14ac:dyDescent="0.3">
      <c r="A106" s="28" t="s">
        <v>54</v>
      </c>
      <c r="B106" s="28" t="s">
        <v>47</v>
      </c>
      <c r="C106" s="28" t="s">
        <v>18</v>
      </c>
      <c r="D106" s="28" t="s">
        <v>27</v>
      </c>
      <c r="E106" s="28">
        <f t="shared" si="5"/>
        <v>1286.54</v>
      </c>
      <c r="F106" s="28">
        <v>1286.54</v>
      </c>
      <c r="G106" s="28">
        <v>8</v>
      </c>
      <c r="H106" s="29">
        <v>45575</v>
      </c>
      <c r="I106" s="28">
        <v>0</v>
      </c>
      <c r="J106" s="28">
        <v>450.29</v>
      </c>
      <c r="K106" s="30">
        <f t="shared" si="6"/>
        <v>1286.54</v>
      </c>
      <c r="L106" s="31">
        <f t="shared" si="7"/>
        <v>-0.25255336017535401</v>
      </c>
      <c r="M106" s="32">
        <f t="shared" ca="1" si="8"/>
        <v>46094.483751967593</v>
      </c>
      <c r="N106" s="30" t="str">
        <f t="shared" si="9"/>
        <v>total orders</v>
      </c>
    </row>
    <row r="107" spans="1:14" x14ac:dyDescent="0.3">
      <c r="A107" s="28" t="s">
        <v>37</v>
      </c>
      <c r="B107" s="28" t="s">
        <v>64</v>
      </c>
      <c r="C107" s="28" t="s">
        <v>20</v>
      </c>
      <c r="D107" s="28" t="s">
        <v>12</v>
      </c>
      <c r="E107" s="28">
        <f t="shared" si="5"/>
        <v>769.29600000000005</v>
      </c>
      <c r="F107" s="28">
        <v>961.62</v>
      </c>
      <c r="G107" s="28">
        <v>8</v>
      </c>
      <c r="H107" s="29">
        <v>45577</v>
      </c>
      <c r="I107" s="28">
        <v>0.2</v>
      </c>
      <c r="J107" s="28">
        <v>307.72000000000003</v>
      </c>
      <c r="K107" s="30">
        <f t="shared" si="6"/>
        <v>769.29600000000005</v>
      </c>
      <c r="L107" s="31">
        <f t="shared" si="7"/>
        <v>0.12429026018593634</v>
      </c>
      <c r="M107" s="32">
        <f t="shared" ca="1" si="8"/>
        <v>46094.483751967593</v>
      </c>
      <c r="N107" s="30" t="str">
        <f t="shared" si="9"/>
        <v>total orders</v>
      </c>
    </row>
    <row r="108" spans="1:14" x14ac:dyDescent="0.3">
      <c r="A108" s="28" t="s">
        <v>44</v>
      </c>
      <c r="B108" s="28" t="s">
        <v>23</v>
      </c>
      <c r="C108" s="28" t="s">
        <v>18</v>
      </c>
      <c r="D108" s="28" t="s">
        <v>12</v>
      </c>
      <c r="E108" s="28">
        <f t="shared" si="5"/>
        <v>918.96900000000005</v>
      </c>
      <c r="F108" s="28">
        <v>1081.1400000000001</v>
      </c>
      <c r="G108" s="28">
        <v>19</v>
      </c>
      <c r="H108" s="29">
        <v>45577</v>
      </c>
      <c r="I108" s="28">
        <v>0.15</v>
      </c>
      <c r="J108" s="28">
        <v>367.59</v>
      </c>
      <c r="K108" s="30">
        <f t="shared" si="6"/>
        <v>918.96900000000005</v>
      </c>
      <c r="L108" s="31">
        <f t="shared" si="7"/>
        <v>0.77928852877518162</v>
      </c>
      <c r="M108" s="32">
        <f t="shared" ca="1" si="8"/>
        <v>46094.483751967593</v>
      </c>
      <c r="N108" s="30" t="str">
        <f t="shared" si="9"/>
        <v>total orders</v>
      </c>
    </row>
    <row r="109" spans="1:14" x14ac:dyDescent="0.3">
      <c r="A109" s="28" t="s">
        <v>58</v>
      </c>
      <c r="B109" s="28" t="s">
        <v>23</v>
      </c>
      <c r="C109" s="28" t="s">
        <v>11</v>
      </c>
      <c r="D109" s="28" t="s">
        <v>15</v>
      </c>
      <c r="E109" s="28">
        <f t="shared" si="5"/>
        <v>1538.9280000000001</v>
      </c>
      <c r="F109" s="28">
        <v>1923.66</v>
      </c>
      <c r="G109" s="28">
        <v>9</v>
      </c>
      <c r="H109" s="29">
        <v>45580</v>
      </c>
      <c r="I109" s="28">
        <v>0.2</v>
      </c>
      <c r="J109" s="28">
        <v>769.46</v>
      </c>
      <c r="K109" s="30">
        <f t="shared" si="6"/>
        <v>1538.9280000000001</v>
      </c>
      <c r="L109" s="31">
        <f t="shared" si="7"/>
        <v>-0.62118565650894653</v>
      </c>
      <c r="M109" s="32">
        <f t="shared" ca="1" si="8"/>
        <v>46094.483751967593</v>
      </c>
      <c r="N109" s="30" t="str">
        <f t="shared" si="9"/>
        <v>total orders</v>
      </c>
    </row>
    <row r="110" spans="1:14" x14ac:dyDescent="0.3">
      <c r="A110" s="28" t="s">
        <v>54</v>
      </c>
      <c r="B110" s="28" t="s">
        <v>66</v>
      </c>
      <c r="C110" s="28" t="s">
        <v>34</v>
      </c>
      <c r="D110" s="28" t="s">
        <v>15</v>
      </c>
      <c r="E110" s="28">
        <f t="shared" si="5"/>
        <v>655.83900000000006</v>
      </c>
      <c r="F110" s="28">
        <v>728.71</v>
      </c>
      <c r="G110" s="28">
        <v>14</v>
      </c>
      <c r="H110" s="29">
        <v>45581</v>
      </c>
      <c r="I110" s="28">
        <v>0.1</v>
      </c>
      <c r="J110" s="28">
        <v>327.92</v>
      </c>
      <c r="K110" s="30">
        <f t="shared" si="6"/>
        <v>655.83900000000006</v>
      </c>
      <c r="L110" s="31">
        <f t="shared" si="7"/>
        <v>0.78656804490126397</v>
      </c>
      <c r="M110" s="32">
        <f t="shared" ca="1" si="8"/>
        <v>46094.483751967593</v>
      </c>
      <c r="N110" s="30" t="str">
        <f t="shared" si="9"/>
        <v>total orders</v>
      </c>
    </row>
    <row r="111" spans="1:14" x14ac:dyDescent="0.3">
      <c r="A111" s="28" t="s">
        <v>9</v>
      </c>
      <c r="B111" s="28" t="s">
        <v>33</v>
      </c>
      <c r="C111" s="28" t="s">
        <v>34</v>
      </c>
      <c r="D111" s="28" t="s">
        <v>15</v>
      </c>
      <c r="E111" s="28">
        <f t="shared" si="5"/>
        <v>1106.6065000000001</v>
      </c>
      <c r="F111" s="28">
        <v>1301.8900000000001</v>
      </c>
      <c r="G111" s="28">
        <v>7</v>
      </c>
      <c r="H111" s="29">
        <v>45581</v>
      </c>
      <c r="I111" s="28">
        <v>0.15</v>
      </c>
      <c r="J111" s="28">
        <v>553.29999999999995</v>
      </c>
      <c r="K111" s="30">
        <f t="shared" si="6"/>
        <v>1106.6065000000001</v>
      </c>
      <c r="L111" s="31">
        <f t="shared" si="7"/>
        <v>-0.24710997088847761</v>
      </c>
      <c r="M111" s="32">
        <f t="shared" ca="1" si="8"/>
        <v>46094.483751967593</v>
      </c>
      <c r="N111" s="30" t="str">
        <f t="shared" si="9"/>
        <v>total orders</v>
      </c>
    </row>
    <row r="112" spans="1:14" x14ac:dyDescent="0.3">
      <c r="A112" s="28" t="s">
        <v>70</v>
      </c>
      <c r="B112" s="28" t="s">
        <v>66</v>
      </c>
      <c r="C112" s="28" t="s">
        <v>18</v>
      </c>
      <c r="D112" s="28" t="s">
        <v>12</v>
      </c>
      <c r="E112" s="28">
        <f t="shared" si="5"/>
        <v>882.16199999999992</v>
      </c>
      <c r="F112" s="28">
        <v>980.18</v>
      </c>
      <c r="G112" s="28">
        <v>16</v>
      </c>
      <c r="H112" s="29">
        <v>45582</v>
      </c>
      <c r="I112" s="28">
        <v>0.1</v>
      </c>
      <c r="J112" s="28">
        <v>352.86</v>
      </c>
      <c r="K112" s="30">
        <f t="shared" si="6"/>
        <v>882.16199999999992</v>
      </c>
      <c r="L112" s="31">
        <f t="shared" si="7"/>
        <v>-0.28832459344202077</v>
      </c>
      <c r="M112" s="32">
        <f t="shared" ca="1" si="8"/>
        <v>46094.483751967593</v>
      </c>
      <c r="N112" s="30" t="str">
        <f t="shared" si="9"/>
        <v>total orders</v>
      </c>
    </row>
    <row r="113" spans="1:14" x14ac:dyDescent="0.3">
      <c r="A113" s="28" t="s">
        <v>74</v>
      </c>
      <c r="B113" s="28" t="s">
        <v>23</v>
      </c>
      <c r="C113" s="28" t="s">
        <v>11</v>
      </c>
      <c r="D113" s="28" t="s">
        <v>15</v>
      </c>
      <c r="E113" s="28">
        <f t="shared" si="5"/>
        <v>627.8130000000001</v>
      </c>
      <c r="F113" s="28">
        <v>697.57</v>
      </c>
      <c r="G113" s="28">
        <v>17</v>
      </c>
      <c r="H113" s="29">
        <v>45584</v>
      </c>
      <c r="I113" s="28">
        <v>0.1</v>
      </c>
      <c r="J113" s="28">
        <v>313.91000000000003</v>
      </c>
      <c r="K113" s="30">
        <f t="shared" si="6"/>
        <v>627.8130000000001</v>
      </c>
      <c r="L113" s="31">
        <f t="shared" si="7"/>
        <v>0.71109709419843148</v>
      </c>
      <c r="M113" s="32">
        <f t="shared" ca="1" si="8"/>
        <v>46094.483751967593</v>
      </c>
      <c r="N113" s="30" t="str">
        <f t="shared" si="9"/>
        <v>total orders</v>
      </c>
    </row>
    <row r="114" spans="1:14" x14ac:dyDescent="0.3">
      <c r="A114" s="28" t="s">
        <v>46</v>
      </c>
      <c r="B114" s="28" t="s">
        <v>71</v>
      </c>
      <c r="C114" s="28" t="s">
        <v>11</v>
      </c>
      <c r="D114" s="28" t="s">
        <v>27</v>
      </c>
      <c r="E114" s="28">
        <f t="shared" si="5"/>
        <v>1014.5684999999999</v>
      </c>
      <c r="F114" s="28">
        <v>1193.6099999999999</v>
      </c>
      <c r="G114" s="28">
        <v>1</v>
      </c>
      <c r="H114" s="29">
        <v>45584</v>
      </c>
      <c r="I114" s="28">
        <v>0.15</v>
      </c>
      <c r="J114" s="28">
        <v>355.1</v>
      </c>
      <c r="K114" s="30">
        <f t="shared" si="6"/>
        <v>1014.5684999999999</v>
      </c>
      <c r="L114" s="31">
        <f t="shared" si="7"/>
        <v>-0.35404361558633052</v>
      </c>
      <c r="M114" s="32">
        <f t="shared" ca="1" si="8"/>
        <v>46094.483751967593</v>
      </c>
      <c r="N114" s="30" t="str">
        <f t="shared" si="9"/>
        <v>total orders</v>
      </c>
    </row>
    <row r="115" spans="1:14" x14ac:dyDescent="0.3">
      <c r="A115" s="28" t="s">
        <v>32</v>
      </c>
      <c r="B115" s="28" t="s">
        <v>38</v>
      </c>
      <c r="C115" s="28" t="s">
        <v>20</v>
      </c>
      <c r="D115" s="28" t="s">
        <v>21</v>
      </c>
      <c r="E115" s="28">
        <f t="shared" si="5"/>
        <v>771.02</v>
      </c>
      <c r="F115" s="28">
        <v>771.02</v>
      </c>
      <c r="G115" s="28">
        <v>1</v>
      </c>
      <c r="H115" s="29">
        <v>45585</v>
      </c>
      <c r="I115" s="28">
        <v>0</v>
      </c>
      <c r="J115" s="28">
        <v>192.76</v>
      </c>
      <c r="K115" s="30">
        <f t="shared" si="6"/>
        <v>771.02</v>
      </c>
      <c r="L115" s="31">
        <f t="shared" si="7"/>
        <v>-0.1425773650488962</v>
      </c>
      <c r="M115" s="32">
        <f t="shared" ca="1" si="8"/>
        <v>46094.483751967593</v>
      </c>
      <c r="N115" s="30" t="str">
        <f t="shared" si="9"/>
        <v>total orders</v>
      </c>
    </row>
    <row r="116" spans="1:14" x14ac:dyDescent="0.3">
      <c r="A116" s="28" t="s">
        <v>67</v>
      </c>
      <c r="B116" s="28" t="s">
        <v>69</v>
      </c>
      <c r="C116" s="28" t="s">
        <v>24</v>
      </c>
      <c r="D116" s="28" t="s">
        <v>15</v>
      </c>
      <c r="E116" s="28">
        <f t="shared" si="5"/>
        <v>528.87200000000007</v>
      </c>
      <c r="F116" s="28">
        <v>661.09</v>
      </c>
      <c r="G116" s="28">
        <v>1</v>
      </c>
      <c r="H116" s="29">
        <v>45593</v>
      </c>
      <c r="I116" s="28">
        <v>0.2</v>
      </c>
      <c r="J116" s="28">
        <v>264.44</v>
      </c>
      <c r="K116" s="30">
        <f t="shared" si="6"/>
        <v>528.87200000000007</v>
      </c>
      <c r="L116" s="31">
        <f t="shared" si="7"/>
        <v>4.1961003796759912E-2</v>
      </c>
      <c r="M116" s="32">
        <f t="shared" ca="1" si="8"/>
        <v>46094.483751967593</v>
      </c>
      <c r="N116" s="30" t="str">
        <f t="shared" si="9"/>
        <v>total orders</v>
      </c>
    </row>
    <row r="117" spans="1:14" x14ac:dyDescent="0.3">
      <c r="A117" s="28" t="s">
        <v>13</v>
      </c>
      <c r="B117" s="28" t="s">
        <v>55</v>
      </c>
      <c r="C117" s="28" t="s">
        <v>11</v>
      </c>
      <c r="D117" s="28" t="s">
        <v>21</v>
      </c>
      <c r="E117" s="28">
        <f t="shared" si="5"/>
        <v>688.83</v>
      </c>
      <c r="F117" s="28">
        <v>688.83</v>
      </c>
      <c r="G117" s="28">
        <v>15</v>
      </c>
      <c r="H117" s="29">
        <v>45595</v>
      </c>
      <c r="I117" s="28">
        <v>0</v>
      </c>
      <c r="J117" s="28">
        <v>172.21</v>
      </c>
      <c r="K117" s="30">
        <f t="shared" si="6"/>
        <v>688.83</v>
      </c>
      <c r="L117" s="31">
        <f t="shared" si="7"/>
        <v>0.81336469085260488</v>
      </c>
      <c r="M117" s="32">
        <f t="shared" ca="1" si="8"/>
        <v>46094.483751967593</v>
      </c>
      <c r="N117" s="30" t="str">
        <f t="shared" si="9"/>
        <v>total orders</v>
      </c>
    </row>
    <row r="118" spans="1:14" x14ac:dyDescent="0.3">
      <c r="A118" s="28" t="s">
        <v>73</v>
      </c>
      <c r="B118" s="28" t="s">
        <v>29</v>
      </c>
      <c r="C118" s="28" t="s">
        <v>34</v>
      </c>
      <c r="D118" s="28" t="s">
        <v>12</v>
      </c>
      <c r="E118" s="28">
        <f t="shared" si="5"/>
        <v>1186.645</v>
      </c>
      <c r="F118" s="28">
        <v>1249.0999999999999</v>
      </c>
      <c r="G118" s="28">
        <v>4</v>
      </c>
      <c r="H118" s="29">
        <v>45597</v>
      </c>
      <c r="I118" s="28">
        <v>0.05</v>
      </c>
      <c r="J118" s="28">
        <v>474.66</v>
      </c>
      <c r="K118" s="30">
        <f t="shared" si="6"/>
        <v>1186.645</v>
      </c>
      <c r="L118" s="31">
        <f t="shared" si="7"/>
        <v>-0.18803938835961884</v>
      </c>
      <c r="M118" s="32">
        <f t="shared" ca="1" si="8"/>
        <v>46094.483751967593</v>
      </c>
      <c r="N118" s="30" t="str">
        <f t="shared" si="9"/>
        <v>total orders</v>
      </c>
    </row>
    <row r="119" spans="1:14" x14ac:dyDescent="0.3">
      <c r="A119" s="28" t="s">
        <v>44</v>
      </c>
      <c r="B119" s="28" t="s">
        <v>23</v>
      </c>
      <c r="C119" s="28" t="s">
        <v>18</v>
      </c>
      <c r="D119" s="28" t="s">
        <v>39</v>
      </c>
      <c r="E119" s="28">
        <f t="shared" si="5"/>
        <v>963.50900000000001</v>
      </c>
      <c r="F119" s="28">
        <v>1014.22</v>
      </c>
      <c r="G119" s="28">
        <v>14</v>
      </c>
      <c r="H119" s="29">
        <v>45599</v>
      </c>
      <c r="I119" s="28">
        <v>0.05</v>
      </c>
      <c r="J119" s="28">
        <v>433.58</v>
      </c>
      <c r="K119" s="30">
        <f t="shared" si="6"/>
        <v>963.50900000000001</v>
      </c>
      <c r="L119" s="31">
        <f t="shared" si="7"/>
        <v>-3.5889649188538841E-3</v>
      </c>
      <c r="M119" s="32">
        <f t="shared" ca="1" si="8"/>
        <v>46094.483751967593</v>
      </c>
      <c r="N119" s="30" t="str">
        <f t="shared" si="9"/>
        <v>total orders</v>
      </c>
    </row>
    <row r="120" spans="1:14" x14ac:dyDescent="0.3">
      <c r="A120" s="28" t="s">
        <v>54</v>
      </c>
      <c r="B120" s="28" t="s">
        <v>48</v>
      </c>
      <c r="C120" s="28" t="s">
        <v>18</v>
      </c>
      <c r="D120" s="28" t="s">
        <v>12</v>
      </c>
      <c r="E120" s="28">
        <f t="shared" si="5"/>
        <v>858.99300000000005</v>
      </c>
      <c r="F120" s="28">
        <v>1010.58</v>
      </c>
      <c r="G120" s="28">
        <v>2</v>
      </c>
      <c r="H120" s="29">
        <v>45605</v>
      </c>
      <c r="I120" s="28">
        <v>0.15</v>
      </c>
      <c r="J120" s="28">
        <v>343.6</v>
      </c>
      <c r="K120" s="30">
        <f t="shared" si="6"/>
        <v>858.99300000000005</v>
      </c>
      <c r="L120" s="31">
        <f t="shared" si="7"/>
        <v>-5.2732094440816238E-2</v>
      </c>
      <c r="M120" s="32">
        <f t="shared" ca="1" si="8"/>
        <v>46094.483751967593</v>
      </c>
      <c r="N120" s="30" t="str">
        <f t="shared" si="9"/>
        <v>total orders</v>
      </c>
    </row>
    <row r="121" spans="1:14" x14ac:dyDescent="0.3">
      <c r="A121" s="28" t="s">
        <v>30</v>
      </c>
      <c r="B121" s="28" t="s">
        <v>59</v>
      </c>
      <c r="C121" s="28" t="s">
        <v>24</v>
      </c>
      <c r="D121" s="28" t="s">
        <v>27</v>
      </c>
      <c r="E121" s="28">
        <f t="shared" si="5"/>
        <v>909.42549999999994</v>
      </c>
      <c r="F121" s="28">
        <v>957.29</v>
      </c>
      <c r="G121" s="28">
        <v>4</v>
      </c>
      <c r="H121" s="29">
        <v>45605</v>
      </c>
      <c r="I121" s="28">
        <v>0.05</v>
      </c>
      <c r="J121" s="28">
        <v>318.3</v>
      </c>
      <c r="K121" s="30">
        <f t="shared" si="6"/>
        <v>909.42549999999994</v>
      </c>
      <c r="L121" s="31">
        <f t="shared" si="7"/>
        <v>0.12601197129396538</v>
      </c>
      <c r="M121" s="32">
        <f t="shared" ca="1" si="8"/>
        <v>46094.483751967593</v>
      </c>
      <c r="N121" s="30" t="str">
        <f t="shared" si="9"/>
        <v>total orders</v>
      </c>
    </row>
    <row r="122" spans="1:14" x14ac:dyDescent="0.3">
      <c r="A122" s="28" t="s">
        <v>28</v>
      </c>
      <c r="B122" s="28" t="s">
        <v>45</v>
      </c>
      <c r="C122" s="28" t="s">
        <v>24</v>
      </c>
      <c r="D122" s="28" t="s">
        <v>27</v>
      </c>
      <c r="E122" s="28">
        <f t="shared" si="5"/>
        <v>1024.0240000000001</v>
      </c>
      <c r="F122" s="28">
        <v>1077.92</v>
      </c>
      <c r="G122" s="28">
        <v>3</v>
      </c>
      <c r="H122" s="29">
        <v>45608</v>
      </c>
      <c r="I122" s="28">
        <v>0.05</v>
      </c>
      <c r="J122" s="28">
        <v>358.41</v>
      </c>
      <c r="K122" s="30">
        <f t="shared" si="6"/>
        <v>1024.0240000000001</v>
      </c>
      <c r="L122" s="31">
        <f t="shared" si="7"/>
        <v>7.8939067834347551E-2</v>
      </c>
      <c r="M122" s="32">
        <f t="shared" ca="1" si="8"/>
        <v>46094.483751967593</v>
      </c>
      <c r="N122" s="30" t="str">
        <f t="shared" si="9"/>
        <v>total orders</v>
      </c>
    </row>
    <row r="123" spans="1:14" x14ac:dyDescent="0.3">
      <c r="A123" s="28" t="s">
        <v>52</v>
      </c>
      <c r="B123" s="28" t="s">
        <v>50</v>
      </c>
      <c r="C123" s="28" t="s">
        <v>20</v>
      </c>
      <c r="D123" s="28" t="s">
        <v>15</v>
      </c>
      <c r="E123" s="28">
        <f t="shared" si="5"/>
        <v>1163.01</v>
      </c>
      <c r="F123" s="28">
        <v>1163.01</v>
      </c>
      <c r="G123" s="28">
        <v>5</v>
      </c>
      <c r="H123" s="29">
        <v>45611</v>
      </c>
      <c r="I123" s="28">
        <v>0</v>
      </c>
      <c r="J123" s="28">
        <v>581.5</v>
      </c>
      <c r="K123" s="30">
        <f t="shared" si="6"/>
        <v>1163.01</v>
      </c>
      <c r="L123" s="31">
        <f t="shared" si="7"/>
        <v>-0.12764292654405382</v>
      </c>
      <c r="M123" s="32">
        <f t="shared" ca="1" si="8"/>
        <v>46094.483751967593</v>
      </c>
      <c r="N123" s="30" t="str">
        <f t="shared" si="9"/>
        <v>total orders</v>
      </c>
    </row>
    <row r="124" spans="1:14" x14ac:dyDescent="0.3">
      <c r="A124" s="28" t="s">
        <v>54</v>
      </c>
      <c r="B124" s="28" t="s">
        <v>45</v>
      </c>
      <c r="C124" s="28" t="s">
        <v>18</v>
      </c>
      <c r="D124" s="28" t="s">
        <v>39</v>
      </c>
      <c r="E124" s="28">
        <f t="shared" si="5"/>
        <v>913.10399999999993</v>
      </c>
      <c r="F124" s="28">
        <v>1014.56</v>
      </c>
      <c r="G124" s="28">
        <v>10</v>
      </c>
      <c r="H124" s="29">
        <v>45612</v>
      </c>
      <c r="I124" s="28">
        <v>0.1</v>
      </c>
      <c r="J124" s="28">
        <v>410.9</v>
      </c>
      <c r="K124" s="30">
        <f t="shared" si="6"/>
        <v>913.10399999999993</v>
      </c>
      <c r="L124" s="31">
        <f t="shared" si="7"/>
        <v>-0.29226462703043682</v>
      </c>
      <c r="M124" s="32">
        <f t="shared" ca="1" si="8"/>
        <v>46094.483751967593</v>
      </c>
      <c r="N124" s="30" t="str">
        <f t="shared" si="9"/>
        <v>total orders</v>
      </c>
    </row>
    <row r="125" spans="1:14" x14ac:dyDescent="0.3">
      <c r="A125" s="28" t="s">
        <v>9</v>
      </c>
      <c r="B125" s="28" t="s">
        <v>17</v>
      </c>
      <c r="C125" s="28" t="s">
        <v>20</v>
      </c>
      <c r="D125" s="28" t="s">
        <v>21</v>
      </c>
      <c r="E125" s="28">
        <f t="shared" si="5"/>
        <v>718.04</v>
      </c>
      <c r="F125" s="28">
        <v>718.04</v>
      </c>
      <c r="G125" s="28">
        <v>14</v>
      </c>
      <c r="H125" s="29">
        <v>45613</v>
      </c>
      <c r="I125" s="28">
        <v>0</v>
      </c>
      <c r="J125" s="28">
        <v>179.51</v>
      </c>
      <c r="K125" s="30">
        <f t="shared" si="6"/>
        <v>718.04</v>
      </c>
      <c r="L125" s="31">
        <f t="shared" si="7"/>
        <v>0.77963623196479304</v>
      </c>
      <c r="M125" s="32">
        <f t="shared" ca="1" si="8"/>
        <v>46094.483751967593</v>
      </c>
      <c r="N125" s="30" t="str">
        <f t="shared" si="9"/>
        <v>total orders</v>
      </c>
    </row>
    <row r="126" spans="1:14" x14ac:dyDescent="0.3">
      <c r="A126" s="28" t="s">
        <v>72</v>
      </c>
      <c r="B126" s="28" t="s">
        <v>17</v>
      </c>
      <c r="C126" s="28" t="s">
        <v>34</v>
      </c>
      <c r="D126" s="28" t="s">
        <v>15</v>
      </c>
      <c r="E126" s="28">
        <f t="shared" si="5"/>
        <v>1022.28</v>
      </c>
      <c r="F126" s="28">
        <v>1277.8499999999999</v>
      </c>
      <c r="G126" s="28">
        <v>18</v>
      </c>
      <c r="H126" s="29">
        <v>45613</v>
      </c>
      <c r="I126" s="28">
        <v>0.2</v>
      </c>
      <c r="J126" s="28">
        <v>511.14</v>
      </c>
      <c r="K126" s="30">
        <f t="shared" si="6"/>
        <v>1022.28</v>
      </c>
      <c r="L126" s="31">
        <f t="shared" si="7"/>
        <v>-0.44693821653558707</v>
      </c>
      <c r="M126" s="32">
        <f t="shared" ca="1" si="8"/>
        <v>46094.483751967593</v>
      </c>
      <c r="N126" s="30" t="str">
        <f t="shared" si="9"/>
        <v>total orders</v>
      </c>
    </row>
    <row r="127" spans="1:14" x14ac:dyDescent="0.3">
      <c r="A127" s="28" t="s">
        <v>70</v>
      </c>
      <c r="B127" s="28" t="s">
        <v>23</v>
      </c>
      <c r="C127" s="28" t="s">
        <v>24</v>
      </c>
      <c r="D127" s="28" t="s">
        <v>21</v>
      </c>
      <c r="E127" s="28">
        <f t="shared" si="5"/>
        <v>600.72050000000002</v>
      </c>
      <c r="F127" s="28">
        <v>706.73</v>
      </c>
      <c r="G127" s="28">
        <v>1</v>
      </c>
      <c r="H127" s="29">
        <v>45613</v>
      </c>
      <c r="I127" s="28">
        <v>0.15</v>
      </c>
      <c r="J127" s="28">
        <v>150.18</v>
      </c>
      <c r="K127" s="30">
        <f t="shared" si="6"/>
        <v>600.72050000000002</v>
      </c>
      <c r="L127" s="31">
        <f t="shared" si="7"/>
        <v>0.99593904319895843</v>
      </c>
      <c r="M127" s="32">
        <f t="shared" ca="1" si="8"/>
        <v>46094.483751967593</v>
      </c>
      <c r="N127" s="30" t="str">
        <f t="shared" si="9"/>
        <v>total orders</v>
      </c>
    </row>
    <row r="128" spans="1:14" x14ac:dyDescent="0.3">
      <c r="A128" s="28" t="s">
        <v>65</v>
      </c>
      <c r="B128" s="28" t="s">
        <v>50</v>
      </c>
      <c r="C128" s="28" t="s">
        <v>18</v>
      </c>
      <c r="D128" s="28" t="s">
        <v>21</v>
      </c>
      <c r="E128" s="28">
        <f t="shared" si="5"/>
        <v>1410.59</v>
      </c>
      <c r="F128" s="28">
        <v>1410.59</v>
      </c>
      <c r="G128" s="28">
        <v>15</v>
      </c>
      <c r="H128" s="29">
        <v>45615</v>
      </c>
      <c r="I128" s="28">
        <v>0</v>
      </c>
      <c r="J128" s="28">
        <v>352.65</v>
      </c>
      <c r="K128" s="30">
        <f t="shared" si="6"/>
        <v>1410.59</v>
      </c>
      <c r="L128" s="31">
        <f t="shared" si="7"/>
        <v>-4.2719713027881946E-2</v>
      </c>
      <c r="M128" s="32">
        <f t="shared" ca="1" si="8"/>
        <v>46094.483751967593</v>
      </c>
      <c r="N128" s="30" t="str">
        <f t="shared" si="9"/>
        <v>total orders</v>
      </c>
    </row>
    <row r="129" spans="1:14" x14ac:dyDescent="0.3">
      <c r="A129" s="28" t="s">
        <v>32</v>
      </c>
      <c r="B129" s="28" t="s">
        <v>61</v>
      </c>
      <c r="C129" s="28" t="s">
        <v>20</v>
      </c>
      <c r="D129" s="28" t="s">
        <v>27</v>
      </c>
      <c r="E129" s="28">
        <f t="shared" si="5"/>
        <v>1350.33</v>
      </c>
      <c r="F129" s="28">
        <v>1350.33</v>
      </c>
      <c r="G129" s="28">
        <v>10</v>
      </c>
      <c r="H129" s="29">
        <v>45615</v>
      </c>
      <c r="I129" s="28">
        <v>0</v>
      </c>
      <c r="J129" s="28">
        <v>472.62</v>
      </c>
      <c r="K129" s="30">
        <f t="shared" si="6"/>
        <v>1350.33</v>
      </c>
      <c r="L129" s="31">
        <f t="shared" si="7"/>
        <v>-0.31929232113631484</v>
      </c>
      <c r="M129" s="32">
        <f t="shared" ca="1" si="8"/>
        <v>46094.483751967593</v>
      </c>
      <c r="N129" s="30" t="str">
        <f t="shared" si="9"/>
        <v>total orders</v>
      </c>
    </row>
    <row r="130" spans="1:14" x14ac:dyDescent="0.3">
      <c r="A130" s="28" t="s">
        <v>41</v>
      </c>
      <c r="B130" s="28" t="s">
        <v>45</v>
      </c>
      <c r="C130" s="28" t="s">
        <v>18</v>
      </c>
      <c r="D130" s="28" t="s">
        <v>21</v>
      </c>
      <c r="E130" s="28">
        <f t="shared" si="5"/>
        <v>781.303</v>
      </c>
      <c r="F130" s="28">
        <v>919.18</v>
      </c>
      <c r="G130" s="28">
        <v>4</v>
      </c>
      <c r="H130" s="29">
        <v>45615</v>
      </c>
      <c r="I130" s="28">
        <v>0.15</v>
      </c>
      <c r="J130" s="28">
        <v>195.33</v>
      </c>
      <c r="K130" s="30">
        <f t="shared" si="6"/>
        <v>781.303</v>
      </c>
      <c r="L130" s="31">
        <f t="shared" si="7"/>
        <v>-0.71876019930807888</v>
      </c>
      <c r="M130" s="32">
        <f t="shared" ca="1" si="8"/>
        <v>46094.483751967593</v>
      </c>
      <c r="N130" s="30" t="str">
        <f t="shared" si="9"/>
        <v>total orders</v>
      </c>
    </row>
    <row r="131" spans="1:14" x14ac:dyDescent="0.3">
      <c r="A131" s="28" t="s">
        <v>74</v>
      </c>
      <c r="B131" s="28" t="s">
        <v>23</v>
      </c>
      <c r="C131" s="28" t="s">
        <v>11</v>
      </c>
      <c r="D131" s="28" t="s">
        <v>21</v>
      </c>
      <c r="E131" s="28">
        <f t="shared" ref="E131:E194" si="10">F131-(F131*I131)</f>
        <v>258.51</v>
      </c>
      <c r="F131" s="28">
        <v>258.51</v>
      </c>
      <c r="G131" s="28">
        <v>19</v>
      </c>
      <c r="H131" s="29">
        <v>45616</v>
      </c>
      <c r="I131" s="28">
        <v>0</v>
      </c>
      <c r="J131" s="28">
        <v>64.63</v>
      </c>
      <c r="K131" s="30">
        <f t="shared" ref="K131:K194" si="11">F131-(F131*I131)</f>
        <v>258.51</v>
      </c>
      <c r="L131" s="31">
        <f t="shared" ref="L131:L194" si="12">(F132-F131)/F131</f>
        <v>3.6941317550578319</v>
      </c>
      <c r="M131" s="32">
        <f t="shared" ref="M131:M194" ca="1" si="13">NOW()</f>
        <v>46094.483751967593</v>
      </c>
      <c r="N131" s="30" t="str">
        <f t="shared" ref="N131:N194" si="14">INDEX(B131:B330,MATCH(MAX(E131:E330),E131:E330,0))</f>
        <v>total orders</v>
      </c>
    </row>
    <row r="132" spans="1:14" x14ac:dyDescent="0.3">
      <c r="A132" s="28" t="s">
        <v>63</v>
      </c>
      <c r="B132" s="28" t="s">
        <v>61</v>
      </c>
      <c r="C132" s="28" t="s">
        <v>18</v>
      </c>
      <c r="D132" s="28" t="s">
        <v>12</v>
      </c>
      <c r="E132" s="28">
        <f t="shared" si="10"/>
        <v>1152.806</v>
      </c>
      <c r="F132" s="28">
        <v>1213.48</v>
      </c>
      <c r="G132" s="28">
        <v>5</v>
      </c>
      <c r="H132" s="29">
        <v>45616</v>
      </c>
      <c r="I132" s="28">
        <v>0.05</v>
      </c>
      <c r="J132" s="28">
        <v>461.12</v>
      </c>
      <c r="K132" s="30">
        <f t="shared" si="11"/>
        <v>1152.806</v>
      </c>
      <c r="L132" s="31">
        <f t="shared" si="12"/>
        <v>-5.2081616507894689E-2</v>
      </c>
      <c r="M132" s="32">
        <f t="shared" ca="1" si="13"/>
        <v>46094.483751967593</v>
      </c>
      <c r="N132" s="30" t="str">
        <f t="shared" si="14"/>
        <v>total orders</v>
      </c>
    </row>
    <row r="133" spans="1:14" x14ac:dyDescent="0.3">
      <c r="A133" s="28" t="s">
        <v>57</v>
      </c>
      <c r="B133" s="28" t="s">
        <v>38</v>
      </c>
      <c r="C133" s="28" t="s">
        <v>34</v>
      </c>
      <c r="D133" s="28" t="s">
        <v>12</v>
      </c>
      <c r="E133" s="28">
        <f t="shared" si="10"/>
        <v>1092.7660000000001</v>
      </c>
      <c r="F133" s="28">
        <v>1150.28</v>
      </c>
      <c r="G133" s="28">
        <v>8</v>
      </c>
      <c r="H133" s="29">
        <v>45622</v>
      </c>
      <c r="I133" s="28">
        <v>0.05</v>
      </c>
      <c r="J133" s="28">
        <v>437.11</v>
      </c>
      <c r="K133" s="30">
        <f t="shared" si="11"/>
        <v>1092.7660000000001</v>
      </c>
      <c r="L133" s="31">
        <f t="shared" si="12"/>
        <v>-0.25769377890600548</v>
      </c>
      <c r="M133" s="32">
        <f t="shared" ca="1" si="13"/>
        <v>46094.483751967593</v>
      </c>
      <c r="N133" s="30" t="str">
        <f t="shared" si="14"/>
        <v>total orders</v>
      </c>
    </row>
    <row r="134" spans="1:14" x14ac:dyDescent="0.3">
      <c r="A134" s="28" t="s">
        <v>37</v>
      </c>
      <c r="B134" s="28" t="s">
        <v>71</v>
      </c>
      <c r="C134" s="28" t="s">
        <v>20</v>
      </c>
      <c r="D134" s="28" t="s">
        <v>27</v>
      </c>
      <c r="E134" s="28">
        <f t="shared" si="10"/>
        <v>768.47400000000005</v>
      </c>
      <c r="F134" s="28">
        <v>853.86</v>
      </c>
      <c r="G134" s="28">
        <v>8</v>
      </c>
      <c r="H134" s="29">
        <v>45622</v>
      </c>
      <c r="I134" s="28">
        <v>0.1</v>
      </c>
      <c r="J134" s="28">
        <v>268.97000000000003</v>
      </c>
      <c r="K134" s="30">
        <f t="shared" si="11"/>
        <v>768.47400000000005</v>
      </c>
      <c r="L134" s="31">
        <f t="shared" si="12"/>
        <v>0.24263930855175314</v>
      </c>
      <c r="M134" s="32">
        <f t="shared" ca="1" si="13"/>
        <v>46094.483751967593</v>
      </c>
      <c r="N134" s="30" t="str">
        <f t="shared" si="14"/>
        <v>total orders</v>
      </c>
    </row>
    <row r="135" spans="1:14" x14ac:dyDescent="0.3">
      <c r="A135" s="28" t="s">
        <v>75</v>
      </c>
      <c r="B135" s="28" t="s">
        <v>45</v>
      </c>
      <c r="C135" s="28" t="s">
        <v>20</v>
      </c>
      <c r="D135" s="28" t="s">
        <v>21</v>
      </c>
      <c r="E135" s="28">
        <f t="shared" si="10"/>
        <v>1061.04</v>
      </c>
      <c r="F135" s="28">
        <v>1061.04</v>
      </c>
      <c r="G135" s="28">
        <v>1</v>
      </c>
      <c r="H135" s="29">
        <v>45624</v>
      </c>
      <c r="I135" s="28">
        <v>0</v>
      </c>
      <c r="J135" s="28">
        <v>265.26</v>
      </c>
      <c r="K135" s="30">
        <f t="shared" si="11"/>
        <v>1061.04</v>
      </c>
      <c r="L135" s="31">
        <f t="shared" si="12"/>
        <v>-0.15691208625499511</v>
      </c>
      <c r="M135" s="32">
        <f t="shared" ca="1" si="13"/>
        <v>46094.483751967593</v>
      </c>
      <c r="N135" s="30" t="str">
        <f t="shared" si="14"/>
        <v>total orders</v>
      </c>
    </row>
    <row r="136" spans="1:14" x14ac:dyDescent="0.3">
      <c r="A136" s="28" t="s">
        <v>28</v>
      </c>
      <c r="B136" s="28" t="s">
        <v>43</v>
      </c>
      <c r="C136" s="28" t="s">
        <v>11</v>
      </c>
      <c r="D136" s="28" t="s">
        <v>21</v>
      </c>
      <c r="E136" s="28">
        <f t="shared" si="10"/>
        <v>715.64</v>
      </c>
      <c r="F136" s="28">
        <v>894.55</v>
      </c>
      <c r="G136" s="28">
        <v>19</v>
      </c>
      <c r="H136" s="29">
        <v>45625</v>
      </c>
      <c r="I136" s="28">
        <v>0.2</v>
      </c>
      <c r="J136" s="28">
        <v>178.91</v>
      </c>
      <c r="K136" s="30">
        <f t="shared" si="11"/>
        <v>715.64</v>
      </c>
      <c r="L136" s="31">
        <f t="shared" si="12"/>
        <v>-6.778827343356994E-2</v>
      </c>
      <c r="M136" s="32">
        <f t="shared" ca="1" si="13"/>
        <v>46094.483751967593</v>
      </c>
      <c r="N136" s="30" t="str">
        <f t="shared" si="14"/>
        <v>total orders</v>
      </c>
    </row>
    <row r="137" spans="1:14" x14ac:dyDescent="0.3">
      <c r="A137" s="28" t="s">
        <v>25</v>
      </c>
      <c r="B137" s="28" t="s">
        <v>38</v>
      </c>
      <c r="C137" s="28" t="s">
        <v>24</v>
      </c>
      <c r="D137" s="28" t="s">
        <v>39</v>
      </c>
      <c r="E137" s="28">
        <f t="shared" si="10"/>
        <v>792.21449999999993</v>
      </c>
      <c r="F137" s="28">
        <v>833.91</v>
      </c>
      <c r="G137" s="28">
        <v>3</v>
      </c>
      <c r="H137" s="29">
        <v>45626</v>
      </c>
      <c r="I137" s="28">
        <v>0.05</v>
      </c>
      <c r="J137" s="28">
        <v>356.5</v>
      </c>
      <c r="K137" s="30">
        <f t="shared" si="11"/>
        <v>792.21449999999993</v>
      </c>
      <c r="L137" s="31">
        <f t="shared" si="12"/>
        <v>-1.6452614790564826E-2</v>
      </c>
      <c r="M137" s="32">
        <f t="shared" ca="1" si="13"/>
        <v>46094.483751967593</v>
      </c>
      <c r="N137" s="30" t="str">
        <f t="shared" si="14"/>
        <v>total orders</v>
      </c>
    </row>
    <row r="138" spans="1:14" x14ac:dyDescent="0.3">
      <c r="A138" s="28" t="s">
        <v>58</v>
      </c>
      <c r="B138" s="28" t="s">
        <v>71</v>
      </c>
      <c r="C138" s="28" t="s">
        <v>11</v>
      </c>
      <c r="D138" s="28" t="s">
        <v>27</v>
      </c>
      <c r="E138" s="28">
        <f t="shared" si="10"/>
        <v>656.15200000000004</v>
      </c>
      <c r="F138" s="28">
        <v>820.19</v>
      </c>
      <c r="G138" s="28">
        <v>4</v>
      </c>
      <c r="H138" s="29">
        <v>45630</v>
      </c>
      <c r="I138" s="28">
        <v>0.2</v>
      </c>
      <c r="J138" s="28">
        <v>229.65</v>
      </c>
      <c r="K138" s="30">
        <f t="shared" si="11"/>
        <v>656.15200000000004</v>
      </c>
      <c r="L138" s="31">
        <f t="shared" si="12"/>
        <v>-0.37607139809068635</v>
      </c>
      <c r="M138" s="32">
        <f t="shared" ca="1" si="13"/>
        <v>46094.483751967593</v>
      </c>
      <c r="N138" s="30" t="str">
        <f t="shared" si="14"/>
        <v>total orders</v>
      </c>
    </row>
    <row r="139" spans="1:14" x14ac:dyDescent="0.3">
      <c r="A139" s="28" t="s">
        <v>58</v>
      </c>
      <c r="B139" s="28" t="s">
        <v>38</v>
      </c>
      <c r="C139" s="28" t="s">
        <v>34</v>
      </c>
      <c r="D139" s="28" t="s">
        <v>21</v>
      </c>
      <c r="E139" s="28">
        <f t="shared" si="10"/>
        <v>486.15300000000002</v>
      </c>
      <c r="F139" s="28">
        <v>511.74</v>
      </c>
      <c r="G139" s="28">
        <v>8</v>
      </c>
      <c r="H139" s="29">
        <v>45631</v>
      </c>
      <c r="I139" s="28">
        <v>0.05</v>
      </c>
      <c r="J139" s="28">
        <v>121.54</v>
      </c>
      <c r="K139" s="30">
        <f t="shared" si="11"/>
        <v>486.15300000000002</v>
      </c>
      <c r="L139" s="31">
        <f t="shared" si="12"/>
        <v>0.57507718763434545</v>
      </c>
      <c r="M139" s="32">
        <f t="shared" ca="1" si="13"/>
        <v>46094.483751967593</v>
      </c>
      <c r="N139" s="30" t="str">
        <f t="shared" si="14"/>
        <v>total orders</v>
      </c>
    </row>
    <row r="140" spans="1:14" x14ac:dyDescent="0.3">
      <c r="A140" s="28" t="s">
        <v>65</v>
      </c>
      <c r="B140" s="28" t="s">
        <v>61</v>
      </c>
      <c r="C140" s="28" t="s">
        <v>20</v>
      </c>
      <c r="D140" s="28" t="s">
        <v>27</v>
      </c>
      <c r="E140" s="28">
        <f t="shared" si="10"/>
        <v>765.72849999999994</v>
      </c>
      <c r="F140" s="28">
        <v>806.03</v>
      </c>
      <c r="G140" s="28">
        <v>19</v>
      </c>
      <c r="H140" s="29">
        <v>45638</v>
      </c>
      <c r="I140" s="28">
        <v>0.05</v>
      </c>
      <c r="J140" s="28">
        <v>268</v>
      </c>
      <c r="K140" s="30">
        <f t="shared" si="11"/>
        <v>765.72849999999994</v>
      </c>
      <c r="L140" s="31">
        <f t="shared" si="12"/>
        <v>0.77719191593365022</v>
      </c>
      <c r="M140" s="32">
        <f t="shared" ca="1" si="13"/>
        <v>46094.483751967593</v>
      </c>
      <c r="N140" s="30" t="str">
        <f t="shared" si="14"/>
        <v>total orders</v>
      </c>
    </row>
    <row r="141" spans="1:14" x14ac:dyDescent="0.3">
      <c r="A141" s="28" t="s">
        <v>28</v>
      </c>
      <c r="B141" s="28" t="s">
        <v>26</v>
      </c>
      <c r="C141" s="28" t="s">
        <v>34</v>
      </c>
      <c r="D141" s="28" t="s">
        <v>27</v>
      </c>
      <c r="E141" s="28">
        <f t="shared" si="10"/>
        <v>1217.5995</v>
      </c>
      <c r="F141" s="28">
        <v>1432.47</v>
      </c>
      <c r="G141" s="28">
        <v>16</v>
      </c>
      <c r="H141" s="29">
        <v>45640</v>
      </c>
      <c r="I141" s="28">
        <v>0.15</v>
      </c>
      <c r="J141" s="28">
        <v>426.16</v>
      </c>
      <c r="K141" s="30">
        <f t="shared" si="11"/>
        <v>1217.5995</v>
      </c>
      <c r="L141" s="31">
        <f t="shared" si="12"/>
        <v>3.9170104784044271E-2</v>
      </c>
      <c r="M141" s="32">
        <f t="shared" ca="1" si="13"/>
        <v>46094.483751967593</v>
      </c>
      <c r="N141" s="30" t="str">
        <f t="shared" si="14"/>
        <v>total orders</v>
      </c>
    </row>
    <row r="142" spans="1:14" x14ac:dyDescent="0.3">
      <c r="A142" s="28" t="s">
        <v>74</v>
      </c>
      <c r="B142" s="28" t="s">
        <v>29</v>
      </c>
      <c r="C142" s="28" t="s">
        <v>34</v>
      </c>
      <c r="D142" s="28" t="s">
        <v>21</v>
      </c>
      <c r="E142" s="28">
        <f t="shared" si="10"/>
        <v>1265.2929999999999</v>
      </c>
      <c r="F142" s="28">
        <v>1488.58</v>
      </c>
      <c r="G142" s="28">
        <v>10</v>
      </c>
      <c r="H142" s="29">
        <v>45640</v>
      </c>
      <c r="I142" s="28">
        <v>0.15</v>
      </c>
      <c r="J142" s="28">
        <v>316.32</v>
      </c>
      <c r="K142" s="30">
        <f t="shared" si="11"/>
        <v>1265.2929999999999</v>
      </c>
      <c r="L142" s="31">
        <f t="shared" si="12"/>
        <v>-0.17286272823764928</v>
      </c>
      <c r="M142" s="32">
        <f t="shared" ca="1" si="13"/>
        <v>46094.483751967593</v>
      </c>
      <c r="N142" s="30" t="str">
        <f t="shared" si="14"/>
        <v>total orders</v>
      </c>
    </row>
    <row r="143" spans="1:14" x14ac:dyDescent="0.3">
      <c r="A143" s="28" t="s">
        <v>30</v>
      </c>
      <c r="B143" s="28" t="s">
        <v>66</v>
      </c>
      <c r="C143" s="28" t="s">
        <v>18</v>
      </c>
      <c r="D143" s="28" t="s">
        <v>12</v>
      </c>
      <c r="E143" s="28">
        <f t="shared" si="10"/>
        <v>1231.26</v>
      </c>
      <c r="F143" s="28">
        <v>1231.26</v>
      </c>
      <c r="G143" s="28">
        <v>9</v>
      </c>
      <c r="H143" s="29">
        <v>45646</v>
      </c>
      <c r="I143" s="28">
        <v>0</v>
      </c>
      <c r="J143" s="28">
        <v>492.5</v>
      </c>
      <c r="K143" s="30">
        <f t="shared" si="11"/>
        <v>1231.26</v>
      </c>
      <c r="L143" s="31">
        <f t="shared" si="12"/>
        <v>-5.651933791400672E-2</v>
      </c>
      <c r="M143" s="32">
        <f t="shared" ca="1" si="13"/>
        <v>46094.483751967593</v>
      </c>
      <c r="N143" s="30" t="str">
        <f t="shared" si="14"/>
        <v>total orders</v>
      </c>
    </row>
    <row r="144" spans="1:14" x14ac:dyDescent="0.3">
      <c r="A144" s="28" t="s">
        <v>30</v>
      </c>
      <c r="B144" s="28" t="s">
        <v>43</v>
      </c>
      <c r="C144" s="28" t="s">
        <v>11</v>
      </c>
      <c r="D144" s="28" t="s">
        <v>21</v>
      </c>
      <c r="E144" s="28">
        <f t="shared" si="10"/>
        <v>929.33600000000001</v>
      </c>
      <c r="F144" s="28">
        <v>1161.67</v>
      </c>
      <c r="G144" s="28">
        <v>19</v>
      </c>
      <c r="H144" s="29">
        <v>45647</v>
      </c>
      <c r="I144" s="28">
        <v>0.2</v>
      </c>
      <c r="J144" s="28">
        <v>232.33</v>
      </c>
      <c r="K144" s="30">
        <f t="shared" si="11"/>
        <v>929.33600000000001</v>
      </c>
      <c r="L144" s="31">
        <f t="shared" si="12"/>
        <v>-0.66580009813458207</v>
      </c>
      <c r="M144" s="32">
        <f t="shared" ca="1" si="13"/>
        <v>46094.483751967593</v>
      </c>
      <c r="N144" s="30" t="str">
        <f t="shared" si="14"/>
        <v>total orders</v>
      </c>
    </row>
    <row r="145" spans="1:14" x14ac:dyDescent="0.3">
      <c r="A145" s="28" t="s">
        <v>49</v>
      </c>
      <c r="B145" s="28" t="s">
        <v>45</v>
      </c>
      <c r="C145" s="28" t="s">
        <v>34</v>
      </c>
      <c r="D145" s="28" t="s">
        <v>39</v>
      </c>
      <c r="E145" s="28">
        <f t="shared" si="10"/>
        <v>368.81850000000003</v>
      </c>
      <c r="F145" s="28">
        <v>388.23</v>
      </c>
      <c r="G145" s="28">
        <v>16</v>
      </c>
      <c r="H145" s="29">
        <v>45650</v>
      </c>
      <c r="I145" s="28">
        <v>0.05</v>
      </c>
      <c r="J145" s="28">
        <v>165.97</v>
      </c>
      <c r="K145" s="30">
        <f t="shared" si="11"/>
        <v>368.81850000000003</v>
      </c>
      <c r="L145" s="31">
        <f t="shared" si="12"/>
        <v>3.0940164335574272</v>
      </c>
      <c r="M145" s="32">
        <f t="shared" ca="1" si="13"/>
        <v>46094.483751967593</v>
      </c>
      <c r="N145" s="30" t="str">
        <f t="shared" si="14"/>
        <v>total orders</v>
      </c>
    </row>
    <row r="146" spans="1:14" x14ac:dyDescent="0.3">
      <c r="A146" s="28" t="s">
        <v>72</v>
      </c>
      <c r="B146" s="28" t="s">
        <v>31</v>
      </c>
      <c r="C146" s="28" t="s">
        <v>24</v>
      </c>
      <c r="D146" s="28" t="s">
        <v>15</v>
      </c>
      <c r="E146" s="28">
        <f t="shared" si="10"/>
        <v>1351.0070000000001</v>
      </c>
      <c r="F146" s="28">
        <v>1589.42</v>
      </c>
      <c r="G146" s="28">
        <v>6</v>
      </c>
      <c r="H146" s="29">
        <v>45651</v>
      </c>
      <c r="I146" s="28">
        <v>0.15</v>
      </c>
      <c r="J146" s="28">
        <v>675.5</v>
      </c>
      <c r="K146" s="30">
        <f t="shared" si="11"/>
        <v>1351.0070000000001</v>
      </c>
      <c r="L146" s="31">
        <f t="shared" si="12"/>
        <v>-0.78818688578223495</v>
      </c>
      <c r="M146" s="32">
        <f t="shared" ca="1" si="13"/>
        <v>46094.483751967593</v>
      </c>
      <c r="N146" s="30" t="str">
        <f t="shared" si="14"/>
        <v>total orders</v>
      </c>
    </row>
    <row r="147" spans="1:14" x14ac:dyDescent="0.3">
      <c r="A147" s="28" t="s">
        <v>28</v>
      </c>
      <c r="B147" s="28" t="s">
        <v>71</v>
      </c>
      <c r="C147" s="28" t="s">
        <v>24</v>
      </c>
      <c r="D147" s="28" t="s">
        <v>15</v>
      </c>
      <c r="E147" s="28">
        <f t="shared" si="10"/>
        <v>269.32800000000003</v>
      </c>
      <c r="F147" s="28">
        <v>336.66</v>
      </c>
      <c r="G147" s="28">
        <v>13</v>
      </c>
      <c r="H147" s="29">
        <v>45651</v>
      </c>
      <c r="I147" s="28">
        <v>0.2</v>
      </c>
      <c r="J147" s="28">
        <v>134.66</v>
      </c>
      <c r="K147" s="30">
        <f t="shared" si="11"/>
        <v>269.32800000000003</v>
      </c>
      <c r="L147" s="31">
        <f t="shared" si="12"/>
        <v>3.0212380443177085</v>
      </c>
      <c r="M147" s="32">
        <f t="shared" ca="1" si="13"/>
        <v>46094.483751967593</v>
      </c>
      <c r="N147" s="30" t="str">
        <f t="shared" si="14"/>
        <v>total orders</v>
      </c>
    </row>
    <row r="148" spans="1:14" x14ac:dyDescent="0.3">
      <c r="A148" s="28" t="s">
        <v>49</v>
      </c>
      <c r="B148" s="28" t="s">
        <v>23</v>
      </c>
      <c r="C148" s="28" t="s">
        <v>11</v>
      </c>
      <c r="D148" s="28" t="s">
        <v>12</v>
      </c>
      <c r="E148" s="28">
        <f t="shared" si="10"/>
        <v>1218.4110000000001</v>
      </c>
      <c r="F148" s="28">
        <v>1353.79</v>
      </c>
      <c r="G148" s="28">
        <v>14</v>
      </c>
      <c r="H148" s="29">
        <v>45656</v>
      </c>
      <c r="I148" s="28">
        <v>0.1</v>
      </c>
      <c r="J148" s="28">
        <v>487.36</v>
      </c>
      <c r="K148" s="30">
        <f t="shared" si="11"/>
        <v>1218.4110000000001</v>
      </c>
      <c r="L148" s="31">
        <f t="shared" si="12"/>
        <v>-0.51055185811684234</v>
      </c>
      <c r="M148" s="32">
        <f t="shared" ca="1" si="13"/>
        <v>46094.483751967593</v>
      </c>
      <c r="N148" s="30" t="str">
        <f t="shared" si="14"/>
        <v>total orders</v>
      </c>
    </row>
    <row r="149" spans="1:14" x14ac:dyDescent="0.3">
      <c r="A149" s="28" t="s">
        <v>63</v>
      </c>
      <c r="B149" s="28" t="s">
        <v>69</v>
      </c>
      <c r="C149" s="28" t="s">
        <v>34</v>
      </c>
      <c r="D149" s="28" t="s">
        <v>15</v>
      </c>
      <c r="E149" s="28">
        <f t="shared" si="10"/>
        <v>629.47950000000003</v>
      </c>
      <c r="F149" s="28">
        <v>662.61</v>
      </c>
      <c r="G149" s="28">
        <v>11</v>
      </c>
      <c r="H149" s="29">
        <v>45658</v>
      </c>
      <c r="I149" s="28">
        <v>0.05</v>
      </c>
      <c r="J149" s="28">
        <v>314.74</v>
      </c>
      <c r="K149" s="30">
        <f t="shared" si="11"/>
        <v>629.47950000000003</v>
      </c>
      <c r="L149" s="31">
        <f t="shared" si="12"/>
        <v>-0.53302847829039701</v>
      </c>
      <c r="M149" s="32">
        <f t="shared" ca="1" si="13"/>
        <v>46094.483751967593</v>
      </c>
      <c r="N149" s="30" t="str">
        <f t="shared" si="14"/>
        <v>total orders</v>
      </c>
    </row>
    <row r="150" spans="1:14" x14ac:dyDescent="0.3">
      <c r="A150" s="28" t="s">
        <v>52</v>
      </c>
      <c r="B150" s="28" t="s">
        <v>48</v>
      </c>
      <c r="C150" s="28" t="s">
        <v>24</v>
      </c>
      <c r="D150" s="28" t="s">
        <v>39</v>
      </c>
      <c r="E150" s="28">
        <f t="shared" si="10"/>
        <v>247.536</v>
      </c>
      <c r="F150" s="28">
        <v>309.42</v>
      </c>
      <c r="G150" s="28">
        <v>1</v>
      </c>
      <c r="H150" s="29">
        <v>45658</v>
      </c>
      <c r="I150" s="28">
        <v>0.2</v>
      </c>
      <c r="J150" s="28">
        <v>111.39</v>
      </c>
      <c r="K150" s="30">
        <f t="shared" si="11"/>
        <v>247.536</v>
      </c>
      <c r="L150" s="31">
        <f t="shared" si="12"/>
        <v>1.8589942473014027</v>
      </c>
      <c r="M150" s="32">
        <f t="shared" ca="1" si="13"/>
        <v>46094.483751967593</v>
      </c>
      <c r="N150" s="30" t="str">
        <f t="shared" si="14"/>
        <v>total orders</v>
      </c>
    </row>
    <row r="151" spans="1:14" x14ac:dyDescent="0.3">
      <c r="A151" s="28" t="s">
        <v>63</v>
      </c>
      <c r="B151" s="28" t="s">
        <v>29</v>
      </c>
      <c r="C151" s="28" t="s">
        <v>24</v>
      </c>
      <c r="D151" s="28" t="s">
        <v>12</v>
      </c>
      <c r="E151" s="28">
        <f t="shared" si="10"/>
        <v>796.16700000000003</v>
      </c>
      <c r="F151" s="28">
        <v>884.63</v>
      </c>
      <c r="G151" s="28">
        <v>18</v>
      </c>
      <c r="H151" s="29">
        <v>45659</v>
      </c>
      <c r="I151" s="28">
        <v>0.1</v>
      </c>
      <c r="J151" s="28">
        <v>318.47000000000003</v>
      </c>
      <c r="K151" s="30">
        <f t="shared" si="11"/>
        <v>796.16700000000003</v>
      </c>
      <c r="L151" s="31">
        <f t="shared" si="12"/>
        <v>-0.15778348009902449</v>
      </c>
      <c r="M151" s="32">
        <f t="shared" ca="1" si="13"/>
        <v>46094.483751967593</v>
      </c>
      <c r="N151" s="30" t="str">
        <f t="shared" si="14"/>
        <v>total orders</v>
      </c>
    </row>
    <row r="152" spans="1:14" x14ac:dyDescent="0.3">
      <c r="A152" s="28" t="s">
        <v>52</v>
      </c>
      <c r="B152" s="28" t="s">
        <v>23</v>
      </c>
      <c r="C152" s="28" t="s">
        <v>34</v>
      </c>
      <c r="D152" s="28" t="s">
        <v>39</v>
      </c>
      <c r="E152" s="28">
        <f t="shared" si="10"/>
        <v>670.54499999999996</v>
      </c>
      <c r="F152" s="28">
        <v>745.05</v>
      </c>
      <c r="G152" s="28">
        <v>10</v>
      </c>
      <c r="H152" s="29">
        <v>45660</v>
      </c>
      <c r="I152" s="28">
        <v>0.1</v>
      </c>
      <c r="J152" s="28">
        <v>301.75</v>
      </c>
      <c r="K152" s="30">
        <f t="shared" si="11"/>
        <v>670.54499999999996</v>
      </c>
      <c r="L152" s="31">
        <f t="shared" si="12"/>
        <v>0.16801556942487092</v>
      </c>
      <c r="M152" s="32">
        <f t="shared" ca="1" si="13"/>
        <v>46094.483751967593</v>
      </c>
      <c r="N152" s="30" t="str">
        <f t="shared" si="14"/>
        <v>total orders</v>
      </c>
    </row>
    <row r="153" spans="1:14" x14ac:dyDescent="0.3">
      <c r="A153" s="28" t="s">
        <v>60</v>
      </c>
      <c r="B153" s="28" t="s">
        <v>17</v>
      </c>
      <c r="C153" s="28" t="s">
        <v>20</v>
      </c>
      <c r="D153" s="28" t="s">
        <v>15</v>
      </c>
      <c r="E153" s="28">
        <f t="shared" si="10"/>
        <v>826.71850000000006</v>
      </c>
      <c r="F153" s="28">
        <v>870.23</v>
      </c>
      <c r="G153" s="28">
        <v>5</v>
      </c>
      <c r="H153" s="29">
        <v>45660</v>
      </c>
      <c r="I153" s="28">
        <v>0.05</v>
      </c>
      <c r="J153" s="28">
        <v>413.36</v>
      </c>
      <c r="K153" s="30">
        <f t="shared" si="11"/>
        <v>826.71850000000006</v>
      </c>
      <c r="L153" s="31">
        <f t="shared" si="12"/>
        <v>-9.2389368327912887E-3</v>
      </c>
      <c r="M153" s="32">
        <f t="shared" ca="1" si="13"/>
        <v>46094.483751967593</v>
      </c>
      <c r="N153" s="30" t="str">
        <f t="shared" si="14"/>
        <v>total orders</v>
      </c>
    </row>
    <row r="154" spans="1:14" x14ac:dyDescent="0.3">
      <c r="A154" s="28" t="s">
        <v>35</v>
      </c>
      <c r="B154" s="28" t="s">
        <v>29</v>
      </c>
      <c r="C154" s="28" t="s">
        <v>11</v>
      </c>
      <c r="D154" s="28" t="s">
        <v>27</v>
      </c>
      <c r="E154" s="28">
        <f t="shared" si="10"/>
        <v>819.08050000000003</v>
      </c>
      <c r="F154" s="28">
        <v>862.19</v>
      </c>
      <c r="G154" s="28">
        <v>18</v>
      </c>
      <c r="H154" s="29">
        <v>45663</v>
      </c>
      <c r="I154" s="28">
        <v>0.05</v>
      </c>
      <c r="J154" s="28">
        <v>286.68</v>
      </c>
      <c r="K154" s="30">
        <f t="shared" si="11"/>
        <v>819.08050000000003</v>
      </c>
      <c r="L154" s="31">
        <f t="shared" si="12"/>
        <v>0.3583780837170461</v>
      </c>
      <c r="M154" s="32">
        <f t="shared" ca="1" si="13"/>
        <v>46094.483751967593</v>
      </c>
      <c r="N154" s="30" t="str">
        <f t="shared" si="14"/>
        <v>total orders</v>
      </c>
    </row>
    <row r="155" spans="1:14" x14ac:dyDescent="0.3">
      <c r="A155" s="28" t="s">
        <v>73</v>
      </c>
      <c r="B155" s="28" t="s">
        <v>59</v>
      </c>
      <c r="C155" s="28" t="s">
        <v>24</v>
      </c>
      <c r="D155" s="28" t="s">
        <v>15</v>
      </c>
      <c r="E155" s="28">
        <f t="shared" si="10"/>
        <v>1112.6210000000001</v>
      </c>
      <c r="F155" s="28">
        <v>1171.18</v>
      </c>
      <c r="G155" s="28">
        <v>19</v>
      </c>
      <c r="H155" s="29">
        <v>45667</v>
      </c>
      <c r="I155" s="28">
        <v>0.05</v>
      </c>
      <c r="J155" s="28">
        <v>556.30999999999995</v>
      </c>
      <c r="K155" s="30">
        <f t="shared" si="11"/>
        <v>1112.6210000000001</v>
      </c>
      <c r="L155" s="31">
        <f t="shared" si="12"/>
        <v>-9.9574787820830374E-2</v>
      </c>
      <c r="M155" s="32">
        <f t="shared" ca="1" si="13"/>
        <v>46094.483751967593</v>
      </c>
      <c r="N155" s="30" t="str">
        <f t="shared" si="14"/>
        <v>total orders</v>
      </c>
    </row>
    <row r="156" spans="1:14" x14ac:dyDescent="0.3">
      <c r="A156" s="28" t="s">
        <v>58</v>
      </c>
      <c r="B156" s="28" t="s">
        <v>14</v>
      </c>
      <c r="C156" s="28" t="s">
        <v>20</v>
      </c>
      <c r="D156" s="28" t="s">
        <v>27</v>
      </c>
      <c r="E156" s="28">
        <f t="shared" si="10"/>
        <v>949.10399999999993</v>
      </c>
      <c r="F156" s="28">
        <v>1054.56</v>
      </c>
      <c r="G156" s="28">
        <v>11</v>
      </c>
      <c r="H156" s="29">
        <v>45669</v>
      </c>
      <c r="I156" s="28">
        <v>0.1</v>
      </c>
      <c r="J156" s="28">
        <v>332.19</v>
      </c>
      <c r="K156" s="30">
        <f t="shared" si="11"/>
        <v>949.10399999999993</v>
      </c>
      <c r="L156" s="31">
        <f t="shared" si="12"/>
        <v>0.59422887270520419</v>
      </c>
      <c r="M156" s="32">
        <f t="shared" ca="1" si="13"/>
        <v>46094.483751967593</v>
      </c>
      <c r="N156" s="30" t="str">
        <f t="shared" si="14"/>
        <v>total orders</v>
      </c>
    </row>
    <row r="157" spans="1:14" x14ac:dyDescent="0.3">
      <c r="A157" s="28" t="s">
        <v>58</v>
      </c>
      <c r="B157" s="28" t="s">
        <v>23</v>
      </c>
      <c r="C157" s="28" t="s">
        <v>24</v>
      </c>
      <c r="D157" s="28" t="s">
        <v>21</v>
      </c>
      <c r="E157" s="28">
        <f t="shared" si="10"/>
        <v>1344.9680000000001</v>
      </c>
      <c r="F157" s="28">
        <v>1681.21</v>
      </c>
      <c r="G157" s="28">
        <v>5</v>
      </c>
      <c r="H157" s="29">
        <v>45670</v>
      </c>
      <c r="I157" s="28">
        <v>0.2</v>
      </c>
      <c r="J157" s="28">
        <v>336.24</v>
      </c>
      <c r="K157" s="30">
        <f t="shared" si="11"/>
        <v>1344.9680000000001</v>
      </c>
      <c r="L157" s="31">
        <f t="shared" si="12"/>
        <v>-0.77410912378584473</v>
      </c>
      <c r="M157" s="32">
        <f t="shared" ca="1" si="13"/>
        <v>46094.483751967593</v>
      </c>
      <c r="N157" s="30" t="str">
        <f t="shared" si="14"/>
        <v>total orders</v>
      </c>
    </row>
    <row r="158" spans="1:14" x14ac:dyDescent="0.3">
      <c r="A158" s="28" t="s">
        <v>58</v>
      </c>
      <c r="B158" s="28" t="s">
        <v>36</v>
      </c>
      <c r="C158" s="28" t="s">
        <v>11</v>
      </c>
      <c r="D158" s="28" t="s">
        <v>15</v>
      </c>
      <c r="E158" s="28">
        <f t="shared" si="10"/>
        <v>360.78149999999999</v>
      </c>
      <c r="F158" s="28">
        <v>379.77</v>
      </c>
      <c r="G158" s="28">
        <v>9</v>
      </c>
      <c r="H158" s="29">
        <v>45673</v>
      </c>
      <c r="I158" s="28">
        <v>0.05</v>
      </c>
      <c r="J158" s="28">
        <v>180.39</v>
      </c>
      <c r="K158" s="30">
        <f t="shared" si="11"/>
        <v>360.78149999999999</v>
      </c>
      <c r="L158" s="31">
        <f t="shared" si="12"/>
        <v>1.8341627827369196</v>
      </c>
      <c r="M158" s="32">
        <f t="shared" ca="1" si="13"/>
        <v>46094.483751967593</v>
      </c>
      <c r="N158" s="30" t="str">
        <f t="shared" si="14"/>
        <v>total orders</v>
      </c>
    </row>
    <row r="159" spans="1:14" x14ac:dyDescent="0.3">
      <c r="A159" s="28" t="s">
        <v>44</v>
      </c>
      <c r="B159" s="28" t="s">
        <v>45</v>
      </c>
      <c r="C159" s="28" t="s">
        <v>34</v>
      </c>
      <c r="D159" s="28" t="s">
        <v>15</v>
      </c>
      <c r="E159" s="28">
        <f t="shared" si="10"/>
        <v>968.69699999999989</v>
      </c>
      <c r="F159" s="28">
        <v>1076.33</v>
      </c>
      <c r="G159" s="28">
        <v>2</v>
      </c>
      <c r="H159" s="29">
        <v>45674</v>
      </c>
      <c r="I159" s="28">
        <v>0.1</v>
      </c>
      <c r="J159" s="28">
        <v>484.35</v>
      </c>
      <c r="K159" s="30">
        <f t="shared" si="11"/>
        <v>968.69699999999989</v>
      </c>
      <c r="L159" s="31">
        <f t="shared" si="12"/>
        <v>0.16201350886809818</v>
      </c>
      <c r="M159" s="32">
        <f t="shared" ca="1" si="13"/>
        <v>46094.483751967593</v>
      </c>
      <c r="N159" s="30" t="str">
        <f t="shared" si="14"/>
        <v>total orders</v>
      </c>
    </row>
    <row r="160" spans="1:14" x14ac:dyDescent="0.3">
      <c r="A160" s="28" t="s">
        <v>44</v>
      </c>
      <c r="B160" s="28" t="s">
        <v>31</v>
      </c>
      <c r="C160" s="28" t="s">
        <v>34</v>
      </c>
      <c r="D160" s="28" t="s">
        <v>39</v>
      </c>
      <c r="E160" s="28">
        <f t="shared" si="10"/>
        <v>1250.71</v>
      </c>
      <c r="F160" s="28">
        <v>1250.71</v>
      </c>
      <c r="G160" s="28">
        <v>7</v>
      </c>
      <c r="H160" s="29">
        <v>45674</v>
      </c>
      <c r="I160" s="28">
        <v>0</v>
      </c>
      <c r="J160" s="28">
        <v>562.82000000000005</v>
      </c>
      <c r="K160" s="30">
        <f t="shared" si="11"/>
        <v>1250.71</v>
      </c>
      <c r="L160" s="31">
        <f t="shared" si="12"/>
        <v>-0.10583588521719672</v>
      </c>
      <c r="M160" s="32">
        <f t="shared" ca="1" si="13"/>
        <v>46094.483751967593</v>
      </c>
      <c r="N160" s="30" t="str">
        <f t="shared" si="14"/>
        <v>total orders</v>
      </c>
    </row>
    <row r="161" spans="1:14" x14ac:dyDescent="0.3">
      <c r="A161" s="28" t="s">
        <v>40</v>
      </c>
      <c r="B161" s="28" t="s">
        <v>17</v>
      </c>
      <c r="C161" s="28" t="s">
        <v>20</v>
      </c>
      <c r="D161" s="28" t="s">
        <v>15</v>
      </c>
      <c r="E161" s="28">
        <f t="shared" si="10"/>
        <v>894.67199999999991</v>
      </c>
      <c r="F161" s="28">
        <v>1118.3399999999999</v>
      </c>
      <c r="G161" s="28">
        <v>6</v>
      </c>
      <c r="H161" s="29">
        <v>45674</v>
      </c>
      <c r="I161" s="28">
        <v>0.2</v>
      </c>
      <c r="J161" s="28">
        <v>447.34</v>
      </c>
      <c r="K161" s="30">
        <f t="shared" si="11"/>
        <v>894.67199999999991</v>
      </c>
      <c r="L161" s="31">
        <f t="shared" si="12"/>
        <v>0.45091832537510956</v>
      </c>
      <c r="M161" s="32">
        <f t="shared" ca="1" si="13"/>
        <v>46094.483751967593</v>
      </c>
      <c r="N161" s="30" t="str">
        <f t="shared" si="14"/>
        <v>total orders</v>
      </c>
    </row>
    <row r="162" spans="1:14" x14ac:dyDescent="0.3">
      <c r="A162" s="28" t="s">
        <v>70</v>
      </c>
      <c r="B162" s="28" t="s">
        <v>53</v>
      </c>
      <c r="C162" s="28" t="s">
        <v>24</v>
      </c>
      <c r="D162" s="28" t="s">
        <v>15</v>
      </c>
      <c r="E162" s="28">
        <f t="shared" si="10"/>
        <v>1298.096</v>
      </c>
      <c r="F162" s="28">
        <v>1622.62</v>
      </c>
      <c r="G162" s="28">
        <v>12</v>
      </c>
      <c r="H162" s="29">
        <v>45677</v>
      </c>
      <c r="I162" s="28">
        <v>0.2</v>
      </c>
      <c r="J162" s="28">
        <v>649.04999999999995</v>
      </c>
      <c r="K162" s="30">
        <f t="shared" si="11"/>
        <v>1298.096</v>
      </c>
      <c r="L162" s="31">
        <f t="shared" si="12"/>
        <v>-0.60518174310682726</v>
      </c>
      <c r="M162" s="32">
        <f t="shared" ca="1" si="13"/>
        <v>46094.483751967593</v>
      </c>
      <c r="N162" s="30" t="str">
        <f t="shared" si="14"/>
        <v>total orders</v>
      </c>
    </row>
    <row r="163" spans="1:14" x14ac:dyDescent="0.3">
      <c r="A163" s="28" t="s">
        <v>75</v>
      </c>
      <c r="B163" s="28" t="s">
        <v>48</v>
      </c>
      <c r="C163" s="28" t="s">
        <v>24</v>
      </c>
      <c r="D163" s="28" t="s">
        <v>12</v>
      </c>
      <c r="E163" s="28">
        <f t="shared" si="10"/>
        <v>512.51199999999994</v>
      </c>
      <c r="F163" s="28">
        <v>640.64</v>
      </c>
      <c r="G163" s="28">
        <v>11</v>
      </c>
      <c r="H163" s="29">
        <v>45678</v>
      </c>
      <c r="I163" s="28">
        <v>0.2</v>
      </c>
      <c r="J163" s="28">
        <v>205</v>
      </c>
      <c r="K163" s="30">
        <f t="shared" si="11"/>
        <v>512.51199999999994</v>
      </c>
      <c r="L163" s="31">
        <f t="shared" si="12"/>
        <v>-8.6600899100899131E-2</v>
      </c>
      <c r="M163" s="32">
        <f t="shared" ca="1" si="13"/>
        <v>46094.483751967593</v>
      </c>
      <c r="N163" s="30" t="str">
        <f t="shared" si="14"/>
        <v>total orders</v>
      </c>
    </row>
    <row r="164" spans="1:14" x14ac:dyDescent="0.3">
      <c r="A164" s="28" t="s">
        <v>22</v>
      </c>
      <c r="B164" s="28" t="s">
        <v>43</v>
      </c>
      <c r="C164" s="28" t="s">
        <v>11</v>
      </c>
      <c r="D164" s="28" t="s">
        <v>15</v>
      </c>
      <c r="E164" s="28">
        <f t="shared" si="10"/>
        <v>526.64400000000001</v>
      </c>
      <c r="F164" s="28">
        <v>585.16</v>
      </c>
      <c r="G164" s="28">
        <v>17</v>
      </c>
      <c r="H164" s="29">
        <v>45684</v>
      </c>
      <c r="I164" s="28">
        <v>0.1</v>
      </c>
      <c r="J164" s="28">
        <v>263.32</v>
      </c>
      <c r="K164" s="30">
        <f t="shared" si="11"/>
        <v>526.64400000000001</v>
      </c>
      <c r="L164" s="31">
        <f t="shared" si="12"/>
        <v>0.8968829038211773</v>
      </c>
      <c r="M164" s="32">
        <f t="shared" ca="1" si="13"/>
        <v>46094.483751967593</v>
      </c>
      <c r="N164" s="30" t="str">
        <f t="shared" si="14"/>
        <v>total orders</v>
      </c>
    </row>
    <row r="165" spans="1:14" x14ac:dyDescent="0.3">
      <c r="A165" s="28" t="s">
        <v>22</v>
      </c>
      <c r="B165" s="28" t="s">
        <v>31</v>
      </c>
      <c r="C165" s="28" t="s">
        <v>18</v>
      </c>
      <c r="D165" s="28" t="s">
        <v>15</v>
      </c>
      <c r="E165" s="28">
        <f t="shared" si="10"/>
        <v>887.98400000000004</v>
      </c>
      <c r="F165" s="28">
        <v>1109.98</v>
      </c>
      <c r="G165" s="28">
        <v>5</v>
      </c>
      <c r="H165" s="29">
        <v>45690</v>
      </c>
      <c r="I165" s="28">
        <v>0.2</v>
      </c>
      <c r="J165" s="28">
        <v>443.99</v>
      </c>
      <c r="K165" s="30">
        <f t="shared" si="11"/>
        <v>887.98400000000004</v>
      </c>
      <c r="L165" s="31">
        <f t="shared" si="12"/>
        <v>-1.0720913890340448E-2</v>
      </c>
      <c r="M165" s="32">
        <f t="shared" ca="1" si="13"/>
        <v>46094.483751967593</v>
      </c>
      <c r="N165" s="30" t="str">
        <f t="shared" si="14"/>
        <v>total orders</v>
      </c>
    </row>
    <row r="166" spans="1:14" x14ac:dyDescent="0.3">
      <c r="A166" s="28" t="s">
        <v>58</v>
      </c>
      <c r="B166" s="28" t="s">
        <v>45</v>
      </c>
      <c r="C166" s="28" t="s">
        <v>18</v>
      </c>
      <c r="D166" s="28" t="s">
        <v>12</v>
      </c>
      <c r="E166" s="28">
        <f t="shared" si="10"/>
        <v>988.27199999999993</v>
      </c>
      <c r="F166" s="28">
        <v>1098.08</v>
      </c>
      <c r="G166" s="28">
        <v>9</v>
      </c>
      <c r="H166" s="29">
        <v>45692</v>
      </c>
      <c r="I166" s="28">
        <v>0.1</v>
      </c>
      <c r="J166" s="28">
        <v>395.31</v>
      </c>
      <c r="K166" s="30">
        <f t="shared" si="11"/>
        <v>988.27199999999993</v>
      </c>
      <c r="L166" s="31">
        <f t="shared" si="12"/>
        <v>-0.24663958910097619</v>
      </c>
      <c r="M166" s="32">
        <f t="shared" ca="1" si="13"/>
        <v>46094.483751967593</v>
      </c>
      <c r="N166" s="30" t="str">
        <f t="shared" si="14"/>
        <v>total orders</v>
      </c>
    </row>
    <row r="167" spans="1:14" x14ac:dyDescent="0.3">
      <c r="A167" s="28" t="s">
        <v>65</v>
      </c>
      <c r="B167" s="28" t="s">
        <v>48</v>
      </c>
      <c r="C167" s="28" t="s">
        <v>11</v>
      </c>
      <c r="D167" s="28" t="s">
        <v>39</v>
      </c>
      <c r="E167" s="28">
        <f t="shared" si="10"/>
        <v>744.52499999999998</v>
      </c>
      <c r="F167" s="28">
        <v>827.25</v>
      </c>
      <c r="G167" s="28">
        <v>7</v>
      </c>
      <c r="H167" s="29">
        <v>45693</v>
      </c>
      <c r="I167" s="28">
        <v>0.1</v>
      </c>
      <c r="J167" s="28">
        <v>335.04</v>
      </c>
      <c r="K167" s="30">
        <f t="shared" si="11"/>
        <v>744.52499999999998</v>
      </c>
      <c r="L167" s="31">
        <f t="shared" si="12"/>
        <v>-0.10319734058627984</v>
      </c>
      <c r="M167" s="32">
        <f t="shared" ca="1" si="13"/>
        <v>46094.483751967593</v>
      </c>
      <c r="N167" s="30" t="str">
        <f t="shared" si="14"/>
        <v>total orders</v>
      </c>
    </row>
    <row r="168" spans="1:14" x14ac:dyDescent="0.3">
      <c r="A168" s="28" t="s">
        <v>70</v>
      </c>
      <c r="B168" s="28" t="s">
        <v>29</v>
      </c>
      <c r="C168" s="28" t="s">
        <v>34</v>
      </c>
      <c r="D168" s="28" t="s">
        <v>15</v>
      </c>
      <c r="E168" s="28">
        <f t="shared" si="10"/>
        <v>667.69200000000001</v>
      </c>
      <c r="F168" s="28">
        <v>741.88</v>
      </c>
      <c r="G168" s="28">
        <v>16</v>
      </c>
      <c r="H168" s="29">
        <v>45695</v>
      </c>
      <c r="I168" s="28">
        <v>0.1</v>
      </c>
      <c r="J168" s="28">
        <v>333.85</v>
      </c>
      <c r="K168" s="30">
        <f t="shared" si="11"/>
        <v>667.69200000000001</v>
      </c>
      <c r="L168" s="31">
        <f t="shared" si="12"/>
        <v>0.76748261174313903</v>
      </c>
      <c r="M168" s="32">
        <f t="shared" ca="1" si="13"/>
        <v>46094.483751967593</v>
      </c>
      <c r="N168" s="30" t="str">
        <f t="shared" si="14"/>
        <v>total orders</v>
      </c>
    </row>
    <row r="169" spans="1:14" x14ac:dyDescent="0.3">
      <c r="A169" s="28" t="s">
        <v>72</v>
      </c>
      <c r="B169" s="28" t="s">
        <v>10</v>
      </c>
      <c r="C169" s="28" t="s">
        <v>18</v>
      </c>
      <c r="D169" s="28" t="s">
        <v>39</v>
      </c>
      <c r="E169" s="28">
        <f t="shared" si="10"/>
        <v>1180.134</v>
      </c>
      <c r="F169" s="28">
        <v>1311.26</v>
      </c>
      <c r="G169" s="28">
        <v>6</v>
      </c>
      <c r="H169" s="29">
        <v>45698</v>
      </c>
      <c r="I169" s="28">
        <v>0.1</v>
      </c>
      <c r="J169" s="28">
        <v>531.05999999999995</v>
      </c>
      <c r="K169" s="30">
        <f t="shared" si="11"/>
        <v>1180.134</v>
      </c>
      <c r="L169" s="31">
        <f t="shared" si="12"/>
        <v>-0.56277168524930221</v>
      </c>
      <c r="M169" s="32">
        <f t="shared" ca="1" si="13"/>
        <v>46094.483751967593</v>
      </c>
      <c r="N169" s="30" t="str">
        <f t="shared" si="14"/>
        <v>total orders</v>
      </c>
    </row>
    <row r="170" spans="1:14" x14ac:dyDescent="0.3">
      <c r="A170" s="28" t="s">
        <v>72</v>
      </c>
      <c r="B170" s="28" t="s">
        <v>31</v>
      </c>
      <c r="C170" s="28" t="s">
        <v>20</v>
      </c>
      <c r="D170" s="28" t="s">
        <v>39</v>
      </c>
      <c r="E170" s="28">
        <f t="shared" si="10"/>
        <v>515.98800000000006</v>
      </c>
      <c r="F170" s="28">
        <v>573.32000000000005</v>
      </c>
      <c r="G170" s="28">
        <v>19</v>
      </c>
      <c r="H170" s="29">
        <v>45703</v>
      </c>
      <c r="I170" s="28">
        <v>0.1</v>
      </c>
      <c r="J170" s="28">
        <v>232.19</v>
      </c>
      <c r="K170" s="30">
        <f t="shared" si="11"/>
        <v>515.98800000000006</v>
      </c>
      <c r="L170" s="31">
        <f t="shared" si="12"/>
        <v>0.94519639991627702</v>
      </c>
      <c r="M170" s="32">
        <f t="shared" ca="1" si="13"/>
        <v>46094.483751967593</v>
      </c>
      <c r="N170" s="30" t="str">
        <f t="shared" si="14"/>
        <v>total orders</v>
      </c>
    </row>
    <row r="171" spans="1:14" x14ac:dyDescent="0.3">
      <c r="A171" s="28" t="s">
        <v>52</v>
      </c>
      <c r="B171" s="28" t="s">
        <v>23</v>
      </c>
      <c r="C171" s="28" t="s">
        <v>11</v>
      </c>
      <c r="D171" s="28" t="s">
        <v>21</v>
      </c>
      <c r="E171" s="28">
        <f t="shared" si="10"/>
        <v>892.17600000000004</v>
      </c>
      <c r="F171" s="28">
        <v>1115.22</v>
      </c>
      <c r="G171" s="28">
        <v>14</v>
      </c>
      <c r="H171" s="29">
        <v>45705</v>
      </c>
      <c r="I171" s="28">
        <v>0.2</v>
      </c>
      <c r="J171" s="28">
        <v>223.04</v>
      </c>
      <c r="K171" s="30">
        <f t="shared" si="11"/>
        <v>892.17600000000004</v>
      </c>
      <c r="L171" s="31">
        <f t="shared" si="12"/>
        <v>-0.24154875271246928</v>
      </c>
      <c r="M171" s="32">
        <f t="shared" ca="1" si="13"/>
        <v>46094.483751967593</v>
      </c>
      <c r="N171" s="30" t="str">
        <f t="shared" si="14"/>
        <v>total orders</v>
      </c>
    </row>
    <row r="172" spans="1:14" x14ac:dyDescent="0.3">
      <c r="A172" s="28" t="s">
        <v>13</v>
      </c>
      <c r="B172" s="28" t="s">
        <v>45</v>
      </c>
      <c r="C172" s="28" t="s">
        <v>24</v>
      </c>
      <c r="D172" s="28" t="s">
        <v>15</v>
      </c>
      <c r="E172" s="28">
        <f t="shared" si="10"/>
        <v>845.84</v>
      </c>
      <c r="F172" s="28">
        <v>845.84</v>
      </c>
      <c r="G172" s="28">
        <v>4</v>
      </c>
      <c r="H172" s="29">
        <v>45707</v>
      </c>
      <c r="I172" s="28">
        <v>0</v>
      </c>
      <c r="J172" s="28">
        <v>422.92</v>
      </c>
      <c r="K172" s="30">
        <f t="shared" si="11"/>
        <v>845.84</v>
      </c>
      <c r="L172" s="31">
        <f t="shared" si="12"/>
        <v>0.21748794098174587</v>
      </c>
      <c r="M172" s="32">
        <f t="shared" ca="1" si="13"/>
        <v>46094.483751967593</v>
      </c>
      <c r="N172" s="30" t="str">
        <f t="shared" si="14"/>
        <v>total orders</v>
      </c>
    </row>
    <row r="173" spans="1:14" x14ac:dyDescent="0.3">
      <c r="A173" s="28" t="s">
        <v>30</v>
      </c>
      <c r="B173" s="28" t="s">
        <v>55</v>
      </c>
      <c r="C173" s="28" t="s">
        <v>11</v>
      </c>
      <c r="D173" s="28" t="s">
        <v>21</v>
      </c>
      <c r="E173" s="28">
        <f t="shared" si="10"/>
        <v>1029.8</v>
      </c>
      <c r="F173" s="28">
        <v>1029.8</v>
      </c>
      <c r="G173" s="28">
        <v>3</v>
      </c>
      <c r="H173" s="29">
        <v>45708</v>
      </c>
      <c r="I173" s="28">
        <v>0</v>
      </c>
      <c r="J173" s="28">
        <v>257.45</v>
      </c>
      <c r="K173" s="30">
        <f t="shared" si="11"/>
        <v>1029.8</v>
      </c>
      <c r="L173" s="31">
        <f t="shared" si="12"/>
        <v>0.15539910662264517</v>
      </c>
      <c r="M173" s="32">
        <f t="shared" ca="1" si="13"/>
        <v>46094.483751967593</v>
      </c>
      <c r="N173" s="30" t="str">
        <f t="shared" si="14"/>
        <v>total orders</v>
      </c>
    </row>
    <row r="174" spans="1:14" x14ac:dyDescent="0.3">
      <c r="A174" s="28" t="s">
        <v>32</v>
      </c>
      <c r="B174" s="28" t="s">
        <v>31</v>
      </c>
      <c r="C174" s="28" t="s">
        <v>24</v>
      </c>
      <c r="D174" s="28" t="s">
        <v>12</v>
      </c>
      <c r="E174" s="28">
        <f t="shared" si="10"/>
        <v>951.86399999999992</v>
      </c>
      <c r="F174" s="28">
        <v>1189.83</v>
      </c>
      <c r="G174" s="28">
        <v>2</v>
      </c>
      <c r="H174" s="29">
        <v>45709</v>
      </c>
      <c r="I174" s="28">
        <v>0.2</v>
      </c>
      <c r="J174" s="28">
        <v>380.75</v>
      </c>
      <c r="K174" s="30">
        <f t="shared" si="11"/>
        <v>951.86399999999992</v>
      </c>
      <c r="L174" s="31">
        <f t="shared" si="12"/>
        <v>-0.40808350772799473</v>
      </c>
      <c r="M174" s="32">
        <f t="shared" ca="1" si="13"/>
        <v>46094.483751967593</v>
      </c>
      <c r="N174" s="30" t="str">
        <f t="shared" si="14"/>
        <v>total orders</v>
      </c>
    </row>
    <row r="175" spans="1:14" x14ac:dyDescent="0.3">
      <c r="A175" s="28" t="s">
        <v>67</v>
      </c>
      <c r="B175" s="28" t="s">
        <v>43</v>
      </c>
      <c r="C175" s="28" t="s">
        <v>20</v>
      </c>
      <c r="D175" s="28" t="s">
        <v>12</v>
      </c>
      <c r="E175" s="28">
        <f t="shared" si="10"/>
        <v>563.42399999999998</v>
      </c>
      <c r="F175" s="28">
        <v>704.28</v>
      </c>
      <c r="G175" s="28">
        <v>15</v>
      </c>
      <c r="H175" s="29">
        <v>45712</v>
      </c>
      <c r="I175" s="28">
        <v>0.2</v>
      </c>
      <c r="J175" s="28">
        <v>225.37</v>
      </c>
      <c r="K175" s="30">
        <f t="shared" si="11"/>
        <v>563.42399999999998</v>
      </c>
      <c r="L175" s="31">
        <f t="shared" si="12"/>
        <v>1.2976940989379226</v>
      </c>
      <c r="M175" s="32">
        <f t="shared" ca="1" si="13"/>
        <v>46094.483751967593</v>
      </c>
      <c r="N175" s="30" t="str">
        <f t="shared" si="14"/>
        <v>total orders</v>
      </c>
    </row>
    <row r="176" spans="1:14" x14ac:dyDescent="0.3">
      <c r="A176" s="28" t="s">
        <v>65</v>
      </c>
      <c r="B176" s="28" t="s">
        <v>47</v>
      </c>
      <c r="C176" s="28" t="s">
        <v>34</v>
      </c>
      <c r="D176" s="28" t="s">
        <v>39</v>
      </c>
      <c r="E176" s="28">
        <f t="shared" si="10"/>
        <v>1294.576</v>
      </c>
      <c r="F176" s="28">
        <v>1618.22</v>
      </c>
      <c r="G176" s="28">
        <v>12</v>
      </c>
      <c r="H176" s="29">
        <v>45712</v>
      </c>
      <c r="I176" s="28">
        <v>0.2</v>
      </c>
      <c r="J176" s="28">
        <v>582.55999999999995</v>
      </c>
      <c r="K176" s="30">
        <f t="shared" si="11"/>
        <v>1294.576</v>
      </c>
      <c r="L176" s="31">
        <f t="shared" si="12"/>
        <v>-0.37311984773392992</v>
      </c>
      <c r="M176" s="32">
        <f t="shared" ca="1" si="13"/>
        <v>46094.483751967593</v>
      </c>
      <c r="N176" s="30" t="str">
        <f t="shared" si="14"/>
        <v>total orders</v>
      </c>
    </row>
    <row r="177" spans="1:14" x14ac:dyDescent="0.3">
      <c r="A177" s="28" t="s">
        <v>73</v>
      </c>
      <c r="B177" s="28" t="s">
        <v>53</v>
      </c>
      <c r="C177" s="28" t="s">
        <v>34</v>
      </c>
      <c r="D177" s="28" t="s">
        <v>12</v>
      </c>
      <c r="E177" s="28">
        <f t="shared" si="10"/>
        <v>862.26549999999997</v>
      </c>
      <c r="F177" s="28">
        <v>1014.43</v>
      </c>
      <c r="G177" s="28">
        <v>2</v>
      </c>
      <c r="H177" s="29">
        <v>45713</v>
      </c>
      <c r="I177" s="28">
        <v>0.15</v>
      </c>
      <c r="J177" s="28">
        <v>344.91</v>
      </c>
      <c r="K177" s="30">
        <f t="shared" si="11"/>
        <v>862.26549999999997</v>
      </c>
      <c r="L177" s="31">
        <f t="shared" si="12"/>
        <v>-0.1847934307936476</v>
      </c>
      <c r="M177" s="32">
        <f t="shared" ca="1" si="13"/>
        <v>46094.483751967593</v>
      </c>
      <c r="N177" s="30" t="str">
        <f t="shared" si="14"/>
        <v>total orders</v>
      </c>
    </row>
    <row r="178" spans="1:14" x14ac:dyDescent="0.3">
      <c r="A178" s="28" t="s">
        <v>75</v>
      </c>
      <c r="B178" s="28" t="s">
        <v>31</v>
      </c>
      <c r="C178" s="28" t="s">
        <v>34</v>
      </c>
      <c r="D178" s="28" t="s">
        <v>15</v>
      </c>
      <c r="E178" s="28">
        <f t="shared" si="10"/>
        <v>661.57600000000002</v>
      </c>
      <c r="F178" s="28">
        <v>826.97</v>
      </c>
      <c r="G178" s="28">
        <v>18</v>
      </c>
      <c r="H178" s="29">
        <v>45715</v>
      </c>
      <c r="I178" s="28">
        <v>0.2</v>
      </c>
      <c r="J178" s="28">
        <v>330.79</v>
      </c>
      <c r="K178" s="30">
        <f t="shared" si="11"/>
        <v>661.57600000000002</v>
      </c>
      <c r="L178" s="31">
        <f t="shared" si="12"/>
        <v>0.23611497394101355</v>
      </c>
      <c r="M178" s="32">
        <f t="shared" ca="1" si="13"/>
        <v>46094.483751967593</v>
      </c>
      <c r="N178" s="30" t="str">
        <f t="shared" si="14"/>
        <v>total orders</v>
      </c>
    </row>
    <row r="179" spans="1:14" x14ac:dyDescent="0.3">
      <c r="A179" s="28" t="s">
        <v>16</v>
      </c>
      <c r="B179" s="28" t="s">
        <v>31</v>
      </c>
      <c r="C179" s="28" t="s">
        <v>34</v>
      </c>
      <c r="D179" s="28" t="s">
        <v>15</v>
      </c>
      <c r="E179" s="28">
        <f t="shared" si="10"/>
        <v>920.00700000000006</v>
      </c>
      <c r="F179" s="28">
        <v>1022.23</v>
      </c>
      <c r="G179" s="28">
        <v>8</v>
      </c>
      <c r="H179" s="29">
        <v>45717</v>
      </c>
      <c r="I179" s="28">
        <v>0.1</v>
      </c>
      <c r="J179" s="28">
        <v>460</v>
      </c>
      <c r="K179" s="30">
        <f t="shared" si="11"/>
        <v>920.00700000000006</v>
      </c>
      <c r="L179" s="31">
        <f t="shared" si="12"/>
        <v>7.5775510403725224E-2</v>
      </c>
      <c r="M179" s="32">
        <f t="shared" ca="1" si="13"/>
        <v>46094.483751967593</v>
      </c>
      <c r="N179" s="30" t="str">
        <f t="shared" si="14"/>
        <v>total orders</v>
      </c>
    </row>
    <row r="180" spans="1:14" x14ac:dyDescent="0.3">
      <c r="A180" s="28" t="s">
        <v>72</v>
      </c>
      <c r="B180" s="28" t="s">
        <v>29</v>
      </c>
      <c r="C180" s="28" t="s">
        <v>18</v>
      </c>
      <c r="D180" s="28" t="s">
        <v>12</v>
      </c>
      <c r="E180" s="28">
        <f t="shared" si="10"/>
        <v>1099.69</v>
      </c>
      <c r="F180" s="28">
        <v>1099.69</v>
      </c>
      <c r="G180" s="28">
        <v>6</v>
      </c>
      <c r="H180" s="29">
        <v>45718</v>
      </c>
      <c r="I180" s="28">
        <v>0</v>
      </c>
      <c r="J180" s="28">
        <v>439.88</v>
      </c>
      <c r="K180" s="30">
        <f t="shared" si="11"/>
        <v>1099.69</v>
      </c>
      <c r="L180" s="31">
        <f t="shared" si="12"/>
        <v>-0.35389064190817415</v>
      </c>
      <c r="M180" s="32">
        <f t="shared" ca="1" si="13"/>
        <v>46094.483751967593</v>
      </c>
      <c r="N180" s="30" t="str">
        <f t="shared" si="14"/>
        <v>total orders</v>
      </c>
    </row>
    <row r="181" spans="1:14" x14ac:dyDescent="0.3">
      <c r="A181" s="28" t="s">
        <v>52</v>
      </c>
      <c r="B181" s="28" t="s">
        <v>64</v>
      </c>
      <c r="C181" s="28" t="s">
        <v>24</v>
      </c>
      <c r="D181" s="28" t="s">
        <v>12</v>
      </c>
      <c r="E181" s="28">
        <f t="shared" si="10"/>
        <v>639.46799999999996</v>
      </c>
      <c r="F181" s="28">
        <v>710.52</v>
      </c>
      <c r="G181" s="28">
        <v>8</v>
      </c>
      <c r="H181" s="29">
        <v>45721</v>
      </c>
      <c r="I181" s="28">
        <v>0.1</v>
      </c>
      <c r="J181" s="28">
        <v>255.79</v>
      </c>
      <c r="K181" s="30">
        <f t="shared" si="11"/>
        <v>639.46799999999996</v>
      </c>
      <c r="L181" s="31">
        <f t="shared" si="12"/>
        <v>-0.29744412542926307</v>
      </c>
      <c r="M181" s="32">
        <f t="shared" ca="1" si="13"/>
        <v>46094.483751967593</v>
      </c>
      <c r="N181" s="30" t="str">
        <f t="shared" si="14"/>
        <v>total orders</v>
      </c>
    </row>
    <row r="182" spans="1:14" x14ac:dyDescent="0.3">
      <c r="A182" s="28" t="s">
        <v>52</v>
      </c>
      <c r="B182" s="28" t="s">
        <v>59</v>
      </c>
      <c r="C182" s="28" t="s">
        <v>24</v>
      </c>
      <c r="D182" s="28" t="s">
        <v>12</v>
      </c>
      <c r="E182" s="28">
        <f t="shared" si="10"/>
        <v>399.34399999999999</v>
      </c>
      <c r="F182" s="28">
        <v>499.18</v>
      </c>
      <c r="G182" s="28">
        <v>15</v>
      </c>
      <c r="H182" s="29">
        <v>45724</v>
      </c>
      <c r="I182" s="28">
        <v>0.2</v>
      </c>
      <c r="J182" s="28">
        <v>159.74</v>
      </c>
      <c r="K182" s="30">
        <f t="shared" si="11"/>
        <v>399.34399999999999</v>
      </c>
      <c r="L182" s="31">
        <f t="shared" si="12"/>
        <v>1.1318762770944348</v>
      </c>
      <c r="M182" s="32">
        <f t="shared" ca="1" si="13"/>
        <v>46094.483751967593</v>
      </c>
      <c r="N182" s="30" t="str">
        <f t="shared" si="14"/>
        <v>total orders</v>
      </c>
    </row>
    <row r="183" spans="1:14" x14ac:dyDescent="0.3">
      <c r="A183" s="28" t="s">
        <v>37</v>
      </c>
      <c r="B183" s="28" t="s">
        <v>38</v>
      </c>
      <c r="C183" s="28" t="s">
        <v>20</v>
      </c>
      <c r="D183" s="28" t="s">
        <v>12</v>
      </c>
      <c r="E183" s="28">
        <f t="shared" si="10"/>
        <v>1010.9805</v>
      </c>
      <c r="F183" s="28">
        <v>1064.19</v>
      </c>
      <c r="G183" s="28">
        <v>18</v>
      </c>
      <c r="H183" s="29">
        <v>45725</v>
      </c>
      <c r="I183" s="28">
        <v>0.05</v>
      </c>
      <c r="J183" s="28">
        <v>404.39</v>
      </c>
      <c r="K183" s="30">
        <f t="shared" si="11"/>
        <v>1010.9805</v>
      </c>
      <c r="L183" s="31">
        <f t="shared" si="12"/>
        <v>-0.58770520301825802</v>
      </c>
      <c r="M183" s="32">
        <f t="shared" ca="1" si="13"/>
        <v>46094.483751967593</v>
      </c>
      <c r="N183" s="30" t="str">
        <f t="shared" si="14"/>
        <v>total orders</v>
      </c>
    </row>
    <row r="184" spans="1:14" x14ac:dyDescent="0.3">
      <c r="A184" s="28" t="s">
        <v>67</v>
      </c>
      <c r="B184" s="28" t="s">
        <v>38</v>
      </c>
      <c r="C184" s="28" t="s">
        <v>18</v>
      </c>
      <c r="D184" s="28" t="s">
        <v>39</v>
      </c>
      <c r="E184" s="28">
        <f t="shared" si="10"/>
        <v>416.822</v>
      </c>
      <c r="F184" s="28">
        <v>438.76</v>
      </c>
      <c r="G184" s="28">
        <v>18</v>
      </c>
      <c r="H184" s="29">
        <v>45726</v>
      </c>
      <c r="I184" s="28">
        <v>0.05</v>
      </c>
      <c r="J184" s="28">
        <v>187.57</v>
      </c>
      <c r="K184" s="30">
        <f t="shared" si="11"/>
        <v>416.822</v>
      </c>
      <c r="L184" s="31">
        <f t="shared" si="12"/>
        <v>0.97141945482724046</v>
      </c>
      <c r="M184" s="32">
        <f t="shared" ca="1" si="13"/>
        <v>46094.483751967593</v>
      </c>
      <c r="N184" s="30" t="str">
        <f t="shared" si="14"/>
        <v>total orders</v>
      </c>
    </row>
    <row r="185" spans="1:14" x14ac:dyDescent="0.3">
      <c r="A185" s="28" t="s">
        <v>41</v>
      </c>
      <c r="B185" s="28" t="s">
        <v>55</v>
      </c>
      <c r="C185" s="28" t="s">
        <v>11</v>
      </c>
      <c r="D185" s="28" t="s">
        <v>15</v>
      </c>
      <c r="E185" s="28">
        <f t="shared" si="10"/>
        <v>821.73099999999999</v>
      </c>
      <c r="F185" s="28">
        <v>864.98</v>
      </c>
      <c r="G185" s="28">
        <v>2</v>
      </c>
      <c r="H185" s="29">
        <v>45727</v>
      </c>
      <c r="I185" s="28">
        <v>0.05</v>
      </c>
      <c r="J185" s="28">
        <v>410.87</v>
      </c>
      <c r="K185" s="30">
        <f t="shared" si="11"/>
        <v>821.73099999999999</v>
      </c>
      <c r="L185" s="31">
        <f t="shared" si="12"/>
        <v>0.13867372656015159</v>
      </c>
      <c r="M185" s="32">
        <f t="shared" ca="1" si="13"/>
        <v>46094.483751967593</v>
      </c>
      <c r="N185" s="30" t="str">
        <f t="shared" si="14"/>
        <v>total orders</v>
      </c>
    </row>
    <row r="186" spans="1:14" x14ac:dyDescent="0.3">
      <c r="A186" s="28" t="s">
        <v>57</v>
      </c>
      <c r="B186" s="28" t="s">
        <v>55</v>
      </c>
      <c r="C186" s="28" t="s">
        <v>11</v>
      </c>
      <c r="D186" s="28" t="s">
        <v>27</v>
      </c>
      <c r="E186" s="28">
        <f t="shared" si="10"/>
        <v>787.94399999999996</v>
      </c>
      <c r="F186" s="28">
        <v>984.93</v>
      </c>
      <c r="G186" s="28">
        <v>14</v>
      </c>
      <c r="H186" s="29">
        <v>45733</v>
      </c>
      <c r="I186" s="28">
        <v>0.2</v>
      </c>
      <c r="J186" s="28">
        <v>275.77999999999997</v>
      </c>
      <c r="K186" s="30">
        <f t="shared" si="11"/>
        <v>787.94399999999996</v>
      </c>
      <c r="L186" s="31">
        <f t="shared" si="12"/>
        <v>0.51634126283086113</v>
      </c>
      <c r="M186" s="32">
        <f t="shared" ca="1" si="13"/>
        <v>46094.483751967593</v>
      </c>
      <c r="N186" s="30" t="str">
        <f t="shared" si="14"/>
        <v>total orders</v>
      </c>
    </row>
    <row r="187" spans="1:14" x14ac:dyDescent="0.3">
      <c r="A187" s="28" t="s">
        <v>25</v>
      </c>
      <c r="B187" s="28" t="s">
        <v>55</v>
      </c>
      <c r="C187" s="28" t="s">
        <v>11</v>
      </c>
      <c r="D187" s="28" t="s">
        <v>15</v>
      </c>
      <c r="E187" s="28">
        <f t="shared" si="10"/>
        <v>1493.49</v>
      </c>
      <c r="F187" s="28">
        <v>1493.49</v>
      </c>
      <c r="G187" s="28">
        <v>18</v>
      </c>
      <c r="H187" s="29">
        <v>45734</v>
      </c>
      <c r="I187" s="28">
        <v>0</v>
      </c>
      <c r="J187" s="28">
        <v>746.74</v>
      </c>
      <c r="K187" s="30">
        <f t="shared" si="11"/>
        <v>1493.49</v>
      </c>
      <c r="L187" s="31">
        <f t="shared" si="12"/>
        <v>-0.53837655424542519</v>
      </c>
      <c r="M187" s="32">
        <f t="shared" ca="1" si="13"/>
        <v>46094.483751967593</v>
      </c>
      <c r="N187" s="30" t="str">
        <f t="shared" si="14"/>
        <v>total orders</v>
      </c>
    </row>
    <row r="188" spans="1:14" x14ac:dyDescent="0.3">
      <c r="A188" s="28" t="s">
        <v>32</v>
      </c>
      <c r="B188" s="28" t="s">
        <v>53</v>
      </c>
      <c r="C188" s="28" t="s">
        <v>20</v>
      </c>
      <c r="D188" s="28" t="s">
        <v>15</v>
      </c>
      <c r="E188" s="28">
        <f t="shared" si="10"/>
        <v>620.48699999999997</v>
      </c>
      <c r="F188" s="28">
        <v>689.43</v>
      </c>
      <c r="G188" s="28">
        <v>9</v>
      </c>
      <c r="H188" s="29">
        <v>45736</v>
      </c>
      <c r="I188" s="28">
        <v>0.1</v>
      </c>
      <c r="J188" s="28">
        <v>310.24</v>
      </c>
      <c r="K188" s="30">
        <f t="shared" si="11"/>
        <v>620.48699999999997</v>
      </c>
      <c r="L188" s="31">
        <f t="shared" si="12"/>
        <v>-1.0428905037494657E-2</v>
      </c>
      <c r="M188" s="32">
        <f t="shared" ca="1" si="13"/>
        <v>46094.483751967593</v>
      </c>
      <c r="N188" s="30" t="str">
        <f t="shared" si="14"/>
        <v>total orders</v>
      </c>
    </row>
    <row r="189" spans="1:14" x14ac:dyDescent="0.3">
      <c r="A189" s="28" t="s">
        <v>40</v>
      </c>
      <c r="B189" s="28" t="s">
        <v>59</v>
      </c>
      <c r="C189" s="28" t="s">
        <v>20</v>
      </c>
      <c r="D189" s="28" t="s">
        <v>15</v>
      </c>
      <c r="E189" s="28">
        <f t="shared" si="10"/>
        <v>682.24</v>
      </c>
      <c r="F189" s="28">
        <v>682.24</v>
      </c>
      <c r="G189" s="28">
        <v>1</v>
      </c>
      <c r="H189" s="29">
        <v>45738</v>
      </c>
      <c r="I189" s="28">
        <v>0</v>
      </c>
      <c r="J189" s="28">
        <v>341.12</v>
      </c>
      <c r="K189" s="30">
        <f t="shared" si="11"/>
        <v>682.24</v>
      </c>
      <c r="L189" s="31">
        <f t="shared" si="12"/>
        <v>-0.32789047842401498</v>
      </c>
      <c r="M189" s="32">
        <f t="shared" ca="1" si="13"/>
        <v>46094.483751967593</v>
      </c>
      <c r="N189" s="30" t="str">
        <f t="shared" si="14"/>
        <v>total orders</v>
      </c>
    </row>
    <row r="190" spans="1:14" x14ac:dyDescent="0.3">
      <c r="A190" s="28" t="s">
        <v>41</v>
      </c>
      <c r="B190" s="28" t="s">
        <v>26</v>
      </c>
      <c r="C190" s="28" t="s">
        <v>24</v>
      </c>
      <c r="D190" s="28" t="s">
        <v>21</v>
      </c>
      <c r="E190" s="28">
        <f t="shared" si="10"/>
        <v>366.83199999999999</v>
      </c>
      <c r="F190" s="28">
        <v>458.54</v>
      </c>
      <c r="G190" s="28">
        <v>15</v>
      </c>
      <c r="H190" s="29">
        <v>45741</v>
      </c>
      <c r="I190" s="28">
        <v>0.2</v>
      </c>
      <c r="J190" s="28">
        <v>91.71</v>
      </c>
      <c r="K190" s="30">
        <f t="shared" si="11"/>
        <v>366.83199999999999</v>
      </c>
      <c r="L190" s="31">
        <f t="shared" si="12"/>
        <v>1.5826536398133206</v>
      </c>
      <c r="M190" s="32">
        <f t="shared" ca="1" si="13"/>
        <v>46094.483751967593</v>
      </c>
      <c r="N190" s="30" t="str">
        <f t="shared" si="14"/>
        <v>total orders</v>
      </c>
    </row>
    <row r="191" spans="1:14" x14ac:dyDescent="0.3">
      <c r="A191" s="28" t="s">
        <v>32</v>
      </c>
      <c r="B191" s="28" t="s">
        <v>26</v>
      </c>
      <c r="C191" s="28" t="s">
        <v>20</v>
      </c>
      <c r="D191" s="28" t="s">
        <v>27</v>
      </c>
      <c r="E191" s="28">
        <f t="shared" si="10"/>
        <v>947.4</v>
      </c>
      <c r="F191" s="28">
        <v>1184.25</v>
      </c>
      <c r="G191" s="28">
        <v>11</v>
      </c>
      <c r="H191" s="29">
        <v>45742</v>
      </c>
      <c r="I191" s="28">
        <v>0.2</v>
      </c>
      <c r="J191" s="28">
        <v>331.59</v>
      </c>
      <c r="K191" s="30">
        <f t="shared" si="11"/>
        <v>947.4</v>
      </c>
      <c r="L191" s="31">
        <f t="shared" si="12"/>
        <v>-0.35643656322567024</v>
      </c>
      <c r="M191" s="32">
        <f t="shared" ca="1" si="13"/>
        <v>46094.483751967593</v>
      </c>
      <c r="N191" s="30" t="str">
        <f t="shared" si="14"/>
        <v>total orders</v>
      </c>
    </row>
    <row r="192" spans="1:14" x14ac:dyDescent="0.3">
      <c r="A192" s="28" t="s">
        <v>25</v>
      </c>
      <c r="B192" s="28" t="s">
        <v>10</v>
      </c>
      <c r="C192" s="28" t="s">
        <v>20</v>
      </c>
      <c r="D192" s="28" t="s">
        <v>15</v>
      </c>
      <c r="E192" s="28">
        <f t="shared" si="10"/>
        <v>762.14</v>
      </c>
      <c r="F192" s="28">
        <v>762.14</v>
      </c>
      <c r="G192" s="28">
        <v>9</v>
      </c>
      <c r="H192" s="29">
        <v>45743</v>
      </c>
      <c r="I192" s="28">
        <v>0</v>
      </c>
      <c r="J192" s="28">
        <v>381.07</v>
      </c>
      <c r="K192" s="30">
        <f t="shared" si="11"/>
        <v>762.14</v>
      </c>
      <c r="L192" s="31">
        <f t="shared" si="12"/>
        <v>-1.4997244600729459E-2</v>
      </c>
      <c r="M192" s="32">
        <f t="shared" ca="1" si="13"/>
        <v>46094.483751967593</v>
      </c>
      <c r="N192" s="30" t="str">
        <f t="shared" si="14"/>
        <v>total orders</v>
      </c>
    </row>
    <row r="193" spans="1:14" x14ac:dyDescent="0.3">
      <c r="A193" s="28" t="s">
        <v>22</v>
      </c>
      <c r="B193" s="28" t="s">
        <v>53</v>
      </c>
      <c r="C193" s="28" t="s">
        <v>24</v>
      </c>
      <c r="D193" s="28" t="s">
        <v>12</v>
      </c>
      <c r="E193" s="28">
        <f t="shared" si="10"/>
        <v>638.10350000000005</v>
      </c>
      <c r="F193" s="28">
        <v>750.71</v>
      </c>
      <c r="G193" s="28">
        <v>10</v>
      </c>
      <c r="H193" s="29">
        <v>45743</v>
      </c>
      <c r="I193" s="28">
        <v>0.15</v>
      </c>
      <c r="J193" s="28">
        <v>255.24</v>
      </c>
      <c r="K193" s="30">
        <f t="shared" si="11"/>
        <v>638.10350000000005</v>
      </c>
      <c r="L193" s="31">
        <f t="shared" si="12"/>
        <v>0.94074942387872806</v>
      </c>
      <c r="M193" s="32">
        <f t="shared" ca="1" si="13"/>
        <v>46094.483751967593</v>
      </c>
      <c r="N193" s="30" t="str">
        <f t="shared" si="14"/>
        <v>total orders</v>
      </c>
    </row>
    <row r="194" spans="1:14" x14ac:dyDescent="0.3">
      <c r="A194" s="28" t="s">
        <v>75</v>
      </c>
      <c r="B194" s="28" t="s">
        <v>71</v>
      </c>
      <c r="C194" s="28" t="s">
        <v>34</v>
      </c>
      <c r="D194" s="28" t="s">
        <v>15</v>
      </c>
      <c r="E194" s="28">
        <f t="shared" si="10"/>
        <v>1384.0930000000001</v>
      </c>
      <c r="F194" s="28">
        <v>1456.94</v>
      </c>
      <c r="G194" s="28">
        <v>14</v>
      </c>
      <c r="H194" s="29">
        <v>45745</v>
      </c>
      <c r="I194" s="28">
        <v>0.05</v>
      </c>
      <c r="J194" s="28">
        <v>692.05</v>
      </c>
      <c r="K194" s="30">
        <f t="shared" si="11"/>
        <v>1384.0930000000001</v>
      </c>
      <c r="L194" s="31">
        <f t="shared" si="12"/>
        <v>-0.24953670020728372</v>
      </c>
      <c r="M194" s="32">
        <f t="shared" ca="1" si="13"/>
        <v>46094.483751967593</v>
      </c>
      <c r="N194" s="30" t="str">
        <f t="shared" si="14"/>
        <v>total orders</v>
      </c>
    </row>
    <row r="195" spans="1:14" x14ac:dyDescent="0.3">
      <c r="A195" s="28" t="s">
        <v>44</v>
      </c>
      <c r="B195" s="28" t="s">
        <v>61</v>
      </c>
      <c r="C195" s="28" t="s">
        <v>18</v>
      </c>
      <c r="D195" s="28" t="s">
        <v>27</v>
      </c>
      <c r="E195" s="28">
        <f t="shared" ref="E195:E201" si="15">F195-(F195*I195)</f>
        <v>984.04200000000014</v>
      </c>
      <c r="F195" s="28">
        <v>1093.3800000000001</v>
      </c>
      <c r="G195" s="28">
        <v>17</v>
      </c>
      <c r="H195" s="29">
        <v>45745</v>
      </c>
      <c r="I195" s="28">
        <v>0.1</v>
      </c>
      <c r="J195" s="28">
        <v>344.41</v>
      </c>
      <c r="K195" s="30">
        <f t="shared" ref="K195:K201" si="16">F195-(F195*I195)</f>
        <v>984.04200000000014</v>
      </c>
      <c r="L195" s="31">
        <f t="shared" ref="L195:L201" si="17">(F196-F195)/F195</f>
        <v>-0.14552122775247409</v>
      </c>
      <c r="M195" s="32">
        <f t="shared" ref="M195:M201" ca="1" si="18">NOW()</f>
        <v>46094.483751967593</v>
      </c>
      <c r="N195" s="30" t="str">
        <f t="shared" ref="N195:N201" si="19">INDEX(B195:B394,MATCH(MAX(E195:E394),E195:E394,0))</f>
        <v>total orders</v>
      </c>
    </row>
    <row r="196" spans="1:14" x14ac:dyDescent="0.3">
      <c r="A196" s="28" t="s">
        <v>37</v>
      </c>
      <c r="B196" s="28" t="s">
        <v>43</v>
      </c>
      <c r="C196" s="28" t="s">
        <v>11</v>
      </c>
      <c r="D196" s="28" t="s">
        <v>15</v>
      </c>
      <c r="E196" s="28">
        <f t="shared" si="15"/>
        <v>794.12950000000001</v>
      </c>
      <c r="F196" s="28">
        <v>934.27</v>
      </c>
      <c r="G196" s="28">
        <v>8</v>
      </c>
      <c r="H196" s="29">
        <v>45746</v>
      </c>
      <c r="I196" s="28">
        <v>0.15</v>
      </c>
      <c r="J196" s="28">
        <v>397.06</v>
      </c>
      <c r="K196" s="30">
        <f t="shared" si="16"/>
        <v>794.12950000000001</v>
      </c>
      <c r="L196" s="31">
        <f t="shared" si="17"/>
        <v>0.56844381174606906</v>
      </c>
      <c r="M196" s="32">
        <f t="shared" ca="1" si="18"/>
        <v>46094.483751967593</v>
      </c>
      <c r="N196" s="30" t="str">
        <f t="shared" si="19"/>
        <v>total orders</v>
      </c>
    </row>
    <row r="197" spans="1:14" x14ac:dyDescent="0.3">
      <c r="A197" s="28" t="s">
        <v>70</v>
      </c>
      <c r="B197" s="28" t="s">
        <v>36</v>
      </c>
      <c r="C197" s="28" t="s">
        <v>34</v>
      </c>
      <c r="D197" s="28" t="s">
        <v>15</v>
      </c>
      <c r="E197" s="28">
        <f t="shared" si="15"/>
        <v>1172.28</v>
      </c>
      <c r="F197" s="28">
        <v>1465.35</v>
      </c>
      <c r="G197" s="28">
        <v>8</v>
      </c>
      <c r="H197" s="29">
        <v>45746</v>
      </c>
      <c r="I197" s="28">
        <v>0.2</v>
      </c>
      <c r="J197" s="28">
        <v>586.14</v>
      </c>
      <c r="K197" s="30">
        <f t="shared" si="16"/>
        <v>1172.28</v>
      </c>
      <c r="L197" s="31">
        <f t="shared" si="17"/>
        <v>-0.49445524959907189</v>
      </c>
      <c r="M197" s="32">
        <f t="shared" ca="1" si="18"/>
        <v>46094.483751967593</v>
      </c>
      <c r="N197" s="30" t="str">
        <f t="shared" si="19"/>
        <v>total orders</v>
      </c>
    </row>
    <row r="198" spans="1:14" x14ac:dyDescent="0.3">
      <c r="A198" s="28" t="s">
        <v>52</v>
      </c>
      <c r="B198" s="28" t="s">
        <v>14</v>
      </c>
      <c r="C198" s="28" t="s">
        <v>20</v>
      </c>
      <c r="D198" s="28" t="s">
        <v>39</v>
      </c>
      <c r="E198" s="28">
        <f t="shared" si="15"/>
        <v>740.8</v>
      </c>
      <c r="F198" s="28">
        <v>740.8</v>
      </c>
      <c r="G198" s="28">
        <v>3</v>
      </c>
      <c r="H198" s="29">
        <v>45749</v>
      </c>
      <c r="I198" s="28">
        <v>0</v>
      </c>
      <c r="J198" s="28">
        <v>333.36</v>
      </c>
      <c r="K198" s="30">
        <f t="shared" si="16"/>
        <v>740.8</v>
      </c>
      <c r="L198" s="31">
        <f t="shared" si="17"/>
        <v>-0.26371490280777526</v>
      </c>
      <c r="M198" s="32">
        <f t="shared" ca="1" si="18"/>
        <v>46094.483751967593</v>
      </c>
      <c r="N198" s="30" t="str">
        <f t="shared" si="19"/>
        <v>total orders</v>
      </c>
    </row>
    <row r="199" spans="1:14" x14ac:dyDescent="0.3">
      <c r="A199" s="28" t="s">
        <v>58</v>
      </c>
      <c r="B199" s="28" t="s">
        <v>43</v>
      </c>
      <c r="C199" s="28" t="s">
        <v>11</v>
      </c>
      <c r="D199" s="28" t="s">
        <v>39</v>
      </c>
      <c r="E199" s="28">
        <f t="shared" si="15"/>
        <v>545.44000000000005</v>
      </c>
      <c r="F199" s="28">
        <v>545.44000000000005</v>
      </c>
      <c r="G199" s="28">
        <v>17</v>
      </c>
      <c r="H199" s="29">
        <v>45752</v>
      </c>
      <c r="I199" s="28">
        <v>0</v>
      </c>
      <c r="J199" s="28">
        <v>245.45</v>
      </c>
      <c r="K199" s="30">
        <f t="shared" si="16"/>
        <v>545.44000000000005</v>
      </c>
      <c r="L199" s="31">
        <f t="shared" si="17"/>
        <v>0.82900044001173345</v>
      </c>
      <c r="M199" s="32">
        <f t="shared" ca="1" si="18"/>
        <v>46094.483751967593</v>
      </c>
      <c r="N199" s="30" t="str">
        <f t="shared" si="19"/>
        <v>total orders</v>
      </c>
    </row>
    <row r="200" spans="1:14" x14ac:dyDescent="0.3">
      <c r="A200" s="28" t="s">
        <v>35</v>
      </c>
      <c r="B200" s="28" t="s">
        <v>36</v>
      </c>
      <c r="C200" s="28" t="s">
        <v>18</v>
      </c>
      <c r="D200" s="28" t="s">
        <v>12</v>
      </c>
      <c r="E200" s="28">
        <f t="shared" si="15"/>
        <v>947.72950000000003</v>
      </c>
      <c r="F200" s="28">
        <v>997.61</v>
      </c>
      <c r="G200" s="28">
        <v>8</v>
      </c>
      <c r="H200" s="29">
        <v>45752</v>
      </c>
      <c r="I200" s="28">
        <v>0.05</v>
      </c>
      <c r="J200" s="28">
        <v>379.09</v>
      </c>
      <c r="K200" s="30">
        <f t="shared" si="16"/>
        <v>947.72950000000003</v>
      </c>
      <c r="L200" s="31">
        <f t="shared" si="17"/>
        <v>-6.9455999839616644E-2</v>
      </c>
      <c r="M200" s="32">
        <f t="shared" ca="1" si="18"/>
        <v>46094.483751967593</v>
      </c>
      <c r="N200" s="30" t="str">
        <f t="shared" si="19"/>
        <v>total orders</v>
      </c>
    </row>
    <row r="201" spans="1:14" x14ac:dyDescent="0.3">
      <c r="A201" s="28" t="s">
        <v>60</v>
      </c>
      <c r="B201" s="28" t="s">
        <v>36</v>
      </c>
      <c r="C201" s="28" t="s">
        <v>20</v>
      </c>
      <c r="D201" s="28" t="s">
        <v>15</v>
      </c>
      <c r="E201" s="28">
        <f t="shared" si="15"/>
        <v>881.904</v>
      </c>
      <c r="F201" s="28">
        <v>928.32</v>
      </c>
      <c r="G201" s="28">
        <v>2</v>
      </c>
      <c r="H201" s="29">
        <v>45754</v>
      </c>
      <c r="I201" s="28">
        <v>0.05</v>
      </c>
      <c r="J201" s="28">
        <v>440.95</v>
      </c>
      <c r="K201" s="30">
        <f t="shared" si="16"/>
        <v>881.904</v>
      </c>
      <c r="L201" s="31">
        <f t="shared" si="17"/>
        <v>209.29145122371585</v>
      </c>
      <c r="M201" s="32">
        <f t="shared" ca="1" si="18"/>
        <v>46094.483751967593</v>
      </c>
      <c r="N201" s="30" t="str">
        <f t="shared" si="19"/>
        <v>total orders</v>
      </c>
    </row>
    <row r="202" spans="1:14" x14ac:dyDescent="0.3">
      <c r="A202" s="46">
        <f>COUNT(A2:E201)</f>
        <v>200</v>
      </c>
      <c r="B202" s="46" t="s">
        <v>151</v>
      </c>
      <c r="C202" s="46"/>
      <c r="D202" s="46"/>
      <c r="E202" s="46">
        <f>F202-(F202*I202)</f>
        <v>195217.75999999992</v>
      </c>
      <c r="F202" s="46">
        <f>SUM(F2:F201)</f>
        <v>195217.75999999992</v>
      </c>
      <c r="G202" s="46" t="s">
        <v>149</v>
      </c>
      <c r="H202" s="47"/>
      <c r="I202" s="46"/>
      <c r="J202" s="46"/>
      <c r="K202" s="48">
        <f>F202-(F202*I202)</f>
        <v>195217.75999999992</v>
      </c>
      <c r="L202" s="49">
        <f>(F203-F202)/F202</f>
        <v>-0.9901460809713214</v>
      </c>
      <c r="M202" s="50">
        <f ca="1">NOW()</f>
        <v>46094.483751967593</v>
      </c>
      <c r="N202" s="48" t="str">
        <f>INDEX(B202:B402,MATCH(MAX(E202:E402),E202:E402,0))</f>
        <v>total orders</v>
      </c>
    </row>
    <row r="203" spans="1:14" x14ac:dyDescent="0.3">
      <c r="A203" s="46"/>
      <c r="B203" s="46"/>
      <c r="C203" s="46"/>
      <c r="D203" s="46"/>
      <c r="E203" s="46">
        <f>F203-(F203*I203)</f>
        <v>1923.66</v>
      </c>
      <c r="F203" s="46">
        <f>MAX(F2:F201)</f>
        <v>1923.66</v>
      </c>
      <c r="G203" s="46" t="s">
        <v>153</v>
      </c>
      <c r="H203" s="47"/>
      <c r="I203" s="46"/>
      <c r="J203" s="46"/>
      <c r="K203" s="48">
        <f>F203-(F203*I203)</f>
        <v>1923.66</v>
      </c>
      <c r="L203" s="49">
        <f>(F204-F203)/F203</f>
        <v>-1</v>
      </c>
      <c r="M203" s="50">
        <f ca="1">NOW()</f>
        <v>46094.483751967593</v>
      </c>
      <c r="N203" s="48">
        <f>INDEX(B203:B404,MATCH(MAX(E203:E404),E203:E404,0))</f>
        <v>0</v>
      </c>
    </row>
  </sheetData>
  <conditionalFormatting sqref="E2:E200">
    <cfRule type="top10" dxfId="518" priority="2" rank="10"/>
  </conditionalFormatting>
  <conditionalFormatting sqref="E2:E203">
    <cfRule type="top10" dxfId="517" priority="3" rank="10"/>
    <cfRule type="top10" dxfId="516" priority="4" rank="10"/>
  </conditionalFormatting>
  <conditionalFormatting sqref="L1:L1048576">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BEDE-648E-4458-9C63-C4DF672EE73F}">
  <dimension ref="A1:I201"/>
  <sheetViews>
    <sheetView topLeftCell="A15" workbookViewId="0">
      <selection activeCell="K2" sqref="K2"/>
    </sheetView>
  </sheetViews>
  <sheetFormatPr defaultRowHeight="14.4" x14ac:dyDescent="0.3"/>
  <cols>
    <col min="1" max="7" width="8.88671875" style="5"/>
    <col min="8" max="8" width="21.44140625" style="5" customWidth="1"/>
    <col min="9" max="9" width="23.88671875" style="5" customWidth="1"/>
    <col min="10" max="16384" width="8.88671875" style="5"/>
  </cols>
  <sheetData>
    <row r="1" spans="1:9" ht="29.4" thickBot="1" x14ac:dyDescent="0.35">
      <c r="A1" s="1" t="s">
        <v>0</v>
      </c>
      <c r="B1" s="1" t="s">
        <v>1</v>
      </c>
      <c r="C1" s="1" t="s">
        <v>2</v>
      </c>
      <c r="D1" s="1" t="s">
        <v>3</v>
      </c>
      <c r="E1" s="1" t="s">
        <v>4</v>
      </c>
      <c r="F1" s="1" t="s">
        <v>5</v>
      </c>
      <c r="G1" s="1" t="s">
        <v>6</v>
      </c>
      <c r="H1" s="1" t="s">
        <v>7</v>
      </c>
      <c r="I1" s="1" t="s">
        <v>8</v>
      </c>
    </row>
    <row r="2" spans="1:9" ht="29.4" thickBot="1" x14ac:dyDescent="0.35">
      <c r="A2" s="2" t="s">
        <v>9</v>
      </c>
      <c r="B2" s="2" t="s">
        <v>10</v>
      </c>
      <c r="C2" s="2" t="s">
        <v>11</v>
      </c>
      <c r="D2" s="2" t="s">
        <v>12</v>
      </c>
      <c r="E2" s="2">
        <v>1036.0899999999999</v>
      </c>
      <c r="F2" s="2">
        <v>4</v>
      </c>
      <c r="G2" s="2">
        <v>0.2</v>
      </c>
      <c r="H2" s="3">
        <v>45392</v>
      </c>
      <c r="I2" s="2">
        <v>331.55</v>
      </c>
    </row>
    <row r="3" spans="1:9" ht="29.4" thickBot="1" x14ac:dyDescent="0.35">
      <c r="A3" s="2" t="s">
        <v>13</v>
      </c>
      <c r="B3" s="2" t="s">
        <v>14</v>
      </c>
      <c r="C3" s="2" t="s">
        <v>11</v>
      </c>
      <c r="D3" s="2" t="s">
        <v>15</v>
      </c>
      <c r="E3" s="2">
        <v>1101.28</v>
      </c>
      <c r="F3" s="2">
        <v>3</v>
      </c>
      <c r="G3" s="2">
        <v>0.2</v>
      </c>
      <c r="H3" s="3">
        <v>45393</v>
      </c>
      <c r="I3" s="2">
        <v>440.51</v>
      </c>
    </row>
    <row r="4" spans="1:9" ht="29.4" thickBot="1" x14ac:dyDescent="0.35">
      <c r="A4" s="2" t="s">
        <v>16</v>
      </c>
      <c r="B4" s="2" t="s">
        <v>17</v>
      </c>
      <c r="C4" s="2" t="s">
        <v>18</v>
      </c>
      <c r="D4" s="2" t="s">
        <v>12</v>
      </c>
      <c r="E4" s="2">
        <v>713.34</v>
      </c>
      <c r="F4" s="2">
        <v>17</v>
      </c>
      <c r="G4" s="2">
        <v>0</v>
      </c>
      <c r="H4" s="3">
        <v>45396</v>
      </c>
      <c r="I4" s="2">
        <v>285.33999999999997</v>
      </c>
    </row>
    <row r="5" spans="1:9" ht="29.4" thickBot="1" x14ac:dyDescent="0.35">
      <c r="A5" s="2" t="s">
        <v>19</v>
      </c>
      <c r="B5" s="2" t="s">
        <v>14</v>
      </c>
      <c r="C5" s="2" t="s">
        <v>20</v>
      </c>
      <c r="D5" s="2" t="s">
        <v>21</v>
      </c>
      <c r="E5" s="2">
        <v>760.93</v>
      </c>
      <c r="F5" s="2">
        <v>4</v>
      </c>
      <c r="G5" s="2">
        <v>0.15</v>
      </c>
      <c r="H5" s="3">
        <v>45396</v>
      </c>
      <c r="I5" s="2">
        <v>161.69999999999999</v>
      </c>
    </row>
    <row r="6" spans="1:9" ht="29.4" thickBot="1" x14ac:dyDescent="0.35">
      <c r="A6" s="2" t="s">
        <v>22</v>
      </c>
      <c r="B6" s="2" t="s">
        <v>23</v>
      </c>
      <c r="C6" s="2" t="s">
        <v>24</v>
      </c>
      <c r="D6" s="2" t="s">
        <v>12</v>
      </c>
      <c r="E6" s="2">
        <v>847</v>
      </c>
      <c r="F6" s="2">
        <v>12</v>
      </c>
      <c r="G6" s="2">
        <v>0.2</v>
      </c>
      <c r="H6" s="3">
        <v>45397</v>
      </c>
      <c r="I6" s="2">
        <v>271.04000000000002</v>
      </c>
    </row>
    <row r="7" spans="1:9" ht="29.4" thickBot="1" x14ac:dyDescent="0.35">
      <c r="A7" s="2" t="s">
        <v>25</v>
      </c>
      <c r="B7" s="2" t="s">
        <v>26</v>
      </c>
      <c r="C7" s="2" t="s">
        <v>24</v>
      </c>
      <c r="D7" s="2" t="s">
        <v>27</v>
      </c>
      <c r="E7" s="2">
        <v>965.64</v>
      </c>
      <c r="F7" s="2">
        <v>8</v>
      </c>
      <c r="G7" s="2">
        <v>0.1</v>
      </c>
      <c r="H7" s="3">
        <v>45398</v>
      </c>
      <c r="I7" s="2">
        <v>304.18</v>
      </c>
    </row>
    <row r="8" spans="1:9" ht="29.4" thickBot="1" x14ac:dyDescent="0.35">
      <c r="A8" s="2" t="s">
        <v>28</v>
      </c>
      <c r="B8" s="2" t="s">
        <v>29</v>
      </c>
      <c r="C8" s="2" t="s">
        <v>11</v>
      </c>
      <c r="D8" s="2" t="s">
        <v>21</v>
      </c>
      <c r="E8" s="2">
        <v>1317.53</v>
      </c>
      <c r="F8" s="2">
        <v>12</v>
      </c>
      <c r="G8" s="2">
        <v>0.05</v>
      </c>
      <c r="H8" s="3">
        <v>45398</v>
      </c>
      <c r="I8" s="2">
        <v>312.91000000000003</v>
      </c>
    </row>
    <row r="9" spans="1:9" ht="29.4" thickBot="1" x14ac:dyDescent="0.35">
      <c r="A9" s="2" t="s">
        <v>30</v>
      </c>
      <c r="B9" s="2" t="s">
        <v>31</v>
      </c>
      <c r="C9" s="2" t="s">
        <v>18</v>
      </c>
      <c r="D9" s="2" t="s">
        <v>27</v>
      </c>
      <c r="E9" s="2">
        <v>1074.47</v>
      </c>
      <c r="F9" s="2">
        <v>6</v>
      </c>
      <c r="G9" s="2">
        <v>0.2</v>
      </c>
      <c r="H9" s="3">
        <v>45401</v>
      </c>
      <c r="I9" s="2">
        <v>300.85000000000002</v>
      </c>
    </row>
    <row r="10" spans="1:9" ht="29.4" thickBot="1" x14ac:dyDescent="0.35">
      <c r="A10" s="2" t="s">
        <v>32</v>
      </c>
      <c r="B10" s="2" t="s">
        <v>33</v>
      </c>
      <c r="C10" s="2" t="s">
        <v>34</v>
      </c>
      <c r="D10" s="2" t="s">
        <v>12</v>
      </c>
      <c r="E10" s="2">
        <v>501.54</v>
      </c>
      <c r="F10" s="2">
        <v>11</v>
      </c>
      <c r="G10" s="2">
        <v>0.05</v>
      </c>
      <c r="H10" s="3">
        <v>45401</v>
      </c>
      <c r="I10" s="2">
        <v>190.59</v>
      </c>
    </row>
    <row r="11" spans="1:9" ht="29.4" thickBot="1" x14ac:dyDescent="0.35">
      <c r="A11" s="2" t="s">
        <v>35</v>
      </c>
      <c r="B11" s="2" t="s">
        <v>36</v>
      </c>
      <c r="C11" s="2" t="s">
        <v>34</v>
      </c>
      <c r="D11" s="2" t="s">
        <v>15</v>
      </c>
      <c r="E11" s="2">
        <v>737.31</v>
      </c>
      <c r="F11" s="2">
        <v>2</v>
      </c>
      <c r="G11" s="2">
        <v>0.05</v>
      </c>
      <c r="H11" s="3">
        <v>45401</v>
      </c>
      <c r="I11" s="2">
        <v>350.22</v>
      </c>
    </row>
    <row r="12" spans="1:9" ht="29.4" thickBot="1" x14ac:dyDescent="0.35">
      <c r="A12" s="2" t="s">
        <v>37</v>
      </c>
      <c r="B12" s="2" t="s">
        <v>38</v>
      </c>
      <c r="C12" s="2" t="s">
        <v>11</v>
      </c>
      <c r="D12" s="2" t="s">
        <v>39</v>
      </c>
      <c r="E12" s="2">
        <v>1572.82</v>
      </c>
      <c r="F12" s="2">
        <v>6</v>
      </c>
      <c r="G12" s="2">
        <v>0.05</v>
      </c>
      <c r="H12" s="3">
        <v>45402</v>
      </c>
      <c r="I12" s="2">
        <v>672.38</v>
      </c>
    </row>
    <row r="13" spans="1:9" ht="29.4" thickBot="1" x14ac:dyDescent="0.35">
      <c r="A13" s="2" t="s">
        <v>37</v>
      </c>
      <c r="B13" s="2" t="s">
        <v>36</v>
      </c>
      <c r="C13" s="2" t="s">
        <v>34</v>
      </c>
      <c r="D13" s="2" t="s">
        <v>12</v>
      </c>
      <c r="E13" s="2">
        <v>1343.13</v>
      </c>
      <c r="F13" s="2">
        <v>14</v>
      </c>
      <c r="G13" s="2">
        <v>0.15</v>
      </c>
      <c r="H13" s="3">
        <v>45404</v>
      </c>
      <c r="I13" s="2">
        <v>456.66</v>
      </c>
    </row>
    <row r="14" spans="1:9" ht="29.4" thickBot="1" x14ac:dyDescent="0.35">
      <c r="A14" s="2" t="s">
        <v>25</v>
      </c>
      <c r="B14" s="2" t="s">
        <v>26</v>
      </c>
      <c r="C14" s="2" t="s">
        <v>34</v>
      </c>
      <c r="D14" s="2" t="s">
        <v>12</v>
      </c>
      <c r="E14" s="2">
        <v>1191.58</v>
      </c>
      <c r="F14" s="2">
        <v>14</v>
      </c>
      <c r="G14" s="2">
        <v>0.05</v>
      </c>
      <c r="H14" s="3">
        <v>45406</v>
      </c>
      <c r="I14" s="2">
        <v>452.8</v>
      </c>
    </row>
    <row r="15" spans="1:9" ht="29.4" thickBot="1" x14ac:dyDescent="0.35">
      <c r="A15" s="2" t="s">
        <v>40</v>
      </c>
      <c r="B15" s="2" t="s">
        <v>14</v>
      </c>
      <c r="C15" s="2" t="s">
        <v>11</v>
      </c>
      <c r="D15" s="2" t="s">
        <v>27</v>
      </c>
      <c r="E15" s="2">
        <v>822.28</v>
      </c>
      <c r="F15" s="2">
        <v>7</v>
      </c>
      <c r="G15" s="2">
        <v>0.05</v>
      </c>
      <c r="H15" s="3">
        <v>45406</v>
      </c>
      <c r="I15" s="2">
        <v>273.41000000000003</v>
      </c>
    </row>
    <row r="16" spans="1:9" ht="29.4" thickBot="1" x14ac:dyDescent="0.35">
      <c r="A16" s="2" t="s">
        <v>41</v>
      </c>
      <c r="B16" s="2" t="s">
        <v>42</v>
      </c>
      <c r="C16" s="2" t="s">
        <v>24</v>
      </c>
      <c r="D16" s="2" t="s">
        <v>27</v>
      </c>
      <c r="E16" s="2">
        <v>521.66999999999996</v>
      </c>
      <c r="F16" s="2">
        <v>15</v>
      </c>
      <c r="G16" s="2">
        <v>0.15</v>
      </c>
      <c r="H16" s="3">
        <v>45409</v>
      </c>
      <c r="I16" s="2">
        <v>155.19999999999999</v>
      </c>
    </row>
    <row r="17" spans="1:9" ht="29.4" thickBot="1" x14ac:dyDescent="0.35">
      <c r="A17" s="2" t="s">
        <v>19</v>
      </c>
      <c r="B17" s="2" t="s">
        <v>43</v>
      </c>
      <c r="C17" s="2" t="s">
        <v>20</v>
      </c>
      <c r="D17" s="2" t="s">
        <v>21</v>
      </c>
      <c r="E17" s="2">
        <v>1502.93</v>
      </c>
      <c r="F17" s="2">
        <v>14</v>
      </c>
      <c r="G17" s="2">
        <v>0.2</v>
      </c>
      <c r="H17" s="3">
        <v>45410</v>
      </c>
      <c r="I17" s="2">
        <v>300.58999999999997</v>
      </c>
    </row>
    <row r="18" spans="1:9" ht="29.4" thickBot="1" x14ac:dyDescent="0.35">
      <c r="A18" s="2" t="s">
        <v>44</v>
      </c>
      <c r="B18" s="2" t="s">
        <v>14</v>
      </c>
      <c r="C18" s="2" t="s">
        <v>20</v>
      </c>
      <c r="D18" s="2" t="s">
        <v>12</v>
      </c>
      <c r="E18" s="2">
        <v>877.58</v>
      </c>
      <c r="F18" s="2">
        <v>10</v>
      </c>
      <c r="G18" s="2">
        <v>0.15</v>
      </c>
      <c r="H18" s="3">
        <v>45411</v>
      </c>
      <c r="I18" s="2">
        <v>298.38</v>
      </c>
    </row>
    <row r="19" spans="1:9" ht="29.4" thickBot="1" x14ac:dyDescent="0.35">
      <c r="A19" s="2" t="s">
        <v>28</v>
      </c>
      <c r="B19" s="2" t="s">
        <v>45</v>
      </c>
      <c r="C19" s="2" t="s">
        <v>11</v>
      </c>
      <c r="D19" s="2" t="s">
        <v>12</v>
      </c>
      <c r="E19" s="2">
        <v>636.70000000000005</v>
      </c>
      <c r="F19" s="2">
        <v>4</v>
      </c>
      <c r="G19" s="2">
        <v>0.2</v>
      </c>
      <c r="H19" s="3">
        <v>45411</v>
      </c>
      <c r="I19" s="2">
        <v>203.74</v>
      </c>
    </row>
    <row r="20" spans="1:9" ht="29.4" thickBot="1" x14ac:dyDescent="0.35">
      <c r="A20" s="2" t="s">
        <v>46</v>
      </c>
      <c r="B20" s="2" t="s">
        <v>47</v>
      </c>
      <c r="C20" s="2" t="s">
        <v>11</v>
      </c>
      <c r="D20" s="2" t="s">
        <v>12</v>
      </c>
      <c r="E20" s="2">
        <v>1506.14</v>
      </c>
      <c r="F20" s="2">
        <v>13</v>
      </c>
      <c r="G20" s="2">
        <v>0.2</v>
      </c>
      <c r="H20" s="3">
        <v>45412</v>
      </c>
      <c r="I20" s="2">
        <v>481.96</v>
      </c>
    </row>
    <row r="21" spans="1:9" ht="29.4" thickBot="1" x14ac:dyDescent="0.35">
      <c r="A21" s="2" t="s">
        <v>30</v>
      </c>
      <c r="B21" s="2" t="s">
        <v>31</v>
      </c>
      <c r="C21" s="2" t="s">
        <v>34</v>
      </c>
      <c r="D21" s="2" t="s">
        <v>21</v>
      </c>
      <c r="E21" s="2">
        <v>645.02</v>
      </c>
      <c r="F21" s="2">
        <v>4</v>
      </c>
      <c r="G21" s="2">
        <v>0</v>
      </c>
      <c r="H21" s="3">
        <v>45414</v>
      </c>
      <c r="I21" s="2">
        <v>161.26</v>
      </c>
    </row>
    <row r="22" spans="1:9" ht="15" thickBot="1" x14ac:dyDescent="0.35">
      <c r="A22" s="2" t="s">
        <v>25</v>
      </c>
      <c r="B22" s="2" t="s">
        <v>48</v>
      </c>
      <c r="C22" s="2" t="s">
        <v>20</v>
      </c>
      <c r="D22" s="2" t="s">
        <v>15</v>
      </c>
      <c r="E22" s="2">
        <v>953.3</v>
      </c>
      <c r="F22" s="2">
        <v>11</v>
      </c>
      <c r="G22" s="2">
        <v>0</v>
      </c>
      <c r="H22" s="3">
        <v>45415</v>
      </c>
      <c r="I22" s="2">
        <v>476.65</v>
      </c>
    </row>
    <row r="23" spans="1:9" ht="29.4" thickBot="1" x14ac:dyDescent="0.35">
      <c r="A23" s="2" t="s">
        <v>49</v>
      </c>
      <c r="B23" s="2" t="s">
        <v>14</v>
      </c>
      <c r="C23" s="2" t="s">
        <v>24</v>
      </c>
      <c r="D23" s="2" t="s">
        <v>21</v>
      </c>
      <c r="E23" s="2">
        <v>388.56</v>
      </c>
      <c r="F23" s="2">
        <v>14</v>
      </c>
      <c r="G23" s="2">
        <v>0.15</v>
      </c>
      <c r="H23" s="3">
        <v>45416</v>
      </c>
      <c r="I23" s="2">
        <v>82.57</v>
      </c>
    </row>
    <row r="24" spans="1:9" ht="29.4" thickBot="1" x14ac:dyDescent="0.35">
      <c r="A24" s="2" t="s">
        <v>9</v>
      </c>
      <c r="B24" s="2" t="s">
        <v>31</v>
      </c>
      <c r="C24" s="2" t="s">
        <v>11</v>
      </c>
      <c r="D24" s="2" t="s">
        <v>12</v>
      </c>
      <c r="E24" s="2">
        <v>743.17</v>
      </c>
      <c r="F24" s="2">
        <v>9</v>
      </c>
      <c r="G24" s="2">
        <v>0</v>
      </c>
      <c r="H24" s="3">
        <v>45416</v>
      </c>
      <c r="I24" s="2">
        <v>297.27</v>
      </c>
    </row>
    <row r="25" spans="1:9" ht="29.4" thickBot="1" x14ac:dyDescent="0.35">
      <c r="A25" s="2" t="s">
        <v>40</v>
      </c>
      <c r="B25" s="2" t="s">
        <v>31</v>
      </c>
      <c r="C25" s="2" t="s">
        <v>34</v>
      </c>
      <c r="D25" s="2" t="s">
        <v>21</v>
      </c>
      <c r="E25" s="2">
        <v>706.37</v>
      </c>
      <c r="F25" s="2">
        <v>6</v>
      </c>
      <c r="G25" s="2">
        <v>0</v>
      </c>
      <c r="H25" s="3">
        <v>45416</v>
      </c>
      <c r="I25" s="2">
        <v>176.59</v>
      </c>
    </row>
    <row r="26" spans="1:9" ht="29.4" thickBot="1" x14ac:dyDescent="0.35">
      <c r="A26" s="2" t="s">
        <v>13</v>
      </c>
      <c r="B26" s="2" t="s">
        <v>31</v>
      </c>
      <c r="C26" s="2" t="s">
        <v>34</v>
      </c>
      <c r="D26" s="2" t="s">
        <v>39</v>
      </c>
      <c r="E26" s="2">
        <v>925.31</v>
      </c>
      <c r="F26" s="2">
        <v>8</v>
      </c>
      <c r="G26" s="2">
        <v>0.1</v>
      </c>
      <c r="H26" s="3">
        <v>45418</v>
      </c>
      <c r="I26" s="2">
        <v>374.75</v>
      </c>
    </row>
    <row r="27" spans="1:9" ht="29.4" thickBot="1" x14ac:dyDescent="0.35">
      <c r="A27" s="2" t="s">
        <v>35</v>
      </c>
      <c r="B27" s="2" t="s">
        <v>50</v>
      </c>
      <c r="C27" s="2" t="s">
        <v>20</v>
      </c>
      <c r="D27" s="2" t="s">
        <v>21</v>
      </c>
      <c r="E27" s="2">
        <v>1173.1199999999999</v>
      </c>
      <c r="F27" s="2">
        <v>18</v>
      </c>
      <c r="G27" s="2">
        <v>0</v>
      </c>
      <c r="H27" s="3">
        <v>45418</v>
      </c>
      <c r="I27" s="2">
        <v>293.27999999999997</v>
      </c>
    </row>
    <row r="28" spans="1:9" ht="29.4" thickBot="1" x14ac:dyDescent="0.35">
      <c r="A28" s="2" t="s">
        <v>22</v>
      </c>
      <c r="B28" s="2" t="s">
        <v>51</v>
      </c>
      <c r="C28" s="2" t="s">
        <v>24</v>
      </c>
      <c r="D28" s="2" t="s">
        <v>27</v>
      </c>
      <c r="E28" s="2">
        <v>675.54</v>
      </c>
      <c r="F28" s="2">
        <v>17</v>
      </c>
      <c r="G28" s="2">
        <v>0</v>
      </c>
      <c r="H28" s="3">
        <v>45420</v>
      </c>
      <c r="I28" s="2">
        <v>236.44</v>
      </c>
    </row>
    <row r="29" spans="1:9" ht="29.4" thickBot="1" x14ac:dyDescent="0.35">
      <c r="A29" s="2" t="s">
        <v>25</v>
      </c>
      <c r="B29" s="2" t="s">
        <v>14</v>
      </c>
      <c r="C29" s="2" t="s">
        <v>34</v>
      </c>
      <c r="D29" s="2" t="s">
        <v>12</v>
      </c>
      <c r="E29" s="2">
        <v>939.09</v>
      </c>
      <c r="F29" s="2">
        <v>2</v>
      </c>
      <c r="G29" s="2">
        <v>0.05</v>
      </c>
      <c r="H29" s="3">
        <v>45422</v>
      </c>
      <c r="I29" s="2">
        <v>356.85</v>
      </c>
    </row>
    <row r="30" spans="1:9" ht="29.4" thickBot="1" x14ac:dyDescent="0.35">
      <c r="A30" s="2" t="s">
        <v>52</v>
      </c>
      <c r="B30" s="2" t="s">
        <v>53</v>
      </c>
      <c r="C30" s="2" t="s">
        <v>18</v>
      </c>
      <c r="D30" s="2" t="s">
        <v>39</v>
      </c>
      <c r="E30" s="2">
        <v>983.34</v>
      </c>
      <c r="F30" s="2">
        <v>19</v>
      </c>
      <c r="G30" s="2">
        <v>0.1</v>
      </c>
      <c r="H30" s="3">
        <v>45426</v>
      </c>
      <c r="I30" s="2">
        <v>398.25</v>
      </c>
    </row>
    <row r="31" spans="1:9" ht="29.4" thickBot="1" x14ac:dyDescent="0.35">
      <c r="A31" s="2" t="s">
        <v>52</v>
      </c>
      <c r="B31" s="2" t="s">
        <v>23</v>
      </c>
      <c r="C31" s="2" t="s">
        <v>20</v>
      </c>
      <c r="D31" s="2" t="s">
        <v>21</v>
      </c>
      <c r="E31" s="2">
        <v>801.21</v>
      </c>
      <c r="F31" s="2">
        <v>3</v>
      </c>
      <c r="G31" s="2">
        <v>0.2</v>
      </c>
      <c r="H31" s="3">
        <v>45426</v>
      </c>
      <c r="I31" s="2">
        <v>160.24</v>
      </c>
    </row>
    <row r="32" spans="1:9" ht="29.4" thickBot="1" x14ac:dyDescent="0.35">
      <c r="A32" s="2" t="s">
        <v>54</v>
      </c>
      <c r="B32" s="2" t="s">
        <v>55</v>
      </c>
      <c r="C32" s="2" t="s">
        <v>24</v>
      </c>
      <c r="D32" s="2" t="s">
        <v>21</v>
      </c>
      <c r="E32" s="2">
        <v>1450.71</v>
      </c>
      <c r="F32" s="2">
        <v>5</v>
      </c>
      <c r="G32" s="2">
        <v>0.1</v>
      </c>
      <c r="H32" s="3">
        <v>45427</v>
      </c>
      <c r="I32" s="2">
        <v>326.41000000000003</v>
      </c>
    </row>
    <row r="33" spans="1:9" ht="29.4" thickBot="1" x14ac:dyDescent="0.35">
      <c r="A33" s="2" t="s">
        <v>49</v>
      </c>
      <c r="B33" s="2" t="s">
        <v>56</v>
      </c>
      <c r="C33" s="2" t="s">
        <v>34</v>
      </c>
      <c r="D33" s="2" t="s">
        <v>12</v>
      </c>
      <c r="E33" s="2">
        <v>1023.21</v>
      </c>
      <c r="F33" s="2">
        <v>18</v>
      </c>
      <c r="G33" s="2">
        <v>0.05</v>
      </c>
      <c r="H33" s="3">
        <v>45428</v>
      </c>
      <c r="I33" s="2">
        <v>388.82</v>
      </c>
    </row>
    <row r="34" spans="1:9" ht="29.4" thickBot="1" x14ac:dyDescent="0.35">
      <c r="A34" s="2" t="s">
        <v>28</v>
      </c>
      <c r="B34" s="2" t="s">
        <v>47</v>
      </c>
      <c r="C34" s="2" t="s">
        <v>11</v>
      </c>
      <c r="D34" s="2" t="s">
        <v>27</v>
      </c>
      <c r="E34" s="2">
        <v>853.72</v>
      </c>
      <c r="F34" s="2">
        <v>5</v>
      </c>
      <c r="G34" s="2">
        <v>0.15</v>
      </c>
      <c r="H34" s="3">
        <v>45428</v>
      </c>
      <c r="I34" s="2">
        <v>253.98</v>
      </c>
    </row>
    <row r="35" spans="1:9" ht="29.4" thickBot="1" x14ac:dyDescent="0.35">
      <c r="A35" s="2" t="s">
        <v>57</v>
      </c>
      <c r="B35" s="2" t="s">
        <v>43</v>
      </c>
      <c r="C35" s="2" t="s">
        <v>20</v>
      </c>
      <c r="D35" s="2" t="s">
        <v>21</v>
      </c>
      <c r="E35" s="2">
        <v>967.89</v>
      </c>
      <c r="F35" s="2">
        <v>10</v>
      </c>
      <c r="G35" s="2">
        <v>0.1</v>
      </c>
      <c r="H35" s="3">
        <v>45429</v>
      </c>
      <c r="I35" s="2">
        <v>217.78</v>
      </c>
    </row>
    <row r="36" spans="1:9" ht="29.4" thickBot="1" x14ac:dyDescent="0.35">
      <c r="A36" s="2" t="s">
        <v>58</v>
      </c>
      <c r="B36" s="2" t="s">
        <v>53</v>
      </c>
      <c r="C36" s="2" t="s">
        <v>24</v>
      </c>
      <c r="D36" s="2" t="s">
        <v>39</v>
      </c>
      <c r="E36" s="2">
        <v>1200.9000000000001</v>
      </c>
      <c r="F36" s="2">
        <v>14</v>
      </c>
      <c r="G36" s="2">
        <v>0.05</v>
      </c>
      <c r="H36" s="3">
        <v>45429</v>
      </c>
      <c r="I36" s="2">
        <v>513.38</v>
      </c>
    </row>
    <row r="37" spans="1:9" ht="29.4" thickBot="1" x14ac:dyDescent="0.35">
      <c r="A37" s="2" t="s">
        <v>13</v>
      </c>
      <c r="B37" s="2" t="s">
        <v>26</v>
      </c>
      <c r="C37" s="2" t="s">
        <v>11</v>
      </c>
      <c r="D37" s="2" t="s">
        <v>12</v>
      </c>
      <c r="E37" s="2">
        <v>472.38</v>
      </c>
      <c r="F37" s="2">
        <v>12</v>
      </c>
      <c r="G37" s="2">
        <v>0.2</v>
      </c>
      <c r="H37" s="3">
        <v>45429</v>
      </c>
      <c r="I37" s="2">
        <v>151.16</v>
      </c>
    </row>
    <row r="38" spans="1:9" ht="29.4" thickBot="1" x14ac:dyDescent="0.35">
      <c r="A38" s="2" t="s">
        <v>9</v>
      </c>
      <c r="B38" s="2" t="s">
        <v>55</v>
      </c>
      <c r="C38" s="2" t="s">
        <v>18</v>
      </c>
      <c r="D38" s="2" t="s">
        <v>39</v>
      </c>
      <c r="E38" s="2">
        <v>840.92</v>
      </c>
      <c r="F38" s="2">
        <v>9</v>
      </c>
      <c r="G38" s="2">
        <v>0.05</v>
      </c>
      <c r="H38" s="3">
        <v>45429</v>
      </c>
      <c r="I38" s="2">
        <v>359.49</v>
      </c>
    </row>
    <row r="39" spans="1:9" ht="15" thickBot="1" x14ac:dyDescent="0.35">
      <c r="A39" s="2" t="s">
        <v>52</v>
      </c>
      <c r="B39" s="2" t="s">
        <v>48</v>
      </c>
      <c r="C39" s="2" t="s">
        <v>34</v>
      </c>
      <c r="D39" s="2" t="s">
        <v>27</v>
      </c>
      <c r="E39" s="2">
        <v>1410.06</v>
      </c>
      <c r="F39" s="2">
        <v>11</v>
      </c>
      <c r="G39" s="2">
        <v>0.05</v>
      </c>
      <c r="H39" s="3">
        <v>45434</v>
      </c>
      <c r="I39" s="2">
        <v>468.84</v>
      </c>
    </row>
    <row r="40" spans="1:9" ht="29.4" thickBot="1" x14ac:dyDescent="0.35">
      <c r="A40" s="2" t="s">
        <v>44</v>
      </c>
      <c r="B40" s="2" t="s">
        <v>59</v>
      </c>
      <c r="C40" s="2" t="s">
        <v>34</v>
      </c>
      <c r="D40" s="2" t="s">
        <v>27</v>
      </c>
      <c r="E40" s="2">
        <v>773.09</v>
      </c>
      <c r="F40" s="2">
        <v>13</v>
      </c>
      <c r="G40" s="2">
        <v>0.15</v>
      </c>
      <c r="H40" s="3">
        <v>45434</v>
      </c>
      <c r="I40" s="2">
        <v>229.99</v>
      </c>
    </row>
    <row r="41" spans="1:9" ht="29.4" thickBot="1" x14ac:dyDescent="0.35">
      <c r="A41" s="2" t="s">
        <v>60</v>
      </c>
      <c r="B41" s="2" t="s">
        <v>61</v>
      </c>
      <c r="C41" s="2" t="s">
        <v>18</v>
      </c>
      <c r="D41" s="2" t="s">
        <v>12</v>
      </c>
      <c r="E41" s="2">
        <v>580.42999999999995</v>
      </c>
      <c r="F41" s="2">
        <v>19</v>
      </c>
      <c r="G41" s="2">
        <v>0.15</v>
      </c>
      <c r="H41" s="3">
        <v>45435</v>
      </c>
      <c r="I41" s="2">
        <v>197.35</v>
      </c>
    </row>
    <row r="42" spans="1:9" ht="29.4" thickBot="1" x14ac:dyDescent="0.35">
      <c r="A42" s="2" t="s">
        <v>19</v>
      </c>
      <c r="B42" s="2" t="s">
        <v>42</v>
      </c>
      <c r="C42" s="2" t="s">
        <v>20</v>
      </c>
      <c r="D42" s="2" t="s">
        <v>12</v>
      </c>
      <c r="E42" s="2">
        <v>1151.21</v>
      </c>
      <c r="F42" s="2">
        <v>15</v>
      </c>
      <c r="G42" s="2">
        <v>0.1</v>
      </c>
      <c r="H42" s="3">
        <v>45445</v>
      </c>
      <c r="I42" s="2">
        <v>414.44</v>
      </c>
    </row>
    <row r="43" spans="1:9" ht="29.4" thickBot="1" x14ac:dyDescent="0.35">
      <c r="A43" s="2" t="s">
        <v>52</v>
      </c>
      <c r="B43" s="2" t="s">
        <v>23</v>
      </c>
      <c r="C43" s="2" t="s">
        <v>34</v>
      </c>
      <c r="D43" s="2" t="s">
        <v>39</v>
      </c>
      <c r="E43" s="2">
        <v>1025.98</v>
      </c>
      <c r="F43" s="2">
        <v>5</v>
      </c>
      <c r="G43" s="2">
        <v>0.2</v>
      </c>
      <c r="H43" s="3">
        <v>45447</v>
      </c>
      <c r="I43" s="2">
        <v>369.35</v>
      </c>
    </row>
    <row r="44" spans="1:9" ht="29.4" thickBot="1" x14ac:dyDescent="0.35">
      <c r="A44" s="2" t="s">
        <v>40</v>
      </c>
      <c r="B44" s="2" t="s">
        <v>56</v>
      </c>
      <c r="C44" s="2" t="s">
        <v>18</v>
      </c>
      <c r="D44" s="2" t="s">
        <v>39</v>
      </c>
      <c r="E44" s="2">
        <v>556.41999999999996</v>
      </c>
      <c r="F44" s="2">
        <v>11</v>
      </c>
      <c r="G44" s="2">
        <v>0.15</v>
      </c>
      <c r="H44" s="3">
        <v>45447</v>
      </c>
      <c r="I44" s="2">
        <v>212.83</v>
      </c>
    </row>
    <row r="45" spans="1:9" ht="29.4" thickBot="1" x14ac:dyDescent="0.35">
      <c r="A45" s="2" t="s">
        <v>57</v>
      </c>
      <c r="B45" s="2" t="s">
        <v>23</v>
      </c>
      <c r="C45" s="2" t="s">
        <v>34</v>
      </c>
      <c r="D45" s="2" t="s">
        <v>12</v>
      </c>
      <c r="E45" s="2">
        <v>840.85</v>
      </c>
      <c r="F45" s="2">
        <v>19</v>
      </c>
      <c r="G45" s="2">
        <v>0.1</v>
      </c>
      <c r="H45" s="3">
        <v>45448</v>
      </c>
      <c r="I45" s="2">
        <v>302.70999999999998</v>
      </c>
    </row>
    <row r="46" spans="1:9" ht="29.4" thickBot="1" x14ac:dyDescent="0.35">
      <c r="A46" s="2" t="s">
        <v>30</v>
      </c>
      <c r="B46" s="2" t="s">
        <v>61</v>
      </c>
      <c r="C46" s="2" t="s">
        <v>24</v>
      </c>
      <c r="D46" s="2" t="s">
        <v>27</v>
      </c>
      <c r="E46" s="2">
        <v>1227.25</v>
      </c>
      <c r="F46" s="2">
        <v>12</v>
      </c>
      <c r="G46" s="2">
        <v>0.15</v>
      </c>
      <c r="H46" s="3">
        <v>45448</v>
      </c>
      <c r="I46" s="2">
        <v>365.11</v>
      </c>
    </row>
    <row r="47" spans="1:9" ht="29.4" thickBot="1" x14ac:dyDescent="0.35">
      <c r="A47" s="2" t="s">
        <v>16</v>
      </c>
      <c r="B47" s="2" t="s">
        <v>62</v>
      </c>
      <c r="C47" s="2" t="s">
        <v>34</v>
      </c>
      <c r="D47" s="2" t="s">
        <v>21</v>
      </c>
      <c r="E47" s="2">
        <v>856.7</v>
      </c>
      <c r="F47" s="2">
        <v>2</v>
      </c>
      <c r="G47" s="2">
        <v>0</v>
      </c>
      <c r="H47" s="3">
        <v>45449</v>
      </c>
      <c r="I47" s="2">
        <v>214.18</v>
      </c>
    </row>
    <row r="48" spans="1:9" ht="29.4" thickBot="1" x14ac:dyDescent="0.35">
      <c r="A48" s="2" t="s">
        <v>54</v>
      </c>
      <c r="B48" s="2" t="s">
        <v>56</v>
      </c>
      <c r="C48" s="2" t="s">
        <v>34</v>
      </c>
      <c r="D48" s="2" t="s">
        <v>39</v>
      </c>
      <c r="E48" s="2">
        <v>1225.42</v>
      </c>
      <c r="F48" s="2">
        <v>8</v>
      </c>
      <c r="G48" s="2">
        <v>0.15</v>
      </c>
      <c r="H48" s="3">
        <v>45449</v>
      </c>
      <c r="I48" s="2">
        <v>468.72</v>
      </c>
    </row>
    <row r="49" spans="1:9" ht="29.4" thickBot="1" x14ac:dyDescent="0.35">
      <c r="A49" s="2" t="s">
        <v>63</v>
      </c>
      <c r="B49" s="2" t="s">
        <v>31</v>
      </c>
      <c r="C49" s="2" t="s">
        <v>24</v>
      </c>
      <c r="D49" s="2" t="s">
        <v>39</v>
      </c>
      <c r="E49" s="2">
        <v>1001.57</v>
      </c>
      <c r="F49" s="2">
        <v>12</v>
      </c>
      <c r="G49" s="2">
        <v>0</v>
      </c>
      <c r="H49" s="3">
        <v>45450</v>
      </c>
      <c r="I49" s="2">
        <v>450.71</v>
      </c>
    </row>
    <row r="50" spans="1:9" ht="29.4" thickBot="1" x14ac:dyDescent="0.35">
      <c r="A50" s="2" t="s">
        <v>57</v>
      </c>
      <c r="B50" s="2" t="s">
        <v>26</v>
      </c>
      <c r="C50" s="2" t="s">
        <v>18</v>
      </c>
      <c r="D50" s="2" t="s">
        <v>27</v>
      </c>
      <c r="E50" s="2">
        <v>1186.8499999999999</v>
      </c>
      <c r="F50" s="2">
        <v>19</v>
      </c>
      <c r="G50" s="2">
        <v>0.2</v>
      </c>
      <c r="H50" s="3">
        <v>45451</v>
      </c>
      <c r="I50" s="2">
        <v>332.32</v>
      </c>
    </row>
    <row r="51" spans="1:9" ht="29.4" thickBot="1" x14ac:dyDescent="0.35">
      <c r="A51" s="2" t="s">
        <v>44</v>
      </c>
      <c r="B51" s="2" t="s">
        <v>51</v>
      </c>
      <c r="C51" s="2" t="s">
        <v>20</v>
      </c>
      <c r="D51" s="2" t="s">
        <v>21</v>
      </c>
      <c r="E51" s="2">
        <v>775.45</v>
      </c>
      <c r="F51" s="2">
        <v>6</v>
      </c>
      <c r="G51" s="2">
        <v>0.1</v>
      </c>
      <c r="H51" s="3">
        <v>45457</v>
      </c>
      <c r="I51" s="2">
        <v>174.48</v>
      </c>
    </row>
    <row r="52" spans="1:9" ht="29.4" thickBot="1" x14ac:dyDescent="0.35">
      <c r="A52" s="2" t="s">
        <v>25</v>
      </c>
      <c r="B52" s="2" t="s">
        <v>33</v>
      </c>
      <c r="C52" s="2" t="s">
        <v>20</v>
      </c>
      <c r="D52" s="2" t="s">
        <v>21</v>
      </c>
      <c r="E52" s="2">
        <v>1021.47</v>
      </c>
      <c r="F52" s="2">
        <v>6</v>
      </c>
      <c r="G52" s="2">
        <v>0.05</v>
      </c>
      <c r="H52" s="3">
        <v>45461</v>
      </c>
      <c r="I52" s="2">
        <v>242.6</v>
      </c>
    </row>
    <row r="53" spans="1:9" ht="29.4" thickBot="1" x14ac:dyDescent="0.35">
      <c r="A53" s="2" t="s">
        <v>58</v>
      </c>
      <c r="B53" s="2" t="s">
        <v>23</v>
      </c>
      <c r="C53" s="2" t="s">
        <v>20</v>
      </c>
      <c r="D53" s="2" t="s">
        <v>15</v>
      </c>
      <c r="E53" s="2">
        <v>1226.6199999999999</v>
      </c>
      <c r="F53" s="2">
        <v>7</v>
      </c>
      <c r="G53" s="2">
        <v>0.1</v>
      </c>
      <c r="H53" s="3">
        <v>45463</v>
      </c>
      <c r="I53" s="2">
        <v>551.98</v>
      </c>
    </row>
    <row r="54" spans="1:9" ht="29.4" thickBot="1" x14ac:dyDescent="0.35">
      <c r="A54" s="2" t="s">
        <v>22</v>
      </c>
      <c r="B54" s="2" t="s">
        <v>64</v>
      </c>
      <c r="C54" s="2" t="s">
        <v>20</v>
      </c>
      <c r="D54" s="2" t="s">
        <v>27</v>
      </c>
      <c r="E54" s="2">
        <v>1086.93</v>
      </c>
      <c r="F54" s="2">
        <v>2</v>
      </c>
      <c r="G54" s="2">
        <v>0</v>
      </c>
      <c r="H54" s="3">
        <v>45464</v>
      </c>
      <c r="I54" s="2">
        <v>380.43</v>
      </c>
    </row>
    <row r="55" spans="1:9" ht="15" thickBot="1" x14ac:dyDescent="0.35">
      <c r="A55" s="2" t="s">
        <v>65</v>
      </c>
      <c r="B55" s="2" t="s">
        <v>48</v>
      </c>
      <c r="C55" s="2" t="s">
        <v>11</v>
      </c>
      <c r="D55" s="2" t="s">
        <v>12</v>
      </c>
      <c r="E55" s="2">
        <v>942.9</v>
      </c>
      <c r="F55" s="2">
        <v>18</v>
      </c>
      <c r="G55" s="2">
        <v>0.1</v>
      </c>
      <c r="H55" s="3">
        <v>45466</v>
      </c>
      <c r="I55" s="2">
        <v>339.44</v>
      </c>
    </row>
    <row r="56" spans="1:9" ht="29.4" thickBot="1" x14ac:dyDescent="0.35">
      <c r="A56" s="2" t="s">
        <v>32</v>
      </c>
      <c r="B56" s="2" t="s">
        <v>38</v>
      </c>
      <c r="C56" s="2" t="s">
        <v>24</v>
      </c>
      <c r="D56" s="2" t="s">
        <v>21</v>
      </c>
      <c r="E56" s="2">
        <v>818.8</v>
      </c>
      <c r="F56" s="2">
        <v>15</v>
      </c>
      <c r="G56" s="2">
        <v>0.15</v>
      </c>
      <c r="H56" s="3">
        <v>45468</v>
      </c>
      <c r="I56" s="2">
        <v>173.99</v>
      </c>
    </row>
    <row r="57" spans="1:9" ht="29.4" thickBot="1" x14ac:dyDescent="0.35">
      <c r="A57" s="2" t="s">
        <v>19</v>
      </c>
      <c r="B57" s="2" t="s">
        <v>14</v>
      </c>
      <c r="C57" s="2" t="s">
        <v>20</v>
      </c>
      <c r="D57" s="2" t="s">
        <v>27</v>
      </c>
      <c r="E57" s="2">
        <v>919.04</v>
      </c>
      <c r="F57" s="2">
        <v>10</v>
      </c>
      <c r="G57" s="2">
        <v>0.2</v>
      </c>
      <c r="H57" s="3">
        <v>45468</v>
      </c>
      <c r="I57" s="2">
        <v>257.33</v>
      </c>
    </row>
    <row r="58" spans="1:9" ht="29.4" thickBot="1" x14ac:dyDescent="0.35">
      <c r="A58" s="2" t="s">
        <v>22</v>
      </c>
      <c r="B58" s="2" t="s">
        <v>66</v>
      </c>
      <c r="C58" s="2" t="s">
        <v>34</v>
      </c>
      <c r="D58" s="2" t="s">
        <v>12</v>
      </c>
      <c r="E58" s="2">
        <v>973.26</v>
      </c>
      <c r="F58" s="2">
        <v>11</v>
      </c>
      <c r="G58" s="2">
        <v>0</v>
      </c>
      <c r="H58" s="3">
        <v>45470</v>
      </c>
      <c r="I58" s="2">
        <v>389.3</v>
      </c>
    </row>
    <row r="59" spans="1:9" ht="29.4" thickBot="1" x14ac:dyDescent="0.35">
      <c r="A59" s="2" t="s">
        <v>41</v>
      </c>
      <c r="B59" s="2" t="s">
        <v>64</v>
      </c>
      <c r="C59" s="2" t="s">
        <v>24</v>
      </c>
      <c r="D59" s="2" t="s">
        <v>21</v>
      </c>
      <c r="E59" s="2">
        <v>741.61</v>
      </c>
      <c r="F59" s="2">
        <v>1</v>
      </c>
      <c r="G59" s="2">
        <v>0.2</v>
      </c>
      <c r="H59" s="3">
        <v>45471</v>
      </c>
      <c r="I59" s="2">
        <v>148.32</v>
      </c>
    </row>
    <row r="60" spans="1:9" ht="29.4" thickBot="1" x14ac:dyDescent="0.35">
      <c r="A60" s="2" t="s">
        <v>67</v>
      </c>
      <c r="B60" s="2" t="s">
        <v>38</v>
      </c>
      <c r="C60" s="2" t="s">
        <v>24</v>
      </c>
      <c r="D60" s="2" t="s">
        <v>12</v>
      </c>
      <c r="E60" s="2">
        <v>1248.82</v>
      </c>
      <c r="F60" s="2">
        <v>2</v>
      </c>
      <c r="G60" s="2">
        <v>0.1</v>
      </c>
      <c r="H60" s="3">
        <v>45473</v>
      </c>
      <c r="I60" s="2">
        <v>449.58</v>
      </c>
    </row>
    <row r="61" spans="1:9" ht="29.4" thickBot="1" x14ac:dyDescent="0.35">
      <c r="A61" s="2" t="s">
        <v>13</v>
      </c>
      <c r="B61" s="2" t="s">
        <v>59</v>
      </c>
      <c r="C61" s="2" t="s">
        <v>11</v>
      </c>
      <c r="D61" s="2" t="s">
        <v>15</v>
      </c>
      <c r="E61" s="2">
        <v>1360.36</v>
      </c>
      <c r="F61" s="2">
        <v>17</v>
      </c>
      <c r="G61" s="2">
        <v>0</v>
      </c>
      <c r="H61" s="3">
        <v>45473</v>
      </c>
      <c r="I61" s="2">
        <v>680.18</v>
      </c>
    </row>
    <row r="62" spans="1:9" ht="29.4" thickBot="1" x14ac:dyDescent="0.35">
      <c r="A62" s="2" t="s">
        <v>57</v>
      </c>
      <c r="B62" s="2" t="s">
        <v>31</v>
      </c>
      <c r="C62" s="2" t="s">
        <v>18</v>
      </c>
      <c r="D62" s="2" t="s">
        <v>12</v>
      </c>
      <c r="E62" s="2">
        <v>1383.3</v>
      </c>
      <c r="F62" s="2">
        <v>8</v>
      </c>
      <c r="G62" s="2">
        <v>0.1</v>
      </c>
      <c r="H62" s="3">
        <v>45478</v>
      </c>
      <c r="I62" s="2">
        <v>497.99</v>
      </c>
    </row>
    <row r="63" spans="1:9" ht="29.4" thickBot="1" x14ac:dyDescent="0.35">
      <c r="A63" s="2" t="s">
        <v>35</v>
      </c>
      <c r="B63" s="2" t="s">
        <v>55</v>
      </c>
      <c r="C63" s="2" t="s">
        <v>34</v>
      </c>
      <c r="D63" s="2" t="s">
        <v>39</v>
      </c>
      <c r="E63" s="2">
        <v>488.99</v>
      </c>
      <c r="F63" s="2">
        <v>9</v>
      </c>
      <c r="G63" s="2">
        <v>0</v>
      </c>
      <c r="H63" s="3">
        <v>45479</v>
      </c>
      <c r="I63" s="2">
        <v>220.05</v>
      </c>
    </row>
    <row r="64" spans="1:9" ht="29.4" thickBot="1" x14ac:dyDescent="0.35">
      <c r="A64" s="2" t="s">
        <v>30</v>
      </c>
      <c r="B64" s="2" t="s">
        <v>31</v>
      </c>
      <c r="C64" s="2" t="s">
        <v>18</v>
      </c>
      <c r="D64" s="2" t="s">
        <v>27</v>
      </c>
      <c r="E64" s="2">
        <v>933.71</v>
      </c>
      <c r="F64" s="2">
        <v>17</v>
      </c>
      <c r="G64" s="2">
        <v>0.1</v>
      </c>
      <c r="H64" s="3">
        <v>45481</v>
      </c>
      <c r="I64" s="2">
        <v>294.12</v>
      </c>
    </row>
    <row r="65" spans="1:9" ht="29.4" thickBot="1" x14ac:dyDescent="0.35">
      <c r="A65" s="2" t="s">
        <v>67</v>
      </c>
      <c r="B65" s="2" t="s">
        <v>10</v>
      </c>
      <c r="C65" s="2" t="s">
        <v>11</v>
      </c>
      <c r="D65" s="2" t="s">
        <v>21</v>
      </c>
      <c r="E65" s="2">
        <v>1005.53</v>
      </c>
      <c r="F65" s="2">
        <v>17</v>
      </c>
      <c r="G65" s="2">
        <v>0.2</v>
      </c>
      <c r="H65" s="3">
        <v>45481</v>
      </c>
      <c r="I65" s="2">
        <v>201.11</v>
      </c>
    </row>
    <row r="66" spans="1:9" ht="29.4" thickBot="1" x14ac:dyDescent="0.35">
      <c r="A66" s="2" t="s">
        <v>41</v>
      </c>
      <c r="B66" s="2" t="s">
        <v>61</v>
      </c>
      <c r="C66" s="2" t="s">
        <v>20</v>
      </c>
      <c r="D66" s="2" t="s">
        <v>21</v>
      </c>
      <c r="E66" s="2">
        <v>1100.0999999999999</v>
      </c>
      <c r="F66" s="2">
        <v>5</v>
      </c>
      <c r="G66" s="2">
        <v>0.05</v>
      </c>
      <c r="H66" s="3">
        <v>45482</v>
      </c>
      <c r="I66" s="2">
        <v>261.27</v>
      </c>
    </row>
    <row r="67" spans="1:9" ht="29.4" thickBot="1" x14ac:dyDescent="0.35">
      <c r="A67" s="2" t="s">
        <v>67</v>
      </c>
      <c r="B67" s="2" t="s">
        <v>23</v>
      </c>
      <c r="C67" s="2" t="s">
        <v>24</v>
      </c>
      <c r="D67" s="2" t="s">
        <v>27</v>
      </c>
      <c r="E67" s="2">
        <v>1034.7</v>
      </c>
      <c r="F67" s="2">
        <v>15</v>
      </c>
      <c r="G67" s="2">
        <v>0.15</v>
      </c>
      <c r="H67" s="3">
        <v>45487</v>
      </c>
      <c r="I67" s="2">
        <v>307.82</v>
      </c>
    </row>
    <row r="68" spans="1:9" ht="29.4" thickBot="1" x14ac:dyDescent="0.35">
      <c r="A68" s="2" t="s">
        <v>65</v>
      </c>
      <c r="B68" s="2" t="s">
        <v>31</v>
      </c>
      <c r="C68" s="2" t="s">
        <v>20</v>
      </c>
      <c r="D68" s="2" t="s">
        <v>12</v>
      </c>
      <c r="E68" s="2">
        <v>876.44</v>
      </c>
      <c r="F68" s="2">
        <v>12</v>
      </c>
      <c r="G68" s="2">
        <v>0.05</v>
      </c>
      <c r="H68" s="3">
        <v>45488</v>
      </c>
      <c r="I68" s="2">
        <v>333.05</v>
      </c>
    </row>
    <row r="69" spans="1:9" ht="29.4" thickBot="1" x14ac:dyDescent="0.35">
      <c r="A69" s="2" t="s">
        <v>68</v>
      </c>
      <c r="B69" s="2" t="s">
        <v>55</v>
      </c>
      <c r="C69" s="2" t="s">
        <v>11</v>
      </c>
      <c r="D69" s="2" t="s">
        <v>27</v>
      </c>
      <c r="E69" s="2">
        <v>1371.34</v>
      </c>
      <c r="F69" s="2">
        <v>5</v>
      </c>
      <c r="G69" s="2">
        <v>0.05</v>
      </c>
      <c r="H69" s="3">
        <v>45488</v>
      </c>
      <c r="I69" s="2">
        <v>455.97</v>
      </c>
    </row>
    <row r="70" spans="1:9" ht="29.4" thickBot="1" x14ac:dyDescent="0.35">
      <c r="A70" s="2" t="s">
        <v>57</v>
      </c>
      <c r="B70" s="2" t="s">
        <v>47</v>
      </c>
      <c r="C70" s="2" t="s">
        <v>24</v>
      </c>
      <c r="D70" s="2" t="s">
        <v>21</v>
      </c>
      <c r="E70" s="2">
        <v>1020.26</v>
      </c>
      <c r="F70" s="2">
        <v>11</v>
      </c>
      <c r="G70" s="2">
        <v>0.05</v>
      </c>
      <c r="H70" s="3">
        <v>45494</v>
      </c>
      <c r="I70" s="2">
        <v>242.31</v>
      </c>
    </row>
    <row r="71" spans="1:9" ht="29.4" thickBot="1" x14ac:dyDescent="0.35">
      <c r="A71" s="2" t="s">
        <v>44</v>
      </c>
      <c r="B71" s="2" t="s">
        <v>10</v>
      </c>
      <c r="C71" s="2" t="s">
        <v>34</v>
      </c>
      <c r="D71" s="2" t="s">
        <v>39</v>
      </c>
      <c r="E71" s="2">
        <v>804.81</v>
      </c>
      <c r="F71" s="2">
        <v>1</v>
      </c>
      <c r="G71" s="2">
        <v>0.05</v>
      </c>
      <c r="H71" s="3">
        <v>45502</v>
      </c>
      <c r="I71" s="2">
        <v>344.06</v>
      </c>
    </row>
    <row r="72" spans="1:9" ht="29.4" thickBot="1" x14ac:dyDescent="0.35">
      <c r="A72" s="2" t="s">
        <v>22</v>
      </c>
      <c r="B72" s="2" t="s">
        <v>55</v>
      </c>
      <c r="C72" s="2" t="s">
        <v>34</v>
      </c>
      <c r="D72" s="2" t="s">
        <v>21</v>
      </c>
      <c r="E72" s="2">
        <v>608.66</v>
      </c>
      <c r="F72" s="2">
        <v>1</v>
      </c>
      <c r="G72" s="2">
        <v>0.05</v>
      </c>
      <c r="H72" s="3">
        <v>45503</v>
      </c>
      <c r="I72" s="2">
        <v>144.56</v>
      </c>
    </row>
    <row r="73" spans="1:9" ht="29.4" thickBot="1" x14ac:dyDescent="0.35">
      <c r="A73" s="2" t="s">
        <v>68</v>
      </c>
      <c r="B73" s="2" t="s">
        <v>69</v>
      </c>
      <c r="C73" s="2" t="s">
        <v>20</v>
      </c>
      <c r="D73" s="2" t="s">
        <v>39</v>
      </c>
      <c r="E73" s="2">
        <v>981.2</v>
      </c>
      <c r="F73" s="2">
        <v>19</v>
      </c>
      <c r="G73" s="2">
        <v>0</v>
      </c>
      <c r="H73" s="3">
        <v>45504</v>
      </c>
      <c r="I73" s="2">
        <v>441.54</v>
      </c>
    </row>
    <row r="74" spans="1:9" ht="29.4" thickBot="1" x14ac:dyDescent="0.35">
      <c r="A74" s="2" t="s">
        <v>70</v>
      </c>
      <c r="B74" s="2" t="s">
        <v>55</v>
      </c>
      <c r="C74" s="2" t="s">
        <v>18</v>
      </c>
      <c r="D74" s="2" t="s">
        <v>21</v>
      </c>
      <c r="E74" s="2">
        <v>539.77</v>
      </c>
      <c r="F74" s="2">
        <v>10</v>
      </c>
      <c r="G74" s="2">
        <v>0.15</v>
      </c>
      <c r="H74" s="3">
        <v>45509</v>
      </c>
      <c r="I74" s="2">
        <v>114.7</v>
      </c>
    </row>
    <row r="75" spans="1:9" ht="29.4" thickBot="1" x14ac:dyDescent="0.35">
      <c r="A75" s="2" t="s">
        <v>13</v>
      </c>
      <c r="B75" s="2" t="s">
        <v>71</v>
      </c>
      <c r="C75" s="2" t="s">
        <v>20</v>
      </c>
      <c r="D75" s="2" t="s">
        <v>12</v>
      </c>
      <c r="E75" s="2">
        <v>804.45</v>
      </c>
      <c r="F75" s="2">
        <v>5</v>
      </c>
      <c r="G75" s="2">
        <v>0.2</v>
      </c>
      <c r="H75" s="3">
        <v>45509</v>
      </c>
      <c r="I75" s="2">
        <v>257.42</v>
      </c>
    </row>
    <row r="76" spans="1:9" ht="29.4" thickBot="1" x14ac:dyDescent="0.35">
      <c r="A76" s="2" t="s">
        <v>70</v>
      </c>
      <c r="B76" s="2" t="s">
        <v>38</v>
      </c>
      <c r="C76" s="2" t="s">
        <v>11</v>
      </c>
      <c r="D76" s="2" t="s">
        <v>21</v>
      </c>
      <c r="E76" s="2">
        <v>1526.6</v>
      </c>
      <c r="F76" s="2">
        <v>13</v>
      </c>
      <c r="G76" s="2">
        <v>0.2</v>
      </c>
      <c r="H76" s="3">
        <v>45512</v>
      </c>
      <c r="I76" s="2">
        <v>305.32</v>
      </c>
    </row>
    <row r="77" spans="1:9" ht="29.4" thickBot="1" x14ac:dyDescent="0.35">
      <c r="A77" s="2" t="s">
        <v>13</v>
      </c>
      <c r="B77" s="2" t="s">
        <v>29</v>
      </c>
      <c r="C77" s="2" t="s">
        <v>11</v>
      </c>
      <c r="D77" s="2" t="s">
        <v>21</v>
      </c>
      <c r="E77" s="2">
        <v>1215.26</v>
      </c>
      <c r="F77" s="2">
        <v>5</v>
      </c>
      <c r="G77" s="2">
        <v>0.15</v>
      </c>
      <c r="H77" s="3">
        <v>45513</v>
      </c>
      <c r="I77" s="2">
        <v>258.24</v>
      </c>
    </row>
    <row r="78" spans="1:9" ht="29.4" thickBot="1" x14ac:dyDescent="0.35">
      <c r="A78" s="2" t="s">
        <v>19</v>
      </c>
      <c r="B78" s="2" t="s">
        <v>53</v>
      </c>
      <c r="C78" s="2" t="s">
        <v>34</v>
      </c>
      <c r="D78" s="2" t="s">
        <v>27</v>
      </c>
      <c r="E78" s="2">
        <v>1261.3399999999999</v>
      </c>
      <c r="F78" s="2">
        <v>3</v>
      </c>
      <c r="G78" s="2">
        <v>0</v>
      </c>
      <c r="H78" s="3">
        <v>45519</v>
      </c>
      <c r="I78" s="2">
        <v>441.47</v>
      </c>
    </row>
    <row r="79" spans="1:9" ht="29.4" thickBot="1" x14ac:dyDescent="0.35">
      <c r="A79" s="2" t="s">
        <v>72</v>
      </c>
      <c r="B79" s="2" t="s">
        <v>45</v>
      </c>
      <c r="C79" s="2" t="s">
        <v>24</v>
      </c>
      <c r="D79" s="2" t="s">
        <v>27</v>
      </c>
      <c r="E79" s="2">
        <v>518.07000000000005</v>
      </c>
      <c r="F79" s="2">
        <v>7</v>
      </c>
      <c r="G79" s="2">
        <v>0.05</v>
      </c>
      <c r="H79" s="3">
        <v>45522</v>
      </c>
      <c r="I79" s="2">
        <v>172.26</v>
      </c>
    </row>
    <row r="80" spans="1:9" ht="29.4" thickBot="1" x14ac:dyDescent="0.35">
      <c r="A80" s="2" t="s">
        <v>30</v>
      </c>
      <c r="B80" s="2" t="s">
        <v>29</v>
      </c>
      <c r="C80" s="2" t="s">
        <v>11</v>
      </c>
      <c r="D80" s="2" t="s">
        <v>39</v>
      </c>
      <c r="E80" s="2">
        <v>1111.3399999999999</v>
      </c>
      <c r="F80" s="2">
        <v>1</v>
      </c>
      <c r="G80" s="2">
        <v>0</v>
      </c>
      <c r="H80" s="3">
        <v>45523</v>
      </c>
      <c r="I80" s="2">
        <v>500.1</v>
      </c>
    </row>
    <row r="81" spans="1:9" ht="29.4" thickBot="1" x14ac:dyDescent="0.35">
      <c r="A81" s="2" t="s">
        <v>22</v>
      </c>
      <c r="B81" s="2" t="s">
        <v>31</v>
      </c>
      <c r="C81" s="2" t="s">
        <v>18</v>
      </c>
      <c r="D81" s="2" t="s">
        <v>15</v>
      </c>
      <c r="E81" s="2">
        <v>1291.47</v>
      </c>
      <c r="F81" s="2">
        <v>18</v>
      </c>
      <c r="G81" s="2">
        <v>0.1</v>
      </c>
      <c r="H81" s="3">
        <v>45526</v>
      </c>
      <c r="I81" s="2">
        <v>581.16</v>
      </c>
    </row>
    <row r="82" spans="1:9" ht="29.4" thickBot="1" x14ac:dyDescent="0.35">
      <c r="A82" s="2" t="s">
        <v>25</v>
      </c>
      <c r="B82" s="2" t="s">
        <v>55</v>
      </c>
      <c r="C82" s="2" t="s">
        <v>24</v>
      </c>
      <c r="D82" s="2" t="s">
        <v>12</v>
      </c>
      <c r="E82" s="2">
        <v>679.71</v>
      </c>
      <c r="F82" s="2">
        <v>19</v>
      </c>
      <c r="G82" s="2">
        <v>0</v>
      </c>
      <c r="H82" s="3">
        <v>45534</v>
      </c>
      <c r="I82" s="2">
        <v>271.88</v>
      </c>
    </row>
    <row r="83" spans="1:9" ht="29.4" thickBot="1" x14ac:dyDescent="0.35">
      <c r="A83" s="2" t="s">
        <v>68</v>
      </c>
      <c r="B83" s="2" t="s">
        <v>33</v>
      </c>
      <c r="C83" s="2" t="s">
        <v>18</v>
      </c>
      <c r="D83" s="2" t="s">
        <v>27</v>
      </c>
      <c r="E83" s="2">
        <v>1143.69</v>
      </c>
      <c r="F83" s="2">
        <v>17</v>
      </c>
      <c r="G83" s="2">
        <v>0</v>
      </c>
      <c r="H83" s="3">
        <v>45534</v>
      </c>
      <c r="I83" s="2">
        <v>400.29</v>
      </c>
    </row>
    <row r="84" spans="1:9" ht="29.4" thickBot="1" x14ac:dyDescent="0.35">
      <c r="A84" s="2" t="s">
        <v>52</v>
      </c>
      <c r="B84" s="2" t="s">
        <v>50</v>
      </c>
      <c r="C84" s="2" t="s">
        <v>34</v>
      </c>
      <c r="D84" s="2" t="s">
        <v>21</v>
      </c>
      <c r="E84" s="2">
        <v>790.08</v>
      </c>
      <c r="F84" s="2">
        <v>7</v>
      </c>
      <c r="G84" s="2">
        <v>0.1</v>
      </c>
      <c r="H84" s="3">
        <v>45536</v>
      </c>
      <c r="I84" s="2">
        <v>177.77</v>
      </c>
    </row>
    <row r="85" spans="1:9" ht="15" thickBot="1" x14ac:dyDescent="0.35">
      <c r="A85" s="2" t="s">
        <v>19</v>
      </c>
      <c r="B85" s="2" t="s">
        <v>48</v>
      </c>
      <c r="C85" s="2" t="s">
        <v>34</v>
      </c>
      <c r="D85" s="2" t="s">
        <v>12</v>
      </c>
      <c r="E85" s="2">
        <v>1070.68</v>
      </c>
      <c r="F85" s="2">
        <v>7</v>
      </c>
      <c r="G85" s="2">
        <v>0.05</v>
      </c>
      <c r="H85" s="3">
        <v>45536</v>
      </c>
      <c r="I85" s="2">
        <v>406.86</v>
      </c>
    </row>
    <row r="86" spans="1:9" ht="29.4" thickBot="1" x14ac:dyDescent="0.35">
      <c r="A86" s="2" t="s">
        <v>58</v>
      </c>
      <c r="B86" s="2" t="s">
        <v>36</v>
      </c>
      <c r="C86" s="2" t="s">
        <v>11</v>
      </c>
      <c r="D86" s="2" t="s">
        <v>15</v>
      </c>
      <c r="E86" s="2">
        <v>1168.8900000000001</v>
      </c>
      <c r="F86" s="2">
        <v>4</v>
      </c>
      <c r="G86" s="2">
        <v>0.1</v>
      </c>
      <c r="H86" s="3">
        <v>45544</v>
      </c>
      <c r="I86" s="2">
        <v>526</v>
      </c>
    </row>
    <row r="87" spans="1:9" ht="29.4" thickBot="1" x14ac:dyDescent="0.35">
      <c r="A87" s="2" t="s">
        <v>67</v>
      </c>
      <c r="B87" s="2" t="s">
        <v>10</v>
      </c>
      <c r="C87" s="2" t="s">
        <v>20</v>
      </c>
      <c r="D87" s="2" t="s">
        <v>21</v>
      </c>
      <c r="E87" s="2">
        <v>1335.87</v>
      </c>
      <c r="F87" s="2">
        <v>17</v>
      </c>
      <c r="G87" s="2">
        <v>0</v>
      </c>
      <c r="H87" s="3">
        <v>45544</v>
      </c>
      <c r="I87" s="2">
        <v>333.97</v>
      </c>
    </row>
    <row r="88" spans="1:9" ht="29.4" thickBot="1" x14ac:dyDescent="0.35">
      <c r="A88" s="2" t="s">
        <v>40</v>
      </c>
      <c r="B88" s="2" t="s">
        <v>55</v>
      </c>
      <c r="C88" s="2" t="s">
        <v>18</v>
      </c>
      <c r="D88" s="2" t="s">
        <v>27</v>
      </c>
      <c r="E88" s="2">
        <v>873.7</v>
      </c>
      <c r="F88" s="2">
        <v>9</v>
      </c>
      <c r="G88" s="2">
        <v>0</v>
      </c>
      <c r="H88" s="3">
        <v>45546</v>
      </c>
      <c r="I88" s="2">
        <v>305.8</v>
      </c>
    </row>
    <row r="89" spans="1:9" ht="29.4" thickBot="1" x14ac:dyDescent="0.35">
      <c r="A89" s="2" t="s">
        <v>72</v>
      </c>
      <c r="B89" s="2" t="s">
        <v>64</v>
      </c>
      <c r="C89" s="2" t="s">
        <v>11</v>
      </c>
      <c r="D89" s="2" t="s">
        <v>39</v>
      </c>
      <c r="E89" s="2">
        <v>1443.98</v>
      </c>
      <c r="F89" s="2">
        <v>19</v>
      </c>
      <c r="G89" s="2">
        <v>0</v>
      </c>
      <c r="H89" s="3">
        <v>45547</v>
      </c>
      <c r="I89" s="2">
        <v>649.79</v>
      </c>
    </row>
    <row r="90" spans="1:9" ht="29.4" thickBot="1" x14ac:dyDescent="0.35">
      <c r="A90" s="2" t="s">
        <v>40</v>
      </c>
      <c r="B90" s="2" t="s">
        <v>23</v>
      </c>
      <c r="C90" s="2" t="s">
        <v>18</v>
      </c>
      <c r="D90" s="2" t="s">
        <v>39</v>
      </c>
      <c r="E90" s="2">
        <v>1154.33</v>
      </c>
      <c r="F90" s="2">
        <v>11</v>
      </c>
      <c r="G90" s="2">
        <v>0.15</v>
      </c>
      <c r="H90" s="3">
        <v>45549</v>
      </c>
      <c r="I90" s="2">
        <v>441.53</v>
      </c>
    </row>
    <row r="91" spans="1:9" ht="29.4" thickBot="1" x14ac:dyDescent="0.35">
      <c r="A91" s="2" t="s">
        <v>49</v>
      </c>
      <c r="B91" s="2" t="s">
        <v>50</v>
      </c>
      <c r="C91" s="2" t="s">
        <v>20</v>
      </c>
      <c r="D91" s="2" t="s">
        <v>12</v>
      </c>
      <c r="E91" s="2">
        <v>1264.49</v>
      </c>
      <c r="F91" s="2">
        <v>16</v>
      </c>
      <c r="G91" s="2">
        <v>0.05</v>
      </c>
      <c r="H91" s="3">
        <v>45549</v>
      </c>
      <c r="I91" s="2">
        <v>480.51</v>
      </c>
    </row>
    <row r="92" spans="1:9" ht="29.4" thickBot="1" x14ac:dyDescent="0.35">
      <c r="A92" s="2" t="s">
        <v>25</v>
      </c>
      <c r="B92" s="2" t="s">
        <v>66</v>
      </c>
      <c r="C92" s="2" t="s">
        <v>11</v>
      </c>
      <c r="D92" s="2" t="s">
        <v>27</v>
      </c>
      <c r="E92" s="2">
        <v>1101.55</v>
      </c>
      <c r="F92" s="2">
        <v>4</v>
      </c>
      <c r="G92" s="2">
        <v>0.1</v>
      </c>
      <c r="H92" s="3">
        <v>45551</v>
      </c>
      <c r="I92" s="2">
        <v>346.99</v>
      </c>
    </row>
    <row r="93" spans="1:9" ht="29.4" thickBot="1" x14ac:dyDescent="0.35">
      <c r="A93" s="2" t="s">
        <v>73</v>
      </c>
      <c r="B93" s="2" t="s">
        <v>14</v>
      </c>
      <c r="C93" s="2" t="s">
        <v>20</v>
      </c>
      <c r="D93" s="2" t="s">
        <v>27</v>
      </c>
      <c r="E93" s="2">
        <v>727.73</v>
      </c>
      <c r="F93" s="2">
        <v>1</v>
      </c>
      <c r="G93" s="2">
        <v>0.1</v>
      </c>
      <c r="H93" s="3">
        <v>45552</v>
      </c>
      <c r="I93" s="2">
        <v>229.23</v>
      </c>
    </row>
    <row r="94" spans="1:9" ht="29.4" thickBot="1" x14ac:dyDescent="0.35">
      <c r="A94" s="2" t="s">
        <v>74</v>
      </c>
      <c r="B94" s="2" t="s">
        <v>38</v>
      </c>
      <c r="C94" s="2" t="s">
        <v>18</v>
      </c>
      <c r="D94" s="2" t="s">
        <v>39</v>
      </c>
      <c r="E94" s="2">
        <v>875.41</v>
      </c>
      <c r="F94" s="2">
        <v>13</v>
      </c>
      <c r="G94" s="2">
        <v>0.15</v>
      </c>
      <c r="H94" s="3">
        <v>45552</v>
      </c>
      <c r="I94" s="2">
        <v>334.84</v>
      </c>
    </row>
    <row r="95" spans="1:9" ht="29.4" thickBot="1" x14ac:dyDescent="0.35">
      <c r="A95" s="2" t="s">
        <v>67</v>
      </c>
      <c r="B95" s="2" t="s">
        <v>23</v>
      </c>
      <c r="C95" s="2" t="s">
        <v>11</v>
      </c>
      <c r="D95" s="2" t="s">
        <v>21</v>
      </c>
      <c r="E95" s="2">
        <v>1158.94</v>
      </c>
      <c r="F95" s="2">
        <v>19</v>
      </c>
      <c r="G95" s="2">
        <v>0.2</v>
      </c>
      <c r="H95" s="3">
        <v>45553</v>
      </c>
      <c r="I95" s="2">
        <v>231.79</v>
      </c>
    </row>
    <row r="96" spans="1:9" ht="29.4" thickBot="1" x14ac:dyDescent="0.35">
      <c r="A96" s="2" t="s">
        <v>75</v>
      </c>
      <c r="B96" s="2" t="s">
        <v>47</v>
      </c>
      <c r="C96" s="2" t="s">
        <v>20</v>
      </c>
      <c r="D96" s="2" t="s">
        <v>12</v>
      </c>
      <c r="E96" s="2">
        <v>966.3</v>
      </c>
      <c r="F96" s="2">
        <v>2</v>
      </c>
      <c r="G96" s="2">
        <v>0.15</v>
      </c>
      <c r="H96" s="3">
        <v>45557</v>
      </c>
      <c r="I96" s="2">
        <v>328.54</v>
      </c>
    </row>
    <row r="97" spans="1:9" ht="29.4" thickBot="1" x14ac:dyDescent="0.35">
      <c r="A97" s="2" t="s">
        <v>68</v>
      </c>
      <c r="B97" s="2" t="s">
        <v>17</v>
      </c>
      <c r="C97" s="2" t="s">
        <v>20</v>
      </c>
      <c r="D97" s="2" t="s">
        <v>12</v>
      </c>
      <c r="E97" s="2">
        <v>917.48</v>
      </c>
      <c r="F97" s="2">
        <v>6</v>
      </c>
      <c r="G97" s="2">
        <v>0</v>
      </c>
      <c r="H97" s="3">
        <v>45558</v>
      </c>
      <c r="I97" s="2">
        <v>366.99</v>
      </c>
    </row>
    <row r="98" spans="1:9" ht="29.4" thickBot="1" x14ac:dyDescent="0.35">
      <c r="A98" s="2" t="s">
        <v>41</v>
      </c>
      <c r="B98" s="2" t="s">
        <v>61</v>
      </c>
      <c r="C98" s="2" t="s">
        <v>11</v>
      </c>
      <c r="D98" s="2" t="s">
        <v>27</v>
      </c>
      <c r="E98" s="2">
        <v>1172.97</v>
      </c>
      <c r="F98" s="2">
        <v>7</v>
      </c>
      <c r="G98" s="2">
        <v>0.15</v>
      </c>
      <c r="H98" s="3">
        <v>45559</v>
      </c>
      <c r="I98" s="2">
        <v>348.96</v>
      </c>
    </row>
    <row r="99" spans="1:9" ht="29.4" thickBot="1" x14ac:dyDescent="0.35">
      <c r="A99" s="2" t="s">
        <v>57</v>
      </c>
      <c r="B99" s="2" t="s">
        <v>23</v>
      </c>
      <c r="C99" s="2" t="s">
        <v>24</v>
      </c>
      <c r="D99" s="2" t="s">
        <v>15</v>
      </c>
      <c r="E99" s="2">
        <v>1205.82</v>
      </c>
      <c r="F99" s="2">
        <v>11</v>
      </c>
      <c r="G99" s="2">
        <v>0.1</v>
      </c>
      <c r="H99" s="3">
        <v>45559</v>
      </c>
      <c r="I99" s="2">
        <v>542.62</v>
      </c>
    </row>
    <row r="100" spans="1:9" ht="29.4" thickBot="1" x14ac:dyDescent="0.35">
      <c r="A100" s="2" t="s">
        <v>16</v>
      </c>
      <c r="B100" s="2" t="s">
        <v>64</v>
      </c>
      <c r="C100" s="2" t="s">
        <v>11</v>
      </c>
      <c r="D100" s="2" t="s">
        <v>39</v>
      </c>
      <c r="E100" s="2">
        <v>826.93</v>
      </c>
      <c r="F100" s="2">
        <v>10</v>
      </c>
      <c r="G100" s="2">
        <v>0.2</v>
      </c>
      <c r="H100" s="3">
        <v>45564</v>
      </c>
      <c r="I100" s="2">
        <v>297.69</v>
      </c>
    </row>
    <row r="101" spans="1:9" ht="29.4" thickBot="1" x14ac:dyDescent="0.35">
      <c r="A101" s="2" t="s">
        <v>67</v>
      </c>
      <c r="B101" s="2" t="s">
        <v>23</v>
      </c>
      <c r="C101" s="2" t="s">
        <v>34</v>
      </c>
      <c r="D101" s="2" t="s">
        <v>15</v>
      </c>
      <c r="E101" s="2">
        <v>902.19</v>
      </c>
      <c r="F101" s="2">
        <v>12</v>
      </c>
      <c r="G101" s="2">
        <v>0</v>
      </c>
      <c r="H101" s="3">
        <v>45564</v>
      </c>
      <c r="I101" s="2">
        <v>451.1</v>
      </c>
    </row>
    <row r="102" spans="1:9" ht="29.4" thickBot="1" x14ac:dyDescent="0.35">
      <c r="A102" s="2" t="s">
        <v>74</v>
      </c>
      <c r="B102" s="2" t="s">
        <v>38</v>
      </c>
      <c r="C102" s="2" t="s">
        <v>24</v>
      </c>
      <c r="D102" s="2" t="s">
        <v>12</v>
      </c>
      <c r="E102" s="2">
        <v>585.97</v>
      </c>
      <c r="F102" s="2">
        <v>17</v>
      </c>
      <c r="G102" s="2">
        <v>0.1</v>
      </c>
      <c r="H102" s="3">
        <v>45565</v>
      </c>
      <c r="I102" s="2">
        <v>210.95</v>
      </c>
    </row>
    <row r="103" spans="1:9" ht="29.4" thickBot="1" x14ac:dyDescent="0.35">
      <c r="A103" s="2" t="s">
        <v>60</v>
      </c>
      <c r="B103" s="2" t="s">
        <v>26</v>
      </c>
      <c r="C103" s="2" t="s">
        <v>24</v>
      </c>
      <c r="D103" s="2" t="s">
        <v>15</v>
      </c>
      <c r="E103" s="2">
        <v>990.19</v>
      </c>
      <c r="F103" s="2">
        <v>8</v>
      </c>
      <c r="G103" s="2">
        <v>0.1</v>
      </c>
      <c r="H103" s="3">
        <v>45565</v>
      </c>
      <c r="I103" s="2">
        <v>445.59</v>
      </c>
    </row>
    <row r="104" spans="1:9" ht="29.4" thickBot="1" x14ac:dyDescent="0.35">
      <c r="A104" s="2" t="s">
        <v>44</v>
      </c>
      <c r="B104" s="2" t="s">
        <v>56</v>
      </c>
      <c r="C104" s="2" t="s">
        <v>34</v>
      </c>
      <c r="D104" s="2" t="s">
        <v>21</v>
      </c>
      <c r="E104" s="2">
        <v>1014.09</v>
      </c>
      <c r="F104" s="2">
        <v>13</v>
      </c>
      <c r="G104" s="2">
        <v>0.2</v>
      </c>
      <c r="H104" s="3">
        <v>45567</v>
      </c>
      <c r="I104" s="2">
        <v>202.82</v>
      </c>
    </row>
    <row r="105" spans="1:9" ht="29.4" thickBot="1" x14ac:dyDescent="0.35">
      <c r="A105" s="2" t="s">
        <v>13</v>
      </c>
      <c r="B105" s="2" t="s">
        <v>48</v>
      </c>
      <c r="C105" s="2" t="s">
        <v>24</v>
      </c>
      <c r="D105" s="2" t="s">
        <v>21</v>
      </c>
      <c r="E105" s="2">
        <v>925.29</v>
      </c>
      <c r="F105" s="2">
        <v>17</v>
      </c>
      <c r="G105" s="2">
        <v>0</v>
      </c>
      <c r="H105" s="3">
        <v>45570</v>
      </c>
      <c r="I105" s="2">
        <v>231.32</v>
      </c>
    </row>
    <row r="106" spans="1:9" ht="29.4" thickBot="1" x14ac:dyDescent="0.35">
      <c r="A106" s="2" t="s">
        <v>54</v>
      </c>
      <c r="B106" s="2" t="s">
        <v>47</v>
      </c>
      <c r="C106" s="2" t="s">
        <v>18</v>
      </c>
      <c r="D106" s="2" t="s">
        <v>27</v>
      </c>
      <c r="E106" s="2">
        <v>1286.54</v>
      </c>
      <c r="F106" s="2">
        <v>8</v>
      </c>
      <c r="G106" s="2">
        <v>0</v>
      </c>
      <c r="H106" s="3">
        <v>45575</v>
      </c>
      <c r="I106" s="2">
        <v>450.29</v>
      </c>
    </row>
    <row r="107" spans="1:9" ht="29.4" thickBot="1" x14ac:dyDescent="0.35">
      <c r="A107" s="2" t="s">
        <v>37</v>
      </c>
      <c r="B107" s="2" t="s">
        <v>64</v>
      </c>
      <c r="C107" s="2" t="s">
        <v>20</v>
      </c>
      <c r="D107" s="2" t="s">
        <v>12</v>
      </c>
      <c r="E107" s="2">
        <v>961.62</v>
      </c>
      <c r="F107" s="2">
        <v>8</v>
      </c>
      <c r="G107" s="2">
        <v>0.2</v>
      </c>
      <c r="H107" s="3">
        <v>45577</v>
      </c>
      <c r="I107" s="2">
        <v>307.72000000000003</v>
      </c>
    </row>
    <row r="108" spans="1:9" ht="29.4" thickBot="1" x14ac:dyDescent="0.35">
      <c r="A108" s="2" t="s">
        <v>44</v>
      </c>
      <c r="B108" s="2" t="s">
        <v>23</v>
      </c>
      <c r="C108" s="2" t="s">
        <v>18</v>
      </c>
      <c r="D108" s="2" t="s">
        <v>12</v>
      </c>
      <c r="E108" s="2">
        <v>1081.1400000000001</v>
      </c>
      <c r="F108" s="2">
        <v>19</v>
      </c>
      <c r="G108" s="2">
        <v>0.15</v>
      </c>
      <c r="H108" s="3">
        <v>45577</v>
      </c>
      <c r="I108" s="2">
        <v>367.59</v>
      </c>
    </row>
    <row r="109" spans="1:9" ht="29.4" thickBot="1" x14ac:dyDescent="0.35">
      <c r="A109" s="2" t="s">
        <v>58</v>
      </c>
      <c r="B109" s="2" t="s">
        <v>23</v>
      </c>
      <c r="C109" s="2" t="s">
        <v>11</v>
      </c>
      <c r="D109" s="2" t="s">
        <v>15</v>
      </c>
      <c r="E109" s="2">
        <v>1923.66</v>
      </c>
      <c r="F109" s="2">
        <v>9</v>
      </c>
      <c r="G109" s="2">
        <v>0.2</v>
      </c>
      <c r="H109" s="3">
        <v>45580</v>
      </c>
      <c r="I109" s="2">
        <v>769.46</v>
      </c>
    </row>
    <row r="110" spans="1:9" ht="29.4" thickBot="1" x14ac:dyDescent="0.35">
      <c r="A110" s="2" t="s">
        <v>54</v>
      </c>
      <c r="B110" s="2" t="s">
        <v>66</v>
      </c>
      <c r="C110" s="2" t="s">
        <v>34</v>
      </c>
      <c r="D110" s="2" t="s">
        <v>15</v>
      </c>
      <c r="E110" s="2">
        <v>728.71</v>
      </c>
      <c r="F110" s="2">
        <v>14</v>
      </c>
      <c r="G110" s="2">
        <v>0.1</v>
      </c>
      <c r="H110" s="3">
        <v>45581</v>
      </c>
      <c r="I110" s="2">
        <v>327.92</v>
      </c>
    </row>
    <row r="111" spans="1:9" ht="29.4" thickBot="1" x14ac:dyDescent="0.35">
      <c r="A111" s="2" t="s">
        <v>9</v>
      </c>
      <c r="B111" s="2" t="s">
        <v>33</v>
      </c>
      <c r="C111" s="2" t="s">
        <v>34</v>
      </c>
      <c r="D111" s="2" t="s">
        <v>15</v>
      </c>
      <c r="E111" s="2">
        <v>1301.8900000000001</v>
      </c>
      <c r="F111" s="2">
        <v>7</v>
      </c>
      <c r="G111" s="2">
        <v>0.15</v>
      </c>
      <c r="H111" s="3">
        <v>45581</v>
      </c>
      <c r="I111" s="2">
        <v>553.29999999999995</v>
      </c>
    </row>
    <row r="112" spans="1:9" ht="29.4" thickBot="1" x14ac:dyDescent="0.35">
      <c r="A112" s="2" t="s">
        <v>70</v>
      </c>
      <c r="B112" s="2" t="s">
        <v>66</v>
      </c>
      <c r="C112" s="2" t="s">
        <v>18</v>
      </c>
      <c r="D112" s="2" t="s">
        <v>12</v>
      </c>
      <c r="E112" s="2">
        <v>980.18</v>
      </c>
      <c r="F112" s="2">
        <v>16</v>
      </c>
      <c r="G112" s="2">
        <v>0.1</v>
      </c>
      <c r="H112" s="3">
        <v>45582</v>
      </c>
      <c r="I112" s="2">
        <v>352.86</v>
      </c>
    </row>
    <row r="113" spans="1:9" ht="29.4" thickBot="1" x14ac:dyDescent="0.35">
      <c r="A113" s="2" t="s">
        <v>74</v>
      </c>
      <c r="B113" s="2" t="s">
        <v>23</v>
      </c>
      <c r="C113" s="2" t="s">
        <v>11</v>
      </c>
      <c r="D113" s="2" t="s">
        <v>15</v>
      </c>
      <c r="E113" s="2">
        <v>697.57</v>
      </c>
      <c r="F113" s="2">
        <v>17</v>
      </c>
      <c r="G113" s="2">
        <v>0.1</v>
      </c>
      <c r="H113" s="3">
        <v>45584</v>
      </c>
      <c r="I113" s="2">
        <v>313.91000000000003</v>
      </c>
    </row>
    <row r="114" spans="1:9" ht="29.4" thickBot="1" x14ac:dyDescent="0.35">
      <c r="A114" s="2" t="s">
        <v>46</v>
      </c>
      <c r="B114" s="2" t="s">
        <v>71</v>
      </c>
      <c r="C114" s="2" t="s">
        <v>11</v>
      </c>
      <c r="D114" s="2" t="s">
        <v>27</v>
      </c>
      <c r="E114" s="2">
        <v>1193.6099999999999</v>
      </c>
      <c r="F114" s="2">
        <v>1</v>
      </c>
      <c r="G114" s="2">
        <v>0.15</v>
      </c>
      <c r="H114" s="3">
        <v>45584</v>
      </c>
      <c r="I114" s="2">
        <v>355.1</v>
      </c>
    </row>
    <row r="115" spans="1:9" ht="29.4" thickBot="1" x14ac:dyDescent="0.35">
      <c r="A115" s="2" t="s">
        <v>32</v>
      </c>
      <c r="B115" s="2" t="s">
        <v>38</v>
      </c>
      <c r="C115" s="2" t="s">
        <v>20</v>
      </c>
      <c r="D115" s="2" t="s">
        <v>21</v>
      </c>
      <c r="E115" s="2">
        <v>771.02</v>
      </c>
      <c r="F115" s="2">
        <v>1</v>
      </c>
      <c r="G115" s="2">
        <v>0</v>
      </c>
      <c r="H115" s="3">
        <v>45585</v>
      </c>
      <c r="I115" s="2">
        <v>192.76</v>
      </c>
    </row>
    <row r="116" spans="1:9" ht="29.4" thickBot="1" x14ac:dyDescent="0.35">
      <c r="A116" s="2" t="s">
        <v>67</v>
      </c>
      <c r="B116" s="2" t="s">
        <v>69</v>
      </c>
      <c r="C116" s="2" t="s">
        <v>24</v>
      </c>
      <c r="D116" s="2" t="s">
        <v>15</v>
      </c>
      <c r="E116" s="2">
        <v>661.09</v>
      </c>
      <c r="F116" s="2">
        <v>1</v>
      </c>
      <c r="G116" s="2">
        <v>0.2</v>
      </c>
      <c r="H116" s="3">
        <v>45593</v>
      </c>
      <c r="I116" s="2">
        <v>264.44</v>
      </c>
    </row>
    <row r="117" spans="1:9" ht="29.4" thickBot="1" x14ac:dyDescent="0.35">
      <c r="A117" s="2" t="s">
        <v>13</v>
      </c>
      <c r="B117" s="2" t="s">
        <v>55</v>
      </c>
      <c r="C117" s="2" t="s">
        <v>11</v>
      </c>
      <c r="D117" s="2" t="s">
        <v>21</v>
      </c>
      <c r="E117" s="2">
        <v>688.83</v>
      </c>
      <c r="F117" s="2">
        <v>15</v>
      </c>
      <c r="G117" s="2">
        <v>0</v>
      </c>
      <c r="H117" s="3">
        <v>45595</v>
      </c>
      <c r="I117" s="2">
        <v>172.21</v>
      </c>
    </row>
    <row r="118" spans="1:9" ht="29.4" thickBot="1" x14ac:dyDescent="0.35">
      <c r="A118" s="2" t="s">
        <v>73</v>
      </c>
      <c r="B118" s="2" t="s">
        <v>29</v>
      </c>
      <c r="C118" s="2" t="s">
        <v>34</v>
      </c>
      <c r="D118" s="2" t="s">
        <v>12</v>
      </c>
      <c r="E118" s="2">
        <v>1249.0999999999999</v>
      </c>
      <c r="F118" s="2">
        <v>4</v>
      </c>
      <c r="G118" s="2">
        <v>0.05</v>
      </c>
      <c r="H118" s="3">
        <v>45597</v>
      </c>
      <c r="I118" s="2">
        <v>474.66</v>
      </c>
    </row>
    <row r="119" spans="1:9" ht="29.4" thickBot="1" x14ac:dyDescent="0.35">
      <c r="A119" s="2" t="s">
        <v>44</v>
      </c>
      <c r="B119" s="2" t="s">
        <v>23</v>
      </c>
      <c r="C119" s="2" t="s">
        <v>18</v>
      </c>
      <c r="D119" s="2" t="s">
        <v>39</v>
      </c>
      <c r="E119" s="2">
        <v>1014.22</v>
      </c>
      <c r="F119" s="2">
        <v>14</v>
      </c>
      <c r="G119" s="2">
        <v>0.05</v>
      </c>
      <c r="H119" s="3">
        <v>45599</v>
      </c>
      <c r="I119" s="2">
        <v>433.58</v>
      </c>
    </row>
    <row r="120" spans="1:9" ht="15" thickBot="1" x14ac:dyDescent="0.35">
      <c r="A120" s="2" t="s">
        <v>54</v>
      </c>
      <c r="B120" s="2" t="s">
        <v>48</v>
      </c>
      <c r="C120" s="2" t="s">
        <v>18</v>
      </c>
      <c r="D120" s="2" t="s">
        <v>12</v>
      </c>
      <c r="E120" s="2">
        <v>1010.58</v>
      </c>
      <c r="F120" s="2">
        <v>2</v>
      </c>
      <c r="G120" s="2">
        <v>0.15</v>
      </c>
      <c r="H120" s="3">
        <v>45605</v>
      </c>
      <c r="I120" s="2">
        <v>343.6</v>
      </c>
    </row>
    <row r="121" spans="1:9" ht="29.4" thickBot="1" x14ac:dyDescent="0.35">
      <c r="A121" s="2" t="s">
        <v>30</v>
      </c>
      <c r="B121" s="2" t="s">
        <v>59</v>
      </c>
      <c r="C121" s="2" t="s">
        <v>24</v>
      </c>
      <c r="D121" s="2" t="s">
        <v>27</v>
      </c>
      <c r="E121" s="2">
        <v>957.29</v>
      </c>
      <c r="F121" s="2">
        <v>4</v>
      </c>
      <c r="G121" s="2">
        <v>0.05</v>
      </c>
      <c r="H121" s="3">
        <v>45605</v>
      </c>
      <c r="I121" s="2">
        <v>318.3</v>
      </c>
    </row>
    <row r="122" spans="1:9" ht="29.4" thickBot="1" x14ac:dyDescent="0.35">
      <c r="A122" s="2" t="s">
        <v>28</v>
      </c>
      <c r="B122" s="2" t="s">
        <v>45</v>
      </c>
      <c r="C122" s="2" t="s">
        <v>24</v>
      </c>
      <c r="D122" s="2" t="s">
        <v>27</v>
      </c>
      <c r="E122" s="2">
        <v>1077.92</v>
      </c>
      <c r="F122" s="2">
        <v>3</v>
      </c>
      <c r="G122" s="2">
        <v>0.05</v>
      </c>
      <c r="H122" s="3">
        <v>45608</v>
      </c>
      <c r="I122" s="2">
        <v>358.41</v>
      </c>
    </row>
    <row r="123" spans="1:9" ht="29.4" thickBot="1" x14ac:dyDescent="0.35">
      <c r="A123" s="2" t="s">
        <v>52</v>
      </c>
      <c r="B123" s="2" t="s">
        <v>50</v>
      </c>
      <c r="C123" s="2" t="s">
        <v>20</v>
      </c>
      <c r="D123" s="2" t="s">
        <v>15</v>
      </c>
      <c r="E123" s="2">
        <v>1163.01</v>
      </c>
      <c r="F123" s="2">
        <v>5</v>
      </c>
      <c r="G123" s="2">
        <v>0</v>
      </c>
      <c r="H123" s="3">
        <v>45611</v>
      </c>
      <c r="I123" s="2">
        <v>581.5</v>
      </c>
    </row>
    <row r="124" spans="1:9" ht="29.4" thickBot="1" x14ac:dyDescent="0.35">
      <c r="A124" s="2" t="s">
        <v>54</v>
      </c>
      <c r="B124" s="2" t="s">
        <v>45</v>
      </c>
      <c r="C124" s="2" t="s">
        <v>18</v>
      </c>
      <c r="D124" s="2" t="s">
        <v>39</v>
      </c>
      <c r="E124" s="2">
        <v>1014.56</v>
      </c>
      <c r="F124" s="2">
        <v>10</v>
      </c>
      <c r="G124" s="2">
        <v>0.1</v>
      </c>
      <c r="H124" s="3">
        <v>45612</v>
      </c>
      <c r="I124" s="2">
        <v>410.9</v>
      </c>
    </row>
    <row r="125" spans="1:9" ht="29.4" thickBot="1" x14ac:dyDescent="0.35">
      <c r="A125" s="2" t="s">
        <v>9</v>
      </c>
      <c r="B125" s="2" t="s">
        <v>17</v>
      </c>
      <c r="C125" s="2" t="s">
        <v>20</v>
      </c>
      <c r="D125" s="2" t="s">
        <v>21</v>
      </c>
      <c r="E125" s="2">
        <v>718.04</v>
      </c>
      <c r="F125" s="2">
        <v>14</v>
      </c>
      <c r="G125" s="2">
        <v>0</v>
      </c>
      <c r="H125" s="3">
        <v>45613</v>
      </c>
      <c r="I125" s="2">
        <v>179.51</v>
      </c>
    </row>
    <row r="126" spans="1:9" ht="29.4" thickBot="1" x14ac:dyDescent="0.35">
      <c r="A126" s="2" t="s">
        <v>72</v>
      </c>
      <c r="B126" s="2" t="s">
        <v>17</v>
      </c>
      <c r="C126" s="2" t="s">
        <v>34</v>
      </c>
      <c r="D126" s="2" t="s">
        <v>15</v>
      </c>
      <c r="E126" s="2">
        <v>1277.8499999999999</v>
      </c>
      <c r="F126" s="2">
        <v>18</v>
      </c>
      <c r="G126" s="2">
        <v>0.2</v>
      </c>
      <c r="H126" s="3">
        <v>45613</v>
      </c>
      <c r="I126" s="2">
        <v>511.14</v>
      </c>
    </row>
    <row r="127" spans="1:9" ht="29.4" thickBot="1" x14ac:dyDescent="0.35">
      <c r="A127" s="2" t="s">
        <v>70</v>
      </c>
      <c r="B127" s="2" t="s">
        <v>23</v>
      </c>
      <c r="C127" s="2" t="s">
        <v>24</v>
      </c>
      <c r="D127" s="2" t="s">
        <v>21</v>
      </c>
      <c r="E127" s="2">
        <v>706.73</v>
      </c>
      <c r="F127" s="2">
        <v>1</v>
      </c>
      <c r="G127" s="2">
        <v>0.15</v>
      </c>
      <c r="H127" s="3">
        <v>45613</v>
      </c>
      <c r="I127" s="2">
        <v>150.18</v>
      </c>
    </row>
    <row r="128" spans="1:9" ht="29.4" thickBot="1" x14ac:dyDescent="0.35">
      <c r="A128" s="2" t="s">
        <v>65</v>
      </c>
      <c r="B128" s="2" t="s">
        <v>50</v>
      </c>
      <c r="C128" s="2" t="s">
        <v>18</v>
      </c>
      <c r="D128" s="2" t="s">
        <v>21</v>
      </c>
      <c r="E128" s="2">
        <v>1410.59</v>
      </c>
      <c r="F128" s="2">
        <v>15</v>
      </c>
      <c r="G128" s="2">
        <v>0</v>
      </c>
      <c r="H128" s="3">
        <v>45615</v>
      </c>
      <c r="I128" s="2">
        <v>352.65</v>
      </c>
    </row>
    <row r="129" spans="1:9" ht="29.4" thickBot="1" x14ac:dyDescent="0.35">
      <c r="A129" s="2" t="s">
        <v>32</v>
      </c>
      <c r="B129" s="2" t="s">
        <v>61</v>
      </c>
      <c r="C129" s="2" t="s">
        <v>20</v>
      </c>
      <c r="D129" s="2" t="s">
        <v>27</v>
      </c>
      <c r="E129" s="2">
        <v>1350.33</v>
      </c>
      <c r="F129" s="2">
        <v>10</v>
      </c>
      <c r="G129" s="2">
        <v>0</v>
      </c>
      <c r="H129" s="3">
        <v>45615</v>
      </c>
      <c r="I129" s="2">
        <v>472.62</v>
      </c>
    </row>
    <row r="130" spans="1:9" ht="29.4" thickBot="1" x14ac:dyDescent="0.35">
      <c r="A130" s="2" t="s">
        <v>41</v>
      </c>
      <c r="B130" s="2" t="s">
        <v>45</v>
      </c>
      <c r="C130" s="2" t="s">
        <v>18</v>
      </c>
      <c r="D130" s="2" t="s">
        <v>21</v>
      </c>
      <c r="E130" s="2">
        <v>919.18</v>
      </c>
      <c r="F130" s="2">
        <v>4</v>
      </c>
      <c r="G130" s="2">
        <v>0.15</v>
      </c>
      <c r="H130" s="3">
        <v>45615</v>
      </c>
      <c r="I130" s="2">
        <v>195.33</v>
      </c>
    </row>
    <row r="131" spans="1:9" ht="29.4" thickBot="1" x14ac:dyDescent="0.35">
      <c r="A131" s="2" t="s">
        <v>74</v>
      </c>
      <c r="B131" s="2" t="s">
        <v>23</v>
      </c>
      <c r="C131" s="2" t="s">
        <v>11</v>
      </c>
      <c r="D131" s="2" t="s">
        <v>21</v>
      </c>
      <c r="E131" s="2">
        <v>258.51</v>
      </c>
      <c r="F131" s="2">
        <v>19</v>
      </c>
      <c r="G131" s="2">
        <v>0</v>
      </c>
      <c r="H131" s="3">
        <v>45616</v>
      </c>
      <c r="I131" s="2">
        <v>64.63</v>
      </c>
    </row>
    <row r="132" spans="1:9" ht="29.4" thickBot="1" x14ac:dyDescent="0.35">
      <c r="A132" s="2" t="s">
        <v>63</v>
      </c>
      <c r="B132" s="2" t="s">
        <v>61</v>
      </c>
      <c r="C132" s="2" t="s">
        <v>18</v>
      </c>
      <c r="D132" s="2" t="s">
        <v>12</v>
      </c>
      <c r="E132" s="2">
        <v>1213.48</v>
      </c>
      <c r="F132" s="2">
        <v>5</v>
      </c>
      <c r="G132" s="2">
        <v>0.05</v>
      </c>
      <c r="H132" s="3">
        <v>45616</v>
      </c>
      <c r="I132" s="2">
        <v>461.12</v>
      </c>
    </row>
    <row r="133" spans="1:9" ht="29.4" thickBot="1" x14ac:dyDescent="0.35">
      <c r="A133" s="2" t="s">
        <v>57</v>
      </c>
      <c r="B133" s="2" t="s">
        <v>38</v>
      </c>
      <c r="C133" s="2" t="s">
        <v>34</v>
      </c>
      <c r="D133" s="2" t="s">
        <v>12</v>
      </c>
      <c r="E133" s="2">
        <v>1150.28</v>
      </c>
      <c r="F133" s="2">
        <v>8</v>
      </c>
      <c r="G133" s="2">
        <v>0.05</v>
      </c>
      <c r="H133" s="3">
        <v>45622</v>
      </c>
      <c r="I133" s="2">
        <v>437.11</v>
      </c>
    </row>
    <row r="134" spans="1:9" ht="29.4" thickBot="1" x14ac:dyDescent="0.35">
      <c r="A134" s="2" t="s">
        <v>37</v>
      </c>
      <c r="B134" s="2" t="s">
        <v>71</v>
      </c>
      <c r="C134" s="2" t="s">
        <v>20</v>
      </c>
      <c r="D134" s="2" t="s">
        <v>27</v>
      </c>
      <c r="E134" s="2">
        <v>853.86</v>
      </c>
      <c r="F134" s="2">
        <v>8</v>
      </c>
      <c r="G134" s="2">
        <v>0.1</v>
      </c>
      <c r="H134" s="3">
        <v>45622</v>
      </c>
      <c r="I134" s="2">
        <v>268.97000000000003</v>
      </c>
    </row>
    <row r="135" spans="1:9" ht="29.4" thickBot="1" x14ac:dyDescent="0.35">
      <c r="A135" s="2" t="s">
        <v>75</v>
      </c>
      <c r="B135" s="2" t="s">
        <v>45</v>
      </c>
      <c r="C135" s="2" t="s">
        <v>20</v>
      </c>
      <c r="D135" s="2" t="s">
        <v>21</v>
      </c>
      <c r="E135" s="2">
        <v>1061.04</v>
      </c>
      <c r="F135" s="2">
        <v>1</v>
      </c>
      <c r="G135" s="2">
        <v>0</v>
      </c>
      <c r="H135" s="3">
        <v>45624</v>
      </c>
      <c r="I135" s="2">
        <v>265.26</v>
      </c>
    </row>
    <row r="136" spans="1:9" ht="29.4" thickBot="1" x14ac:dyDescent="0.35">
      <c r="A136" s="2" t="s">
        <v>28</v>
      </c>
      <c r="B136" s="2" t="s">
        <v>43</v>
      </c>
      <c r="C136" s="2" t="s">
        <v>11</v>
      </c>
      <c r="D136" s="2" t="s">
        <v>21</v>
      </c>
      <c r="E136" s="2">
        <v>894.55</v>
      </c>
      <c r="F136" s="2">
        <v>19</v>
      </c>
      <c r="G136" s="2">
        <v>0.2</v>
      </c>
      <c r="H136" s="3">
        <v>45625</v>
      </c>
      <c r="I136" s="2">
        <v>178.91</v>
      </c>
    </row>
    <row r="137" spans="1:9" ht="29.4" thickBot="1" x14ac:dyDescent="0.35">
      <c r="A137" s="2" t="s">
        <v>25</v>
      </c>
      <c r="B137" s="2" t="s">
        <v>38</v>
      </c>
      <c r="C137" s="2" t="s">
        <v>24</v>
      </c>
      <c r="D137" s="2" t="s">
        <v>39</v>
      </c>
      <c r="E137" s="2">
        <v>833.91</v>
      </c>
      <c r="F137" s="2">
        <v>3</v>
      </c>
      <c r="G137" s="2">
        <v>0.05</v>
      </c>
      <c r="H137" s="3">
        <v>45626</v>
      </c>
      <c r="I137" s="2">
        <v>356.5</v>
      </c>
    </row>
    <row r="138" spans="1:9" ht="29.4" thickBot="1" x14ac:dyDescent="0.35">
      <c r="A138" s="2" t="s">
        <v>58</v>
      </c>
      <c r="B138" s="2" t="s">
        <v>71</v>
      </c>
      <c r="C138" s="2" t="s">
        <v>11</v>
      </c>
      <c r="D138" s="2" t="s">
        <v>27</v>
      </c>
      <c r="E138" s="2">
        <v>820.19</v>
      </c>
      <c r="F138" s="2">
        <v>4</v>
      </c>
      <c r="G138" s="2">
        <v>0.2</v>
      </c>
      <c r="H138" s="3">
        <v>45630</v>
      </c>
      <c r="I138" s="2">
        <v>229.65</v>
      </c>
    </row>
    <row r="139" spans="1:9" ht="29.4" thickBot="1" x14ac:dyDescent="0.35">
      <c r="A139" s="2" t="s">
        <v>58</v>
      </c>
      <c r="B139" s="2" t="s">
        <v>38</v>
      </c>
      <c r="C139" s="2" t="s">
        <v>34</v>
      </c>
      <c r="D139" s="2" t="s">
        <v>21</v>
      </c>
      <c r="E139" s="2">
        <v>511.74</v>
      </c>
      <c r="F139" s="2">
        <v>8</v>
      </c>
      <c r="G139" s="2">
        <v>0.05</v>
      </c>
      <c r="H139" s="3">
        <v>45631</v>
      </c>
      <c r="I139" s="2">
        <v>121.54</v>
      </c>
    </row>
    <row r="140" spans="1:9" ht="29.4" thickBot="1" x14ac:dyDescent="0.35">
      <c r="A140" s="2" t="s">
        <v>65</v>
      </c>
      <c r="B140" s="2" t="s">
        <v>61</v>
      </c>
      <c r="C140" s="2" t="s">
        <v>20</v>
      </c>
      <c r="D140" s="2" t="s">
        <v>27</v>
      </c>
      <c r="E140" s="2">
        <v>806.03</v>
      </c>
      <c r="F140" s="2">
        <v>19</v>
      </c>
      <c r="G140" s="2">
        <v>0.05</v>
      </c>
      <c r="H140" s="3">
        <v>45638</v>
      </c>
      <c r="I140" s="2">
        <v>268</v>
      </c>
    </row>
    <row r="141" spans="1:9" ht="29.4" thickBot="1" x14ac:dyDescent="0.35">
      <c r="A141" s="2" t="s">
        <v>28</v>
      </c>
      <c r="B141" s="2" t="s">
        <v>26</v>
      </c>
      <c r="C141" s="2" t="s">
        <v>34</v>
      </c>
      <c r="D141" s="2" t="s">
        <v>27</v>
      </c>
      <c r="E141" s="2">
        <v>1432.47</v>
      </c>
      <c r="F141" s="2">
        <v>16</v>
      </c>
      <c r="G141" s="2">
        <v>0.15</v>
      </c>
      <c r="H141" s="3">
        <v>45640</v>
      </c>
      <c r="I141" s="2">
        <v>426.16</v>
      </c>
    </row>
    <row r="142" spans="1:9" ht="29.4" thickBot="1" x14ac:dyDescent="0.35">
      <c r="A142" s="2" t="s">
        <v>74</v>
      </c>
      <c r="B142" s="2" t="s">
        <v>29</v>
      </c>
      <c r="C142" s="2" t="s">
        <v>34</v>
      </c>
      <c r="D142" s="2" t="s">
        <v>21</v>
      </c>
      <c r="E142" s="2">
        <v>1488.58</v>
      </c>
      <c r="F142" s="2">
        <v>10</v>
      </c>
      <c r="G142" s="2">
        <v>0.15</v>
      </c>
      <c r="H142" s="3">
        <v>45640</v>
      </c>
      <c r="I142" s="2">
        <v>316.32</v>
      </c>
    </row>
    <row r="143" spans="1:9" ht="29.4" thickBot="1" x14ac:dyDescent="0.35">
      <c r="A143" s="2" t="s">
        <v>30</v>
      </c>
      <c r="B143" s="2" t="s">
        <v>66</v>
      </c>
      <c r="C143" s="2" t="s">
        <v>18</v>
      </c>
      <c r="D143" s="2" t="s">
        <v>12</v>
      </c>
      <c r="E143" s="2">
        <v>1231.26</v>
      </c>
      <c r="F143" s="2">
        <v>9</v>
      </c>
      <c r="G143" s="2">
        <v>0</v>
      </c>
      <c r="H143" s="3">
        <v>45646</v>
      </c>
      <c r="I143" s="2">
        <v>492.5</v>
      </c>
    </row>
    <row r="144" spans="1:9" ht="29.4" thickBot="1" x14ac:dyDescent="0.35">
      <c r="A144" s="2" t="s">
        <v>30</v>
      </c>
      <c r="B144" s="2" t="s">
        <v>43</v>
      </c>
      <c r="C144" s="2" t="s">
        <v>11</v>
      </c>
      <c r="D144" s="2" t="s">
        <v>21</v>
      </c>
      <c r="E144" s="2">
        <v>1161.67</v>
      </c>
      <c r="F144" s="2">
        <v>19</v>
      </c>
      <c r="G144" s="2">
        <v>0.2</v>
      </c>
      <c r="H144" s="3">
        <v>45647</v>
      </c>
      <c r="I144" s="2">
        <v>232.33</v>
      </c>
    </row>
    <row r="145" spans="1:9" ht="29.4" thickBot="1" x14ac:dyDescent="0.35">
      <c r="A145" s="2" t="s">
        <v>49</v>
      </c>
      <c r="B145" s="2" t="s">
        <v>45</v>
      </c>
      <c r="C145" s="2" t="s">
        <v>34</v>
      </c>
      <c r="D145" s="2" t="s">
        <v>39</v>
      </c>
      <c r="E145" s="2">
        <v>388.23</v>
      </c>
      <c r="F145" s="2">
        <v>16</v>
      </c>
      <c r="G145" s="2">
        <v>0.05</v>
      </c>
      <c r="H145" s="3">
        <v>45650</v>
      </c>
      <c r="I145" s="2">
        <v>165.97</v>
      </c>
    </row>
    <row r="146" spans="1:9" ht="29.4" thickBot="1" x14ac:dyDescent="0.35">
      <c r="A146" s="2" t="s">
        <v>72</v>
      </c>
      <c r="B146" s="2" t="s">
        <v>31</v>
      </c>
      <c r="C146" s="2" t="s">
        <v>24</v>
      </c>
      <c r="D146" s="2" t="s">
        <v>15</v>
      </c>
      <c r="E146" s="2">
        <v>1589.42</v>
      </c>
      <c r="F146" s="2">
        <v>6</v>
      </c>
      <c r="G146" s="2">
        <v>0.15</v>
      </c>
      <c r="H146" s="3">
        <v>45651</v>
      </c>
      <c r="I146" s="2">
        <v>675.5</v>
      </c>
    </row>
    <row r="147" spans="1:9" ht="29.4" thickBot="1" x14ac:dyDescent="0.35">
      <c r="A147" s="2" t="s">
        <v>28</v>
      </c>
      <c r="B147" s="2" t="s">
        <v>71</v>
      </c>
      <c r="C147" s="2" t="s">
        <v>24</v>
      </c>
      <c r="D147" s="2" t="s">
        <v>15</v>
      </c>
      <c r="E147" s="2">
        <v>336.66</v>
      </c>
      <c r="F147" s="2">
        <v>13</v>
      </c>
      <c r="G147" s="2">
        <v>0.2</v>
      </c>
      <c r="H147" s="3">
        <v>45651</v>
      </c>
      <c r="I147" s="2">
        <v>134.66</v>
      </c>
    </row>
    <row r="148" spans="1:9" ht="29.4" thickBot="1" x14ac:dyDescent="0.35">
      <c r="A148" s="2" t="s">
        <v>49</v>
      </c>
      <c r="B148" s="2" t="s">
        <v>23</v>
      </c>
      <c r="C148" s="2" t="s">
        <v>11</v>
      </c>
      <c r="D148" s="2" t="s">
        <v>12</v>
      </c>
      <c r="E148" s="2">
        <v>1353.79</v>
      </c>
      <c r="F148" s="2">
        <v>14</v>
      </c>
      <c r="G148" s="2">
        <v>0.1</v>
      </c>
      <c r="H148" s="3">
        <v>45656</v>
      </c>
      <c r="I148" s="2">
        <v>487.36</v>
      </c>
    </row>
    <row r="149" spans="1:9" ht="29.4" thickBot="1" x14ac:dyDescent="0.35">
      <c r="A149" s="2" t="s">
        <v>63</v>
      </c>
      <c r="B149" s="2" t="s">
        <v>69</v>
      </c>
      <c r="C149" s="2" t="s">
        <v>34</v>
      </c>
      <c r="D149" s="2" t="s">
        <v>15</v>
      </c>
      <c r="E149" s="2">
        <v>662.61</v>
      </c>
      <c r="F149" s="2">
        <v>11</v>
      </c>
      <c r="G149" s="2">
        <v>0.05</v>
      </c>
      <c r="H149" s="3">
        <v>45658</v>
      </c>
      <c r="I149" s="2">
        <v>314.74</v>
      </c>
    </row>
    <row r="150" spans="1:9" ht="29.4" thickBot="1" x14ac:dyDescent="0.35">
      <c r="A150" s="2" t="s">
        <v>52</v>
      </c>
      <c r="B150" s="2" t="s">
        <v>48</v>
      </c>
      <c r="C150" s="2" t="s">
        <v>24</v>
      </c>
      <c r="D150" s="2" t="s">
        <v>39</v>
      </c>
      <c r="E150" s="2">
        <v>309.42</v>
      </c>
      <c r="F150" s="2">
        <v>1</v>
      </c>
      <c r="G150" s="2">
        <v>0.2</v>
      </c>
      <c r="H150" s="3">
        <v>45658</v>
      </c>
      <c r="I150" s="2">
        <v>111.39</v>
      </c>
    </row>
    <row r="151" spans="1:9" ht="29.4" thickBot="1" x14ac:dyDescent="0.35">
      <c r="A151" s="2" t="s">
        <v>63</v>
      </c>
      <c r="B151" s="2" t="s">
        <v>29</v>
      </c>
      <c r="C151" s="2" t="s">
        <v>24</v>
      </c>
      <c r="D151" s="2" t="s">
        <v>12</v>
      </c>
      <c r="E151" s="2">
        <v>884.63</v>
      </c>
      <c r="F151" s="2">
        <v>18</v>
      </c>
      <c r="G151" s="2">
        <v>0.1</v>
      </c>
      <c r="H151" s="3">
        <v>45659</v>
      </c>
      <c r="I151" s="2">
        <v>318.47000000000003</v>
      </c>
    </row>
    <row r="152" spans="1:9" ht="29.4" thickBot="1" x14ac:dyDescent="0.35">
      <c r="A152" s="2" t="s">
        <v>52</v>
      </c>
      <c r="B152" s="2" t="s">
        <v>23</v>
      </c>
      <c r="C152" s="2" t="s">
        <v>34</v>
      </c>
      <c r="D152" s="2" t="s">
        <v>39</v>
      </c>
      <c r="E152" s="2">
        <v>745.05</v>
      </c>
      <c r="F152" s="2">
        <v>10</v>
      </c>
      <c r="G152" s="2">
        <v>0.1</v>
      </c>
      <c r="H152" s="3">
        <v>45660</v>
      </c>
      <c r="I152" s="2">
        <v>301.75</v>
      </c>
    </row>
    <row r="153" spans="1:9" ht="29.4" thickBot="1" x14ac:dyDescent="0.35">
      <c r="A153" s="2" t="s">
        <v>60</v>
      </c>
      <c r="B153" s="2" t="s">
        <v>17</v>
      </c>
      <c r="C153" s="2" t="s">
        <v>20</v>
      </c>
      <c r="D153" s="2" t="s">
        <v>15</v>
      </c>
      <c r="E153" s="2">
        <v>870.23</v>
      </c>
      <c r="F153" s="2">
        <v>5</v>
      </c>
      <c r="G153" s="2">
        <v>0.05</v>
      </c>
      <c r="H153" s="3">
        <v>45660</v>
      </c>
      <c r="I153" s="2">
        <v>413.36</v>
      </c>
    </row>
    <row r="154" spans="1:9" ht="29.4" thickBot="1" x14ac:dyDescent="0.35">
      <c r="A154" s="2" t="s">
        <v>35</v>
      </c>
      <c r="B154" s="2" t="s">
        <v>29</v>
      </c>
      <c r="C154" s="2" t="s">
        <v>11</v>
      </c>
      <c r="D154" s="2" t="s">
        <v>27</v>
      </c>
      <c r="E154" s="2">
        <v>862.19</v>
      </c>
      <c r="F154" s="2">
        <v>18</v>
      </c>
      <c r="G154" s="2">
        <v>0.05</v>
      </c>
      <c r="H154" s="3">
        <v>45663</v>
      </c>
      <c r="I154" s="2">
        <v>286.68</v>
      </c>
    </row>
    <row r="155" spans="1:9" ht="29.4" thickBot="1" x14ac:dyDescent="0.35">
      <c r="A155" s="2" t="s">
        <v>73</v>
      </c>
      <c r="B155" s="2" t="s">
        <v>59</v>
      </c>
      <c r="C155" s="2" t="s">
        <v>24</v>
      </c>
      <c r="D155" s="2" t="s">
        <v>15</v>
      </c>
      <c r="E155" s="2">
        <v>1171.18</v>
      </c>
      <c r="F155" s="2">
        <v>19</v>
      </c>
      <c r="G155" s="2">
        <v>0.05</v>
      </c>
      <c r="H155" s="3">
        <v>45667</v>
      </c>
      <c r="I155" s="2">
        <v>556.30999999999995</v>
      </c>
    </row>
    <row r="156" spans="1:9" ht="29.4" thickBot="1" x14ac:dyDescent="0.35">
      <c r="A156" s="2" t="s">
        <v>58</v>
      </c>
      <c r="B156" s="2" t="s">
        <v>14</v>
      </c>
      <c r="C156" s="2" t="s">
        <v>20</v>
      </c>
      <c r="D156" s="2" t="s">
        <v>27</v>
      </c>
      <c r="E156" s="2">
        <v>1054.56</v>
      </c>
      <c r="F156" s="2">
        <v>11</v>
      </c>
      <c r="G156" s="2">
        <v>0.1</v>
      </c>
      <c r="H156" s="3">
        <v>45669</v>
      </c>
      <c r="I156" s="2">
        <v>332.19</v>
      </c>
    </row>
    <row r="157" spans="1:9" ht="29.4" thickBot="1" x14ac:dyDescent="0.35">
      <c r="A157" s="2" t="s">
        <v>58</v>
      </c>
      <c r="B157" s="2" t="s">
        <v>23</v>
      </c>
      <c r="C157" s="2" t="s">
        <v>24</v>
      </c>
      <c r="D157" s="2" t="s">
        <v>21</v>
      </c>
      <c r="E157" s="2">
        <v>1681.21</v>
      </c>
      <c r="F157" s="2">
        <v>5</v>
      </c>
      <c r="G157" s="2">
        <v>0.2</v>
      </c>
      <c r="H157" s="3">
        <v>45670</v>
      </c>
      <c r="I157" s="2">
        <v>336.24</v>
      </c>
    </row>
    <row r="158" spans="1:9" ht="29.4" thickBot="1" x14ac:dyDescent="0.35">
      <c r="A158" s="2" t="s">
        <v>58</v>
      </c>
      <c r="B158" s="2" t="s">
        <v>36</v>
      </c>
      <c r="C158" s="2" t="s">
        <v>11</v>
      </c>
      <c r="D158" s="2" t="s">
        <v>15</v>
      </c>
      <c r="E158" s="2">
        <v>379.77</v>
      </c>
      <c r="F158" s="2">
        <v>9</v>
      </c>
      <c r="G158" s="2">
        <v>0.05</v>
      </c>
      <c r="H158" s="3">
        <v>45673</v>
      </c>
      <c r="I158" s="2">
        <v>180.39</v>
      </c>
    </row>
    <row r="159" spans="1:9" ht="29.4" thickBot="1" x14ac:dyDescent="0.35">
      <c r="A159" s="2" t="s">
        <v>44</v>
      </c>
      <c r="B159" s="2" t="s">
        <v>45</v>
      </c>
      <c r="C159" s="2" t="s">
        <v>34</v>
      </c>
      <c r="D159" s="2" t="s">
        <v>15</v>
      </c>
      <c r="E159" s="2">
        <v>1076.33</v>
      </c>
      <c r="F159" s="2">
        <v>2</v>
      </c>
      <c r="G159" s="2">
        <v>0.1</v>
      </c>
      <c r="H159" s="3">
        <v>45674</v>
      </c>
      <c r="I159" s="2">
        <v>484.35</v>
      </c>
    </row>
    <row r="160" spans="1:9" ht="29.4" thickBot="1" x14ac:dyDescent="0.35">
      <c r="A160" s="2" t="s">
        <v>44</v>
      </c>
      <c r="B160" s="2" t="s">
        <v>31</v>
      </c>
      <c r="C160" s="2" t="s">
        <v>34</v>
      </c>
      <c r="D160" s="2" t="s">
        <v>39</v>
      </c>
      <c r="E160" s="2">
        <v>1250.71</v>
      </c>
      <c r="F160" s="2">
        <v>7</v>
      </c>
      <c r="G160" s="2">
        <v>0</v>
      </c>
      <c r="H160" s="3">
        <v>45674</v>
      </c>
      <c r="I160" s="2">
        <v>562.82000000000005</v>
      </c>
    </row>
    <row r="161" spans="1:9" ht="29.4" thickBot="1" x14ac:dyDescent="0.35">
      <c r="A161" s="2" t="s">
        <v>40</v>
      </c>
      <c r="B161" s="2" t="s">
        <v>17</v>
      </c>
      <c r="C161" s="2" t="s">
        <v>20</v>
      </c>
      <c r="D161" s="2" t="s">
        <v>15</v>
      </c>
      <c r="E161" s="2">
        <v>1118.3399999999999</v>
      </c>
      <c r="F161" s="2">
        <v>6</v>
      </c>
      <c r="G161" s="2">
        <v>0.2</v>
      </c>
      <c r="H161" s="3">
        <v>45674</v>
      </c>
      <c r="I161" s="2">
        <v>447.34</v>
      </c>
    </row>
    <row r="162" spans="1:9" ht="29.4" thickBot="1" x14ac:dyDescent="0.35">
      <c r="A162" s="2" t="s">
        <v>70</v>
      </c>
      <c r="B162" s="2" t="s">
        <v>53</v>
      </c>
      <c r="C162" s="2" t="s">
        <v>24</v>
      </c>
      <c r="D162" s="2" t="s">
        <v>15</v>
      </c>
      <c r="E162" s="2">
        <v>1622.62</v>
      </c>
      <c r="F162" s="2">
        <v>12</v>
      </c>
      <c r="G162" s="2">
        <v>0.2</v>
      </c>
      <c r="H162" s="3">
        <v>45677</v>
      </c>
      <c r="I162" s="2">
        <v>649.04999999999995</v>
      </c>
    </row>
    <row r="163" spans="1:9" ht="15" thickBot="1" x14ac:dyDescent="0.35">
      <c r="A163" s="2" t="s">
        <v>75</v>
      </c>
      <c r="B163" s="2" t="s">
        <v>48</v>
      </c>
      <c r="C163" s="2" t="s">
        <v>24</v>
      </c>
      <c r="D163" s="2" t="s">
        <v>12</v>
      </c>
      <c r="E163" s="2">
        <v>640.64</v>
      </c>
      <c r="F163" s="2">
        <v>11</v>
      </c>
      <c r="G163" s="2">
        <v>0.2</v>
      </c>
      <c r="H163" s="3">
        <v>45678</v>
      </c>
      <c r="I163" s="2">
        <v>205</v>
      </c>
    </row>
    <row r="164" spans="1:9" ht="29.4" thickBot="1" x14ac:dyDescent="0.35">
      <c r="A164" s="2" t="s">
        <v>22</v>
      </c>
      <c r="B164" s="2" t="s">
        <v>43</v>
      </c>
      <c r="C164" s="2" t="s">
        <v>11</v>
      </c>
      <c r="D164" s="2" t="s">
        <v>15</v>
      </c>
      <c r="E164" s="2">
        <v>585.16</v>
      </c>
      <c r="F164" s="2">
        <v>17</v>
      </c>
      <c r="G164" s="2">
        <v>0.1</v>
      </c>
      <c r="H164" s="3">
        <v>45684</v>
      </c>
      <c r="I164" s="2">
        <v>263.32</v>
      </c>
    </row>
    <row r="165" spans="1:9" ht="29.4" thickBot="1" x14ac:dyDescent="0.35">
      <c r="A165" s="2" t="s">
        <v>22</v>
      </c>
      <c r="B165" s="2" t="s">
        <v>31</v>
      </c>
      <c r="C165" s="2" t="s">
        <v>18</v>
      </c>
      <c r="D165" s="2" t="s">
        <v>15</v>
      </c>
      <c r="E165" s="2">
        <v>1109.98</v>
      </c>
      <c r="F165" s="2">
        <v>5</v>
      </c>
      <c r="G165" s="2">
        <v>0.2</v>
      </c>
      <c r="H165" s="3">
        <v>45690</v>
      </c>
      <c r="I165" s="2">
        <v>443.99</v>
      </c>
    </row>
    <row r="166" spans="1:9" ht="29.4" thickBot="1" x14ac:dyDescent="0.35">
      <c r="A166" s="2" t="s">
        <v>58</v>
      </c>
      <c r="B166" s="2" t="s">
        <v>45</v>
      </c>
      <c r="C166" s="2" t="s">
        <v>18</v>
      </c>
      <c r="D166" s="2" t="s">
        <v>12</v>
      </c>
      <c r="E166" s="2">
        <v>1098.08</v>
      </c>
      <c r="F166" s="2">
        <v>9</v>
      </c>
      <c r="G166" s="2">
        <v>0.1</v>
      </c>
      <c r="H166" s="3">
        <v>45692</v>
      </c>
      <c r="I166" s="2">
        <v>395.31</v>
      </c>
    </row>
    <row r="167" spans="1:9" ht="29.4" thickBot="1" x14ac:dyDescent="0.35">
      <c r="A167" s="2" t="s">
        <v>65</v>
      </c>
      <c r="B167" s="2" t="s">
        <v>48</v>
      </c>
      <c r="C167" s="2" t="s">
        <v>11</v>
      </c>
      <c r="D167" s="2" t="s">
        <v>39</v>
      </c>
      <c r="E167" s="2">
        <v>827.25</v>
      </c>
      <c r="F167" s="2">
        <v>7</v>
      </c>
      <c r="G167" s="2">
        <v>0.1</v>
      </c>
      <c r="H167" s="3">
        <v>45693</v>
      </c>
      <c r="I167" s="2">
        <v>335.04</v>
      </c>
    </row>
    <row r="168" spans="1:9" ht="29.4" thickBot="1" x14ac:dyDescent="0.35">
      <c r="A168" s="2" t="s">
        <v>70</v>
      </c>
      <c r="B168" s="2" t="s">
        <v>29</v>
      </c>
      <c r="C168" s="2" t="s">
        <v>34</v>
      </c>
      <c r="D168" s="2" t="s">
        <v>15</v>
      </c>
      <c r="E168" s="2">
        <v>741.88</v>
      </c>
      <c r="F168" s="2">
        <v>16</v>
      </c>
      <c r="G168" s="2">
        <v>0.1</v>
      </c>
      <c r="H168" s="3">
        <v>45695</v>
      </c>
      <c r="I168" s="2">
        <v>333.85</v>
      </c>
    </row>
    <row r="169" spans="1:9" ht="29.4" thickBot="1" x14ac:dyDescent="0.35">
      <c r="A169" s="2" t="s">
        <v>72</v>
      </c>
      <c r="B169" s="2" t="s">
        <v>10</v>
      </c>
      <c r="C169" s="2" t="s">
        <v>18</v>
      </c>
      <c r="D169" s="2" t="s">
        <v>39</v>
      </c>
      <c r="E169" s="2">
        <v>1311.26</v>
      </c>
      <c r="F169" s="2">
        <v>6</v>
      </c>
      <c r="G169" s="2">
        <v>0.1</v>
      </c>
      <c r="H169" s="3">
        <v>45698</v>
      </c>
      <c r="I169" s="2">
        <v>531.05999999999995</v>
      </c>
    </row>
    <row r="170" spans="1:9" ht="29.4" thickBot="1" x14ac:dyDescent="0.35">
      <c r="A170" s="2" t="s">
        <v>72</v>
      </c>
      <c r="B170" s="2" t="s">
        <v>31</v>
      </c>
      <c r="C170" s="2" t="s">
        <v>20</v>
      </c>
      <c r="D170" s="2" t="s">
        <v>39</v>
      </c>
      <c r="E170" s="2">
        <v>573.32000000000005</v>
      </c>
      <c r="F170" s="2">
        <v>19</v>
      </c>
      <c r="G170" s="2">
        <v>0.1</v>
      </c>
      <c r="H170" s="3">
        <v>45703</v>
      </c>
      <c r="I170" s="2">
        <v>232.19</v>
      </c>
    </row>
    <row r="171" spans="1:9" ht="29.4" thickBot="1" x14ac:dyDescent="0.35">
      <c r="A171" s="2" t="s">
        <v>52</v>
      </c>
      <c r="B171" s="2" t="s">
        <v>23</v>
      </c>
      <c r="C171" s="2" t="s">
        <v>11</v>
      </c>
      <c r="D171" s="2" t="s">
        <v>21</v>
      </c>
      <c r="E171" s="2">
        <v>1115.22</v>
      </c>
      <c r="F171" s="2">
        <v>14</v>
      </c>
      <c r="G171" s="2">
        <v>0.2</v>
      </c>
      <c r="H171" s="3">
        <v>45705</v>
      </c>
      <c r="I171" s="2">
        <v>223.04</v>
      </c>
    </row>
    <row r="172" spans="1:9" ht="29.4" thickBot="1" x14ac:dyDescent="0.35">
      <c r="A172" s="2" t="s">
        <v>13</v>
      </c>
      <c r="B172" s="2" t="s">
        <v>45</v>
      </c>
      <c r="C172" s="2" t="s">
        <v>24</v>
      </c>
      <c r="D172" s="2" t="s">
        <v>15</v>
      </c>
      <c r="E172" s="2">
        <v>845.84</v>
      </c>
      <c r="F172" s="2">
        <v>4</v>
      </c>
      <c r="G172" s="2">
        <v>0</v>
      </c>
      <c r="H172" s="3">
        <v>45707</v>
      </c>
      <c r="I172" s="2">
        <v>422.92</v>
      </c>
    </row>
    <row r="173" spans="1:9" ht="29.4" thickBot="1" x14ac:dyDescent="0.35">
      <c r="A173" s="2" t="s">
        <v>30</v>
      </c>
      <c r="B173" s="2" t="s">
        <v>55</v>
      </c>
      <c r="C173" s="2" t="s">
        <v>11</v>
      </c>
      <c r="D173" s="2" t="s">
        <v>21</v>
      </c>
      <c r="E173" s="2">
        <v>1029.8</v>
      </c>
      <c r="F173" s="2">
        <v>3</v>
      </c>
      <c r="G173" s="2">
        <v>0</v>
      </c>
      <c r="H173" s="3">
        <v>45708</v>
      </c>
      <c r="I173" s="2">
        <v>257.45</v>
      </c>
    </row>
    <row r="174" spans="1:9" ht="29.4" thickBot="1" x14ac:dyDescent="0.35">
      <c r="A174" s="2" t="s">
        <v>32</v>
      </c>
      <c r="B174" s="2" t="s">
        <v>31</v>
      </c>
      <c r="C174" s="2" t="s">
        <v>24</v>
      </c>
      <c r="D174" s="2" t="s">
        <v>12</v>
      </c>
      <c r="E174" s="2">
        <v>1189.83</v>
      </c>
      <c r="F174" s="2">
        <v>2</v>
      </c>
      <c r="G174" s="2">
        <v>0.2</v>
      </c>
      <c r="H174" s="3">
        <v>45709</v>
      </c>
      <c r="I174" s="2">
        <v>380.75</v>
      </c>
    </row>
    <row r="175" spans="1:9" ht="29.4" thickBot="1" x14ac:dyDescent="0.35">
      <c r="A175" s="2" t="s">
        <v>67</v>
      </c>
      <c r="B175" s="2" t="s">
        <v>43</v>
      </c>
      <c r="C175" s="2" t="s">
        <v>20</v>
      </c>
      <c r="D175" s="2" t="s">
        <v>12</v>
      </c>
      <c r="E175" s="2">
        <v>704.28</v>
      </c>
      <c r="F175" s="2">
        <v>15</v>
      </c>
      <c r="G175" s="2">
        <v>0.2</v>
      </c>
      <c r="H175" s="3">
        <v>45712</v>
      </c>
      <c r="I175" s="2">
        <v>225.37</v>
      </c>
    </row>
    <row r="176" spans="1:9" ht="29.4" thickBot="1" x14ac:dyDescent="0.35">
      <c r="A176" s="2" t="s">
        <v>65</v>
      </c>
      <c r="B176" s="2" t="s">
        <v>47</v>
      </c>
      <c r="C176" s="2" t="s">
        <v>34</v>
      </c>
      <c r="D176" s="2" t="s">
        <v>39</v>
      </c>
      <c r="E176" s="2">
        <v>1618.22</v>
      </c>
      <c r="F176" s="2">
        <v>12</v>
      </c>
      <c r="G176" s="2">
        <v>0.2</v>
      </c>
      <c r="H176" s="3">
        <v>45712</v>
      </c>
      <c r="I176" s="2">
        <v>582.55999999999995</v>
      </c>
    </row>
    <row r="177" spans="1:9" ht="29.4" thickBot="1" x14ac:dyDescent="0.35">
      <c r="A177" s="2" t="s">
        <v>73</v>
      </c>
      <c r="B177" s="2" t="s">
        <v>53</v>
      </c>
      <c r="C177" s="2" t="s">
        <v>34</v>
      </c>
      <c r="D177" s="2" t="s">
        <v>12</v>
      </c>
      <c r="E177" s="2">
        <v>1014.43</v>
      </c>
      <c r="F177" s="2">
        <v>2</v>
      </c>
      <c r="G177" s="2">
        <v>0.15</v>
      </c>
      <c r="H177" s="3">
        <v>45713</v>
      </c>
      <c r="I177" s="2">
        <v>344.91</v>
      </c>
    </row>
    <row r="178" spans="1:9" ht="29.4" thickBot="1" x14ac:dyDescent="0.35">
      <c r="A178" s="2" t="s">
        <v>75</v>
      </c>
      <c r="B178" s="2" t="s">
        <v>31</v>
      </c>
      <c r="C178" s="2" t="s">
        <v>34</v>
      </c>
      <c r="D178" s="2" t="s">
        <v>15</v>
      </c>
      <c r="E178" s="2">
        <v>826.97</v>
      </c>
      <c r="F178" s="2">
        <v>18</v>
      </c>
      <c r="G178" s="2">
        <v>0.2</v>
      </c>
      <c r="H178" s="3">
        <v>45715</v>
      </c>
      <c r="I178" s="2">
        <v>330.79</v>
      </c>
    </row>
    <row r="179" spans="1:9" ht="29.4" thickBot="1" x14ac:dyDescent="0.35">
      <c r="A179" s="2" t="s">
        <v>16</v>
      </c>
      <c r="B179" s="2" t="s">
        <v>31</v>
      </c>
      <c r="C179" s="2" t="s">
        <v>34</v>
      </c>
      <c r="D179" s="2" t="s">
        <v>15</v>
      </c>
      <c r="E179" s="2">
        <v>1022.23</v>
      </c>
      <c r="F179" s="2">
        <v>8</v>
      </c>
      <c r="G179" s="2">
        <v>0.1</v>
      </c>
      <c r="H179" s="3">
        <v>45717</v>
      </c>
      <c r="I179" s="2">
        <v>460</v>
      </c>
    </row>
    <row r="180" spans="1:9" ht="29.4" thickBot="1" x14ac:dyDescent="0.35">
      <c r="A180" s="2" t="s">
        <v>72</v>
      </c>
      <c r="B180" s="2" t="s">
        <v>29</v>
      </c>
      <c r="C180" s="2" t="s">
        <v>18</v>
      </c>
      <c r="D180" s="2" t="s">
        <v>12</v>
      </c>
      <c r="E180" s="2">
        <v>1099.69</v>
      </c>
      <c r="F180" s="2">
        <v>6</v>
      </c>
      <c r="G180" s="2">
        <v>0</v>
      </c>
      <c r="H180" s="3">
        <v>45718</v>
      </c>
      <c r="I180" s="2">
        <v>439.88</v>
      </c>
    </row>
    <row r="181" spans="1:9" ht="29.4" thickBot="1" x14ac:dyDescent="0.35">
      <c r="A181" s="2" t="s">
        <v>52</v>
      </c>
      <c r="B181" s="2" t="s">
        <v>64</v>
      </c>
      <c r="C181" s="2" t="s">
        <v>24</v>
      </c>
      <c r="D181" s="2" t="s">
        <v>12</v>
      </c>
      <c r="E181" s="2">
        <v>710.52</v>
      </c>
      <c r="F181" s="2">
        <v>8</v>
      </c>
      <c r="G181" s="2">
        <v>0.1</v>
      </c>
      <c r="H181" s="3">
        <v>45721</v>
      </c>
      <c r="I181" s="2">
        <v>255.79</v>
      </c>
    </row>
    <row r="182" spans="1:9" ht="29.4" thickBot="1" x14ac:dyDescent="0.35">
      <c r="A182" s="2" t="s">
        <v>52</v>
      </c>
      <c r="B182" s="2" t="s">
        <v>59</v>
      </c>
      <c r="C182" s="2" t="s">
        <v>24</v>
      </c>
      <c r="D182" s="2" t="s">
        <v>12</v>
      </c>
      <c r="E182" s="2">
        <v>499.18</v>
      </c>
      <c r="F182" s="2">
        <v>15</v>
      </c>
      <c r="G182" s="2">
        <v>0.2</v>
      </c>
      <c r="H182" s="3">
        <v>45724</v>
      </c>
      <c r="I182" s="2">
        <v>159.74</v>
      </c>
    </row>
    <row r="183" spans="1:9" ht="29.4" thickBot="1" x14ac:dyDescent="0.35">
      <c r="A183" s="2" t="s">
        <v>37</v>
      </c>
      <c r="B183" s="2" t="s">
        <v>38</v>
      </c>
      <c r="C183" s="2" t="s">
        <v>20</v>
      </c>
      <c r="D183" s="2" t="s">
        <v>12</v>
      </c>
      <c r="E183" s="2">
        <v>1064.19</v>
      </c>
      <c r="F183" s="2">
        <v>18</v>
      </c>
      <c r="G183" s="2">
        <v>0.05</v>
      </c>
      <c r="H183" s="3">
        <v>45725</v>
      </c>
      <c r="I183" s="2">
        <v>404.39</v>
      </c>
    </row>
    <row r="184" spans="1:9" ht="29.4" thickBot="1" x14ac:dyDescent="0.35">
      <c r="A184" s="2" t="s">
        <v>67</v>
      </c>
      <c r="B184" s="2" t="s">
        <v>38</v>
      </c>
      <c r="C184" s="2" t="s">
        <v>18</v>
      </c>
      <c r="D184" s="2" t="s">
        <v>39</v>
      </c>
      <c r="E184" s="2">
        <v>438.76</v>
      </c>
      <c r="F184" s="2">
        <v>18</v>
      </c>
      <c r="G184" s="2">
        <v>0.05</v>
      </c>
      <c r="H184" s="3">
        <v>45726</v>
      </c>
      <c r="I184" s="2">
        <v>187.57</v>
      </c>
    </row>
    <row r="185" spans="1:9" ht="29.4" thickBot="1" x14ac:dyDescent="0.35">
      <c r="A185" s="2" t="s">
        <v>41</v>
      </c>
      <c r="B185" s="2" t="s">
        <v>55</v>
      </c>
      <c r="C185" s="2" t="s">
        <v>11</v>
      </c>
      <c r="D185" s="2" t="s">
        <v>15</v>
      </c>
      <c r="E185" s="2">
        <v>864.98</v>
      </c>
      <c r="F185" s="2">
        <v>2</v>
      </c>
      <c r="G185" s="2">
        <v>0.05</v>
      </c>
      <c r="H185" s="3">
        <v>45727</v>
      </c>
      <c r="I185" s="2">
        <v>410.87</v>
      </c>
    </row>
    <row r="186" spans="1:9" ht="29.4" thickBot="1" x14ac:dyDescent="0.35">
      <c r="A186" s="2" t="s">
        <v>57</v>
      </c>
      <c r="B186" s="2" t="s">
        <v>55</v>
      </c>
      <c r="C186" s="2" t="s">
        <v>11</v>
      </c>
      <c r="D186" s="2" t="s">
        <v>27</v>
      </c>
      <c r="E186" s="2">
        <v>984.93</v>
      </c>
      <c r="F186" s="2">
        <v>14</v>
      </c>
      <c r="G186" s="2">
        <v>0.2</v>
      </c>
      <c r="H186" s="3">
        <v>45733</v>
      </c>
      <c r="I186" s="2">
        <v>275.77999999999997</v>
      </c>
    </row>
    <row r="187" spans="1:9" ht="29.4" thickBot="1" x14ac:dyDescent="0.35">
      <c r="A187" s="2" t="s">
        <v>25</v>
      </c>
      <c r="B187" s="2" t="s">
        <v>55</v>
      </c>
      <c r="C187" s="2" t="s">
        <v>11</v>
      </c>
      <c r="D187" s="2" t="s">
        <v>15</v>
      </c>
      <c r="E187" s="2">
        <v>1493.49</v>
      </c>
      <c r="F187" s="2">
        <v>18</v>
      </c>
      <c r="G187" s="2">
        <v>0</v>
      </c>
      <c r="H187" s="3">
        <v>45734</v>
      </c>
      <c r="I187" s="2">
        <v>746.74</v>
      </c>
    </row>
    <row r="188" spans="1:9" ht="29.4" thickBot="1" x14ac:dyDescent="0.35">
      <c r="A188" s="2" t="s">
        <v>32</v>
      </c>
      <c r="B188" s="2" t="s">
        <v>53</v>
      </c>
      <c r="C188" s="2" t="s">
        <v>20</v>
      </c>
      <c r="D188" s="2" t="s">
        <v>15</v>
      </c>
      <c r="E188" s="2">
        <v>689.43</v>
      </c>
      <c r="F188" s="2">
        <v>9</v>
      </c>
      <c r="G188" s="2">
        <v>0.1</v>
      </c>
      <c r="H188" s="3">
        <v>45736</v>
      </c>
      <c r="I188" s="2">
        <v>310.24</v>
      </c>
    </row>
    <row r="189" spans="1:9" ht="29.4" thickBot="1" x14ac:dyDescent="0.35">
      <c r="A189" s="2" t="s">
        <v>40</v>
      </c>
      <c r="B189" s="2" t="s">
        <v>59</v>
      </c>
      <c r="C189" s="2" t="s">
        <v>20</v>
      </c>
      <c r="D189" s="2" t="s">
        <v>15</v>
      </c>
      <c r="E189" s="2">
        <v>682.24</v>
      </c>
      <c r="F189" s="2">
        <v>1</v>
      </c>
      <c r="G189" s="2">
        <v>0</v>
      </c>
      <c r="H189" s="3">
        <v>45738</v>
      </c>
      <c r="I189" s="2">
        <v>341.12</v>
      </c>
    </row>
    <row r="190" spans="1:9" ht="29.4" thickBot="1" x14ac:dyDescent="0.35">
      <c r="A190" s="2" t="s">
        <v>41</v>
      </c>
      <c r="B190" s="2" t="s">
        <v>26</v>
      </c>
      <c r="C190" s="2" t="s">
        <v>24</v>
      </c>
      <c r="D190" s="2" t="s">
        <v>21</v>
      </c>
      <c r="E190" s="2">
        <v>458.54</v>
      </c>
      <c r="F190" s="2">
        <v>15</v>
      </c>
      <c r="G190" s="2">
        <v>0.2</v>
      </c>
      <c r="H190" s="3">
        <v>45741</v>
      </c>
      <c r="I190" s="2">
        <v>91.71</v>
      </c>
    </row>
    <row r="191" spans="1:9" ht="29.4" thickBot="1" x14ac:dyDescent="0.35">
      <c r="A191" s="2" t="s">
        <v>32</v>
      </c>
      <c r="B191" s="2" t="s">
        <v>26</v>
      </c>
      <c r="C191" s="2" t="s">
        <v>20</v>
      </c>
      <c r="D191" s="2" t="s">
        <v>27</v>
      </c>
      <c r="E191" s="2">
        <v>1184.25</v>
      </c>
      <c r="F191" s="2">
        <v>11</v>
      </c>
      <c r="G191" s="2">
        <v>0.2</v>
      </c>
      <c r="H191" s="3">
        <v>45742</v>
      </c>
      <c r="I191" s="2">
        <v>331.59</v>
      </c>
    </row>
    <row r="192" spans="1:9" ht="29.4" thickBot="1" x14ac:dyDescent="0.35">
      <c r="A192" s="2" t="s">
        <v>25</v>
      </c>
      <c r="B192" s="2" t="s">
        <v>10</v>
      </c>
      <c r="C192" s="2" t="s">
        <v>20</v>
      </c>
      <c r="D192" s="2" t="s">
        <v>15</v>
      </c>
      <c r="E192" s="2">
        <v>762.14</v>
      </c>
      <c r="F192" s="2">
        <v>9</v>
      </c>
      <c r="G192" s="2">
        <v>0</v>
      </c>
      <c r="H192" s="3">
        <v>45743</v>
      </c>
      <c r="I192" s="2">
        <v>381.07</v>
      </c>
    </row>
    <row r="193" spans="1:9" ht="29.4" thickBot="1" x14ac:dyDescent="0.35">
      <c r="A193" s="2" t="s">
        <v>22</v>
      </c>
      <c r="B193" s="2" t="s">
        <v>53</v>
      </c>
      <c r="C193" s="2" t="s">
        <v>24</v>
      </c>
      <c r="D193" s="2" t="s">
        <v>12</v>
      </c>
      <c r="E193" s="2">
        <v>750.71</v>
      </c>
      <c r="F193" s="2">
        <v>10</v>
      </c>
      <c r="G193" s="2">
        <v>0.15</v>
      </c>
      <c r="H193" s="3">
        <v>45743</v>
      </c>
      <c r="I193" s="2">
        <v>255.24</v>
      </c>
    </row>
    <row r="194" spans="1:9" ht="29.4" thickBot="1" x14ac:dyDescent="0.35">
      <c r="A194" s="2" t="s">
        <v>75</v>
      </c>
      <c r="B194" s="2" t="s">
        <v>71</v>
      </c>
      <c r="C194" s="2" t="s">
        <v>34</v>
      </c>
      <c r="D194" s="2" t="s">
        <v>15</v>
      </c>
      <c r="E194" s="2">
        <v>1456.94</v>
      </c>
      <c r="F194" s="2">
        <v>14</v>
      </c>
      <c r="G194" s="2">
        <v>0.05</v>
      </c>
      <c r="H194" s="3">
        <v>45745</v>
      </c>
      <c r="I194" s="2">
        <v>692.05</v>
      </c>
    </row>
    <row r="195" spans="1:9" ht="29.4" thickBot="1" x14ac:dyDescent="0.35">
      <c r="A195" s="2" t="s">
        <v>44</v>
      </c>
      <c r="B195" s="2" t="s">
        <v>61</v>
      </c>
      <c r="C195" s="2" t="s">
        <v>18</v>
      </c>
      <c r="D195" s="2" t="s">
        <v>27</v>
      </c>
      <c r="E195" s="2">
        <v>1093.3800000000001</v>
      </c>
      <c r="F195" s="2">
        <v>17</v>
      </c>
      <c r="G195" s="2">
        <v>0.1</v>
      </c>
      <c r="H195" s="3">
        <v>45745</v>
      </c>
      <c r="I195" s="2">
        <v>344.41</v>
      </c>
    </row>
    <row r="196" spans="1:9" ht="29.4" thickBot="1" x14ac:dyDescent="0.35">
      <c r="A196" s="2" t="s">
        <v>37</v>
      </c>
      <c r="B196" s="2" t="s">
        <v>43</v>
      </c>
      <c r="C196" s="2" t="s">
        <v>11</v>
      </c>
      <c r="D196" s="2" t="s">
        <v>15</v>
      </c>
      <c r="E196" s="2">
        <v>934.27</v>
      </c>
      <c r="F196" s="2">
        <v>8</v>
      </c>
      <c r="G196" s="2">
        <v>0.15</v>
      </c>
      <c r="H196" s="3">
        <v>45746</v>
      </c>
      <c r="I196" s="2">
        <v>397.06</v>
      </c>
    </row>
    <row r="197" spans="1:9" ht="29.4" thickBot="1" x14ac:dyDescent="0.35">
      <c r="A197" s="2" t="s">
        <v>70</v>
      </c>
      <c r="B197" s="2" t="s">
        <v>36</v>
      </c>
      <c r="C197" s="2" t="s">
        <v>34</v>
      </c>
      <c r="D197" s="2" t="s">
        <v>15</v>
      </c>
      <c r="E197" s="2">
        <v>1465.35</v>
      </c>
      <c r="F197" s="2">
        <v>8</v>
      </c>
      <c r="G197" s="2">
        <v>0.2</v>
      </c>
      <c r="H197" s="3">
        <v>45746</v>
      </c>
      <c r="I197" s="2">
        <v>586.14</v>
      </c>
    </row>
    <row r="198" spans="1:9" ht="29.4" thickBot="1" x14ac:dyDescent="0.35">
      <c r="A198" s="2" t="s">
        <v>52</v>
      </c>
      <c r="B198" s="2" t="s">
        <v>14</v>
      </c>
      <c r="C198" s="2" t="s">
        <v>20</v>
      </c>
      <c r="D198" s="2" t="s">
        <v>39</v>
      </c>
      <c r="E198" s="2">
        <v>740.8</v>
      </c>
      <c r="F198" s="2">
        <v>3</v>
      </c>
      <c r="G198" s="2">
        <v>0</v>
      </c>
      <c r="H198" s="3">
        <v>45749</v>
      </c>
      <c r="I198" s="2">
        <v>333.36</v>
      </c>
    </row>
    <row r="199" spans="1:9" ht="29.4" thickBot="1" x14ac:dyDescent="0.35">
      <c r="A199" s="2" t="s">
        <v>58</v>
      </c>
      <c r="B199" s="2" t="s">
        <v>43</v>
      </c>
      <c r="C199" s="2" t="s">
        <v>11</v>
      </c>
      <c r="D199" s="2" t="s">
        <v>39</v>
      </c>
      <c r="E199" s="2">
        <v>545.44000000000005</v>
      </c>
      <c r="F199" s="2">
        <v>17</v>
      </c>
      <c r="G199" s="2">
        <v>0</v>
      </c>
      <c r="H199" s="3">
        <v>45752</v>
      </c>
      <c r="I199" s="2">
        <v>245.45</v>
      </c>
    </row>
    <row r="200" spans="1:9" ht="29.4" thickBot="1" x14ac:dyDescent="0.35">
      <c r="A200" s="2" t="s">
        <v>35</v>
      </c>
      <c r="B200" s="2" t="s">
        <v>36</v>
      </c>
      <c r="C200" s="2" t="s">
        <v>18</v>
      </c>
      <c r="D200" s="2" t="s">
        <v>12</v>
      </c>
      <c r="E200" s="2">
        <v>997.61</v>
      </c>
      <c r="F200" s="2">
        <v>8</v>
      </c>
      <c r="G200" s="2">
        <v>0.05</v>
      </c>
      <c r="H200" s="3">
        <v>45752</v>
      </c>
      <c r="I200" s="2">
        <v>379.09</v>
      </c>
    </row>
    <row r="201" spans="1:9" ht="29.4" thickBot="1" x14ac:dyDescent="0.35">
      <c r="A201" s="2" t="s">
        <v>60</v>
      </c>
      <c r="B201" s="2" t="s">
        <v>36</v>
      </c>
      <c r="C201" s="2" t="s">
        <v>20</v>
      </c>
      <c r="D201" s="2" t="s">
        <v>15</v>
      </c>
      <c r="E201" s="2">
        <v>928.32</v>
      </c>
      <c r="F201" s="2">
        <v>2</v>
      </c>
      <c r="G201" s="2">
        <v>0.05</v>
      </c>
      <c r="H201" s="3">
        <v>45754</v>
      </c>
      <c r="I201" s="2">
        <v>440.95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D020-79DA-483E-B528-9C95935645E0}">
  <dimension ref="A1"/>
  <sheetViews>
    <sheetView showGridLines="0" workbookViewId="0">
      <selection activeCell="F21" sqref="F21"/>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45DC-BC36-4BBE-BE7E-DB47A8B92D52}">
  <dimension ref="B3:L6"/>
  <sheetViews>
    <sheetView showGridLines="0" tabSelected="1" zoomScale="62" zoomScaleNormal="100" workbookViewId="0">
      <selection activeCell="U26" sqref="U26"/>
    </sheetView>
  </sheetViews>
  <sheetFormatPr defaultRowHeight="14.4" x14ac:dyDescent="0.3"/>
  <cols>
    <col min="3" max="3" width="19.44140625" customWidth="1"/>
    <col min="6" max="6" width="21.77734375" customWidth="1"/>
    <col min="9" max="9" width="22.77734375" customWidth="1"/>
    <col min="12" max="12" width="18.77734375" customWidth="1"/>
  </cols>
  <sheetData>
    <row r="3" spans="2:12" ht="28.2" customHeight="1" x14ac:dyDescent="0.3"/>
    <row r="5" spans="2:12" ht="25.8" x14ac:dyDescent="0.5">
      <c r="B5" s="52"/>
      <c r="C5" s="54" t="s">
        <v>148</v>
      </c>
      <c r="D5" s="51"/>
      <c r="E5" s="53"/>
      <c r="F5" s="54" t="s">
        <v>150</v>
      </c>
      <c r="G5" s="51"/>
      <c r="H5" s="53"/>
      <c r="I5" s="54" t="s">
        <v>152</v>
      </c>
      <c r="J5" s="51"/>
      <c r="K5" s="53"/>
      <c r="L5" s="54" t="s">
        <v>154</v>
      </c>
    </row>
    <row r="6" spans="2:12" ht="25.8" x14ac:dyDescent="0.5">
      <c r="B6" s="52"/>
      <c r="C6" s="54">
        <f>SUM(Analysis!F202)</f>
        <v>195217.75999999992</v>
      </c>
      <c r="D6" s="51"/>
      <c r="E6" s="53"/>
      <c r="F6" s="54">
        <f>COUNT(Analysis!A2:E201)</f>
        <v>200</v>
      </c>
      <c r="G6" s="51"/>
      <c r="H6" s="53"/>
      <c r="I6" s="54">
        <f>MAX(Analysis!F203)</f>
        <v>1923.66</v>
      </c>
      <c r="J6" s="51"/>
      <c r="K6" s="53"/>
      <c r="L6" s="54">
        <f>SUM(Analysis!J2:J201)</f>
        <v>68287.010000000009</v>
      </c>
    </row>
  </sheetData>
  <mergeCells count="1">
    <mergeCell ref="B5:B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FCBD-44CF-4472-ADD1-C4DD9ADB6B0C}">
  <dimension ref="B2:T21"/>
  <sheetViews>
    <sheetView topLeftCell="J1" workbookViewId="0">
      <selection activeCell="T10" sqref="T10"/>
    </sheetView>
  </sheetViews>
  <sheetFormatPr defaultRowHeight="14.4" x14ac:dyDescent="0.3"/>
  <cols>
    <col min="1" max="1" width="13.77734375" customWidth="1"/>
    <col min="4" max="4" width="15.5546875" customWidth="1"/>
    <col min="5" max="5" width="14" customWidth="1"/>
    <col min="6" max="6" width="15.77734375" customWidth="1"/>
    <col min="7" max="7" width="14.21875" customWidth="1"/>
    <col min="8" max="8" width="12" customWidth="1"/>
    <col min="9" max="9" width="14" customWidth="1"/>
    <col min="10" max="10" width="14.33203125" customWidth="1"/>
    <col min="11" max="11" width="16.44140625" customWidth="1"/>
    <col min="14" max="14" width="13.5546875" customWidth="1"/>
    <col min="15" max="15" width="8.88671875" hidden="1" customWidth="1"/>
    <col min="16" max="16" width="26.5546875" customWidth="1"/>
    <col min="20" max="20" width="26.33203125" customWidth="1"/>
  </cols>
  <sheetData>
    <row r="2" spans="2:20" ht="21" x14ac:dyDescent="0.4">
      <c r="B2" s="33" t="s">
        <v>102</v>
      </c>
      <c r="C2" s="6"/>
      <c r="D2" s="6"/>
      <c r="E2" s="6"/>
      <c r="F2" s="6"/>
      <c r="G2" s="6"/>
      <c r="H2" s="6"/>
      <c r="I2" s="6"/>
      <c r="J2" s="6"/>
      <c r="K2" s="6"/>
      <c r="N2" s="33" t="s">
        <v>115</v>
      </c>
      <c r="O2" s="33"/>
      <c r="P2" s="33"/>
      <c r="Q2" s="33"/>
      <c r="R2" s="33"/>
      <c r="S2" s="6"/>
      <c r="T2" s="6"/>
    </row>
    <row r="3" spans="2:20" ht="15" thickBot="1" x14ac:dyDescent="0.35"/>
    <row r="4" spans="2:20" ht="23.4" x14ac:dyDescent="0.45">
      <c r="B4" s="7"/>
      <c r="C4" s="34"/>
      <c r="D4" s="7"/>
      <c r="E4" s="7"/>
      <c r="F4" s="45" t="s">
        <v>147</v>
      </c>
      <c r="G4" s="45"/>
      <c r="H4" s="35"/>
      <c r="I4" s="7"/>
      <c r="J4" s="7"/>
      <c r="K4" s="7"/>
      <c r="P4" s="41" t="s">
        <v>116</v>
      </c>
      <c r="Q4" s="41"/>
    </row>
    <row r="5" spans="2:20" ht="15" thickBot="1" x14ac:dyDescent="0.35">
      <c r="B5" s="7"/>
      <c r="C5" s="36"/>
      <c r="D5" s="36"/>
      <c r="E5" s="36"/>
      <c r="F5" s="45"/>
      <c r="G5" s="45"/>
      <c r="H5" s="36"/>
      <c r="I5" s="36"/>
      <c r="J5" s="36"/>
      <c r="K5" s="36"/>
      <c r="P5" s="42"/>
      <c r="Q5" s="42"/>
    </row>
    <row r="6" spans="2:20" x14ac:dyDescent="0.3">
      <c r="B6" s="6"/>
      <c r="C6" s="37" t="s">
        <v>78</v>
      </c>
      <c r="D6" s="37"/>
      <c r="E6" s="38"/>
      <c r="F6" s="38"/>
      <c r="G6" s="38"/>
      <c r="H6" s="38"/>
      <c r="I6" s="38"/>
      <c r="J6" s="38"/>
      <c r="K6" s="38"/>
      <c r="P6" s="42" t="s">
        <v>103</v>
      </c>
      <c r="Q6" s="42">
        <v>976.08879999999965</v>
      </c>
    </row>
    <row r="7" spans="2:20" x14ac:dyDescent="0.3">
      <c r="B7" s="6"/>
      <c r="C7" s="6" t="s">
        <v>79</v>
      </c>
      <c r="D7" s="6">
        <v>0.77340306414342619</v>
      </c>
      <c r="E7" s="38"/>
      <c r="F7" s="38"/>
      <c r="G7" s="38"/>
      <c r="H7" s="38"/>
      <c r="I7" s="38"/>
      <c r="J7" s="38"/>
      <c r="K7" s="38"/>
      <c r="P7" s="42" t="s">
        <v>82</v>
      </c>
      <c r="Q7" s="42">
        <v>21.161850448978406</v>
      </c>
    </row>
    <row r="8" spans="2:20" x14ac:dyDescent="0.3">
      <c r="B8" s="6"/>
      <c r="C8" s="6" t="s">
        <v>80</v>
      </c>
      <c r="D8" s="6">
        <v>0.59815229962644056</v>
      </c>
      <c r="E8" s="38"/>
      <c r="F8" s="38"/>
      <c r="G8" s="38"/>
      <c r="H8" s="38"/>
      <c r="I8" s="38"/>
      <c r="J8" s="38"/>
      <c r="K8" s="38"/>
      <c r="P8" s="42" t="s">
        <v>104</v>
      </c>
      <c r="Q8" s="42">
        <v>976.72</v>
      </c>
    </row>
    <row r="9" spans="2:20" x14ac:dyDescent="0.3">
      <c r="B9" s="6"/>
      <c r="C9" s="6" t="s">
        <v>81</v>
      </c>
      <c r="D9" s="6">
        <v>0.59612276578617007</v>
      </c>
      <c r="E9" s="38"/>
      <c r="F9" s="38"/>
      <c r="G9" s="38"/>
      <c r="H9" s="38"/>
      <c r="I9" s="38"/>
      <c r="J9" s="38"/>
      <c r="K9" s="38"/>
      <c r="P9" s="42" t="s">
        <v>105</v>
      </c>
      <c r="Q9" s="42" t="e">
        <v>#N/A</v>
      </c>
    </row>
    <row r="10" spans="2:20" x14ac:dyDescent="0.3">
      <c r="B10" s="6"/>
      <c r="C10" s="6" t="s">
        <v>82</v>
      </c>
      <c r="D10" s="6">
        <v>86.281230529665166</v>
      </c>
      <c r="E10" s="38"/>
      <c r="F10" s="38"/>
      <c r="G10" s="38"/>
      <c r="H10" s="38"/>
      <c r="I10" s="38"/>
      <c r="J10" s="38"/>
      <c r="K10" s="38"/>
      <c r="P10" s="42" t="s">
        <v>106</v>
      </c>
      <c r="Q10" s="42">
        <v>299.27375909856431</v>
      </c>
    </row>
    <row r="11" spans="2:20" ht="15" thickBot="1" x14ac:dyDescent="0.35">
      <c r="B11" s="6"/>
      <c r="C11" s="22" t="s">
        <v>83</v>
      </c>
      <c r="D11" s="22">
        <v>200</v>
      </c>
      <c r="E11" s="38"/>
      <c r="F11" s="38"/>
      <c r="G11" s="38"/>
      <c r="H11" s="38"/>
      <c r="I11" s="38"/>
      <c r="J11" s="38"/>
      <c r="K11" s="38"/>
      <c r="P11" s="42" t="s">
        <v>107</v>
      </c>
      <c r="Q11" s="42">
        <v>89564.782884985514</v>
      </c>
    </row>
    <row r="12" spans="2:20" x14ac:dyDescent="0.3">
      <c r="B12" s="6"/>
      <c r="C12" s="38"/>
      <c r="D12" s="38"/>
      <c r="E12" s="38"/>
      <c r="F12" s="38"/>
      <c r="G12" s="38"/>
      <c r="H12" s="38"/>
      <c r="I12" s="38"/>
      <c r="J12" s="38"/>
      <c r="K12" s="38"/>
      <c r="P12" s="42" t="s">
        <v>108</v>
      </c>
      <c r="Q12" s="42">
        <v>-8.8595231919740502E-2</v>
      </c>
    </row>
    <row r="13" spans="2:20" ht="15" thickBot="1" x14ac:dyDescent="0.35">
      <c r="B13" s="6"/>
      <c r="C13" s="38" t="s">
        <v>84</v>
      </c>
      <c r="D13" s="38"/>
      <c r="E13" s="38"/>
      <c r="F13" s="38"/>
      <c r="G13" s="38"/>
      <c r="H13" s="38"/>
      <c r="I13" s="38"/>
      <c r="J13" s="38"/>
      <c r="K13" s="38"/>
      <c r="P13" s="42" t="s">
        <v>109</v>
      </c>
      <c r="Q13" s="42">
        <v>0.14685796564193557</v>
      </c>
    </row>
    <row r="14" spans="2:20" x14ac:dyDescent="0.3">
      <c r="B14" s="6"/>
      <c r="C14" s="39"/>
      <c r="D14" s="39" t="s">
        <v>89</v>
      </c>
      <c r="E14" s="39" t="s">
        <v>90</v>
      </c>
      <c r="F14" s="39" t="s">
        <v>91</v>
      </c>
      <c r="G14" s="39" t="s">
        <v>92</v>
      </c>
      <c r="H14" s="39" t="s">
        <v>93</v>
      </c>
      <c r="I14" s="38"/>
      <c r="J14" s="38"/>
      <c r="K14" s="38"/>
      <c r="P14" s="42" t="s">
        <v>110</v>
      </c>
      <c r="Q14" s="42">
        <v>1665.15</v>
      </c>
    </row>
    <row r="15" spans="2:20" x14ac:dyDescent="0.3">
      <c r="B15" s="6"/>
      <c r="C15" s="38" t="s">
        <v>85</v>
      </c>
      <c r="D15" s="38">
        <v>1</v>
      </c>
      <c r="E15" s="38">
        <v>2194058.1833402822</v>
      </c>
      <c r="F15" s="38">
        <v>2194058.1833402822</v>
      </c>
      <c r="G15" s="38">
        <v>294.72398427548114</v>
      </c>
      <c r="H15" s="38">
        <v>4.6269367558910499E-41</v>
      </c>
      <c r="I15" s="38"/>
      <c r="J15" s="38"/>
      <c r="K15" s="38"/>
      <c r="P15" s="42" t="s">
        <v>111</v>
      </c>
      <c r="Q15" s="42">
        <v>258.51</v>
      </c>
    </row>
    <row r="16" spans="2:20" x14ac:dyDescent="0.3">
      <c r="B16" s="6"/>
      <c r="C16" s="38" t="s">
        <v>86</v>
      </c>
      <c r="D16" s="38">
        <v>198</v>
      </c>
      <c r="E16" s="38">
        <v>1474001.2468592182</v>
      </c>
      <c r="F16" s="38">
        <v>7444.4507417132236</v>
      </c>
      <c r="G16" s="38"/>
      <c r="H16" s="38"/>
      <c r="I16" s="38"/>
      <c r="J16" s="38"/>
      <c r="K16" s="38"/>
      <c r="P16" s="42" t="s">
        <v>112</v>
      </c>
      <c r="Q16" s="42">
        <v>1923.66</v>
      </c>
    </row>
    <row r="17" spans="2:17" ht="15" thickBot="1" x14ac:dyDescent="0.35">
      <c r="B17" s="6"/>
      <c r="C17" s="40" t="s">
        <v>87</v>
      </c>
      <c r="D17" s="40">
        <v>199</v>
      </c>
      <c r="E17" s="40">
        <v>3668059.4301995002</v>
      </c>
      <c r="F17" s="40"/>
      <c r="G17" s="40"/>
      <c r="H17" s="40"/>
      <c r="I17" s="38"/>
      <c r="J17" s="38"/>
      <c r="K17" s="38"/>
      <c r="P17" s="42" t="s">
        <v>113</v>
      </c>
      <c r="Q17" s="42">
        <v>195217.75999999992</v>
      </c>
    </row>
    <row r="18" spans="2:17" ht="15" thickBot="1" x14ac:dyDescent="0.35">
      <c r="B18" s="6"/>
      <c r="C18" s="38"/>
      <c r="D18" s="38"/>
      <c r="E18" s="38"/>
      <c r="F18" s="38"/>
      <c r="G18" s="38"/>
      <c r="H18" s="38"/>
      <c r="I18" s="38"/>
      <c r="J18" s="38"/>
      <c r="K18" s="38"/>
      <c r="P18" s="42" t="s">
        <v>114</v>
      </c>
      <c r="Q18" s="42">
        <v>200</v>
      </c>
    </row>
    <row r="19" spans="2:17" x14ac:dyDescent="0.3">
      <c r="B19" s="38"/>
      <c r="C19" s="39"/>
      <c r="D19" s="39" t="s">
        <v>94</v>
      </c>
      <c r="E19" s="39" t="s">
        <v>82</v>
      </c>
      <c r="F19" s="39" t="s">
        <v>95</v>
      </c>
      <c r="G19" s="39" t="s">
        <v>96</v>
      </c>
      <c r="H19" s="39" t="s">
        <v>97</v>
      </c>
      <c r="I19" s="39" t="s">
        <v>98</v>
      </c>
      <c r="J19" s="39" t="s">
        <v>99</v>
      </c>
      <c r="K19" s="39" t="s">
        <v>100</v>
      </c>
    </row>
    <row r="20" spans="2:17" x14ac:dyDescent="0.3">
      <c r="B20" s="38"/>
      <c r="C20" s="38" t="s">
        <v>88</v>
      </c>
      <c r="D20" s="38">
        <v>-1.0315504901911368</v>
      </c>
      <c r="E20" s="38">
        <v>20.860617005445505</v>
      </c>
      <c r="F20" s="38">
        <v>-4.9449663445805959E-2</v>
      </c>
      <c r="G20" s="38">
        <v>0.96061079696907459</v>
      </c>
      <c r="H20" s="38">
        <v>-42.169051823378965</v>
      </c>
      <c r="I20" s="38">
        <v>40.105950842996691</v>
      </c>
      <c r="J20" s="38">
        <v>-42.169051823378965</v>
      </c>
      <c r="K20" s="38">
        <v>40.105950842996691</v>
      </c>
    </row>
    <row r="21" spans="2:17" ht="15" thickBot="1" x14ac:dyDescent="0.35">
      <c r="B21" s="38"/>
      <c r="C21" s="40" t="s">
        <v>101</v>
      </c>
      <c r="D21" s="40">
        <v>0.35085598819512254</v>
      </c>
      <c r="E21" s="40">
        <v>2.0437188630135626E-2</v>
      </c>
      <c r="F21" s="40">
        <v>17.167527028535048</v>
      </c>
      <c r="G21" s="40">
        <v>4.6269367558907868E-41</v>
      </c>
      <c r="H21" s="40">
        <v>0.31055349501865764</v>
      </c>
      <c r="I21" s="40">
        <v>0.39115848137158743</v>
      </c>
      <c r="J21" s="40">
        <v>0.31055349501865764</v>
      </c>
      <c r="K21" s="40">
        <v>0.39115848137158743</v>
      </c>
    </row>
  </sheetData>
  <mergeCells count="1">
    <mergeCell ref="F4: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Analysis</vt:lpstr>
      <vt:lpstr>Raw data</vt:lpstr>
      <vt:lpstr>Charts</vt:lpstr>
      <vt:lpstr>Dash board</vt:lpstr>
      <vt:lpstr> Data analysis Toolpak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priyasavaliya20@outlook.com</dc:creator>
  <cp:lastModifiedBy>priyasavaliya20@outlook.com</cp:lastModifiedBy>
  <dcterms:created xsi:type="dcterms:W3CDTF">2026-03-12T06:30:41Z</dcterms:created>
  <dcterms:modified xsi:type="dcterms:W3CDTF">2026-03-13T06:21:03Z</dcterms:modified>
</cp:coreProperties>
</file>