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36c9e14ba35254/Documents/"/>
    </mc:Choice>
  </mc:AlternateContent>
  <xr:revisionPtr revIDLastSave="421" documentId="8_{49426CC8-F1A2-418B-A13D-94D2F02CBB32}" xr6:coauthVersionLast="47" xr6:coauthVersionMax="47" xr10:uidLastSave="{404A1B1D-74FA-412B-AB61-6A90D53D6354}"/>
  <bookViews>
    <workbookView xWindow="-108" yWindow="-108" windowWidth="23256" windowHeight="12456" xr2:uid="{C37596AC-4DB7-4C2B-BA33-01CDD564B7D2}"/>
  </bookViews>
  <sheets>
    <sheet name="Student grade" sheetId="1" r:id="rId1"/>
    <sheet name="Sales Data" sheetId="2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6" i="3"/>
  <c r="L12" i="3"/>
  <c r="L11" i="3"/>
  <c r="L6" i="3"/>
  <c r="L5" i="3"/>
  <c r="P13" i="2" a="1"/>
  <c r="P13" i="2" s="1"/>
  <c r="L24" i="3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" i="3"/>
  <c r="P28" i="2"/>
  <c r="P27" i="2"/>
  <c r="P26" i="2"/>
  <c r="P21" i="2"/>
  <c r="P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P9" i="2" l="1"/>
  <c r="P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O17" i="1" a="1"/>
  <c r="O17" i="1" s="1"/>
  <c r="Q13" i="1"/>
  <c r="Q9" i="1"/>
  <c r="Q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<sst xmlns="http://schemas.openxmlformats.org/spreadsheetml/2006/main" count="189" uniqueCount="142">
  <si>
    <t>Student ID</t>
  </si>
  <si>
    <t xml:space="preserve">Name 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</si>
  <si>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</si>
  <si>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</si>
  <si>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</si>
  <si>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</si>
  <si>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</si>
  <si>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</si>
  <si>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</si>
  <si>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</si>
  <si>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</si>
  <si>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</si>
  <si>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</si>
  <si>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</si>
  <si>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</si>
  <si>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</si>
  <si>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</si>
  <si>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</si>
  <si>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</si>
  <si>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</si>
  <si>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</si>
  <si>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</si>
  <si>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Math</t>
  </si>
  <si>
    <t>Science</t>
  </si>
  <si>
    <t>English</t>
  </si>
  <si>
    <t>Enrollment Date</t>
  </si>
  <si>
    <t>Student Grade</t>
  </si>
  <si>
    <t>Date of brith</t>
  </si>
  <si>
    <t>Score</t>
  </si>
  <si>
    <t>Total Marks</t>
  </si>
  <si>
    <t>Percentage</t>
  </si>
  <si>
    <t xml:space="preserve"> The number of students who scored above 50 in Math.</t>
  </si>
  <si>
    <t>Calculate the average score for students who scored above 60.</t>
  </si>
  <si>
    <t>Fetch student names based on ID from a separate dataset.</t>
  </si>
  <si>
    <t>Extract a list of top-performing students based on scores.</t>
  </si>
  <si>
    <t>Sales ID</t>
  </si>
  <si>
    <t>Product</t>
  </si>
  <si>
    <t>Keyboard</t>
  </si>
  <si>
    <t>Printer</t>
  </si>
  <si>
    <t>Mouse</t>
  </si>
  <si>
    <t>Monitor</t>
  </si>
  <si>
    <t>Laptop</t>
  </si>
  <si>
    <t>Region</t>
  </si>
  <si>
    <t>South</t>
  </si>
  <si>
    <t>West</t>
  </si>
  <si>
    <t>East</t>
  </si>
  <si>
    <t>North</t>
  </si>
  <si>
    <t>Salesperson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</si>
  <si>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</si>
  <si>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</si>
  <si>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</si>
  <si>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</si>
  <si>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</si>
  <si>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</si>
  <si>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</si>
  <si>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</si>
  <si>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</si>
  <si>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</si>
  <si>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</si>
  <si>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</si>
  <si>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</si>
  <si>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</si>
  <si>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</si>
  <si>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</si>
  <si>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</si>
  <si>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</si>
  <si>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</si>
  <si>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</si>
  <si>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Amount</t>
  </si>
  <si>
    <t>Date</t>
  </si>
  <si>
    <t>Discount Rate</t>
  </si>
  <si>
    <t>Product Code</t>
  </si>
  <si>
    <t>PC101</t>
  </si>
  <si>
    <t>PC102</t>
  </si>
  <si>
    <t>PC103</t>
  </si>
  <si>
    <t>PC104</t>
  </si>
  <si>
    <t>PC105</t>
  </si>
  <si>
    <t>PC106</t>
  </si>
  <si>
    <t>PC107</t>
  </si>
  <si>
    <t>PC108</t>
  </si>
  <si>
    <t>PC109</t>
  </si>
  <si>
    <t>PC110</t>
  </si>
  <si>
    <t>PC111</t>
  </si>
  <si>
    <t>PC112</t>
  </si>
  <si>
    <t>PC113</t>
  </si>
  <si>
    <t>PC114</t>
  </si>
  <si>
    <t>PC115</t>
  </si>
  <si>
    <t>PC116</t>
  </si>
  <si>
    <t>PC117</t>
  </si>
  <si>
    <t>PC118</t>
  </si>
  <si>
    <t>PC119</t>
  </si>
  <si>
    <t>PC120</t>
  </si>
  <si>
    <t>Discount Type</t>
  </si>
  <si>
    <t>Sum total sales for a specific region and product.</t>
  </si>
  <si>
    <t>Retrieve product prices based on product codes.</t>
  </si>
  <si>
    <t>Find sales values for a specific salesperson in a specific month.</t>
  </si>
  <si>
    <t>MONTH</t>
  </si>
  <si>
    <t>Search for salesperson performance based on flexible search criteria.</t>
  </si>
  <si>
    <t>Find the position of a product in a sales list.</t>
  </si>
  <si>
    <t>Use ROUND(), CEILING(), and FLOOR() for financial calculations.</t>
  </si>
  <si>
    <t>ROUND</t>
  </si>
  <si>
    <t>CELING</t>
  </si>
  <si>
    <t>FLOOR</t>
  </si>
  <si>
    <t>Employee ID</t>
  </si>
  <si>
    <t>Name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</si>
  <si>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</si>
  <si>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</si>
  <si>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</si>
  <si>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</si>
  <si>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</si>
  <si>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</si>
  <si>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</si>
  <si>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</si>
  <si>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</si>
  <si>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</si>
  <si>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</si>
  <si>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</si>
  <si>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</si>
  <si>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</si>
  <si>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</si>
  <si>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</si>
  <si>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</si>
  <si>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</si>
  <si>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</si>
  <si>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</si>
  <si>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Department</t>
  </si>
  <si>
    <t>Finance</t>
  </si>
  <si>
    <t>HR</t>
  </si>
  <si>
    <t>IT</t>
  </si>
  <si>
    <t>Marketing</t>
  </si>
  <si>
    <t>Salary</t>
  </si>
  <si>
    <t>Joining Date</t>
  </si>
  <si>
    <t>Working Days</t>
  </si>
  <si>
    <t>Extract the first name from full names using LEFT and FIND.</t>
  </si>
  <si>
    <t>LEFT</t>
  </si>
  <si>
    <t>FIND</t>
  </si>
  <si>
    <t>Convert names to uppercase/lowercase using UPPER(), LOWER().</t>
  </si>
  <si>
    <t>UPPER</t>
  </si>
  <si>
    <t>LOWER</t>
  </si>
  <si>
    <t>Look up employee details dynamically without column restrictions.</t>
  </si>
  <si>
    <t>Find employee salaries without worrying about sorted data.</t>
  </si>
  <si>
    <t>Dynamically reference a cell range using INDIRECT.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</si>
</sst>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₹-439]#,##0.00"/>
    <numFmt numFmtId="170" formatCode="&quot;₹&quot;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Calibri"/>
      <family val="2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7" fillId="0" borderId="0" xfId="0" applyFont="1"/>
    <xf numFmtId="0" fontId="5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/>
    <xf numFmtId="0" fontId="0" fillId="2" borderId="0" xfId="0" applyFill="1"/>
    <xf numFmtId="0" fontId="0" fillId="3" borderId="0" xfId="0" applyFill="1"/>
    <xf numFmtId="0" fontId="7" fillId="3" borderId="0" xfId="0" applyFont="1" applyFill="1"/>
    <xf numFmtId="0" fontId="5" fillId="2" borderId="0" xfId="0" applyFont="1" applyFill="1"/>
    <xf numFmtId="0" fontId="5" fillId="3" borderId="0" xfId="0" applyFont="1" applyFill="1" applyAlignment="1"/>
    <xf numFmtId="0" fontId="6" fillId="3" borderId="0" xfId="0" applyFont="1" applyFill="1" applyAlignment="1"/>
    <xf numFmtId="0" fontId="7" fillId="3" borderId="0" xfId="0" applyFont="1" applyFill="1" applyAlignment="1"/>
    <xf numFmtId="0" fontId="6" fillId="3" borderId="0" xfId="0" applyFont="1" applyFill="1"/>
    <xf numFmtId="169" fontId="0" fillId="0" borderId="0" xfId="0" applyNumberFormat="1" applyAlignment="1">
      <alignment horizontal="center"/>
    </xf>
    <xf numFmtId="170" fontId="0" fillId="0" borderId="0" xfId="0" applyNumberFormat="1"/>
    <xf numFmtId="170" fontId="7" fillId="3" borderId="0" xfId="0" applyNumberFormat="1" applyFont="1" applyFill="1"/>
    <xf numFmtId="0" fontId="6" fillId="3" borderId="1" xfId="0" applyFont="1" applyFill="1" applyBorder="1"/>
    <xf numFmtId="169" fontId="6" fillId="3" borderId="1" xfId="0" applyNumberFormat="1" applyFont="1" applyFill="1" applyBorder="1"/>
    <xf numFmtId="0" fontId="5" fillId="2" borderId="0" xfId="0" applyFont="1" applyFill="1" applyBorder="1"/>
    <xf numFmtId="0" fontId="6" fillId="2" borderId="0" xfId="0" applyFont="1" applyFill="1" applyBorder="1"/>
    <xf numFmtId="0" fontId="0" fillId="2" borderId="0" xfId="0" applyFill="1" applyBorder="1"/>
    <xf numFmtId="0" fontId="0" fillId="3" borderId="0" xfId="0" applyFill="1" applyBorder="1"/>
    <xf numFmtId="0" fontId="7" fillId="3" borderId="0" xfId="0" applyFont="1" applyFill="1" applyBorder="1" applyAlignment="1">
      <alignment horizontal="center"/>
    </xf>
    <xf numFmtId="170" fontId="1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6" fillId="3" borderId="1" xfId="0" applyFont="1" applyFill="1" applyBorder="1" applyAlignment="1">
      <alignment horizontal="center"/>
    </xf>
    <xf numFmtId="0" fontId="0" fillId="3" borderId="0" xfId="0" applyFont="1" applyFill="1"/>
  </cellXfs>
  <cellStyles count="1">
    <cellStyle name="Normal" xfId="0" builtinId="0"/>
  </cellStyles>
  <dxfs count="3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169" formatCode="[$₹-439]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170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9406A7-C381-4B84-9269-C75C4F8ACE26}" name="Table1" displayName="Table1" ref="A1:K21" totalsRowShown="0" headerRowDxfId="22" dataDxfId="23">
  <autoFilter ref="A1:K21" xr:uid="{239406A7-C381-4B84-9269-C75C4F8ACE26}"/>
  <tableColumns count="11">
    <tableColumn id="1" xr3:uid="{CCCA4F7D-52D2-4DFB-8A47-F6C5A4D18C14}" name="Student ID" dataDxfId="32"/>
    <tableColumn id="2" xr3:uid="{66A46ABF-167E-4299-8965-146ED577FACD}" name="Name " dataDxfId="31"/>
    <tableColumn id="3" xr3:uid="{34AAD18F-27B4-49D0-AE59-3D20049FF90A}" name="Math" dataDxfId="30"/>
    <tableColumn id="4" xr3:uid="{B8045BDF-4634-40F5-8AF7-99B01776ADDD}" name="Science" dataDxfId="29"/>
    <tableColumn id="5" xr3:uid="{B2040749-319B-4CA8-8836-C857033F5284}" name="English" dataDxfId="28"/>
    <tableColumn id="6" xr3:uid="{E1906B16-9DE0-455B-B96E-A2EFCC5D434F}" name="Enrollment Date" dataDxfId="27"/>
    <tableColumn id="7" xr3:uid="{E22FF42B-971E-49F3-AA24-8D2EF52FADFF}" name="Student Grade" dataDxfId="26">
      <calculatedColumnFormula>IF(C2&gt;=90,"A",IF(C2&gt;=80,"B",IF(C2&gt;=70,"C",IF(C2&gt;=60,"D","F"))))</calculatedColumnFormula>
    </tableColumn>
    <tableColumn id="8" xr3:uid="{66702AC4-80C5-4D06-A6FA-0623811FD3DC}" name="Date of brith" dataDxfId="25"/>
    <tableColumn id="9" xr3:uid="{0177792D-50F0-434F-8434-BDEDC7CE9411}" name="Score" dataDxfId="24">
      <calculatedColumnFormula>IF(AND(C2&gt;80,D2&gt;80),"Top Student","Normal")</calculatedColumnFormula>
    </tableColumn>
    <tableColumn id="10" xr3:uid="{694544C6-1BFA-4375-A975-8569866BE224}" name="Total Marks" dataDxfId="1">
      <calculatedColumnFormula>C2+D2+E2</calculatedColumnFormula>
    </tableColumn>
    <tableColumn id="11" xr3:uid="{470E89C6-7CE9-427F-B44F-53A53C97DCF5}" name="Percentage" dataDxfId="0">
      <calculatedColumnFormula>(C2+D2+E2)/300*100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91FCE6-0CC6-4223-9C56-F3AC316641A5}" name="Table4" displayName="Table4" ref="A1:J21" totalsRowShown="0" headerRowDxfId="2" dataDxfId="3">
  <autoFilter ref="A1:J21" xr:uid="{1A91FCE6-0CC6-4223-9C56-F3AC316641A5}"/>
  <tableColumns count="10">
    <tableColumn id="1" xr3:uid="{2CD984C2-17AB-46B3-AFF6-5B5EE152CA3B}" name="Sales ID" dataDxfId="13"/>
    <tableColumn id="2" xr3:uid="{5E1F907A-B862-4403-AEFC-1707B94F551E}" name="Product Code" dataDxfId="12"/>
    <tableColumn id="3" xr3:uid="{FB7A7013-DA85-47FE-896F-06690C0EECC0}" name="Product" dataDxfId="11"/>
    <tableColumn id="4" xr3:uid="{1306A781-2D6B-462D-AECD-8B3BC69FB1C3}" name="Region" dataDxfId="10"/>
    <tableColumn id="5" xr3:uid="{A4C209A2-C10E-4912-8B8C-A362F8B517F0}" name="Salesperson" dataDxfId="9"/>
    <tableColumn id="6" xr3:uid="{430BF50D-1335-4DD8-B7BD-4180A9DCA672}" name="Amount" dataDxfId="8"/>
    <tableColumn id="7" xr3:uid="{21569790-9B03-47D7-BD84-B8A201F25D08}" name="Date" dataDxfId="7"/>
    <tableColumn id="8" xr3:uid="{352657E7-E360-410D-9907-6F0154103066}" name="Discount Rate" dataDxfId="6">
      <calculatedColumnFormula>IF(F2&gt;=40000,"20%",IF(F2&gt;=20000,"10%",IF(F2&gt;=10000,"5%","No Discount")))</calculatedColumnFormula>
    </tableColumn>
    <tableColumn id="9" xr3:uid="{1267D2AA-E93B-4901-B281-B1E45C0A6B70}" name="Discount Type" dataDxfId="5">
      <calculatedColumnFormula>IF(OR(F2&gt;7500,F2=7500),"Eligible","Not Eligible")</calculatedColumnFormula>
    </tableColumn>
    <tableColumn id="10" xr3:uid="{D5FA831F-784C-4CFD-9A6C-3FB7E01AA13A}" name="MONTH" dataDxfId="4">
      <calculatedColumnFormula>TEXT(F2,"mmm")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12219B-9FC9-4500-9D0E-7CCA20D87215}" name="Table3" displayName="Table3" ref="A1:F21" totalsRowShown="0" headerRowDxfId="14" dataDxfId="15">
  <autoFilter ref="A1:F21" xr:uid="{E312219B-9FC9-4500-9D0E-7CCA20D87215}"/>
  <tableColumns count="6">
    <tableColumn id="1" xr3:uid="{22447171-E4AA-4A29-BBAB-1A47711EEBF8}" name="Employee ID" dataDxfId="21"/>
    <tableColumn id="2" xr3:uid="{CCC356E4-AFBF-4C6D-96B5-B9F737A67EED}" name="Name" dataDxfId="20"/>
    <tableColumn id="3" xr3:uid="{6104E852-EC56-4806-B92A-00E4A394EEAD}" name="Department" dataDxfId="19"/>
    <tableColumn id="4" xr3:uid="{46D2E8A1-D046-4D72-BA6B-5CEA9BA425EA}" name="Salary" dataDxfId="18"/>
    <tableColumn id="5" xr3:uid="{BC5FCFED-6D1B-4778-AF96-FD77B3FE49CA}" name="Joining Date" dataDxfId="17"/>
    <tableColumn id="6" xr3:uid="{E8FE499D-11BA-4962-AFED-11BE93C73217}" name="Working Days" dataDxfId="16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FEBB-D48B-44C6-9241-8512FBE2DFDF}">
  <dimension ref="A1:V26"/>
  <sheetViews>
    <sheetView tabSelected="1" workbookViewId="0">
      <selection activeCell="K2" sqref="K2:K21"/>
    </sheetView>
  </sheetViews>
  <sheetFormatPr defaultRowHeight="14.4" x14ac:dyDescent="0.3"/>
  <cols>
    <col min="1" max="1" width="17" customWidth="1"/>
    <col min="2" max="2" width="11.44140625" customWidth="1"/>
    <col min="3" max="3" width="13.77734375" customWidth="1"/>
    <col min="4" max="4" width="13.88671875" customWidth="1"/>
    <col min="5" max="5" width="15.5546875" customWidth="1"/>
    <col min="6" max="6" width="17.21875" customWidth="1"/>
    <col min="7" max="8" width="16.109375" customWidth="1"/>
    <col min="9" max="9" width="14.33203125" customWidth="1"/>
    <col min="10" max="10" width="16" customWidth="1"/>
    <col min="11" max="11" width="17.5546875" customWidth="1"/>
    <col min="12" max="12" width="15.33203125" customWidth="1"/>
  </cols>
  <sheetData>
    <row r="1" spans="1:22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/>
    </row>
    <row r="2" spans="1:22" x14ac:dyDescent="0.3">
      <c r="A2" s="2">
        <v>1001</v>
      </c>
      <c r="B2" s="2" t="s">
        <v>2</v>
      </c>
      <c r="C2" s="2">
        <v>61</v>
      </c>
      <c r="D2" s="2">
        <v>48</v>
      </c>
      <c r="E2" s="2">
        <v>76</v>
      </c>
      <c r="F2" s="3">
        <v>43101</v>
      </c>
      <c r="G2" s="2" t="str">
        <f>IF(C2&gt;=90,"A",IF(C2&gt;=80,"B",IF(C2&gt;=70,"C",IF(C2&gt;=60,"D","F"))))</f>
        <v>D</v>
      </c>
      <c r="H2" s="5">
        <v>44969</v>
      </c>
      <c r="I2" s="2" t="str">
        <f>IF(AND(C2&gt;80,D2&gt;80),"Top Student","Normal")</f>
        <v>Normal</v>
      </c>
      <c r="J2" s="2">
        <f>C2+D2+E2</f>
        <v>185</v>
      </c>
      <c r="K2" s="2">
        <f>(C2+D2+E2)/300*100</f>
        <v>61.666666666666671</v>
      </c>
      <c r="L2" s="4"/>
    </row>
    <row r="3" spans="1:22" x14ac:dyDescent="0.3">
      <c r="A3" s="2">
        <v>1002</v>
      </c>
      <c r="B3" s="2" t="s">
        <v>3</v>
      </c>
      <c r="C3" s="2">
        <v>78</v>
      </c>
      <c r="D3" s="2">
        <v>76</v>
      </c>
      <c r="E3" s="2">
        <v>70</v>
      </c>
      <c r="F3" s="3">
        <v>43281</v>
      </c>
      <c r="G3" s="2" t="str">
        <f t="shared" ref="G3:G21" si="0">IF(C3&gt;=90,"A",IF(C3&gt;=80,"B",IF(C3&gt;=70,"C",IF(C3&gt;=60,"D","F"))))</f>
        <v>C</v>
      </c>
      <c r="H3" s="5">
        <v>45369</v>
      </c>
      <c r="I3" s="2" t="str">
        <f t="shared" ref="I3:I21" si="1">IF(AND(C3&gt;80,D3&gt;80),"Top Student","Normal")</f>
        <v>Normal</v>
      </c>
      <c r="J3" s="2">
        <f t="shared" ref="J3:J21" si="2">C3+D3+E3</f>
        <v>224</v>
      </c>
      <c r="K3" s="2">
        <f t="shared" ref="K3:K21" si="3">(C3+D3+E3)/300*100</f>
        <v>74.666666666666671</v>
      </c>
      <c r="L3" s="4"/>
    </row>
    <row r="4" spans="1:22" ht="21" x14ac:dyDescent="0.4">
      <c r="A4" s="2">
        <v>1003</v>
      </c>
      <c r="B4" s="2" t="s">
        <v>4</v>
      </c>
      <c r="C4" s="2">
        <v>97</v>
      </c>
      <c r="D4" s="2">
        <v>60</v>
      </c>
      <c r="E4" s="2">
        <v>51</v>
      </c>
      <c r="F4" s="3">
        <v>43461</v>
      </c>
      <c r="G4" s="2" t="str">
        <f t="shared" si="0"/>
        <v>A</v>
      </c>
      <c r="H4" s="5">
        <v>44572</v>
      </c>
      <c r="I4" s="2" t="str">
        <f t="shared" si="1"/>
        <v>Normal</v>
      </c>
      <c r="J4" s="2">
        <f t="shared" si="2"/>
        <v>208</v>
      </c>
      <c r="K4" s="2">
        <f t="shared" si="3"/>
        <v>69.333333333333343</v>
      </c>
      <c r="L4" s="4"/>
      <c r="N4" s="9" t="s">
        <v>31</v>
      </c>
      <c r="O4" s="10"/>
      <c r="P4" s="10"/>
      <c r="Q4" s="10"/>
      <c r="R4" s="11"/>
      <c r="S4" s="11"/>
      <c r="T4" s="11"/>
      <c r="U4" s="12"/>
    </row>
    <row r="5" spans="1:22" ht="28.8" x14ac:dyDescent="0.55000000000000004">
      <c r="A5" s="2">
        <v>1004</v>
      </c>
      <c r="B5" s="2" t="s">
        <v>5</v>
      </c>
      <c r="C5" s="2">
        <v>74</v>
      </c>
      <c r="D5" s="2">
        <v>55</v>
      </c>
      <c r="E5" s="2">
        <v>46</v>
      </c>
      <c r="F5" s="3">
        <v>43641</v>
      </c>
      <c r="G5" s="2" t="str">
        <f t="shared" si="0"/>
        <v>C</v>
      </c>
      <c r="H5" s="5">
        <v>44296</v>
      </c>
      <c r="I5" s="2" t="str">
        <f t="shared" si="1"/>
        <v>Normal</v>
      </c>
      <c r="J5" s="2">
        <f t="shared" si="2"/>
        <v>175</v>
      </c>
      <c r="K5" s="2">
        <f t="shared" si="3"/>
        <v>58.333333333333336</v>
      </c>
      <c r="L5" s="4"/>
      <c r="N5" s="13"/>
      <c r="O5" s="13"/>
      <c r="P5" s="13"/>
      <c r="Q5" s="14">
        <f>COUNTIF(C2:C21,"&gt;50")</f>
        <v>19</v>
      </c>
      <c r="R5" s="13"/>
      <c r="S5" s="13"/>
      <c r="T5" s="13"/>
      <c r="U5" s="13"/>
    </row>
    <row r="6" spans="1:22" x14ac:dyDescent="0.3">
      <c r="A6" s="2">
        <v>1005</v>
      </c>
      <c r="B6" s="2" t="s">
        <v>6</v>
      </c>
      <c r="C6" s="2">
        <v>68</v>
      </c>
      <c r="D6" s="2">
        <v>74</v>
      </c>
      <c r="E6" s="2">
        <v>84</v>
      </c>
      <c r="F6" s="3">
        <v>43821</v>
      </c>
      <c r="G6" s="2" t="str">
        <f t="shared" si="0"/>
        <v>D</v>
      </c>
      <c r="H6" s="5">
        <v>44555</v>
      </c>
      <c r="I6" s="2" t="str">
        <f t="shared" si="1"/>
        <v>Normal</v>
      </c>
      <c r="J6" s="2">
        <f t="shared" si="2"/>
        <v>226</v>
      </c>
      <c r="K6" s="2">
        <f t="shared" si="3"/>
        <v>75.333333333333329</v>
      </c>
      <c r="L6" s="4"/>
    </row>
    <row r="7" spans="1:22" x14ac:dyDescent="0.3">
      <c r="A7" s="2">
        <v>1006</v>
      </c>
      <c r="B7" s="2" t="s">
        <v>7</v>
      </c>
      <c r="C7" s="2">
        <v>80</v>
      </c>
      <c r="D7" s="2">
        <v>70</v>
      </c>
      <c r="E7" s="2">
        <v>65</v>
      </c>
      <c r="F7" s="3">
        <v>44001</v>
      </c>
      <c r="G7" s="2" t="str">
        <f t="shared" si="0"/>
        <v>B</v>
      </c>
      <c r="H7" s="5">
        <v>45974</v>
      </c>
      <c r="I7" s="2" t="str">
        <f t="shared" si="1"/>
        <v>Normal</v>
      </c>
      <c r="J7" s="2">
        <f t="shared" si="2"/>
        <v>215</v>
      </c>
      <c r="K7" s="2">
        <f t="shared" si="3"/>
        <v>71.666666666666671</v>
      </c>
      <c r="L7" s="4"/>
    </row>
    <row r="8" spans="1:22" ht="21" x14ac:dyDescent="0.4">
      <c r="A8" s="2">
        <v>1007</v>
      </c>
      <c r="B8" s="2" t="s">
        <v>8</v>
      </c>
      <c r="C8" s="2">
        <v>75</v>
      </c>
      <c r="D8" s="2">
        <v>47</v>
      </c>
      <c r="E8" s="2">
        <v>78</v>
      </c>
      <c r="F8" s="3">
        <v>44181</v>
      </c>
      <c r="G8" s="2" t="str">
        <f t="shared" si="0"/>
        <v>C</v>
      </c>
      <c r="H8" s="5">
        <v>45367</v>
      </c>
      <c r="I8" s="2" t="str">
        <f t="shared" si="1"/>
        <v>Normal</v>
      </c>
      <c r="J8" s="2">
        <f t="shared" si="2"/>
        <v>200</v>
      </c>
      <c r="K8" s="2">
        <f t="shared" si="3"/>
        <v>66.666666666666657</v>
      </c>
      <c r="L8" s="4"/>
      <c r="N8" s="15" t="s">
        <v>32</v>
      </c>
      <c r="O8" s="11"/>
      <c r="P8" s="11"/>
      <c r="Q8" s="11"/>
      <c r="R8" s="11"/>
      <c r="S8" s="11"/>
      <c r="T8" s="12"/>
      <c r="U8" s="12"/>
      <c r="V8" s="12"/>
    </row>
    <row r="9" spans="1:22" ht="28.8" x14ac:dyDescent="0.55000000000000004">
      <c r="A9" s="2">
        <v>1008</v>
      </c>
      <c r="B9" s="2" t="s">
        <v>9</v>
      </c>
      <c r="C9" s="2">
        <v>94</v>
      </c>
      <c r="D9" s="2">
        <v>67</v>
      </c>
      <c r="E9" s="2">
        <v>64</v>
      </c>
      <c r="F9" s="3">
        <v>44361</v>
      </c>
      <c r="G9" s="2" t="str">
        <f t="shared" si="0"/>
        <v>A</v>
      </c>
      <c r="H9" s="5">
        <v>44856</v>
      </c>
      <c r="I9" s="2" t="str">
        <f t="shared" si="1"/>
        <v>Normal</v>
      </c>
      <c r="J9" s="2">
        <f t="shared" si="2"/>
        <v>225</v>
      </c>
      <c r="K9" s="2">
        <f t="shared" si="3"/>
        <v>75</v>
      </c>
      <c r="L9" s="4"/>
      <c r="N9" s="16"/>
      <c r="O9" s="17"/>
      <c r="P9" s="17"/>
      <c r="Q9" s="18">
        <f>AVERAGEIFS(C2:C21,C2:C21,"&gt;60")</f>
        <v>82.263157894736835</v>
      </c>
      <c r="R9" s="19"/>
      <c r="S9" s="19"/>
      <c r="T9" s="19"/>
      <c r="U9" s="13"/>
      <c r="V9" s="13"/>
    </row>
    <row r="10" spans="1:22" ht="28.8" x14ac:dyDescent="0.55000000000000004">
      <c r="A10" s="2">
        <v>1009</v>
      </c>
      <c r="B10" s="2" t="s">
        <v>10</v>
      </c>
      <c r="C10" s="2">
        <v>41</v>
      </c>
      <c r="D10" s="2">
        <v>75</v>
      </c>
      <c r="E10" s="2">
        <v>56</v>
      </c>
      <c r="F10" s="3">
        <v>44541</v>
      </c>
      <c r="G10" s="2" t="str">
        <f t="shared" si="0"/>
        <v>F</v>
      </c>
      <c r="H10" s="5">
        <v>45242</v>
      </c>
      <c r="I10" s="2" t="str">
        <f t="shared" si="1"/>
        <v>Normal</v>
      </c>
      <c r="J10" s="2">
        <f t="shared" si="2"/>
        <v>172</v>
      </c>
      <c r="K10" s="2">
        <f t="shared" si="3"/>
        <v>57.333333333333336</v>
      </c>
      <c r="L10" s="4"/>
      <c r="Q10" s="8"/>
    </row>
    <row r="11" spans="1:22" x14ac:dyDescent="0.3">
      <c r="A11" s="2">
        <v>1010</v>
      </c>
      <c r="B11" s="2" t="s">
        <v>11</v>
      </c>
      <c r="C11" s="2">
        <v>98</v>
      </c>
      <c r="D11" s="2">
        <v>54</v>
      </c>
      <c r="E11" s="2">
        <v>58</v>
      </c>
      <c r="F11" s="3">
        <v>44721</v>
      </c>
      <c r="G11" s="2" t="str">
        <f t="shared" si="0"/>
        <v>A</v>
      </c>
      <c r="H11" s="5">
        <v>44843</v>
      </c>
      <c r="I11" s="2" t="str">
        <f t="shared" si="1"/>
        <v>Normal</v>
      </c>
      <c r="J11" s="2">
        <f t="shared" si="2"/>
        <v>210</v>
      </c>
      <c r="K11" s="2">
        <f t="shared" si="3"/>
        <v>70</v>
      </c>
      <c r="L11" s="4"/>
    </row>
    <row r="12" spans="1:22" ht="21" x14ac:dyDescent="0.4">
      <c r="A12" s="2">
        <v>1011</v>
      </c>
      <c r="B12" s="2" t="s">
        <v>12</v>
      </c>
      <c r="C12" s="2">
        <v>73</v>
      </c>
      <c r="D12" s="2">
        <v>79</v>
      </c>
      <c r="E12" s="2">
        <v>53</v>
      </c>
      <c r="F12" s="3">
        <v>44901</v>
      </c>
      <c r="G12" s="2" t="str">
        <f t="shared" si="0"/>
        <v>C</v>
      </c>
      <c r="H12" s="5">
        <v>44606</v>
      </c>
      <c r="I12" s="2" t="str">
        <f t="shared" si="1"/>
        <v>Normal</v>
      </c>
      <c r="J12" s="2">
        <f t="shared" si="2"/>
        <v>205</v>
      </c>
      <c r="K12" s="2">
        <f t="shared" si="3"/>
        <v>68.333333333333329</v>
      </c>
      <c r="L12" s="4"/>
      <c r="N12" s="15" t="s">
        <v>33</v>
      </c>
      <c r="O12" s="11"/>
      <c r="P12" s="11"/>
      <c r="Q12" s="11"/>
      <c r="R12" s="11"/>
      <c r="S12" s="11"/>
      <c r="T12" s="12"/>
      <c r="U12" s="12"/>
    </row>
    <row r="13" spans="1:22" ht="28.8" x14ac:dyDescent="0.55000000000000004">
      <c r="A13" s="2">
        <v>1012</v>
      </c>
      <c r="B13" s="2" t="s">
        <v>13</v>
      </c>
      <c r="C13" s="2">
        <v>85</v>
      </c>
      <c r="D13" s="2">
        <v>89</v>
      </c>
      <c r="E13" s="2">
        <v>79</v>
      </c>
      <c r="F13" s="3">
        <v>45081</v>
      </c>
      <c r="G13" s="2" t="str">
        <f t="shared" si="0"/>
        <v>B</v>
      </c>
      <c r="H13" s="5">
        <v>44607</v>
      </c>
      <c r="I13" s="2" t="str">
        <f t="shared" si="1"/>
        <v>Top Student</v>
      </c>
      <c r="J13" s="2">
        <f t="shared" si="2"/>
        <v>253</v>
      </c>
      <c r="K13" s="2">
        <f t="shared" si="3"/>
        <v>84.333333333333343</v>
      </c>
      <c r="L13" s="4"/>
      <c r="N13" s="13"/>
      <c r="O13" s="13"/>
      <c r="P13" s="13"/>
      <c r="Q13" s="14" t="str">
        <f>VLOOKUP(1006,Table1[],2)</f>
        <v>Student 6</v>
      </c>
      <c r="R13" s="13"/>
      <c r="S13" s="13"/>
      <c r="T13" s="13"/>
      <c r="U13" s="13"/>
    </row>
    <row r="14" spans="1:22" x14ac:dyDescent="0.3">
      <c r="A14" s="2">
        <v>1013</v>
      </c>
      <c r="B14" s="2" t="s">
        <v>14</v>
      </c>
      <c r="C14" s="2">
        <v>98</v>
      </c>
      <c r="D14" s="2">
        <v>90</v>
      </c>
      <c r="E14" s="2">
        <v>97</v>
      </c>
      <c r="F14" s="3">
        <v>45261</v>
      </c>
      <c r="G14" s="2" t="str">
        <f t="shared" si="0"/>
        <v>A</v>
      </c>
      <c r="H14" s="5">
        <v>45757</v>
      </c>
      <c r="I14" s="2" t="str">
        <f t="shared" si="1"/>
        <v>Top Student</v>
      </c>
      <c r="J14" s="2">
        <f t="shared" si="2"/>
        <v>285</v>
      </c>
      <c r="K14" s="2">
        <f t="shared" si="3"/>
        <v>95</v>
      </c>
      <c r="L14" s="4"/>
    </row>
    <row r="15" spans="1:22" x14ac:dyDescent="0.3">
      <c r="A15" s="2">
        <v>1014</v>
      </c>
      <c r="B15" s="2" t="s">
        <v>15</v>
      </c>
      <c r="C15" s="2">
        <v>93</v>
      </c>
      <c r="D15" s="2">
        <v>40</v>
      </c>
      <c r="E15" s="2">
        <v>44</v>
      </c>
      <c r="F15" s="3">
        <v>45441</v>
      </c>
      <c r="G15" s="2" t="str">
        <f t="shared" si="0"/>
        <v>A</v>
      </c>
      <c r="H15" s="5">
        <v>44333</v>
      </c>
      <c r="I15" s="2" t="str">
        <f t="shared" si="1"/>
        <v>Normal</v>
      </c>
      <c r="J15" s="2">
        <f t="shared" si="2"/>
        <v>177</v>
      </c>
      <c r="K15" s="2">
        <f t="shared" si="3"/>
        <v>59</v>
      </c>
      <c r="L15" s="4"/>
    </row>
    <row r="16" spans="1:22" ht="21" x14ac:dyDescent="0.4">
      <c r="A16" s="2">
        <v>1015</v>
      </c>
      <c r="B16" s="2" t="s">
        <v>16</v>
      </c>
      <c r="C16" s="2">
        <v>70</v>
      </c>
      <c r="D16" s="2">
        <v>51</v>
      </c>
      <c r="E16" s="2">
        <v>75</v>
      </c>
      <c r="F16" s="3">
        <v>45621</v>
      </c>
      <c r="G16" s="2" t="str">
        <f t="shared" si="0"/>
        <v>C</v>
      </c>
      <c r="H16" s="5">
        <v>45156</v>
      </c>
      <c r="I16" s="2" t="str">
        <f t="shared" si="1"/>
        <v>Normal</v>
      </c>
      <c r="J16" s="2">
        <f t="shared" si="2"/>
        <v>196</v>
      </c>
      <c r="K16" s="2">
        <f t="shared" si="3"/>
        <v>65.333333333333329</v>
      </c>
      <c r="L16" s="4"/>
      <c r="N16" s="15" t="s">
        <v>34</v>
      </c>
      <c r="O16" s="11"/>
      <c r="P16" s="11"/>
      <c r="Q16" s="11"/>
      <c r="R16" s="11"/>
      <c r="S16" s="11"/>
      <c r="T16" s="12"/>
      <c r="U16" s="12"/>
    </row>
    <row r="17" spans="1:20" x14ac:dyDescent="0.3">
      <c r="A17" s="2">
        <v>1016</v>
      </c>
      <c r="B17" s="2" t="s">
        <v>17</v>
      </c>
      <c r="C17" s="2">
        <v>98</v>
      </c>
      <c r="D17" s="2">
        <v>77</v>
      </c>
      <c r="E17" s="2">
        <v>60</v>
      </c>
      <c r="F17" s="3">
        <v>45801</v>
      </c>
      <c r="G17" s="2" t="str">
        <f t="shared" si="0"/>
        <v>A</v>
      </c>
      <c r="H17" s="5">
        <v>44611</v>
      </c>
      <c r="I17" s="2" t="str">
        <f t="shared" si="1"/>
        <v>Normal</v>
      </c>
      <c r="J17" s="2">
        <f t="shared" si="2"/>
        <v>235</v>
      </c>
      <c r="K17" s="2">
        <f t="shared" si="3"/>
        <v>78.333333333333329</v>
      </c>
      <c r="L17" s="4"/>
      <c r="O17" s="13" cm="1">
        <f t="array" ref="O17:T26">_xlfn._xlws.FILTER(A2:F21,C2:C21&gt;80,"Not Top Performer")</f>
        <v>1003</v>
      </c>
      <c r="P17" s="13" t="str">
        <v>Student 3</v>
      </c>
      <c r="Q17" s="13">
        <v>97</v>
      </c>
      <c r="R17" s="13">
        <v>60</v>
      </c>
      <c r="S17" s="13">
        <v>51</v>
      </c>
      <c r="T17" s="13">
        <v>43461</v>
      </c>
    </row>
    <row r="18" spans="1:20" x14ac:dyDescent="0.3">
      <c r="A18" s="2">
        <v>1017</v>
      </c>
      <c r="B18" s="2" t="s">
        <v>18</v>
      </c>
      <c r="C18" s="2">
        <v>66</v>
      </c>
      <c r="D18" s="2">
        <v>59</v>
      </c>
      <c r="E18" s="2">
        <v>40</v>
      </c>
      <c r="F18" s="3">
        <v>45981</v>
      </c>
      <c r="G18" s="2" t="str">
        <f t="shared" si="0"/>
        <v>D</v>
      </c>
      <c r="H18" s="5">
        <v>45280</v>
      </c>
      <c r="I18" s="2" t="str">
        <f t="shared" si="1"/>
        <v>Normal</v>
      </c>
      <c r="J18" s="2">
        <f t="shared" si="2"/>
        <v>165</v>
      </c>
      <c r="K18" s="2">
        <f t="shared" si="3"/>
        <v>55.000000000000007</v>
      </c>
      <c r="L18" s="4"/>
      <c r="O18" s="13">
        <v>1008</v>
      </c>
      <c r="P18" s="13" t="str">
        <v>Student 8</v>
      </c>
      <c r="Q18" s="13">
        <v>94</v>
      </c>
      <c r="R18" s="13">
        <v>67</v>
      </c>
      <c r="S18" s="13">
        <v>64</v>
      </c>
      <c r="T18" s="13">
        <v>44361</v>
      </c>
    </row>
    <row r="19" spans="1:20" x14ac:dyDescent="0.3">
      <c r="A19" s="2">
        <v>1018</v>
      </c>
      <c r="B19" s="2" t="s">
        <v>19</v>
      </c>
      <c r="C19" s="2">
        <v>82</v>
      </c>
      <c r="D19" s="2">
        <v>48</v>
      </c>
      <c r="E19" s="2">
        <v>79</v>
      </c>
      <c r="F19" s="3">
        <v>46161</v>
      </c>
      <c r="G19" s="2" t="str">
        <f t="shared" si="0"/>
        <v>B</v>
      </c>
      <c r="H19" s="5">
        <v>44480</v>
      </c>
      <c r="I19" s="2" t="str">
        <f t="shared" si="1"/>
        <v>Normal</v>
      </c>
      <c r="J19" s="2">
        <f t="shared" si="2"/>
        <v>209</v>
      </c>
      <c r="K19" s="2">
        <f t="shared" si="3"/>
        <v>69.666666666666671</v>
      </c>
      <c r="L19" s="4"/>
      <c r="O19" s="13">
        <v>1010</v>
      </c>
      <c r="P19" s="13" t="str">
        <v>Student 10</v>
      </c>
      <c r="Q19" s="13">
        <v>98</v>
      </c>
      <c r="R19" s="13">
        <v>54</v>
      </c>
      <c r="S19" s="13">
        <v>58</v>
      </c>
      <c r="T19" s="13">
        <v>44721</v>
      </c>
    </row>
    <row r="20" spans="1:20" x14ac:dyDescent="0.3">
      <c r="A20" s="2">
        <v>1019</v>
      </c>
      <c r="B20" s="2" t="s">
        <v>20</v>
      </c>
      <c r="C20" s="2">
        <v>90</v>
      </c>
      <c r="D20" s="2">
        <v>78</v>
      </c>
      <c r="E20" s="2">
        <v>60</v>
      </c>
      <c r="F20" s="3">
        <v>46341</v>
      </c>
      <c r="G20" s="2" t="str">
        <f t="shared" si="0"/>
        <v>A</v>
      </c>
      <c r="H20" s="5">
        <v>45647</v>
      </c>
      <c r="I20" s="2" t="str">
        <f t="shared" si="1"/>
        <v>Normal</v>
      </c>
      <c r="J20" s="2">
        <f t="shared" si="2"/>
        <v>228</v>
      </c>
      <c r="K20" s="2">
        <f t="shared" si="3"/>
        <v>76</v>
      </c>
      <c r="L20" s="4"/>
      <c r="O20" s="13">
        <v>1012</v>
      </c>
      <c r="P20" s="13" t="str">
        <v>Student 12</v>
      </c>
      <c r="Q20" s="13">
        <v>85</v>
      </c>
      <c r="R20" s="13">
        <v>89</v>
      </c>
      <c r="S20" s="13">
        <v>79</v>
      </c>
      <c r="T20" s="13">
        <v>45081</v>
      </c>
    </row>
    <row r="21" spans="1:20" x14ac:dyDescent="0.3">
      <c r="A21" s="2">
        <v>1020</v>
      </c>
      <c r="B21" s="2" t="s">
        <v>21</v>
      </c>
      <c r="C21" s="2">
        <v>83</v>
      </c>
      <c r="D21" s="2">
        <v>92</v>
      </c>
      <c r="E21" s="2">
        <v>55</v>
      </c>
      <c r="F21" s="3">
        <v>46521</v>
      </c>
      <c r="G21" s="2" t="str">
        <f t="shared" si="0"/>
        <v>B</v>
      </c>
      <c r="H21" s="5">
        <v>44949</v>
      </c>
      <c r="I21" s="2" t="str">
        <f t="shared" si="1"/>
        <v>Top Student</v>
      </c>
      <c r="J21" s="2">
        <f t="shared" si="2"/>
        <v>230</v>
      </c>
      <c r="K21" s="2">
        <f t="shared" si="3"/>
        <v>76.666666666666671</v>
      </c>
      <c r="L21" s="4"/>
      <c r="O21" s="13">
        <v>1013</v>
      </c>
      <c r="P21" s="13" t="str">
        <v>Student 13</v>
      </c>
      <c r="Q21" s="13">
        <v>98</v>
      </c>
      <c r="R21" s="13">
        <v>90</v>
      </c>
      <c r="S21" s="13">
        <v>97</v>
      </c>
      <c r="T21" s="13">
        <v>45261</v>
      </c>
    </row>
    <row r="22" spans="1:20" x14ac:dyDescent="0.3">
      <c r="O22" s="13">
        <v>1014</v>
      </c>
      <c r="P22" s="13" t="str">
        <v>Student 14</v>
      </c>
      <c r="Q22" s="13">
        <v>93</v>
      </c>
      <c r="R22" s="13">
        <v>40</v>
      </c>
      <c r="S22" s="13">
        <v>44</v>
      </c>
      <c r="T22" s="13">
        <v>45441</v>
      </c>
    </row>
    <row r="23" spans="1:20" x14ac:dyDescent="0.3">
      <c r="O23" s="13">
        <v>1016</v>
      </c>
      <c r="P23" s="13" t="str">
        <v>Student 16</v>
      </c>
      <c r="Q23" s="13">
        <v>98</v>
      </c>
      <c r="R23" s="13">
        <v>77</v>
      </c>
      <c r="S23" s="13">
        <v>60</v>
      </c>
      <c r="T23" s="13">
        <v>45801</v>
      </c>
    </row>
    <row r="24" spans="1:20" x14ac:dyDescent="0.3">
      <c r="C24" s="7"/>
      <c r="D24" s="7"/>
      <c r="E24" s="7"/>
      <c r="F24" s="6"/>
      <c r="O24" s="13">
        <v>1018</v>
      </c>
      <c r="P24" s="13" t="str">
        <v>Student 18</v>
      </c>
      <c r="Q24" s="13">
        <v>82</v>
      </c>
      <c r="R24" s="13">
        <v>48</v>
      </c>
      <c r="S24" s="13">
        <v>79</v>
      </c>
      <c r="T24" s="13">
        <v>46161</v>
      </c>
    </row>
    <row r="25" spans="1:20" x14ac:dyDescent="0.3">
      <c r="O25" s="13">
        <v>1019</v>
      </c>
      <c r="P25" s="13" t="str">
        <v>Student 19</v>
      </c>
      <c r="Q25" s="13">
        <v>90</v>
      </c>
      <c r="R25" s="13">
        <v>78</v>
      </c>
      <c r="S25" s="13">
        <v>60</v>
      </c>
      <c r="T25" s="13">
        <v>46341</v>
      </c>
    </row>
    <row r="26" spans="1:20" x14ac:dyDescent="0.3">
      <c r="O26" s="13">
        <v>1020</v>
      </c>
      <c r="P26" s="13" t="str">
        <v>Student 20</v>
      </c>
      <c r="Q26" s="13">
        <v>83</v>
      </c>
      <c r="R26" s="13">
        <v>92</v>
      </c>
      <c r="S26" s="13">
        <v>55</v>
      </c>
      <c r="T26" s="13">
        <v>46521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2898-ED40-4043-AFBA-FBC03DF3B05A}">
  <dimension ref="A1:T28"/>
  <sheetViews>
    <sheetView zoomScale="106" workbookViewId="0">
      <selection activeCell="F23" sqref="F23"/>
    </sheetView>
  </sheetViews>
  <sheetFormatPr defaultRowHeight="14.4" x14ac:dyDescent="0.3"/>
  <cols>
    <col min="1" max="1" width="12.109375" customWidth="1"/>
    <col min="2" max="2" width="13.88671875" customWidth="1"/>
    <col min="3" max="3" width="12.6640625" customWidth="1"/>
    <col min="4" max="4" width="17.33203125" customWidth="1"/>
    <col min="5" max="5" width="16.77734375" customWidth="1"/>
    <col min="6" max="6" width="16" customWidth="1"/>
    <col min="7" max="7" width="23" customWidth="1"/>
    <col min="8" max="8" width="14.21875" customWidth="1"/>
    <col min="9" max="9" width="16.21875" customWidth="1"/>
    <col min="10" max="10" width="9" customWidth="1"/>
    <col min="15" max="15" width="12.88671875" customWidth="1"/>
    <col min="16" max="16" width="21.5546875" bestFit="1" customWidth="1"/>
  </cols>
  <sheetData>
    <row r="1" spans="1:20" x14ac:dyDescent="0.3">
      <c r="A1" s="1" t="s">
        <v>35</v>
      </c>
      <c r="B1" s="1" t="s">
        <v>71</v>
      </c>
      <c r="C1" s="1" t="s">
        <v>36</v>
      </c>
      <c r="D1" s="1" t="s">
        <v>42</v>
      </c>
      <c r="E1" s="1" t="s">
        <v>47</v>
      </c>
      <c r="F1" s="1" t="s">
        <v>68</v>
      </c>
      <c r="G1" s="1" t="s">
        <v>69</v>
      </c>
      <c r="H1" s="1" t="s">
        <v>70</v>
      </c>
      <c r="I1" s="1" t="s">
        <v>92</v>
      </c>
      <c r="J1" s="1" t="s">
        <v>96</v>
      </c>
    </row>
    <row r="2" spans="1:20" x14ac:dyDescent="0.3">
      <c r="A2" s="2">
        <v>2001</v>
      </c>
      <c r="B2" s="2" t="s">
        <v>72</v>
      </c>
      <c r="C2" s="2" t="s">
        <v>37</v>
      </c>
      <c r="D2" s="2" t="s">
        <v>43</v>
      </c>
      <c r="E2" s="2" t="s">
        <v>48</v>
      </c>
      <c r="F2" s="20">
        <v>7048</v>
      </c>
      <c r="G2" s="3">
        <v>44927</v>
      </c>
      <c r="H2" s="2" t="str">
        <f>IF(F2&gt;=40000,"20%",IF(F2&gt;=20000,"10%",IF(F2&gt;=10000,"5%","No Discount")))</f>
        <v>No Discount</v>
      </c>
      <c r="I2" s="2" t="str">
        <f>IF(OR(F2&gt;7500,F2=7500),"Eligible","Not Eligible")</f>
        <v>Not Eligible</v>
      </c>
      <c r="J2" s="2" t="str">
        <f>TEXT(F2,"mmm")</f>
        <v>Apr</v>
      </c>
    </row>
    <row r="3" spans="1:20" x14ac:dyDescent="0.3">
      <c r="A3" s="2">
        <v>2002</v>
      </c>
      <c r="B3" s="2" t="s">
        <v>73</v>
      </c>
      <c r="C3" s="2" t="s">
        <v>38</v>
      </c>
      <c r="D3" s="2" t="s">
        <v>44</v>
      </c>
      <c r="E3" s="2" t="s">
        <v>49</v>
      </c>
      <c r="F3" s="20">
        <v>17428</v>
      </c>
      <c r="G3" s="3">
        <v>44942</v>
      </c>
      <c r="H3" s="2" t="str">
        <f t="shared" ref="H3:H21" si="0">IF(F3&gt;=40000,"20%",IF(F3&gt;=20000,"10%",IF(F3&gt;=10000,"5%","No Discount")))</f>
        <v>5%</v>
      </c>
      <c r="I3" s="2" t="str">
        <f t="shared" ref="I3:I21" si="1">IF(OR(F3&gt;7500,F3=7500),"Eligible","Not Eligible")</f>
        <v>Eligible</v>
      </c>
      <c r="J3" s="2" t="str">
        <f t="shared" ref="J3:J21" si="2">TEXT(F3,"mmm")</f>
        <v>Sep</v>
      </c>
    </row>
    <row r="4" spans="1:20" ht="21" x14ac:dyDescent="0.4">
      <c r="A4" s="2">
        <v>2003</v>
      </c>
      <c r="B4" s="2" t="s">
        <v>74</v>
      </c>
      <c r="C4" s="2" t="s">
        <v>39</v>
      </c>
      <c r="D4" s="2" t="s">
        <v>43</v>
      </c>
      <c r="E4" s="2" t="s">
        <v>50</v>
      </c>
      <c r="F4" s="20">
        <v>23672</v>
      </c>
      <c r="G4" s="3">
        <v>44957</v>
      </c>
      <c r="H4" s="2" t="str">
        <f t="shared" si="0"/>
        <v>10%</v>
      </c>
      <c r="I4" s="2" t="str">
        <f t="shared" si="1"/>
        <v>Eligible</v>
      </c>
      <c r="J4" s="2" t="str">
        <f t="shared" si="2"/>
        <v>Oct</v>
      </c>
      <c r="M4" s="15" t="s">
        <v>93</v>
      </c>
      <c r="N4" s="11"/>
      <c r="O4" s="11"/>
      <c r="P4" s="11"/>
      <c r="Q4" s="11"/>
      <c r="R4" s="12"/>
      <c r="S4" s="12"/>
    </row>
    <row r="5" spans="1:20" ht="28.8" x14ac:dyDescent="0.55000000000000004">
      <c r="A5" s="2">
        <v>2004</v>
      </c>
      <c r="B5" s="2" t="s">
        <v>75</v>
      </c>
      <c r="C5" s="2" t="s">
        <v>38</v>
      </c>
      <c r="D5" s="2" t="s">
        <v>45</v>
      </c>
      <c r="E5" s="2" t="s">
        <v>51</v>
      </c>
      <c r="F5" s="20">
        <v>5264</v>
      </c>
      <c r="G5" s="3">
        <v>44972</v>
      </c>
      <c r="H5" s="2" t="str">
        <f t="shared" si="0"/>
        <v>No Discount</v>
      </c>
      <c r="I5" s="2" t="str">
        <f t="shared" si="1"/>
        <v>Not Eligible</v>
      </c>
      <c r="J5" s="2" t="str">
        <f t="shared" si="2"/>
        <v>May</v>
      </c>
      <c r="M5" s="13"/>
      <c r="N5" s="13"/>
      <c r="O5" s="13"/>
      <c r="P5" s="14">
        <f>SUMIFS(F2:F21,C2:C21,"Mouse",D2:D21,"East")</f>
        <v>37335</v>
      </c>
      <c r="Q5" s="13"/>
      <c r="R5" s="13"/>
      <c r="S5" s="13"/>
    </row>
    <row r="6" spans="1:20" x14ac:dyDescent="0.3">
      <c r="A6" s="2">
        <v>2005</v>
      </c>
      <c r="B6" s="2" t="s">
        <v>76</v>
      </c>
      <c r="C6" s="2" t="s">
        <v>37</v>
      </c>
      <c r="D6" s="2" t="s">
        <v>46</v>
      </c>
      <c r="E6" s="2" t="s">
        <v>52</v>
      </c>
      <c r="F6" s="20">
        <v>43388</v>
      </c>
      <c r="G6" s="3">
        <v>44987</v>
      </c>
      <c r="H6" s="2" t="str">
        <f t="shared" si="0"/>
        <v>20%</v>
      </c>
      <c r="I6" s="2" t="str">
        <f t="shared" si="1"/>
        <v>Eligible</v>
      </c>
      <c r="J6" s="2" t="str">
        <f t="shared" si="2"/>
        <v>Oct</v>
      </c>
    </row>
    <row r="7" spans="1:20" x14ac:dyDescent="0.3">
      <c r="A7" s="2">
        <v>2006</v>
      </c>
      <c r="B7" s="2" t="s">
        <v>77</v>
      </c>
      <c r="C7" s="2" t="s">
        <v>39</v>
      </c>
      <c r="D7" s="2" t="s">
        <v>46</v>
      </c>
      <c r="E7" s="2" t="s">
        <v>53</v>
      </c>
      <c r="F7" s="20">
        <v>19757</v>
      </c>
      <c r="G7" s="3">
        <v>45002</v>
      </c>
      <c r="H7" s="2" t="str">
        <f t="shared" si="0"/>
        <v>5%</v>
      </c>
      <c r="I7" s="2" t="str">
        <f t="shared" si="1"/>
        <v>Eligible</v>
      </c>
      <c r="J7" s="2" t="str">
        <f t="shared" si="2"/>
        <v>Feb</v>
      </c>
    </row>
    <row r="8" spans="1:20" ht="21" x14ac:dyDescent="0.4">
      <c r="A8" s="2">
        <v>2007</v>
      </c>
      <c r="B8" s="2" t="s">
        <v>78</v>
      </c>
      <c r="C8" s="2" t="s">
        <v>39</v>
      </c>
      <c r="D8" s="2" t="s">
        <v>45</v>
      </c>
      <c r="E8" s="2" t="s">
        <v>54</v>
      </c>
      <c r="F8" s="20">
        <v>32058</v>
      </c>
      <c r="G8" s="3">
        <v>45017</v>
      </c>
      <c r="H8" s="2" t="str">
        <f t="shared" si="0"/>
        <v>10%</v>
      </c>
      <c r="I8" s="2" t="str">
        <f t="shared" si="1"/>
        <v>Eligible</v>
      </c>
      <c r="J8" s="2" t="str">
        <f t="shared" si="2"/>
        <v>Oct</v>
      </c>
      <c r="M8" s="15" t="s">
        <v>94</v>
      </c>
      <c r="N8" s="11"/>
      <c r="O8" s="11"/>
      <c r="P8" s="11"/>
      <c r="Q8" s="12"/>
      <c r="R8" s="12"/>
      <c r="S8" s="12"/>
    </row>
    <row r="9" spans="1:20" ht="28.8" x14ac:dyDescent="0.55000000000000004">
      <c r="A9" s="2">
        <v>2008</v>
      </c>
      <c r="B9" s="2" t="s">
        <v>79</v>
      </c>
      <c r="C9" s="2" t="s">
        <v>37</v>
      </c>
      <c r="D9" s="2" t="s">
        <v>45</v>
      </c>
      <c r="E9" s="2" t="s">
        <v>55</v>
      </c>
      <c r="F9" s="20">
        <v>46429</v>
      </c>
      <c r="G9" s="3">
        <v>45032</v>
      </c>
      <c r="H9" s="2" t="str">
        <f t="shared" si="0"/>
        <v>20%</v>
      </c>
      <c r="I9" s="2" t="str">
        <f t="shared" si="1"/>
        <v>Eligible</v>
      </c>
      <c r="J9" s="2" t="str">
        <f t="shared" si="2"/>
        <v>Feb</v>
      </c>
      <c r="M9" s="13"/>
      <c r="N9" s="13"/>
      <c r="O9" s="13"/>
      <c r="P9" s="22">
        <f>VLOOKUP("PC110",B2:F21,5,FALSE)</f>
        <v>35185</v>
      </c>
      <c r="Q9" s="13"/>
      <c r="R9" s="13"/>
      <c r="S9" s="13"/>
    </row>
    <row r="10" spans="1:20" x14ac:dyDescent="0.3">
      <c r="A10" s="2">
        <v>2009</v>
      </c>
      <c r="B10" s="2" t="s">
        <v>80</v>
      </c>
      <c r="C10" s="2" t="s">
        <v>38</v>
      </c>
      <c r="D10" s="2" t="s">
        <v>45</v>
      </c>
      <c r="E10" s="2" t="s">
        <v>56</v>
      </c>
      <c r="F10" s="20">
        <v>19746</v>
      </c>
      <c r="G10" s="3">
        <v>45047</v>
      </c>
      <c r="H10" s="2" t="str">
        <f t="shared" si="0"/>
        <v>5%</v>
      </c>
      <c r="I10" s="2" t="str">
        <f t="shared" si="1"/>
        <v>Eligible</v>
      </c>
      <c r="J10" s="2" t="str">
        <f t="shared" si="2"/>
        <v>Jan</v>
      </c>
    </row>
    <row r="11" spans="1:20" x14ac:dyDescent="0.3">
      <c r="A11" s="2">
        <v>2010</v>
      </c>
      <c r="B11" s="2" t="s">
        <v>81</v>
      </c>
      <c r="C11" s="2" t="s">
        <v>37</v>
      </c>
      <c r="D11" s="2" t="s">
        <v>43</v>
      </c>
      <c r="E11" s="2" t="s">
        <v>57</v>
      </c>
      <c r="F11" s="20">
        <v>35185</v>
      </c>
      <c r="G11" s="3">
        <v>45062</v>
      </c>
      <c r="H11" s="2" t="str">
        <f t="shared" si="0"/>
        <v>10%</v>
      </c>
      <c r="I11" s="2" t="str">
        <f t="shared" si="1"/>
        <v>Eligible</v>
      </c>
      <c r="J11" s="2" t="str">
        <f t="shared" si="2"/>
        <v>Apr</v>
      </c>
    </row>
    <row r="12" spans="1:20" ht="21" x14ac:dyDescent="0.4">
      <c r="A12" s="2">
        <v>2011</v>
      </c>
      <c r="B12" s="2" t="s">
        <v>82</v>
      </c>
      <c r="C12" s="2" t="s">
        <v>37</v>
      </c>
      <c r="D12" s="2" t="s">
        <v>45</v>
      </c>
      <c r="E12" s="2" t="s">
        <v>58</v>
      </c>
      <c r="F12" s="20">
        <v>33920</v>
      </c>
      <c r="G12" s="3">
        <v>45077</v>
      </c>
      <c r="H12" s="2" t="str">
        <f t="shared" si="0"/>
        <v>10%</v>
      </c>
      <c r="I12" s="2" t="str">
        <f t="shared" si="1"/>
        <v>Eligible</v>
      </c>
      <c r="J12" s="2" t="str">
        <f t="shared" si="2"/>
        <v>Nov</v>
      </c>
      <c r="M12" s="15" t="s">
        <v>95</v>
      </c>
      <c r="N12" s="11"/>
      <c r="O12" s="11"/>
      <c r="P12" s="11"/>
      <c r="Q12" s="11"/>
      <c r="R12" s="12"/>
      <c r="S12" s="12"/>
      <c r="T12" s="12"/>
    </row>
    <row r="13" spans="1:20" ht="28.8" x14ac:dyDescent="0.55000000000000004">
      <c r="A13" s="2">
        <v>2012</v>
      </c>
      <c r="B13" s="2" t="s">
        <v>83</v>
      </c>
      <c r="C13" s="2" t="s">
        <v>40</v>
      </c>
      <c r="D13" s="2" t="s">
        <v>46</v>
      </c>
      <c r="E13" s="2" t="s">
        <v>59</v>
      </c>
      <c r="F13" s="20">
        <v>35611</v>
      </c>
      <c r="G13" s="3">
        <v>45092</v>
      </c>
      <c r="H13" s="2" t="str">
        <f t="shared" si="0"/>
        <v>10%</v>
      </c>
      <c r="I13" s="2" t="str">
        <f t="shared" si="1"/>
        <v>Eligible</v>
      </c>
      <c r="J13" s="2" t="str">
        <f t="shared" si="2"/>
        <v>Jun</v>
      </c>
      <c r="M13" s="13"/>
      <c r="N13" s="13"/>
      <c r="O13" s="13"/>
      <c r="P13" s="14">
        <f t="array" ref="P13">INDEX(F2:F21, MATCH(1, (E2:E21="Person 4") * (MONTH(G2:G21)=2), 0))</f>
        <v>5264</v>
      </c>
      <c r="Q13" s="13"/>
      <c r="R13" s="13"/>
      <c r="S13" s="13"/>
      <c r="T13" s="13"/>
    </row>
    <row r="14" spans="1:20" x14ac:dyDescent="0.3">
      <c r="A14" s="2">
        <v>2013</v>
      </c>
      <c r="B14" s="2" t="s">
        <v>84</v>
      </c>
      <c r="C14" s="2" t="s">
        <v>41</v>
      </c>
      <c r="D14" s="2" t="s">
        <v>45</v>
      </c>
      <c r="E14" s="2" t="s">
        <v>60</v>
      </c>
      <c r="F14" s="20">
        <v>15560</v>
      </c>
      <c r="G14" s="3">
        <v>45107</v>
      </c>
      <c r="H14" s="2" t="str">
        <f t="shared" si="0"/>
        <v>5%</v>
      </c>
      <c r="I14" s="2" t="str">
        <f t="shared" si="1"/>
        <v>Eligible</v>
      </c>
      <c r="J14" s="2" t="str">
        <f t="shared" si="2"/>
        <v>Aug</v>
      </c>
    </row>
    <row r="15" spans="1:20" x14ac:dyDescent="0.3">
      <c r="A15" s="2">
        <v>2014</v>
      </c>
      <c r="B15" s="2" t="s">
        <v>85</v>
      </c>
      <c r="C15" s="2" t="s">
        <v>41</v>
      </c>
      <c r="D15" s="2" t="s">
        <v>43</v>
      </c>
      <c r="E15" s="2" t="s">
        <v>61</v>
      </c>
      <c r="F15" s="20">
        <v>7283</v>
      </c>
      <c r="G15" s="3">
        <v>45122</v>
      </c>
      <c r="H15" s="2" t="str">
        <f t="shared" si="0"/>
        <v>No Discount</v>
      </c>
      <c r="I15" s="2" t="str">
        <f t="shared" si="1"/>
        <v>Not Eligible</v>
      </c>
      <c r="J15" s="2" t="str">
        <f t="shared" si="2"/>
        <v>Dec</v>
      </c>
    </row>
    <row r="16" spans="1:20" ht="21" x14ac:dyDescent="0.4">
      <c r="A16" s="2">
        <v>2015</v>
      </c>
      <c r="B16" s="2" t="s">
        <v>86</v>
      </c>
      <c r="C16" s="2" t="s">
        <v>41</v>
      </c>
      <c r="D16" s="2" t="s">
        <v>45</v>
      </c>
      <c r="E16" s="2" t="s">
        <v>62</v>
      </c>
      <c r="F16" s="20">
        <v>15678</v>
      </c>
      <c r="G16" s="3">
        <v>45137</v>
      </c>
      <c r="H16" s="2" t="str">
        <f t="shared" si="0"/>
        <v>5%</v>
      </c>
      <c r="I16" s="2" t="str">
        <f t="shared" si="1"/>
        <v>Eligible</v>
      </c>
      <c r="J16" s="2" t="str">
        <f t="shared" si="2"/>
        <v>Dec</v>
      </c>
      <c r="M16" s="15" t="s">
        <v>97</v>
      </c>
      <c r="N16" s="11"/>
      <c r="O16" s="11"/>
      <c r="P16" s="11"/>
      <c r="Q16" s="11"/>
      <c r="R16" s="12"/>
      <c r="S16" s="12"/>
      <c r="T16" s="12"/>
    </row>
    <row r="17" spans="1:20" ht="28.8" x14ac:dyDescent="0.55000000000000004">
      <c r="A17" s="2">
        <v>2016</v>
      </c>
      <c r="B17" s="2" t="s">
        <v>87</v>
      </c>
      <c r="C17" s="2" t="s">
        <v>39</v>
      </c>
      <c r="D17" s="2" t="s">
        <v>45</v>
      </c>
      <c r="E17" s="2" t="s">
        <v>63</v>
      </c>
      <c r="F17" s="20">
        <v>5277</v>
      </c>
      <c r="G17" s="3">
        <v>45152</v>
      </c>
      <c r="H17" s="2" t="str">
        <f t="shared" si="0"/>
        <v>No Discount</v>
      </c>
      <c r="I17" s="2" t="str">
        <f t="shared" si="1"/>
        <v>Not Eligible</v>
      </c>
      <c r="J17" s="2" t="str">
        <f t="shared" si="2"/>
        <v>Jun</v>
      </c>
      <c r="M17" s="13"/>
      <c r="N17" s="13"/>
      <c r="O17" s="13"/>
      <c r="P17" s="14" t="str">
        <f>_xlfn.XLOOKUP(35611,F2:F21,E2:E21,)</f>
        <v>Person 12</v>
      </c>
      <c r="Q17" s="13"/>
      <c r="R17" s="13"/>
      <c r="S17" s="13"/>
      <c r="T17" s="13"/>
    </row>
    <row r="18" spans="1:20" x14ac:dyDescent="0.3">
      <c r="A18" s="2">
        <v>2017</v>
      </c>
      <c r="B18" s="2" t="s">
        <v>88</v>
      </c>
      <c r="C18" s="2" t="s">
        <v>40</v>
      </c>
      <c r="D18" s="2" t="s">
        <v>46</v>
      </c>
      <c r="E18" s="2" t="s">
        <v>64</v>
      </c>
      <c r="F18" s="20">
        <v>41871</v>
      </c>
      <c r="G18" s="3">
        <v>45167</v>
      </c>
      <c r="H18" s="2" t="str">
        <f t="shared" si="0"/>
        <v>20%</v>
      </c>
      <c r="I18" s="2" t="str">
        <f t="shared" si="1"/>
        <v>Eligible</v>
      </c>
      <c r="J18" s="2" t="str">
        <f t="shared" si="2"/>
        <v>Aug</v>
      </c>
    </row>
    <row r="19" spans="1:20" x14ac:dyDescent="0.3">
      <c r="A19" s="2">
        <v>2018</v>
      </c>
      <c r="B19" s="2" t="s">
        <v>89</v>
      </c>
      <c r="C19" s="2" t="s">
        <v>40</v>
      </c>
      <c r="D19" s="2" t="s">
        <v>44</v>
      </c>
      <c r="E19" s="2" t="s">
        <v>65</v>
      </c>
      <c r="F19" s="20">
        <v>38161</v>
      </c>
      <c r="G19" s="3">
        <v>45182</v>
      </c>
      <c r="H19" s="2" t="str">
        <f t="shared" si="0"/>
        <v>10%</v>
      </c>
      <c r="I19" s="2" t="str">
        <f t="shared" si="1"/>
        <v>Eligible</v>
      </c>
      <c r="J19" s="2" t="str">
        <f t="shared" si="2"/>
        <v>Jun</v>
      </c>
    </row>
    <row r="20" spans="1:20" ht="21" x14ac:dyDescent="0.4">
      <c r="A20" s="2">
        <v>2019</v>
      </c>
      <c r="B20" s="2" t="s">
        <v>90</v>
      </c>
      <c r="C20" s="2" t="s">
        <v>39</v>
      </c>
      <c r="D20" s="2" t="s">
        <v>44</v>
      </c>
      <c r="E20" s="2" t="s">
        <v>66</v>
      </c>
      <c r="F20" s="20">
        <v>30436</v>
      </c>
      <c r="G20" s="3">
        <v>45197</v>
      </c>
      <c r="H20" s="2" t="str">
        <f t="shared" si="0"/>
        <v>10%</v>
      </c>
      <c r="I20" s="2" t="str">
        <f t="shared" si="1"/>
        <v>Eligible</v>
      </c>
      <c r="J20" s="2" t="str">
        <f t="shared" si="2"/>
        <v>Apr</v>
      </c>
      <c r="M20" s="25" t="s">
        <v>98</v>
      </c>
      <c r="N20" s="26"/>
      <c r="O20" s="26"/>
      <c r="P20" s="26"/>
      <c r="Q20" s="27"/>
    </row>
    <row r="21" spans="1:20" ht="28.8" x14ac:dyDescent="0.55000000000000004">
      <c r="A21" s="2">
        <v>2020</v>
      </c>
      <c r="B21" s="2" t="s">
        <v>91</v>
      </c>
      <c r="C21" s="2" t="s">
        <v>38</v>
      </c>
      <c r="D21" s="2" t="s">
        <v>44</v>
      </c>
      <c r="E21" s="2" t="s">
        <v>67</v>
      </c>
      <c r="F21" s="20">
        <v>33953</v>
      </c>
      <c r="G21" s="3">
        <v>45212</v>
      </c>
      <c r="H21" s="2" t="str">
        <f t="shared" si="0"/>
        <v>10%</v>
      </c>
      <c r="I21" s="2" t="str">
        <f t="shared" si="1"/>
        <v>Eligible</v>
      </c>
      <c r="J21" s="2" t="str">
        <f t="shared" si="2"/>
        <v>Dec</v>
      </c>
      <c r="M21" s="28"/>
      <c r="N21" s="28"/>
      <c r="O21" s="28"/>
      <c r="P21" s="29">
        <f>_xlfn.XMATCH("Mouse",C2:C21,0)</f>
        <v>3</v>
      </c>
      <c r="Q21" s="28"/>
    </row>
    <row r="24" spans="1:20" ht="21" x14ac:dyDescent="0.4">
      <c r="M24" s="15" t="s">
        <v>99</v>
      </c>
      <c r="N24" s="11"/>
      <c r="O24" s="11"/>
      <c r="P24" s="11"/>
      <c r="Q24" s="11"/>
      <c r="R24" s="12"/>
      <c r="S24" s="12"/>
      <c r="T24" s="12"/>
    </row>
    <row r="26" spans="1:20" ht="21" x14ac:dyDescent="0.4">
      <c r="O26" s="23" t="s">
        <v>100</v>
      </c>
      <c r="P26" s="24">
        <f>ROUND(F2,0)</f>
        <v>7048</v>
      </c>
    </row>
    <row r="27" spans="1:20" ht="21" x14ac:dyDescent="0.4">
      <c r="O27" s="23" t="s">
        <v>101</v>
      </c>
      <c r="P27" s="23">
        <f>CEILING(F2,1000)</f>
        <v>8000</v>
      </c>
    </row>
    <row r="28" spans="1:20" ht="21" x14ac:dyDescent="0.4">
      <c r="O28" s="23" t="s">
        <v>102</v>
      </c>
      <c r="P28" s="23">
        <f>FLOOR(F2,1000)</f>
        <v>7000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4B18-CAE4-46D2-BE41-CEDA5CD6F3F6}">
  <dimension ref="A1:Q24"/>
  <sheetViews>
    <sheetView workbookViewId="0">
      <selection activeCell="L24" sqref="L24"/>
    </sheetView>
  </sheetViews>
  <sheetFormatPr defaultRowHeight="14.4" x14ac:dyDescent="0.3"/>
  <cols>
    <col min="1" max="1" width="13.44140625" customWidth="1"/>
    <col min="2" max="2" width="14.21875" customWidth="1"/>
    <col min="3" max="3" width="15.33203125" customWidth="1"/>
    <col min="4" max="4" width="15.6640625" style="21" customWidth="1"/>
    <col min="5" max="5" width="19.77734375" customWidth="1"/>
    <col min="6" max="6" width="18.6640625" customWidth="1"/>
    <col min="11" max="11" width="13" customWidth="1"/>
    <col min="12" max="12" width="16.88671875" customWidth="1"/>
  </cols>
  <sheetData>
    <row r="1" spans="1:17" x14ac:dyDescent="0.3">
      <c r="A1" s="1" t="s">
        <v>103</v>
      </c>
      <c r="B1" s="1" t="s">
        <v>104</v>
      </c>
      <c r="C1" s="1" t="s">
        <v>125</v>
      </c>
      <c r="D1" s="30" t="s">
        <v>130</v>
      </c>
      <c r="E1" s="1" t="s">
        <v>131</v>
      </c>
      <c r="F1" s="1" t="s">
        <v>132</v>
      </c>
    </row>
    <row r="2" spans="1:17" x14ac:dyDescent="0.3">
      <c r="A2" s="2">
        <v>3001</v>
      </c>
      <c r="B2" s="2" t="s">
        <v>105</v>
      </c>
      <c r="C2" s="2" t="s">
        <v>126</v>
      </c>
      <c r="D2" s="31">
        <v>86766</v>
      </c>
      <c r="E2" s="3">
        <v>42005</v>
      </c>
      <c r="F2" s="2">
        <f ca="1">DATEDIF(E2,TODAY(),"d")</f>
        <v>4088</v>
      </c>
    </row>
    <row r="3" spans="1:17" ht="18" x14ac:dyDescent="0.35">
      <c r="A3" s="2">
        <v>3002</v>
      </c>
      <c r="B3" s="2" t="s">
        <v>106</v>
      </c>
      <c r="C3" s="2" t="s">
        <v>126</v>
      </c>
      <c r="D3" s="31">
        <v>31943</v>
      </c>
      <c r="E3" s="3">
        <v>42255</v>
      </c>
      <c r="F3" s="2">
        <f t="shared" ref="F3:F18" ca="1" si="0">DATEDIF(E3,TODAY(),"d")</f>
        <v>3838</v>
      </c>
      <c r="I3" s="32" t="s">
        <v>133</v>
      </c>
      <c r="J3" s="33"/>
      <c r="K3" s="33"/>
      <c r="L3" s="33"/>
      <c r="M3" s="33"/>
      <c r="N3" s="12"/>
      <c r="O3" s="12"/>
    </row>
    <row r="4" spans="1:17" x14ac:dyDescent="0.3">
      <c r="A4" s="2">
        <v>3003</v>
      </c>
      <c r="B4" s="2" t="s">
        <v>107</v>
      </c>
      <c r="C4" s="2" t="s">
        <v>127</v>
      </c>
      <c r="D4" s="31">
        <v>63374</v>
      </c>
      <c r="E4" s="3">
        <v>42505</v>
      </c>
      <c r="F4" s="2">
        <f t="shared" ca="1" si="0"/>
        <v>3588</v>
      </c>
    </row>
    <row r="5" spans="1:17" ht="21" x14ac:dyDescent="0.4">
      <c r="A5" s="2">
        <v>3004</v>
      </c>
      <c r="B5" s="2" t="s">
        <v>108</v>
      </c>
      <c r="C5" s="2" t="s">
        <v>126</v>
      </c>
      <c r="D5" s="31">
        <v>109972</v>
      </c>
      <c r="E5" s="3">
        <v>42755</v>
      </c>
      <c r="F5" s="2">
        <f t="shared" ca="1" si="0"/>
        <v>3338</v>
      </c>
      <c r="K5" s="34" t="s">
        <v>134</v>
      </c>
      <c r="L5" s="34" t="str">
        <f>LEFT(B7,5)</f>
        <v>Emplo</v>
      </c>
    </row>
    <row r="6" spans="1:17" ht="21" x14ac:dyDescent="0.4">
      <c r="A6" s="2">
        <v>3005</v>
      </c>
      <c r="B6" s="2" t="s">
        <v>109</v>
      </c>
      <c r="C6" s="2" t="s">
        <v>128</v>
      </c>
      <c r="D6" s="31">
        <v>54149</v>
      </c>
      <c r="E6" s="3">
        <v>43005</v>
      </c>
      <c r="F6" s="2">
        <f t="shared" ca="1" si="0"/>
        <v>3088</v>
      </c>
      <c r="K6" s="34" t="s">
        <v>135</v>
      </c>
      <c r="L6" s="34">
        <f>FIND("m",B8)</f>
        <v>2</v>
      </c>
    </row>
    <row r="7" spans="1:17" x14ac:dyDescent="0.3">
      <c r="A7" s="2">
        <v>3006</v>
      </c>
      <c r="B7" s="2" t="s">
        <v>110</v>
      </c>
      <c r="C7" s="2" t="s">
        <v>128</v>
      </c>
      <c r="D7" s="31">
        <v>78689</v>
      </c>
      <c r="E7" s="3">
        <v>43255</v>
      </c>
      <c r="F7" s="2">
        <f t="shared" ca="1" si="0"/>
        <v>2838</v>
      </c>
    </row>
    <row r="8" spans="1:17" x14ac:dyDescent="0.3">
      <c r="A8" s="2">
        <v>3007</v>
      </c>
      <c r="B8" s="2" t="s">
        <v>111</v>
      </c>
      <c r="C8" s="2" t="s">
        <v>129</v>
      </c>
      <c r="D8" s="31">
        <v>35960</v>
      </c>
      <c r="E8" s="3">
        <v>43505</v>
      </c>
      <c r="F8" s="2">
        <f t="shared" ca="1" si="0"/>
        <v>2588</v>
      </c>
    </row>
    <row r="9" spans="1:17" ht="21" x14ac:dyDescent="0.4">
      <c r="A9" s="2">
        <v>3008</v>
      </c>
      <c r="B9" s="2" t="s">
        <v>112</v>
      </c>
      <c r="C9" s="2" t="s">
        <v>128</v>
      </c>
      <c r="D9" s="31">
        <v>91659</v>
      </c>
      <c r="E9" s="3">
        <v>43755</v>
      </c>
      <c r="F9" s="2">
        <f t="shared" ca="1" si="0"/>
        <v>2338</v>
      </c>
      <c r="I9" s="15" t="s">
        <v>136</v>
      </c>
      <c r="J9" s="11"/>
      <c r="K9" s="11"/>
      <c r="L9" s="11"/>
      <c r="M9" s="11"/>
      <c r="N9" s="11"/>
      <c r="O9" s="12"/>
      <c r="P9" s="12"/>
      <c r="Q9" s="12"/>
    </row>
    <row r="10" spans="1:17" x14ac:dyDescent="0.3">
      <c r="A10" s="2">
        <v>3009</v>
      </c>
      <c r="B10" s="2" t="s">
        <v>113</v>
      </c>
      <c r="C10" s="2" t="s">
        <v>128</v>
      </c>
      <c r="D10" s="31">
        <v>90423</v>
      </c>
      <c r="E10" s="3">
        <v>44005</v>
      </c>
      <c r="F10" s="2">
        <f t="shared" ca="1" si="0"/>
        <v>2088</v>
      </c>
    </row>
    <row r="11" spans="1:17" ht="21" x14ac:dyDescent="0.4">
      <c r="A11" s="2">
        <v>3010</v>
      </c>
      <c r="B11" s="2" t="s">
        <v>114</v>
      </c>
      <c r="C11" s="2" t="s">
        <v>127</v>
      </c>
      <c r="D11" s="31">
        <v>107877</v>
      </c>
      <c r="E11" s="3">
        <v>44255</v>
      </c>
      <c r="F11" s="2">
        <f t="shared" ca="1" si="0"/>
        <v>1838</v>
      </c>
      <c r="K11" s="34" t="s">
        <v>137</v>
      </c>
      <c r="L11" s="34" t="str">
        <f>UPPER(B5)</f>
        <v>EMPLOYEE 4</v>
      </c>
    </row>
    <row r="12" spans="1:17" ht="21" x14ac:dyDescent="0.4">
      <c r="A12" s="2">
        <v>3011</v>
      </c>
      <c r="B12" s="2" t="s">
        <v>115</v>
      </c>
      <c r="C12" s="2" t="s">
        <v>126</v>
      </c>
      <c r="D12" s="31">
        <v>107634</v>
      </c>
      <c r="E12" s="3">
        <v>44505</v>
      </c>
      <c r="F12" s="2">
        <f t="shared" ca="1" si="0"/>
        <v>1588</v>
      </c>
      <c r="K12" s="34" t="s">
        <v>138</v>
      </c>
      <c r="L12" s="34" t="str">
        <f>LOWER(B12)</f>
        <v>employee 11</v>
      </c>
    </row>
    <row r="13" spans="1:17" x14ac:dyDescent="0.3">
      <c r="A13" s="2">
        <v>3012</v>
      </c>
      <c r="B13" s="2" t="s">
        <v>116</v>
      </c>
      <c r="C13" s="2" t="s">
        <v>126</v>
      </c>
      <c r="D13" s="31">
        <v>35226</v>
      </c>
      <c r="E13" s="3">
        <v>44755</v>
      </c>
      <c r="F13" s="2">
        <f t="shared" ca="1" si="0"/>
        <v>1338</v>
      </c>
    </row>
    <row r="14" spans="1:17" x14ac:dyDescent="0.3">
      <c r="A14" s="2">
        <v>3013</v>
      </c>
      <c r="B14" s="2" t="s">
        <v>117</v>
      </c>
      <c r="C14" s="2" t="s">
        <v>127</v>
      </c>
      <c r="D14" s="31">
        <v>40872</v>
      </c>
      <c r="E14" s="3">
        <v>45005</v>
      </c>
      <c r="F14" s="2">
        <f t="shared" ca="1" si="0"/>
        <v>1088</v>
      </c>
    </row>
    <row r="15" spans="1:17" ht="18" x14ac:dyDescent="0.35">
      <c r="A15" s="2">
        <v>3014</v>
      </c>
      <c r="B15" s="2" t="s">
        <v>118</v>
      </c>
      <c r="C15" s="2" t="s">
        <v>127</v>
      </c>
      <c r="D15" s="31">
        <v>55378</v>
      </c>
      <c r="E15" s="3">
        <v>45255</v>
      </c>
      <c r="F15" s="2">
        <f t="shared" ca="1" si="0"/>
        <v>838</v>
      </c>
      <c r="I15" s="32" t="s">
        <v>139</v>
      </c>
      <c r="J15" s="33"/>
      <c r="K15" s="33"/>
      <c r="L15" s="33"/>
      <c r="M15" s="33"/>
      <c r="N15" s="12"/>
      <c r="O15" s="12"/>
    </row>
    <row r="16" spans="1:17" ht="28.8" x14ac:dyDescent="0.55000000000000004">
      <c r="A16" s="2">
        <v>3015</v>
      </c>
      <c r="B16" s="2" t="s">
        <v>119</v>
      </c>
      <c r="C16" s="2" t="s">
        <v>127</v>
      </c>
      <c r="D16" s="31">
        <v>63297</v>
      </c>
      <c r="E16" s="3">
        <v>45505</v>
      </c>
      <c r="F16" s="2">
        <f t="shared" ca="1" si="0"/>
        <v>588</v>
      </c>
      <c r="I16" s="35"/>
      <c r="J16" s="35"/>
      <c r="K16" s="35"/>
      <c r="L16" s="14">
        <f>INDEX(A2:E21, MATCH("Employee 10", B2:B21, 0), MATCH("Salary", A1:E1, 0))</f>
        <v>107877</v>
      </c>
      <c r="M16" s="35"/>
      <c r="N16" s="35"/>
      <c r="O16" s="35"/>
    </row>
    <row r="17" spans="1:15" x14ac:dyDescent="0.3">
      <c r="A17" s="2">
        <v>3016</v>
      </c>
      <c r="B17" s="2" t="s">
        <v>120</v>
      </c>
      <c r="C17" s="2" t="s">
        <v>126</v>
      </c>
      <c r="D17" s="31">
        <v>114173</v>
      </c>
      <c r="E17" s="3">
        <v>45755</v>
      </c>
      <c r="F17" s="2">
        <f t="shared" ca="1" si="0"/>
        <v>338</v>
      </c>
    </row>
    <row r="18" spans="1:15" x14ac:dyDescent="0.3">
      <c r="A18" s="2">
        <v>3017</v>
      </c>
      <c r="B18" s="2" t="s">
        <v>121</v>
      </c>
      <c r="C18" s="2" t="s">
        <v>127</v>
      </c>
      <c r="D18" s="31">
        <v>86915</v>
      </c>
      <c r="E18" s="3">
        <v>46005</v>
      </c>
      <c r="F18" s="2">
        <f t="shared" ca="1" si="0"/>
        <v>88</v>
      </c>
    </row>
    <row r="19" spans="1:15" ht="21" x14ac:dyDescent="0.4">
      <c r="A19" s="2">
        <v>3018</v>
      </c>
      <c r="B19" s="2" t="s">
        <v>122</v>
      </c>
      <c r="C19" s="2" t="s">
        <v>128</v>
      </c>
      <c r="D19" s="31">
        <v>116284</v>
      </c>
      <c r="E19" s="3">
        <v>46255</v>
      </c>
      <c r="F19" s="2">
        <v>1258</v>
      </c>
      <c r="I19" s="15" t="s">
        <v>140</v>
      </c>
      <c r="J19" s="11"/>
      <c r="K19" s="11"/>
      <c r="L19" s="11"/>
      <c r="M19" s="11"/>
      <c r="N19" s="12"/>
      <c r="O19" s="12"/>
    </row>
    <row r="20" spans="1:15" ht="28.8" x14ac:dyDescent="0.55000000000000004">
      <c r="A20" s="2">
        <v>3019</v>
      </c>
      <c r="B20" s="2" t="s">
        <v>123</v>
      </c>
      <c r="C20" s="2" t="s">
        <v>129</v>
      </c>
      <c r="D20" s="31">
        <v>116283</v>
      </c>
      <c r="E20" s="3">
        <v>46505</v>
      </c>
      <c r="F20" s="2">
        <v>893</v>
      </c>
      <c r="I20" s="13"/>
      <c r="J20" s="13"/>
      <c r="K20" s="13"/>
      <c r="L20" s="14">
        <f>_xlfn.XLOOKUP("Employee 6", B2:B21, D2:D21)</f>
        <v>78689</v>
      </c>
      <c r="M20" s="13"/>
      <c r="N20" s="13"/>
      <c r="O20" s="13"/>
    </row>
    <row r="21" spans="1:15" x14ac:dyDescent="0.3">
      <c r="A21" s="2">
        <v>3020</v>
      </c>
      <c r="B21" s="2" t="s">
        <v>124</v>
      </c>
      <c r="C21" s="2" t="s">
        <v>129</v>
      </c>
      <c r="D21" s="31">
        <v>99924</v>
      </c>
      <c r="E21" s="3">
        <v>46755</v>
      </c>
      <c r="F21" s="2">
        <v>677</v>
      </c>
    </row>
    <row r="23" spans="1:15" ht="21" x14ac:dyDescent="0.4">
      <c r="I23" s="15" t="s">
        <v>141</v>
      </c>
      <c r="J23" s="11"/>
      <c r="K23" s="11"/>
      <c r="L23" s="11"/>
      <c r="M23" s="12"/>
      <c r="N23" s="12"/>
    </row>
    <row r="24" spans="1:15" ht="28.8" x14ac:dyDescent="0.55000000000000004">
      <c r="I24" s="13"/>
      <c r="J24" s="13"/>
      <c r="K24" s="13"/>
      <c r="L24" s="14">
        <f ca="1">SUM(INDIRECT("E2:E21"))</f>
        <v>887600</v>
      </c>
      <c r="M24" s="13"/>
      <c r="N24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priyasavaliya20@outlook.com</dc:creator>
  <cp:lastModifiedBy>priyasavaliya20@outlook.com</cp:lastModifiedBy>
  <dcterms:created xsi:type="dcterms:W3CDTF">2026-03-11T14:19:03Z</dcterms:created>
  <dcterms:modified xsi:type="dcterms:W3CDTF">2026-03-12T06:30:33Z</dcterms:modified>
</cp:coreProperties>
</file>