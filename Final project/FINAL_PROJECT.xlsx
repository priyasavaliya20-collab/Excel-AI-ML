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136c9e14ba35254/Documents/"/>
    </mc:Choice>
  </mc:AlternateContent>
  <xr:revisionPtr revIDLastSave="1030" documentId="8_{462B927A-A193-4DCC-815D-7C36BBB0272C}" xr6:coauthVersionLast="47" xr6:coauthVersionMax="47" xr10:uidLastSave="{92B72BF7-9B7A-44DE-B978-08FBB38D39BA}"/>
  <bookViews>
    <workbookView xWindow="13728" yWindow="0" windowWidth="9408" windowHeight="12336" firstSheet="2" activeTab="7" xr2:uid="{6C6C7DF5-8301-463D-9F4D-3F7A7650BB98}"/>
  </bookViews>
  <sheets>
    <sheet name="Raw data " sheetId="1" r:id="rId1"/>
    <sheet name="Analysis Toolpak" sheetId="8" r:id="rId2"/>
    <sheet name="Pivot table" sheetId="9" r:id="rId3"/>
    <sheet name="Charts " sheetId="13" r:id="rId4"/>
    <sheet name="Dashboards" sheetId="14" r:id="rId5"/>
    <sheet name="Analysis" sheetId="2" r:id="rId6"/>
    <sheet name="- Data Storytelling" sheetId="11" r:id="rId7"/>
    <sheet name="WHAT-IF Analysis" sheetId="3" r:id="rId8"/>
  </sheets>
  <definedNames>
    <definedName name="NativeTimeline_Date">#N/A</definedName>
    <definedName name="Slicer_Customer_Segment">#N/A</definedName>
    <definedName name="Slicer_Product_Name">#N/A</definedName>
    <definedName name="Slicer_Region">#N/A</definedName>
    <definedName name="Slicer_Total_Amount">#N/A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A15" i="9"/>
  <c r="I19" i="3" l="1"/>
  <c r="I18" i="3"/>
  <c r="I17" i="3"/>
  <c r="I16" i="3"/>
  <c r="I15" i="3"/>
  <c r="D19" i="3"/>
  <c r="D18" i="3"/>
  <c r="D17" i="3"/>
  <c r="D16" i="3"/>
  <c r="D15" i="3"/>
  <c r="I5" i="3"/>
  <c r="I6" i="3"/>
  <c r="I7" i="3"/>
  <c r="I8" i="3"/>
  <c r="I9" i="3"/>
  <c r="D9" i="3"/>
  <c r="D8" i="3"/>
  <c r="D7" i="3"/>
  <c r="D6" i="3"/>
  <c r="D5" i="3"/>
  <c r="W2" i="2" a="1"/>
  <c r="W2" i="2" s="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 i="2"/>
  <c r="AL2" i="2" l="1" a="1"/>
  <c r="AL2" i="2" s="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<sst xmlns="http://schemas.openxmlformats.org/spreadsheetml/2006/main" count="4710" uniqueCount="468">
  <si>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</si>
  <si>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</si>
  <si>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</si>
  <si>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</si>
  <si>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</si>
  <si>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</si>
  <si>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</si>
  <si>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</si>
  <si>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</si>
  <si>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</si>
  <si>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</si>
  <si>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</si>
  <si>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</si>
  <si>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</si>
  <si>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</si>
  <si>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</si>
  <si>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</si>
  <si>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</si>
  <si>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</si>
  <si>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</si>
  <si>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</si>
  <si>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</si>
  <si>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</si>
  <si>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</si>
  <si>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</si>
  <si>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</si>
  <si>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</si>
  <si>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</si>
  <si>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</si>
  <si>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</si>
  <si>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</si>
  <si>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</si>
  <si>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</si>
  <si>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</si>
  <si>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</si>
  <si>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</si>
  <si>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</si>
  <si>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</si>
  <si>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</si>
  <si>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</si>
  <si>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</si>
  <si>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</si>
  <si>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</si>
  <si>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</si>
  <si>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</si>
  <si>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</si>
  <si>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</si>
  <si>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</si>
  <si>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</si>
  <si>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</si>
  <si>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</si>
  <si>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</si>
  <si>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</si>
  <si>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</si>
  <si>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</si>
  <si>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</si>
  <si>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</si>
  <si>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</si>
  <si>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</si>
  <si>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</si>
  <si>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</si>
  <si>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</si>
  <si>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</si>
  <si>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</si>
  <si>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</si>
  <si>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</si>
  <si>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</si>
  <si>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</si>
  <si>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</si>
  <si>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</si>
  <si>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</si>
  <si>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</si>
  <si>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</si>
  <si>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</si>
  <si>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</si>
  <si>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</si>
  <si>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</si>
  <si>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</si>
  <si>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</si>
  <si>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</si>
  <si>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</si>
  <si>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</si>
  <si>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</si>
  <si>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</si>
  <si>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</si>
  <si>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</si>
  <si>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</si>
  <si>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</si>
  <si>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</si>
  <si>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</si>
  <si>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</si>
  <si>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</si>
  <si>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</si>
  <si>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</si>
  <si>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</si>
  <si>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</si>
  <si>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</si>
  <si>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</si>
  <si>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</si>
  <si>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</si>
  <si>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</si>
  <si>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</si>
  <si>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</si>
  <si>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</si>
  <si>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</si>
  <si>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</si>
  <si>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</si>
  <si>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</si>
  <si>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</si>
  <si>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</si>
  <si>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</si>
  <si>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</si>
  <si>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</si>
  <si>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</si>
  <si>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</si>
  <si>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</si>
  <si>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</si>
  <si>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</si>
  <si>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</si>
  <si>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</si>
  <si>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</si>
  <si>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</si>
  <si>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</si>
  <si>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</si>
  <si>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</si>
  <si>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</si>
  <si>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</si>
  <si>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</si>
  <si>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</si>
  <si>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</si>
  <si>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</si>
  <si>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</si>
  <si>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</si>
  <si>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</si>
  <si>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</si>
  <si>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</si>
  <si>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</si>
  <si>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</si>
  <si>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</si>
  <si>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</si>
  <si>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</si>
  <si>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</si>
  <si>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</si>
  <si>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</si>
  <si>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</si>
  <si>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</si>
  <si>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</si>
  <si>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</si>
  <si>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</si>
  <si>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</si>
  <si>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</si>
  <si>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</si>
  <si>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</si>
  <si>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</si>
  <si>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</si>
  <si>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</si>
  <si>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</si>
  <si>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</si>
  <si>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</si>
  <si>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</si>
  <si>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</si>
  <si>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</si>
  <si>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</si>
  <si>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</si>
  <si>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</si>
  <si>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</si>
  <si>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</si>
  <si>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</si>
  <si>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</si>
  <si>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</si>
  <si>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</si>
  <si>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</si>
  <si>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</si>
  <si>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</si>
  <si>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</si>
  <si>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</si>
  <si>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</si>
  <si>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</si>
  <si>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</si>
  <si>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</si>
  <si>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</si>
  <si>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</si>
  <si>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</si>
  <si>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</si>
  <si>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</si>
  <si>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</si>
  <si>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</si>
  <si>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</si>
  <si>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</si>
  <si>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</si>
  <si>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</si>
  <si>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</si>
  <si>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</si>
  <si>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</si>
  <si>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</si>
  <si>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</si>
  <si>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</si>
  <si>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</si>
  <si>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</si>
  <si>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</si>
  <si>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</si>
  <si>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</si>
  <si>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</si>
  <si>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</si>
  <si>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</si>
  <si>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</si>
  <si>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</si>
  <si>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</si>
  <si>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</si>
  <si>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</si>
  <si>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</si>
  <si>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</si>
  <si>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</si>
  <si>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</si>
  <si>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</si>
  <si>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</si>
  <si>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</si>
  <si>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</si>
  <si>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</si>
  <si>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</si>
  <si>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</si>
  <si>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</si>
  <si>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</si>
  <si>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</si>
  <si>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</si>
  <si>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</si>
  <si>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</si>
  <si>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</si>
  <si>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</si>
  <si>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</si>
  <si>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</si>
  <si>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</si>
  <si>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</si>
  <si>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</si>
  <si>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</si>
  <si>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</si>
  <si>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</si>
  <si>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</si>
  <si>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</si>
  <si>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</si>
  <si>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</si>
  <si>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</si>
  <si>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</si>
  <si>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</si>
  <si>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</si>
  <si>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</si>
  <si>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</si>
  <si>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</si>
  <si>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</si>
  <si>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</si>
  <si>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</si>
  <si>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</si>
  <si>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</si>
  <si>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</si>
  <si>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</si>
  <si>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</si>
  <si>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</si>
  <si>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</si>
  <si>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</si>
  <si>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</si>
  <si>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</si>
  <si>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</si>
  <si>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</si>
  <si>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</si>
  <si>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</si>
  <si>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</si>
  <si>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</si>
  <si>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</si>
  <si>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</si>
  <si>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</si>
  <si>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</si>
  <si>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</si>
  <si>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</si>
  <si>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</si>
  <si>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</si>
  <si>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</si>
  <si>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</si>
  <si>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</si>
  <si>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</si>
  <si>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</si>
  <si>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</si>
  <si>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</si>
  <si>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</si>
  <si>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</si>
  <si>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</si>
  <si>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</si>
  <si>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</si>
  <si>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</si>
  <si>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</si>
  <si>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</si>
  <si>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</si>
  <si>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</si>
  <si>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</si>
  <si>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</si>
  <si>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</si>
  <si>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</si>
  <si>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</si>
  <si>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</si>
  <si>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</si>
  <si>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</si>
  <si>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</si>
  <si>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</si>
  <si>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</si>
  <si>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</si>
  <si>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</si>
  <si>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</si>
  <si>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</si>
  <si>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</si>
  <si>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</si>
  <si>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</si>
  <si>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</si>
  <si>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</si>
  <si>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</si>
  <si>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</si>
  <si>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</si>
  <si>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</si>
  <si>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</si>
  <si>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</si>
  <si>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</si>
  <si>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</si>
  <si>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</si>
  <si>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</si>
  <si>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</si>
  <si>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</si>
  <si>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</si>
  <si>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</si>
  <si>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</si>
  <si>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</si>
  <si>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</si>
  <si>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</si>
  <si>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</si>
  <si>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</si>
  <si>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</si>
  <si>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</si>
  <si>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</si>
  <si>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</si>
  <si>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</si>
  <si>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</si>
  <si>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</si>
  <si>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</si>
  <si>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</si>
  <si>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</si>
  <si>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</si>
  <si>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</si>
  <si>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</si>
  <si>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</si>
  <si>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</si>
  <si>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</si>
  <si>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</si>
  <si>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</si>
  <si>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</si>
  <si>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</si>
  <si>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</si>
  <si>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</si>
  <si>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</si>
  <si>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</si>
  <si>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</si>
  <si>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</si>
  <si>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</si>
  <si>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</si>
  <si>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</si>
  <si>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</si>
  <si>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</si>
  <si>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</si>
  <si>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</si>
  <si>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</si>
  <si>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</si>
  <si>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</si>
  <si>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</si>
  <si>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</si>
  <si>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</si>
  <si>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</si>
  <si>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</si>
  <si>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</si>
  <si>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</si>
  <si>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</si>
  <si>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</si>
  <si>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</si>
  <si>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</si>
  <si>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</si>
  <si>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</si>
  <si>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</si>
  <si>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</si>
  <si>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</si>
  <si>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</si>
  <si>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</si>
  <si>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</si>
  <si>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</si>
  <si>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</si>
  <si>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</si>
  <si>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</si>
  <si>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</si>
  <si>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</si>
  <si>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</si>
  <si>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</si>
  <si>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</si>
  <si>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</si>
  <si>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</si>
  <si>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</si>
  <si>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 Extract</t>
  </si>
  <si>
    <t>Year</t>
  </si>
  <si>
    <t>Customer Age</t>
  </si>
  <si>
    <t>Month End</t>
  </si>
  <si>
    <t>Timestamp</t>
  </si>
  <si>
    <t>Row Labels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</si>
  <si>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</si>
  <si>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</si>
  <si>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</si>
  <si>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</si>
  <si>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</si>
  <si>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</si>
  <si>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</si>
  <si>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</si>
  <si>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</si>
  <si>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</si>
  <si>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</si>
  <si>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</si>
  <si>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</si>
  <si>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</si>
  <si>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</si>
  <si>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</si>
  <si>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</si>
  <si>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</si>
  <si>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</si>
  <si>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</si>
  <si>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</si>
  <si>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</si>
  <si>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</si>
  <si>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</si>
  <si>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</si>
  <si>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</si>
  <si>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Sale Amount</t>
  </si>
  <si>
    <t>Unique Customers</t>
  </si>
  <si>
    <t>Total Spend</t>
  </si>
  <si>
    <t>High Sale</t>
  </si>
  <si>
    <t>Column Labels</t>
  </si>
  <si>
    <t>High-Value Customers Analysis</t>
  </si>
  <si>
    <t>Electronics Category</t>
  </si>
  <si>
    <t>Sales by Product</t>
  </si>
  <si>
    <t>Sales by Region</t>
  </si>
  <si>
    <t>Monthly Sales Trend</t>
  </si>
  <si>
    <t>Customer Segment Analysis</t>
  </si>
  <si>
    <t>QTY</t>
  </si>
  <si>
    <t>Goal seek Before</t>
  </si>
  <si>
    <t>Goal seek After</t>
  </si>
  <si>
    <t>Scenario Manager Before</t>
  </si>
  <si>
    <t>Scenario Manager After</t>
  </si>
  <si>
    <t>$H$15</t>
  </si>
  <si>
    <t>$H$16</t>
  </si>
  <si>
    <t>$H$17</t>
  </si>
  <si>
    <t>$H$18</t>
  </si>
  <si>
    <t>$H$19</t>
  </si>
  <si>
    <t>$L$3</t>
  </si>
  <si>
    <t>High Value</t>
  </si>
  <si>
    <t>Created by Priya on 22-03-2026
Modified by Priya on 22-03-2026</t>
  </si>
  <si>
    <t>Low Value</t>
  </si>
  <si>
    <t>Medium</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</si>
  <si>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</si>
  <si>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</si>
  <si>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</si>
  <si>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</si>
  <si>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</si>
  <si>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</si>
  <si>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</si>
  <si>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Total Sales</t>
  </si>
  <si>
    <t>Total Orders</t>
  </si>
  <si>
    <t>Average Sale</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</si>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</sst>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b/>
      <sz val="18"/>
      <color theme="1"/>
      <name val="Aptos Narrow"/>
      <family val="2"/>
      <scheme val="minor"/>
    </font>
    <font>
      <b/>
      <sz val="12"/>
      <color theme="1"/>
      <name val="Aptos Narrow"/>
      <family val="2"/>
      <scheme val="minor"/>
    </font>
    <font>
      <b/>
      <sz val="11"/>
      <color theme="0"/>
      <name val="Aptos Narrow"/>
      <family val="2"/>
      <scheme val="minor"/>
    </font>
    <font>
      <sz val="11"/>
      <color theme="0"/>
      <name val="Aptos Narrow"/>
      <family val="2"/>
      <scheme val="minor"/>
    </font>
    <font>
      <b/>
      <sz val="14"/>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b/>
      <sz val="8"/>
      <color theme="1"/>
      <name val="Aptos Narrow"/>
      <family val="2"/>
      <scheme val="minor"/>
    </font>
    <font>
      <i/>
      <sz val="12"/>
      <color theme="1"/>
      <name val="Aptos Narrow"/>
      <family val="2"/>
      <scheme val="minor"/>
    </font>
    <font>
      <b/>
      <sz val="14"/>
      <color theme="0"/>
      <name val="Aptos Narrow"/>
      <family val="2"/>
      <scheme val="minor"/>
    </font>
    <font>
      <b/>
      <sz val="12"/>
      <color theme="0"/>
      <name val="Aptos Narrow"/>
      <family val="2"/>
      <scheme val="minor"/>
    </font>
    <font>
      <sz val="12"/>
      <color theme="0"/>
      <name val="Aptos Narrow"/>
      <family val="2"/>
      <scheme val="minor"/>
    </font>
    <font>
      <b/>
      <sz val="14"/>
      <color theme="0"/>
      <name val="Calibri"/>
      <family val="2"/>
    </font>
    <font>
      <sz val="14"/>
      <color theme="0"/>
      <name val="Calibri"/>
      <family val="2"/>
    </font>
  </fonts>
  <fills count="8">
    <fill>
      <patternFill patternType="none"/>
    </fill>
    <fill>
      <patternFill patternType="gray125"/>
    </fill>
    <fill>
      <patternFill patternType="solid">
        <fgColor theme="8"/>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tint="0.39997558519241921"/>
        <bgColor indexed="64"/>
      </patternFill>
    </fill>
    <fill>
      <patternFill patternType="solid">
        <fgColor theme="8" tint="-0.249977111117893"/>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style="medium">
        <color rgb="FFCCCCCC"/>
      </top>
      <bottom style="medium">
        <color rgb="FFCCCCCC"/>
      </bottom>
      <diagonal/>
    </border>
    <border>
      <left style="medium">
        <color rgb="FFCCCCCC"/>
      </left>
      <right style="medium">
        <color rgb="FFCCCCCC"/>
      </right>
      <top/>
      <bottom/>
      <diagonal/>
    </border>
    <border>
      <left/>
      <right/>
      <top style="medium">
        <color indexed="64"/>
      </top>
      <bottom/>
      <diagonal/>
    </border>
  </borders>
  <cellStyleXfs count="1">
    <xf numFmtId="0" fontId="0" fillId="0" borderId="0"/>
  </cellStyleXfs>
  <cellXfs count="80">
    <xf numFmtId="0" fontId="0" fillId="0" borderId="0" xfId="0"/>
    <xf numFmtId="0" fontId="2" fillId="0" borderId="1" xfId="0" applyFont="1" applyBorder="1" applyAlignment="1">
      <alignment wrapText="1"/>
    </xf>
    <xf numFmtId="0" fontId="3" fillId="0" borderId="1" xfId="0" applyFont="1" applyBorder="1" applyAlignment="1">
      <alignment wrapText="1"/>
    </xf>
    <xf numFmtId="14" fontId="3" fillId="0" borderId="1" xfId="0" applyNumberFormat="1" applyFont="1" applyBorder="1" applyAlignment="1">
      <alignment horizontal="right" wrapText="1"/>
    </xf>
    <xf numFmtId="0" fontId="3" fillId="0" borderId="1" xfId="0" applyFont="1" applyBorder="1" applyAlignment="1">
      <alignment horizontal="right" wrapText="1"/>
    </xf>
    <xf numFmtId="0" fontId="1" fillId="0" borderId="0" xfId="0" applyFont="1" applyAlignment="1">
      <alignment horizontal="center" vertical="center"/>
    </xf>
    <xf numFmtId="0" fontId="3" fillId="0" borderId="1" xfId="0" applyFont="1" applyBorder="1" applyAlignment="1">
      <alignment horizontal="center" wrapText="1"/>
    </xf>
    <xf numFmtId="0" fontId="0" fillId="0" borderId="0" xfId="0" applyAlignment="1">
      <alignment horizontal="center"/>
    </xf>
    <xf numFmtId="0" fontId="5" fillId="0" borderId="0" xfId="0" applyFont="1" applyAlignment="1">
      <alignment vertical="center"/>
    </xf>
    <xf numFmtId="0" fontId="0" fillId="0" borderId="0" xfId="0" applyAlignment="1">
      <alignment horizontal="left" vertical="center" indent="1"/>
    </xf>
    <xf numFmtId="164" fontId="0" fillId="0" borderId="0" xfId="0" applyNumberFormat="1" applyAlignment="1">
      <alignment horizontal="center"/>
    </xf>
    <xf numFmtId="0" fontId="0" fillId="0" borderId="3" xfId="0" pivotButton="1" applyBorder="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0" fontId="6" fillId="0" borderId="0" xfId="0" applyFont="1"/>
    <xf numFmtId="0" fontId="3" fillId="0" borderId="3" xfId="0" applyFont="1" applyBorder="1" applyAlignment="1">
      <alignment horizontal="center" wrapText="1"/>
    </xf>
    <xf numFmtId="14" fontId="3" fillId="0" borderId="3" xfId="0" applyNumberFormat="1" applyFont="1" applyBorder="1" applyAlignment="1">
      <alignment horizontal="center" wrapText="1"/>
    </xf>
    <xf numFmtId="164" fontId="3" fillId="0" borderId="3" xfId="0" applyNumberFormat="1" applyFont="1" applyBorder="1" applyAlignment="1">
      <alignment horizontal="center" wrapText="1"/>
    </xf>
    <xf numFmtId="22" fontId="0" fillId="0" borderId="3" xfId="0" applyNumberFormat="1" applyBorder="1" applyAlignment="1">
      <alignment horizontal="center"/>
    </xf>
    <xf numFmtId="0" fontId="0" fillId="0" borderId="3" xfId="0" applyBorder="1" applyAlignment="1">
      <alignment horizontal="center" vertical="center"/>
    </xf>
    <xf numFmtId="0" fontId="3" fillId="0" borderId="6" xfId="0" applyFont="1" applyBorder="1" applyAlignment="1">
      <alignment horizontal="center" wrapText="1"/>
    </xf>
    <xf numFmtId="0" fontId="0" fillId="0" borderId="4" xfId="0"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64" fontId="2" fillId="0" borderId="8" xfId="0" applyNumberFormat="1"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3" fillId="0" borderId="10" xfId="0" applyFont="1" applyBorder="1" applyAlignment="1">
      <alignment horizontal="center" wrapText="1"/>
    </xf>
    <xf numFmtId="14" fontId="3" fillId="0" borderId="11" xfId="0" applyNumberFormat="1" applyFont="1" applyBorder="1" applyAlignment="1">
      <alignment horizontal="center" wrapText="1"/>
    </xf>
    <xf numFmtId="0" fontId="3" fillId="0" borderId="11" xfId="0" applyFont="1" applyBorder="1" applyAlignment="1">
      <alignment horizontal="center" wrapText="1"/>
    </xf>
    <xf numFmtId="164" fontId="3" fillId="0" borderId="11" xfId="0" applyNumberFormat="1" applyFont="1" applyBorder="1" applyAlignment="1">
      <alignment horizontal="center" wrapText="1"/>
    </xf>
    <xf numFmtId="0" fontId="0" fillId="0" borderId="11" xfId="0" applyBorder="1" applyAlignment="1">
      <alignment horizontal="center"/>
    </xf>
    <xf numFmtId="22" fontId="0" fillId="0" borderId="11" xfId="0" applyNumberFormat="1" applyBorder="1" applyAlignment="1">
      <alignment horizontal="center"/>
    </xf>
    <xf numFmtId="0" fontId="0" fillId="0" borderId="12" xfId="0" applyBorder="1" applyAlignment="1">
      <alignment horizontal="center"/>
    </xf>
    <xf numFmtId="0" fontId="0" fillId="2" borderId="3" xfId="0" applyFill="1" applyBorder="1" applyAlignment="1">
      <alignment horizontal="center"/>
    </xf>
    <xf numFmtId="0" fontId="7" fillId="2" borderId="3" xfId="0" applyFont="1" applyFill="1" applyBorder="1" applyAlignment="1">
      <alignment horizontal="center" vertical="center"/>
    </xf>
    <xf numFmtId="0" fontId="1" fillId="0" borderId="0" xfId="0" applyFont="1"/>
    <xf numFmtId="0" fontId="3" fillId="0" borderId="14" xfId="0" applyFont="1" applyBorder="1" applyAlignment="1">
      <alignment horizontal="right" wrapText="1"/>
    </xf>
    <xf numFmtId="0" fontId="3" fillId="0" borderId="14" xfId="0" applyFont="1" applyBorder="1" applyAlignment="1">
      <alignment horizontal="center" wrapText="1"/>
    </xf>
    <xf numFmtId="0" fontId="3" fillId="0" borderId="15" xfId="0" applyFont="1" applyBorder="1" applyAlignment="1">
      <alignment horizontal="right" wrapText="1"/>
    </xf>
    <xf numFmtId="0" fontId="3" fillId="0" borderId="15" xfId="0" applyFont="1" applyBorder="1" applyAlignment="1">
      <alignment horizontal="center" wrapText="1"/>
    </xf>
    <xf numFmtId="0" fontId="1" fillId="0" borderId="3" xfId="0" applyFont="1" applyBorder="1" applyAlignment="1">
      <alignment horizontal="center"/>
    </xf>
    <xf numFmtId="0" fontId="3" fillId="0" borderId="3" xfId="0" applyFont="1" applyBorder="1" applyAlignment="1">
      <alignment horizontal="right" wrapText="1"/>
    </xf>
    <xf numFmtId="0" fontId="0" fillId="0" borderId="3" xfId="0" applyBorder="1"/>
    <xf numFmtId="0" fontId="3" fillId="0" borderId="16" xfId="0" applyFont="1" applyBorder="1" applyAlignment="1">
      <alignment horizontal="center" wrapText="1"/>
    </xf>
    <xf numFmtId="0" fontId="2" fillId="0" borderId="14" xfId="0" applyFont="1" applyBorder="1" applyAlignment="1">
      <alignment wrapText="1"/>
    </xf>
    <xf numFmtId="0" fontId="2" fillId="0" borderId="14" xfId="0" applyFont="1" applyBorder="1" applyAlignment="1">
      <alignment horizontal="center" vertical="center" wrapText="1"/>
    </xf>
    <xf numFmtId="0" fontId="3" fillId="0" borderId="17" xfId="0" applyFont="1" applyBorder="1" applyAlignment="1">
      <alignment horizontal="right" wrapText="1"/>
    </xf>
    <xf numFmtId="0" fontId="3" fillId="0" borderId="17" xfId="0" applyFont="1" applyBorder="1" applyAlignment="1">
      <alignment horizontal="center" wrapText="1"/>
    </xf>
    <xf numFmtId="0" fontId="0" fillId="0" borderId="2" xfId="0" applyBorder="1"/>
    <xf numFmtId="0" fontId="10" fillId="3" borderId="13" xfId="0" applyFont="1" applyFill="1" applyBorder="1" applyAlignment="1">
      <alignment horizontal="left"/>
    </xf>
    <xf numFmtId="0" fontId="10" fillId="3" borderId="18" xfId="0" applyFont="1" applyFill="1" applyBorder="1" applyAlignment="1">
      <alignment horizontal="left"/>
    </xf>
    <xf numFmtId="0" fontId="0" fillId="0" borderId="5" xfId="0" applyBorder="1"/>
    <xf numFmtId="0" fontId="11" fillId="4" borderId="0" xfId="0" applyFont="1" applyFill="1" applyAlignment="1">
      <alignment horizontal="left"/>
    </xf>
    <xf numFmtId="0" fontId="12" fillId="4" borderId="5" xfId="0" applyFont="1" applyFill="1" applyBorder="1" applyAlignment="1">
      <alignment horizontal="left"/>
    </xf>
    <xf numFmtId="0" fontId="11" fillId="4" borderId="2" xfId="0" applyFont="1" applyFill="1" applyBorder="1" applyAlignment="1">
      <alignment horizontal="left"/>
    </xf>
    <xf numFmtId="0" fontId="13" fillId="3" borderId="18" xfId="0" applyFont="1" applyFill="1" applyBorder="1" applyAlignment="1">
      <alignment horizontal="right"/>
    </xf>
    <xf numFmtId="0" fontId="13" fillId="3" borderId="13" xfId="0" applyFont="1" applyFill="1" applyBorder="1" applyAlignment="1">
      <alignment horizontal="right"/>
    </xf>
    <xf numFmtId="0" fontId="0" fillId="5" borderId="0" xfId="0" applyFill="1"/>
    <xf numFmtId="0" fontId="14" fillId="0" borderId="0" xfId="0" applyFont="1" applyAlignment="1">
      <alignment vertical="top" wrapText="1"/>
    </xf>
    <xf numFmtId="0" fontId="15" fillId="6" borderId="3" xfId="0" applyFont="1" applyFill="1" applyBorder="1" applyAlignment="1">
      <alignment horizontal="centerContinuous"/>
    </xf>
    <xf numFmtId="0" fontId="4" fillId="6" borderId="3" xfId="0" applyFont="1" applyFill="1" applyBorder="1" applyAlignment="1">
      <alignment horizontal="centerContinuous"/>
    </xf>
    <xf numFmtId="0" fontId="4" fillId="6" borderId="3" xfId="0" applyFont="1" applyFill="1" applyBorder="1" applyAlignment="1">
      <alignment horizontal="center"/>
    </xf>
    <xf numFmtId="0" fontId="0" fillId="6" borderId="3" xfId="0" applyFill="1" applyBorder="1" applyAlignment="1">
      <alignment horizontal="center"/>
    </xf>
    <xf numFmtId="0" fontId="4" fillId="6" borderId="3" xfId="0" applyFont="1" applyFill="1" applyBorder="1"/>
    <xf numFmtId="0" fontId="0" fillId="6" borderId="3" xfId="0" applyFill="1" applyBorder="1"/>
    <xf numFmtId="0" fontId="16" fillId="7" borderId="3" xfId="0" applyFont="1" applyFill="1" applyBorder="1" applyAlignment="1">
      <alignment horizontal="center"/>
    </xf>
    <xf numFmtId="0" fontId="19" fillId="7" borderId="3" xfId="0" applyFont="1" applyFill="1" applyBorder="1" applyAlignment="1">
      <alignment horizontal="center" wrapText="1"/>
    </xf>
    <xf numFmtId="0" fontId="20" fillId="7" borderId="3" xfId="0" applyFont="1" applyFill="1" applyBorder="1" applyAlignment="1">
      <alignment horizontal="center" wrapText="1"/>
    </xf>
    <xf numFmtId="0" fontId="8" fillId="7" borderId="3" xfId="0" applyFont="1" applyFill="1" applyBorder="1" applyAlignment="1">
      <alignment horizontal="center"/>
    </xf>
    <xf numFmtId="0" fontId="9" fillId="6" borderId="3" xfId="0" applyFont="1" applyFill="1" applyBorder="1" applyAlignment="1">
      <alignment horizontal="center"/>
    </xf>
    <xf numFmtId="0" fontId="7" fillId="7" borderId="3" xfId="0" applyFont="1" applyFill="1" applyBorder="1" applyAlignment="1">
      <alignment horizontal="center"/>
    </xf>
    <xf numFmtId="0" fontId="17" fillId="7" borderId="3" xfId="0" applyFont="1" applyFill="1" applyBorder="1" applyAlignment="1">
      <alignment horizontal="center"/>
    </xf>
    <xf numFmtId="0" fontId="18" fillId="7" borderId="3" xfId="0" applyFont="1" applyFill="1" applyBorder="1" applyAlignment="1">
      <alignment horizontal="center"/>
    </xf>
    <xf numFmtId="0" fontId="17" fillId="7" borderId="4" xfId="0" applyFont="1" applyFill="1" applyBorder="1" applyAlignment="1">
      <alignment horizontal="center"/>
    </xf>
    <xf numFmtId="0" fontId="17" fillId="7" borderId="5" xfId="0" applyFont="1" applyFill="1" applyBorder="1" applyAlignment="1">
      <alignment horizontal="center"/>
    </xf>
    <xf numFmtId="0" fontId="17" fillId="7" borderId="6" xfId="0" applyFont="1" applyFill="1" applyBorder="1" applyAlignment="1">
      <alignment horizontal="center"/>
    </xf>
    <xf numFmtId="0" fontId="7" fillId="2" borderId="4" xfId="0" applyFont="1"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cellXfs>
  <cellStyles count="1">
    <cellStyle name="Normal" xfId="0" builtinId="0"/>
  </cellStyles>
  <dxfs count="9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Structure" Target="richData/rdrichvaluestructure.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MONTHY</a:t>
            </a:r>
            <a:r>
              <a:rPr lang="en-US" baseline="0"/>
              <a:t> SALES TREND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table'!$S$4:$S$17</c:f>
              <c:strCache>
                <c:ptCount val="13"/>
                <c:pt idx="0">
                  <c:v>45412</c:v>
                </c:pt>
                <c:pt idx="1">
                  <c:v>45443</c:v>
                </c:pt>
                <c:pt idx="2">
                  <c:v>45473</c:v>
                </c:pt>
                <c:pt idx="3">
                  <c:v>45504</c:v>
                </c:pt>
                <c:pt idx="4">
                  <c:v>45535</c:v>
                </c:pt>
                <c:pt idx="5">
                  <c:v>45565</c:v>
                </c:pt>
                <c:pt idx="6">
                  <c:v>45596</c:v>
                </c:pt>
                <c:pt idx="7">
                  <c:v>45626</c:v>
                </c:pt>
                <c:pt idx="8">
                  <c:v>45657</c:v>
                </c:pt>
                <c:pt idx="9">
                  <c:v>45688</c:v>
                </c:pt>
                <c:pt idx="10">
                  <c:v>45716</c:v>
                </c:pt>
                <c:pt idx="11">
                  <c:v>45747</c:v>
                </c:pt>
                <c:pt idx="12">
                  <c:v>45777</c:v>
                </c:pt>
              </c:strCache>
            </c:strRef>
          </c:cat>
          <c:val>
            <c:numRef>
              <c:f>'Pivot table'!$T$4:$T$17</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B7A8-4DF8-BFA0-5AD2DA27A523}"/>
            </c:ext>
          </c:extLst>
        </c:ser>
        <c:dLbls>
          <c:showLegendKey val="0"/>
          <c:showVal val="0"/>
          <c:showCatName val="0"/>
          <c:showSerName val="0"/>
          <c:showPercent val="0"/>
          <c:showBubbleSize val="0"/>
        </c:dLbls>
        <c:marker val="1"/>
        <c:smooth val="0"/>
        <c:axId val="1770345504"/>
        <c:axId val="1770352224"/>
      </c:lineChart>
      <c:catAx>
        <c:axId val="177034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52224"/>
        <c:crosses val="autoZero"/>
        <c:auto val="1"/>
        <c:lblAlgn val="ctr"/>
        <c:lblOffset val="100"/>
        <c:noMultiLvlLbl val="0"/>
      </c:catAx>
      <c:valAx>
        <c:axId val="177035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'Pivot table'!$X$3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9C7F-445B-81DE-948FF13B287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C7F-445B-81DE-948FF13B287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9C7F-445B-81DE-948FF13B287C}"/>
              </c:ext>
            </c:extLst>
          </c:dPt>
          <c:cat>
            <c:strRef>
              <c:f>'Pivot table'!$W$4:$W$7</c:f>
              <c:strCache>
                <c:ptCount val="3"/>
                <c:pt idx="0">
                  <c:v>Basic</c:v>
                </c:pt>
                <c:pt idx="1">
                  <c:v>Premium</c:v>
                </c:pt>
                <c:pt idx="2">
                  <c:v>Standard</c:v>
                </c:pt>
              </c:strCache>
            </c:strRef>
          </c:cat>
          <c:val>
            <c:numRef>
              <c:f>'Pivot table'!$X$4:$X$7</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9C7F-445B-81DE-948FF13B28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table!PivotTable7</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table'!$P$3</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'Pivot table'!$O$4:$O$9</c:f>
              <c:strCache>
                <c:ptCount val="5"/>
                <c:pt idx="0">
                  <c:v>Central</c:v>
                </c:pt>
                <c:pt idx="1">
                  <c:v>East</c:v>
                </c:pt>
                <c:pt idx="2">
                  <c:v>North</c:v>
                </c:pt>
                <c:pt idx="3">
                  <c:v>South</c:v>
                </c:pt>
                <c:pt idx="4">
                  <c:v>West</c:v>
                </c:pt>
              </c:strCache>
            </c:strRef>
          </c:cat>
          <c:val>
            <c:numRef>
              <c:f>'Pivot table'!$P$4:$P$9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760-47BF-A7B1-6ECB05A418A1}"/>
            </c:ext>
          </c:extLst>
        </c:ser>
        <c:dLbls>
          <c:showLegendKey val="0"/>
          <c:showVal val="0"/>
          <c:showCatName val="0"/>
          <c:showSerName val="0"/>
          <c:showPercent val="0"/>
          <c:showBubbleSize val="0"/>
        </c:dLbls>
        <c:gapWidth val="150"/>
        <c:gapDepth val="0"/>
        <c:shape val="box"/>
        <c:axId val="1714510128"/>
        <c:axId val="1714510608"/>
        <c:axId val="0"/>
      </c:bar3DChart>
      <c:catAx>
        <c:axId val="1714510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10608"/>
        <c:crosses val="autoZero"/>
        <c:auto val="1"/>
        <c:lblAlgn val="ctr"/>
        <c:lblOffset val="100"/>
        <c:noMultiLvlLbl val="0"/>
      </c:catAx>
      <c:valAx>
        <c:axId val="1714510608"/>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table!PivotTable5</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table'!$K$4:$K$14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table'!$L$4:$L$14</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ACAB-4F52-B84B-EA45FC9FCF3E}"/>
            </c:ext>
          </c:extLst>
        </c:ser>
        <c:dLbls>
          <c:showLegendKey val="0"/>
          <c:showVal val="0"/>
          <c:showCatName val="0"/>
          <c:showSerName val="0"/>
          <c:showPercent val="0"/>
          <c:showBubbleSize val="0"/>
        </c:dLbls>
        <c:gapWidth val="115"/>
        <c:overlap val="-20"/>
        <c:axId val="1563705152"/>
        <c:axId val="1563691712"/>
      </c:barChart>
      <c:catAx>
        <c:axId val="1563705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91712"/>
        <c:crosses val="autoZero"/>
        <c:auto val="1"/>
        <c:lblAlgn val="ctr"/>
        <c:lblOffset val="100"/>
        <c:noMultiLvlLbl val="0"/>
      </c:catAx>
      <c:valAx>
        <c:axId val="1563691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table!PivotTable5</c:name>
    <c:fmtId val="4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SALES</a:t>
            </a:r>
            <a:r>
              <a:rPr lang="en-US" baseline="0">
                <a:solidFill>
                  <a:schemeClr val="tx1"/>
                </a:solidFill>
              </a:rPr>
              <a: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cat>
            <c:strRef>
              <c:f>'Pivot table'!$K$4:$K$14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table'!$L$4:$L$14</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A5AE-4260-B31A-15DD9BD8E79E}"/>
            </c:ext>
          </c:extLst>
        </c:ser>
        <c:dLbls>
          <c:showLegendKey val="0"/>
          <c:showVal val="0"/>
          <c:showCatName val="0"/>
          <c:showSerName val="0"/>
          <c:showPercent val="0"/>
          <c:showBubbleSize val="0"/>
        </c:dLbls>
        <c:gapWidth val="115"/>
        <c:overlap val="-20"/>
        <c:axId val="1563705152"/>
        <c:axId val="1563691712"/>
      </c:barChart>
      <c:catAx>
        <c:axId val="1563705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691712"/>
        <c:crosses val="autoZero"/>
        <c:auto val="1"/>
        <c:lblAlgn val="ctr"/>
        <c:lblOffset val="100"/>
        <c:noMultiLvlLbl val="0"/>
      </c:catAx>
      <c:valAx>
        <c:axId val="1563691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7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table!PivotTable11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CUSTOMER</a:t>
            </a:r>
            <a:r>
              <a:rPr lang="en-US" b="1" baseline="0">
                <a:solidFill>
                  <a:schemeClr val="tx1"/>
                </a:solidFill>
              </a:rPr>
              <a:t> SEGMENT</a:t>
            </a:r>
            <a:endParaRPr lang="en-US" b="1">
              <a:solidFill>
                <a:schemeClr val="tx1"/>
              </a:solidFill>
            </a:endParaRPr>
          </a:p>
        </c:rich>
      </c:tx>
      <c:layout>
        <c:manualLayout>
          <c:xMode val="edge"/>
          <c:yMode val="edge"/>
          <c:x val="0.38042455613819148"/>
          <c:y val="0.147789887191253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hade val="65000"/>
            </a:schemeClr>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tint val="65000"/>
            </a:schemeClr>
          </a:solidFill>
          <a:ln w="19050">
            <a:solidFill>
              <a:schemeClr val="lt1"/>
            </a:solidFill>
          </a:ln>
          <a:effectLst/>
        </c:spPr>
      </c:pivotFmt>
      <c:pivotFmt>
        <c:idx val="13"/>
        <c:spPr>
          <a:solidFill>
            <a:schemeClr val="accent5"/>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hade val="65000"/>
            </a:schemeClr>
          </a:solidFill>
          <a:ln w="19050">
            <a:solidFill>
              <a:schemeClr val="tx1"/>
            </a:solidFill>
          </a:ln>
          <a:effectLst/>
        </c:spPr>
      </c:pivotFmt>
      <c:pivotFmt>
        <c:idx val="15"/>
        <c:spPr>
          <a:solidFill>
            <a:schemeClr val="accent5"/>
          </a:solidFill>
          <a:ln w="19050">
            <a:solidFill>
              <a:schemeClr val="tx1"/>
            </a:solidFill>
          </a:ln>
          <a:effectLst/>
        </c:spPr>
      </c:pivotFmt>
      <c:pivotFmt>
        <c:idx val="16"/>
        <c:spPr>
          <a:solidFill>
            <a:schemeClr val="accent5">
              <a:tint val="65000"/>
            </a:schemeClr>
          </a:solidFill>
          <a:ln w="19050">
            <a:solidFill>
              <a:schemeClr val="tx1"/>
            </a:solidFill>
          </a:ln>
          <a:effectLst/>
        </c:spPr>
      </c:pivotFmt>
    </c:pivotFmts>
    <c:plotArea>
      <c:layout>
        <c:manualLayout>
          <c:layoutTarget val="inner"/>
          <c:xMode val="edge"/>
          <c:yMode val="edge"/>
          <c:x val="0.41296290051537993"/>
          <c:y val="0.3015435156698128"/>
          <c:w val="0.35504533972727093"/>
          <c:h val="0.62544410839373554"/>
        </c:manualLayout>
      </c:layout>
      <c:doughnutChart>
        <c:varyColors val="1"/>
        <c:ser>
          <c:idx val="0"/>
          <c:order val="0"/>
          <c:tx>
            <c:strRef>
              <c:f>'Pivot table'!$X$3</c:f>
              <c:strCache>
                <c:ptCount val="1"/>
                <c:pt idx="0">
                  <c:v>Total</c:v>
                </c:pt>
              </c:strCache>
            </c:strRef>
          </c:tx>
          <c:spPr>
            <a:ln>
              <a:solidFill>
                <a:schemeClr val="tx1"/>
              </a:solidFill>
            </a:ln>
          </c:spPr>
          <c:dPt>
            <c:idx val="0"/>
            <c:bubble3D val="0"/>
            <c:spPr>
              <a:solidFill>
                <a:schemeClr val="accent5">
                  <a:shade val="65000"/>
                </a:schemeClr>
              </a:solidFill>
              <a:ln w="19050">
                <a:solidFill>
                  <a:schemeClr val="tx1"/>
                </a:solidFill>
              </a:ln>
              <a:effectLst/>
            </c:spPr>
            <c:extLst>
              <c:ext xmlns:c16="http://schemas.microsoft.com/office/drawing/2014/chart" uri="{C3380CC4-5D6E-409C-BE32-E72D297353CC}">
                <c16:uniqueId val="{00000001-B9FD-4348-A12A-442C72B5A790}"/>
              </c:ext>
            </c:extLst>
          </c:dPt>
          <c:dPt>
            <c:idx val="1"/>
            <c:bubble3D val="0"/>
            <c:spPr>
              <a:solidFill>
                <a:schemeClr val="accent5"/>
              </a:solidFill>
              <a:ln w="19050">
                <a:solidFill>
                  <a:schemeClr val="tx1"/>
                </a:solidFill>
              </a:ln>
              <a:effectLst/>
            </c:spPr>
            <c:extLst>
              <c:ext xmlns:c16="http://schemas.microsoft.com/office/drawing/2014/chart" uri="{C3380CC4-5D6E-409C-BE32-E72D297353CC}">
                <c16:uniqueId val="{00000003-B9FD-4348-A12A-442C72B5A790}"/>
              </c:ext>
            </c:extLst>
          </c:dPt>
          <c:dPt>
            <c:idx val="2"/>
            <c:bubble3D val="0"/>
            <c:spPr>
              <a:solidFill>
                <a:schemeClr val="accent5">
                  <a:tint val="65000"/>
                </a:schemeClr>
              </a:solidFill>
              <a:ln w="19050">
                <a:solidFill>
                  <a:schemeClr val="tx1"/>
                </a:solidFill>
              </a:ln>
              <a:effectLst/>
            </c:spPr>
            <c:extLst>
              <c:ext xmlns:c16="http://schemas.microsoft.com/office/drawing/2014/chart" uri="{C3380CC4-5D6E-409C-BE32-E72D297353CC}">
                <c16:uniqueId val="{00000005-B9FD-4348-A12A-442C72B5A790}"/>
              </c:ext>
            </c:extLst>
          </c:dPt>
          <c:cat>
            <c:strRef>
              <c:f>'Pivot table'!$W$4:$W$7</c:f>
              <c:strCache>
                <c:ptCount val="3"/>
                <c:pt idx="0">
                  <c:v>Basic</c:v>
                </c:pt>
                <c:pt idx="1">
                  <c:v>Premium</c:v>
                </c:pt>
                <c:pt idx="2">
                  <c:v>Standard</c:v>
                </c:pt>
              </c:strCache>
            </c:strRef>
          </c:cat>
          <c:val>
            <c:numRef>
              <c:f>'Pivot table'!$X$4:$X$7</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B9FD-4348-A12A-442C72B5A7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1.5881513204853676E-2"/>
          <c:y val="0.31433401122872884"/>
          <c:w val="0.31316916488222696"/>
          <c:h val="0.35957440336514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table!PivotTable7</c:name>
    <c:fmtId val="10"/>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IN">
                <a:solidFill>
                  <a:schemeClr val="tx1"/>
                </a:solidFill>
              </a:rPr>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table'!$P$3</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'Pivot table'!$O$4:$O$9</c:f>
              <c:strCache>
                <c:ptCount val="5"/>
                <c:pt idx="0">
                  <c:v>Central</c:v>
                </c:pt>
                <c:pt idx="1">
                  <c:v>East</c:v>
                </c:pt>
                <c:pt idx="2">
                  <c:v>North</c:v>
                </c:pt>
                <c:pt idx="3">
                  <c:v>South</c:v>
                </c:pt>
                <c:pt idx="4">
                  <c:v>West</c:v>
                </c:pt>
              </c:strCache>
            </c:strRef>
          </c:cat>
          <c:val>
            <c:numRef>
              <c:f>'Pivot table'!$P$4:$P$9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D1C8-4FA1-88E6-0AD1485E3C14}"/>
            </c:ext>
          </c:extLst>
        </c:ser>
        <c:dLbls>
          <c:showLegendKey val="0"/>
          <c:showVal val="0"/>
          <c:showCatName val="0"/>
          <c:showSerName val="0"/>
          <c:showPercent val="0"/>
          <c:showBubbleSize val="0"/>
        </c:dLbls>
        <c:gapWidth val="150"/>
        <c:gapDepth val="0"/>
        <c:shape val="box"/>
        <c:axId val="1714510128"/>
        <c:axId val="1714510608"/>
        <c:axId val="0"/>
      </c:bar3DChart>
      <c:catAx>
        <c:axId val="1714510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510608"/>
        <c:crosses val="autoZero"/>
        <c:auto val="1"/>
        <c:lblAlgn val="ctr"/>
        <c:lblOffset val="100"/>
        <c:noMultiLvlLbl val="0"/>
      </c:catAx>
      <c:valAx>
        <c:axId val="1714510608"/>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5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table!PivotTable9</c:name>
    <c:fmtId val="2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MONTHY</a:t>
            </a:r>
            <a:r>
              <a:rPr lang="en-US" baseline="0">
                <a:solidFill>
                  <a:schemeClr val="tx1"/>
                </a:solidFill>
              </a:rPr>
              <a:t> SALES TREND</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table'!$S$4:$S$17</c:f>
              <c:strCache>
                <c:ptCount val="13"/>
                <c:pt idx="0">
                  <c:v>45412</c:v>
                </c:pt>
                <c:pt idx="1">
                  <c:v>45443</c:v>
                </c:pt>
                <c:pt idx="2">
                  <c:v>45473</c:v>
                </c:pt>
                <c:pt idx="3">
                  <c:v>45504</c:v>
                </c:pt>
                <c:pt idx="4">
                  <c:v>45535</c:v>
                </c:pt>
                <c:pt idx="5">
                  <c:v>45565</c:v>
                </c:pt>
                <c:pt idx="6">
                  <c:v>45596</c:v>
                </c:pt>
                <c:pt idx="7">
                  <c:v>45626</c:v>
                </c:pt>
                <c:pt idx="8">
                  <c:v>45657</c:v>
                </c:pt>
                <c:pt idx="9">
                  <c:v>45688</c:v>
                </c:pt>
                <c:pt idx="10">
                  <c:v>45716</c:v>
                </c:pt>
                <c:pt idx="11">
                  <c:v>45747</c:v>
                </c:pt>
                <c:pt idx="12">
                  <c:v>45777</c:v>
                </c:pt>
              </c:strCache>
            </c:strRef>
          </c:cat>
          <c:val>
            <c:numRef>
              <c:f>'Pivot table'!$T$4:$T$17</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836-439D-BF9B-FEA975174A7B}"/>
            </c:ext>
          </c:extLst>
        </c:ser>
        <c:dLbls>
          <c:showLegendKey val="0"/>
          <c:showVal val="0"/>
          <c:showCatName val="0"/>
          <c:showSerName val="0"/>
          <c:showPercent val="0"/>
          <c:showBubbleSize val="0"/>
        </c:dLbls>
        <c:marker val="1"/>
        <c:smooth val="0"/>
        <c:axId val="1770345504"/>
        <c:axId val="1770352224"/>
      </c:lineChart>
      <c:catAx>
        <c:axId val="177034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0352224"/>
        <c:crosses val="autoZero"/>
        <c:auto val="1"/>
        <c:lblAlgn val="ctr"/>
        <c:lblOffset val="100"/>
        <c:noMultiLvlLbl val="0"/>
      </c:catAx>
      <c:valAx>
        <c:axId val="177035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03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243839</xdr:colOff>
      <xdr:row>10</xdr:row>
      <xdr:rowOff>123049</xdr:rowOff>
    </xdr:from>
    <xdr:to>
      <xdr:col>9</xdr:col>
      <xdr:colOff>336973</xdr:colOff>
      <xdr:row>24</xdr:row>
      <xdr:rowOff>121991</xdr:rowOff>
    </xdr:to>
    <mc:AlternateContent xmlns:mc="http://schemas.openxmlformats.org/markup-compatibility/2006" xmlns:a14="http://schemas.microsoft.com/office/drawing/2010/main">
      <mc:Choice Requires="a14">
        <xdr:graphicFrame macro="">
          <xdr:nvGraphicFramePr>
            <xdr:cNvPr id="12" name="Total_Amount">
              <a:extLst>
                <a:ext uri="{FF2B5EF4-FFF2-40B4-BE49-F238E27FC236}">
                  <a16:creationId xmlns:a16="http://schemas.microsoft.com/office/drawing/2014/main" id="{5C9D8154-55F2-0BF6-B785-551BEC70FB08}"/>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7870895" y="197160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xdr:colOff>
      <xdr:row>0</xdr:row>
      <xdr:rowOff>160020</xdr:rowOff>
    </xdr:from>
    <xdr:to>
      <xdr:col>17</xdr:col>
      <xdr:colOff>312420</xdr:colOff>
      <xdr:row>15</xdr:row>
      <xdr:rowOff>160020</xdr:rowOff>
    </xdr:to>
    <xdr:graphicFrame macro="">
      <xdr:nvGraphicFramePr>
        <xdr:cNvPr id="3" name="Chart 2">
          <a:extLst>
            <a:ext uri="{FF2B5EF4-FFF2-40B4-BE49-F238E27FC236}">
              <a16:creationId xmlns:a16="http://schemas.microsoft.com/office/drawing/2014/main" id="{1DFF8078-E7C7-4B9F-8CE3-B145BADBF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xdr:row>
      <xdr:rowOff>0</xdr:rowOff>
    </xdr:from>
    <xdr:to>
      <xdr:col>26</xdr:col>
      <xdr:colOff>304800</xdr:colOff>
      <xdr:row>16</xdr:row>
      <xdr:rowOff>0</xdr:rowOff>
    </xdr:to>
    <xdr:graphicFrame macro="">
      <xdr:nvGraphicFramePr>
        <xdr:cNvPr id="4" name="Chart 3">
          <a:extLst>
            <a:ext uri="{FF2B5EF4-FFF2-40B4-BE49-F238E27FC236}">
              <a16:creationId xmlns:a16="http://schemas.microsoft.com/office/drawing/2014/main" id="{4A1233CA-091A-4987-AD0B-FF104B285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0</xdr:rowOff>
    </xdr:from>
    <xdr:to>
      <xdr:col>8</xdr:col>
      <xdr:colOff>304800</xdr:colOff>
      <xdr:row>33</xdr:row>
      <xdr:rowOff>0</xdr:rowOff>
    </xdr:to>
    <xdr:graphicFrame macro="">
      <xdr:nvGraphicFramePr>
        <xdr:cNvPr id="5" name="Chart 4">
          <a:extLst>
            <a:ext uri="{FF2B5EF4-FFF2-40B4-BE49-F238E27FC236}">
              <a16:creationId xmlns:a16="http://schemas.microsoft.com/office/drawing/2014/main" id="{63949E37-2F41-49DC-B900-0D1ECC628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8</xdr:col>
      <xdr:colOff>304800</xdr:colOff>
      <xdr:row>16</xdr:row>
      <xdr:rowOff>0</xdr:rowOff>
    </xdr:to>
    <xdr:graphicFrame macro="">
      <xdr:nvGraphicFramePr>
        <xdr:cNvPr id="6" name="Chart 5">
          <a:extLst>
            <a:ext uri="{FF2B5EF4-FFF2-40B4-BE49-F238E27FC236}">
              <a16:creationId xmlns:a16="http://schemas.microsoft.com/office/drawing/2014/main" id="{DBC591B7-9855-45B6-AEC9-21B40255E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22860</xdr:colOff>
      <xdr:row>18</xdr:row>
      <xdr:rowOff>15240</xdr:rowOff>
    </xdr:from>
    <xdr:to>
      <xdr:col>13</xdr:col>
      <xdr:colOff>22860</xdr:colOff>
      <xdr:row>32</xdr:row>
      <xdr:rowOff>36195</xdr:rowOff>
    </xdr:to>
    <mc:AlternateContent xmlns:mc="http://schemas.openxmlformats.org/markup-compatibility/2006" xmlns:a14="http://schemas.microsoft.com/office/drawing/2010/main">
      <mc:Choice Requires="a14">
        <xdr:graphicFrame macro="">
          <xdr:nvGraphicFramePr>
            <xdr:cNvPr id="7" name="Product_Name 1">
              <a:extLst>
                <a:ext uri="{FF2B5EF4-FFF2-40B4-BE49-F238E27FC236}">
                  <a16:creationId xmlns:a16="http://schemas.microsoft.com/office/drawing/2014/main" id="{16E64D48-5409-4A42-935A-641533EF86A2}"/>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6118860" y="3307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586739</xdr:colOff>
      <xdr:row>18</xdr:row>
      <xdr:rowOff>0</xdr:rowOff>
    </xdr:from>
    <xdr:to>
      <xdr:col>16</xdr:col>
      <xdr:colOff>586739</xdr:colOff>
      <xdr:row>32</xdr:row>
      <xdr:rowOff>20955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E58DF2DA-D8F3-4916-838A-46952CE47B2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11539" y="3291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30479</xdr:colOff>
      <xdr:row>18</xdr:row>
      <xdr:rowOff>15240</xdr:rowOff>
    </xdr:from>
    <xdr:to>
      <xdr:col>21</xdr:col>
      <xdr:colOff>30479</xdr:colOff>
      <xdr:row>32</xdr:row>
      <xdr:rowOff>36195</xdr:rowOff>
    </xdr:to>
    <mc:AlternateContent xmlns:mc="http://schemas.openxmlformats.org/markup-compatibility/2006" xmlns:a14="http://schemas.microsoft.com/office/drawing/2010/main">
      <mc:Choice Requires="a14">
        <xdr:graphicFrame macro="">
          <xdr:nvGraphicFramePr>
            <xdr:cNvPr id="9" name="Customer_Segment 1">
              <a:extLst>
                <a:ext uri="{FF2B5EF4-FFF2-40B4-BE49-F238E27FC236}">
                  <a16:creationId xmlns:a16="http://schemas.microsoft.com/office/drawing/2014/main" id="{09BF8940-29E3-41CA-B1BF-6AEFD852306B}"/>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1003279" y="3307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20</xdr:col>
      <xdr:colOff>64698</xdr:colOff>
      <xdr:row>39</xdr:row>
      <xdr:rowOff>121920</xdr:rowOff>
    </xdr:to>
    <xdr:sp macro="" textlink="">
      <xdr:nvSpPr>
        <xdr:cNvPr id="2" name="Rectangle 1">
          <a:extLst>
            <a:ext uri="{FF2B5EF4-FFF2-40B4-BE49-F238E27FC236}">
              <a16:creationId xmlns:a16="http://schemas.microsoft.com/office/drawing/2014/main" id="{2D636D4F-6773-4C12-8655-DFE5F34F433B}"/>
            </a:ext>
          </a:extLst>
        </xdr:cNvPr>
        <xdr:cNvSpPr/>
      </xdr:nvSpPr>
      <xdr:spPr>
        <a:xfrm>
          <a:off x="0" y="15240"/>
          <a:ext cx="12285453" cy="7115642"/>
        </a:xfrm>
        <a:prstGeom prst="rect">
          <a:avLst/>
        </a:prstGeom>
        <a:gradFill>
          <a:gsLst>
            <a:gs pos="0">
              <a:schemeClr val="accent5">
                <a:lumMod val="40000"/>
                <a:lumOff val="60000"/>
              </a:schemeClr>
            </a:gs>
            <a:gs pos="36000">
              <a:schemeClr val="accent5">
                <a:lumMod val="40000"/>
                <a:lumOff val="60000"/>
              </a:schemeClr>
            </a:gs>
            <a:gs pos="66000">
              <a:schemeClr val="accent5">
                <a:lumMod val="60000"/>
                <a:lumOff val="40000"/>
              </a:schemeClr>
            </a:gs>
            <a:gs pos="97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22860</xdr:rowOff>
    </xdr:from>
    <xdr:to>
      <xdr:col>20</xdr:col>
      <xdr:colOff>64698</xdr:colOff>
      <xdr:row>4</xdr:row>
      <xdr:rowOff>22860</xdr:rowOff>
    </xdr:to>
    <xdr:sp macro="" textlink="">
      <xdr:nvSpPr>
        <xdr:cNvPr id="3" name="Rectangle: Rounded Corners 2">
          <a:extLst>
            <a:ext uri="{FF2B5EF4-FFF2-40B4-BE49-F238E27FC236}">
              <a16:creationId xmlns:a16="http://schemas.microsoft.com/office/drawing/2014/main" id="{8D18D406-2C64-A5C7-3039-CB7F1497975D}"/>
            </a:ext>
          </a:extLst>
        </xdr:cNvPr>
        <xdr:cNvSpPr/>
      </xdr:nvSpPr>
      <xdr:spPr>
        <a:xfrm>
          <a:off x="0" y="22860"/>
          <a:ext cx="12285453" cy="718868"/>
        </a:xfrm>
        <a:prstGeom prst="roundRect">
          <a:avLst/>
        </a:prstGeom>
        <a:gradFill>
          <a:gsLst>
            <a:gs pos="12000">
              <a:schemeClr val="accent5">
                <a:lumMod val="75000"/>
              </a:schemeClr>
            </a:gs>
            <a:gs pos="33000">
              <a:schemeClr val="accent5">
                <a:lumMod val="40000"/>
                <a:lumOff val="60000"/>
              </a:schemeClr>
            </a:gs>
            <a:gs pos="77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Sales Performance Dashboard</a:t>
          </a:r>
        </a:p>
      </xdr:txBody>
    </xdr:sp>
    <xdr:clientData/>
  </xdr:twoCellAnchor>
  <xdr:twoCellAnchor>
    <xdr:from>
      <xdr:col>0</xdr:col>
      <xdr:colOff>197889</xdr:colOff>
      <xdr:row>5</xdr:row>
      <xdr:rowOff>7312</xdr:rowOff>
    </xdr:from>
    <xdr:to>
      <xdr:col>3</xdr:col>
      <xdr:colOff>554105</xdr:colOff>
      <xdr:row>12</xdr:row>
      <xdr:rowOff>22552</xdr:rowOff>
    </xdr:to>
    <xdr:sp macro="" textlink="">
      <xdr:nvSpPr>
        <xdr:cNvPr id="4" name="Rectangle: Rounded Corners 3">
          <a:extLst>
            <a:ext uri="{FF2B5EF4-FFF2-40B4-BE49-F238E27FC236}">
              <a16:creationId xmlns:a16="http://schemas.microsoft.com/office/drawing/2014/main" id="{1691B222-C1F1-64D8-7EA7-A43FEA88A5ED}"/>
            </a:ext>
          </a:extLst>
        </xdr:cNvPr>
        <xdr:cNvSpPr/>
      </xdr:nvSpPr>
      <xdr:spPr>
        <a:xfrm>
          <a:off x="197889" y="921712"/>
          <a:ext cx="2185016" cy="1295400"/>
        </a:xfrm>
        <a:prstGeom prst="roundRect">
          <a:avLst/>
        </a:prstGeom>
        <a:gradFill>
          <a:gsLst>
            <a:gs pos="0">
              <a:schemeClr val="accent5">
                <a:lumMod val="75000"/>
              </a:schemeClr>
            </a:gs>
            <a:gs pos="33000">
              <a:schemeClr val="accent5">
                <a:lumMod val="40000"/>
                <a:lumOff val="60000"/>
              </a:schemeClr>
            </a:gs>
            <a:gs pos="80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1"/>
              </a:solidFill>
              <a:effectLst/>
              <a:latin typeface="+mn-lt"/>
              <a:ea typeface="+mn-ea"/>
              <a:cs typeface="+mn-cs"/>
            </a:rPr>
            <a:t>                  Total</a:t>
          </a:r>
          <a:r>
            <a:rPr lang="en-IN" sz="1800" b="0" i="0" u="none" strike="noStrike">
              <a:solidFill>
                <a:schemeClr val="lt1"/>
              </a:solidFill>
              <a:effectLst/>
              <a:latin typeface="+mn-lt"/>
              <a:ea typeface="+mn-ea"/>
              <a:cs typeface="+mn-cs"/>
            </a:rPr>
            <a:t> </a:t>
          </a:r>
          <a:r>
            <a:rPr lang="en-IN" sz="1800" b="1" i="0" u="none" strike="noStrike">
              <a:solidFill>
                <a:schemeClr val="tx1"/>
              </a:solidFill>
              <a:effectLst/>
              <a:latin typeface="+mn-lt"/>
              <a:ea typeface="+mn-ea"/>
              <a:cs typeface="+mn-cs"/>
            </a:rPr>
            <a:t>Sales</a:t>
          </a:r>
        </a:p>
        <a:p>
          <a:pPr algn="ctr"/>
          <a:r>
            <a:rPr lang="en-IN" sz="1400" b="0" i="0" u="none" strike="noStrike">
              <a:solidFill>
                <a:schemeClr val="tx1"/>
              </a:solidFill>
              <a:effectLst/>
              <a:latin typeface="+mn-lt"/>
              <a:ea typeface="+mn-ea"/>
              <a:cs typeface="+mn-cs"/>
            </a:rPr>
            <a:t>    </a:t>
          </a:r>
          <a:r>
            <a:rPr lang="en-IN" sz="1400" b="0" i="0" u="none" strike="noStrike" baseline="0">
              <a:solidFill>
                <a:schemeClr val="tx1"/>
              </a:solidFill>
              <a:effectLst/>
              <a:latin typeface="+mn-lt"/>
              <a:ea typeface="+mn-ea"/>
              <a:cs typeface="+mn-cs"/>
            </a:rPr>
            <a:t>                  </a:t>
          </a:r>
          <a:r>
            <a:rPr lang="en-IN" sz="1600" b="0" i="0" u="none" strike="noStrike">
              <a:solidFill>
                <a:schemeClr val="tx1"/>
              </a:solidFill>
              <a:effectLst/>
              <a:latin typeface="+mn-lt"/>
              <a:ea typeface="+mn-ea"/>
              <a:cs typeface="+mn-cs"/>
            </a:rPr>
            <a:t>₹ </a:t>
          </a:r>
          <a:r>
            <a:rPr lang="en-IN" sz="1600" b="1" i="0" u="none" strike="noStrike">
              <a:solidFill>
                <a:schemeClr val="tx1"/>
              </a:solidFill>
              <a:effectLst/>
              <a:latin typeface="+mn-lt"/>
              <a:ea typeface="+mn-ea"/>
              <a:cs typeface="+mn-cs"/>
            </a:rPr>
            <a:t>2,29,192.47</a:t>
          </a:r>
          <a:r>
            <a:rPr lang="en-IN" sz="1600">
              <a:solidFill>
                <a:schemeClr val="tx1"/>
              </a:solidFill>
              <a:effectLst/>
            </a:rPr>
            <a:t>   </a:t>
          </a:r>
          <a:endParaRPr lang="en-IN" sz="1400">
            <a:solidFill>
              <a:schemeClr val="tx1"/>
            </a:solidFill>
          </a:endParaRPr>
        </a:p>
      </xdr:txBody>
    </xdr:sp>
    <xdr:clientData/>
  </xdr:twoCellAnchor>
  <xdr:twoCellAnchor editAs="oneCell">
    <xdr:from>
      <xdr:col>13</xdr:col>
      <xdr:colOff>50320</xdr:colOff>
      <xdr:row>23</xdr:row>
      <xdr:rowOff>93116</xdr:rowOff>
    </xdr:from>
    <xdr:to>
      <xdr:col>16</xdr:col>
      <xdr:colOff>345056</xdr:colOff>
      <xdr:row>38</xdr:row>
      <xdr:rowOff>136586</xdr:rowOff>
    </xdr:to>
    <mc:AlternateContent xmlns:mc="http://schemas.openxmlformats.org/markup-compatibility/2006" xmlns:a14="http://schemas.microsoft.com/office/drawing/2010/main">
      <mc:Choice Requires="a14">
        <xdr:graphicFrame macro="">
          <xdr:nvGraphicFramePr>
            <xdr:cNvPr id="9" name="Product_Name 2">
              <a:extLst>
                <a:ext uri="{FF2B5EF4-FFF2-40B4-BE49-F238E27FC236}">
                  <a16:creationId xmlns:a16="http://schemas.microsoft.com/office/drawing/2014/main" id="{DC21575D-DB9F-47F0-9CB5-D48DBE809C61}"/>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mlns="">
        <xdr:sp macro="" textlink="">
          <xdr:nvSpPr>
            <xdr:cNvPr id="0" name=""/>
            <xdr:cNvSpPr>
              <a:spLocks noTextEdit="1"/>
            </xdr:cNvSpPr>
          </xdr:nvSpPr>
          <xdr:spPr>
            <a:xfrm>
              <a:off x="7975120" y="4349430"/>
              <a:ext cx="2123536" cy="281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517585</xdr:colOff>
      <xdr:row>14</xdr:row>
      <xdr:rowOff>13004</xdr:rowOff>
    </xdr:from>
    <xdr:to>
      <xdr:col>20</xdr:col>
      <xdr:colOff>0</xdr:colOff>
      <xdr:row>22</xdr:row>
      <xdr:rowOff>71886</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C3AD236B-2C5F-467F-B978-61498B37DB5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271185" y="2603804"/>
              <a:ext cx="1920815" cy="1539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73079</xdr:colOff>
      <xdr:row>14</xdr:row>
      <xdr:rowOff>1179</xdr:rowOff>
    </xdr:from>
    <xdr:to>
      <xdr:col>16</xdr:col>
      <xdr:colOff>316301</xdr:colOff>
      <xdr:row>22</xdr:row>
      <xdr:rowOff>74215</xdr:rowOff>
    </xdr:to>
    <mc:AlternateContent xmlns:mc="http://schemas.openxmlformats.org/markup-compatibility/2006" xmlns:a14="http://schemas.microsoft.com/office/drawing/2010/main">
      <mc:Choice Requires="a14">
        <xdr:graphicFrame macro="">
          <xdr:nvGraphicFramePr>
            <xdr:cNvPr id="11" name="Customer_Segment 2">
              <a:extLst>
                <a:ext uri="{FF2B5EF4-FFF2-40B4-BE49-F238E27FC236}">
                  <a16:creationId xmlns:a16="http://schemas.microsoft.com/office/drawing/2014/main" id="{BDD312C7-08A4-4F6F-BBF7-5259BC1048AE}"/>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7997879" y="2591979"/>
              <a:ext cx="2072022" cy="1553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26</xdr:row>
      <xdr:rowOff>76200</xdr:rowOff>
    </xdr:from>
    <xdr:to>
      <xdr:col>6</xdr:col>
      <xdr:colOff>377301</xdr:colOff>
      <xdr:row>38</xdr:row>
      <xdr:rowOff>129540</xdr:rowOff>
    </xdr:to>
    <xdr:graphicFrame macro="">
      <xdr:nvGraphicFramePr>
        <xdr:cNvPr id="12" name="Chart 11">
          <a:extLst>
            <a:ext uri="{FF2B5EF4-FFF2-40B4-BE49-F238E27FC236}">
              <a16:creationId xmlns:a16="http://schemas.microsoft.com/office/drawing/2014/main" id="{3AFC590C-998F-4677-9A10-36E3117D4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592634</xdr:colOff>
      <xdr:row>13</xdr:row>
      <xdr:rowOff>15240</xdr:rowOff>
    </xdr:from>
    <xdr:to>
      <xdr:col>12</xdr:col>
      <xdr:colOff>493574</xdr:colOff>
      <xdr:row>25</xdr:row>
      <xdr:rowOff>121920</xdr:rowOff>
    </xdr:to>
    <xdr:graphicFrame macro="">
      <xdr:nvGraphicFramePr>
        <xdr:cNvPr id="13" name="Chart 12">
          <a:extLst>
            <a:ext uri="{FF2B5EF4-FFF2-40B4-BE49-F238E27FC236}">
              <a16:creationId xmlns:a16="http://schemas.microsoft.com/office/drawing/2014/main" id="{5D1B5BB0-6FF6-4A85-8F3D-FC1F2772D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13</xdr:row>
      <xdr:rowOff>7620</xdr:rowOff>
    </xdr:from>
    <xdr:to>
      <xdr:col>6</xdr:col>
      <xdr:colOff>381000</xdr:colOff>
      <xdr:row>25</xdr:row>
      <xdr:rowOff>144780</xdr:rowOff>
    </xdr:to>
    <xdr:graphicFrame macro="">
      <xdr:nvGraphicFramePr>
        <xdr:cNvPr id="14" name="Chart 13">
          <a:extLst>
            <a:ext uri="{FF2B5EF4-FFF2-40B4-BE49-F238E27FC236}">
              <a16:creationId xmlns:a16="http://schemas.microsoft.com/office/drawing/2014/main" id="{F135BD04-25AB-40D5-87B0-BB03365D9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569651</xdr:colOff>
      <xdr:row>26</xdr:row>
      <xdr:rowOff>60467</xdr:rowOff>
    </xdr:from>
    <xdr:to>
      <xdr:col>12</xdr:col>
      <xdr:colOff>517865</xdr:colOff>
      <xdr:row>38</xdr:row>
      <xdr:rowOff>119208</xdr:rowOff>
    </xdr:to>
    <xdr:graphicFrame macro="">
      <xdr:nvGraphicFramePr>
        <xdr:cNvPr id="15" name="Chart 14">
          <a:extLst>
            <a:ext uri="{FF2B5EF4-FFF2-40B4-BE49-F238E27FC236}">
              <a16:creationId xmlns:a16="http://schemas.microsoft.com/office/drawing/2014/main" id="{0464C01E-DCBD-46BF-854D-39E99713A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442884</xdr:colOff>
      <xdr:row>5</xdr:row>
      <xdr:rowOff>13778</xdr:rowOff>
    </xdr:from>
    <xdr:to>
      <xdr:col>8</xdr:col>
      <xdr:colOff>191039</xdr:colOff>
      <xdr:row>12</xdr:row>
      <xdr:rowOff>29018</xdr:rowOff>
    </xdr:to>
    <xdr:sp macro="" textlink="">
      <xdr:nvSpPr>
        <xdr:cNvPr id="16" name="Rectangle: Rounded Corners 15">
          <a:extLst>
            <a:ext uri="{FF2B5EF4-FFF2-40B4-BE49-F238E27FC236}">
              <a16:creationId xmlns:a16="http://schemas.microsoft.com/office/drawing/2014/main" id="{8CDBB4F9-E9C6-4096-A094-D287016BC9CE}"/>
            </a:ext>
          </a:extLst>
        </xdr:cNvPr>
        <xdr:cNvSpPr/>
      </xdr:nvSpPr>
      <xdr:spPr>
        <a:xfrm>
          <a:off x="2881284" y="928178"/>
          <a:ext cx="2186555" cy="1295400"/>
        </a:xfrm>
        <a:prstGeom prst="roundRect">
          <a:avLst/>
        </a:prstGeom>
        <a:gradFill>
          <a:gsLst>
            <a:gs pos="0">
              <a:schemeClr val="accent5">
                <a:lumMod val="75000"/>
              </a:schemeClr>
            </a:gs>
            <a:gs pos="33000">
              <a:schemeClr val="accent5">
                <a:lumMod val="40000"/>
                <a:lumOff val="60000"/>
              </a:schemeClr>
            </a:gs>
            <a:gs pos="80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1"/>
              </a:solidFill>
              <a:effectLst/>
              <a:latin typeface="+mn-lt"/>
              <a:ea typeface="+mn-ea"/>
              <a:cs typeface="+mn-cs"/>
            </a:rPr>
            <a:t>                 Total Orders</a:t>
          </a:r>
          <a:r>
            <a:rPr lang="en-IN" sz="1800" b="1">
              <a:solidFill>
                <a:schemeClr val="tx1"/>
              </a:solidFill>
              <a:effectLst/>
            </a:rPr>
            <a:t> </a:t>
          </a:r>
          <a:endParaRPr lang="en-IN" sz="1800" b="1" i="0" u="none" strike="noStrike">
            <a:solidFill>
              <a:schemeClr val="tx1"/>
            </a:solidFill>
            <a:effectLst/>
            <a:latin typeface="+mn-lt"/>
            <a:ea typeface="+mn-ea"/>
            <a:cs typeface="+mn-cs"/>
          </a:endParaRPr>
        </a:p>
        <a:p>
          <a:pPr algn="l"/>
          <a:r>
            <a:rPr lang="en-IN" sz="1600" b="1" i="0" u="none" strike="noStrike">
              <a:solidFill>
                <a:schemeClr val="tx1"/>
              </a:solidFill>
              <a:effectLst/>
              <a:latin typeface="+mn-lt"/>
              <a:ea typeface="+mn-ea"/>
              <a:cs typeface="+mn-cs"/>
            </a:rPr>
            <a:t>                               50</a:t>
          </a:r>
          <a:r>
            <a:rPr lang="en-IN" b="1">
              <a:effectLst/>
            </a:rPr>
            <a:t> </a:t>
          </a:r>
          <a:endParaRPr lang="en-IN" sz="1100" b="1"/>
        </a:p>
      </xdr:txBody>
    </xdr:sp>
    <xdr:clientData/>
  </xdr:twoCellAnchor>
  <xdr:twoCellAnchor>
    <xdr:from>
      <xdr:col>9</xdr:col>
      <xdr:colOff>64040</xdr:colOff>
      <xdr:row>5</xdr:row>
      <xdr:rowOff>27709</xdr:rowOff>
    </xdr:from>
    <xdr:to>
      <xdr:col>12</xdr:col>
      <xdr:colOff>420256</xdr:colOff>
      <xdr:row>12</xdr:row>
      <xdr:rowOff>42949</xdr:rowOff>
    </xdr:to>
    <xdr:sp macro="" textlink="">
      <xdr:nvSpPr>
        <xdr:cNvPr id="17" name="Rectangle: Rounded Corners 16">
          <a:extLst>
            <a:ext uri="{FF2B5EF4-FFF2-40B4-BE49-F238E27FC236}">
              <a16:creationId xmlns:a16="http://schemas.microsoft.com/office/drawing/2014/main" id="{959C9600-1A88-437B-BD26-FF2814D12296}"/>
            </a:ext>
          </a:extLst>
        </xdr:cNvPr>
        <xdr:cNvSpPr/>
      </xdr:nvSpPr>
      <xdr:spPr>
        <a:xfrm>
          <a:off x="5542077" y="933746"/>
          <a:ext cx="2182228" cy="1283691"/>
        </a:xfrm>
        <a:prstGeom prst="roundRect">
          <a:avLst/>
        </a:prstGeom>
        <a:gradFill>
          <a:gsLst>
            <a:gs pos="0">
              <a:schemeClr val="accent5">
                <a:lumMod val="75000"/>
              </a:schemeClr>
            </a:gs>
            <a:gs pos="33000">
              <a:schemeClr val="accent5">
                <a:lumMod val="40000"/>
                <a:lumOff val="60000"/>
              </a:schemeClr>
            </a:gs>
            <a:gs pos="80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i="0" u="none" strike="noStrike">
            <a:solidFill>
              <a:schemeClr val="tx1"/>
            </a:solidFill>
            <a:effectLst/>
            <a:latin typeface="+mn-lt"/>
            <a:ea typeface="+mn-ea"/>
            <a:cs typeface="+mn-cs"/>
          </a:endParaRPr>
        </a:p>
        <a:p>
          <a:pPr algn="l"/>
          <a:r>
            <a:rPr lang="en-IN" sz="1800" b="1" i="0" u="none" strike="noStrike">
              <a:solidFill>
                <a:schemeClr val="tx1"/>
              </a:solidFill>
              <a:effectLst/>
              <a:latin typeface="+mn-lt"/>
              <a:ea typeface="+mn-ea"/>
              <a:cs typeface="+mn-cs"/>
            </a:rPr>
            <a:t>                          Average</a:t>
          </a:r>
          <a:r>
            <a:rPr lang="en-IN" sz="1100" b="0" i="0" u="none" strike="noStrike">
              <a:solidFill>
                <a:schemeClr val="lt1"/>
              </a:solidFill>
              <a:effectLst/>
              <a:latin typeface="+mn-lt"/>
              <a:ea typeface="+mn-ea"/>
              <a:cs typeface="+mn-cs"/>
            </a:rPr>
            <a:t> </a:t>
          </a:r>
        </a:p>
        <a:p>
          <a:pPr algn="l"/>
          <a:r>
            <a:rPr lang="en-IN" sz="1600" b="1" i="0" u="none" strike="noStrike">
              <a:solidFill>
                <a:schemeClr val="tx1"/>
              </a:solidFill>
              <a:effectLst/>
              <a:latin typeface="+mn-lt"/>
              <a:ea typeface="+mn-ea"/>
              <a:cs typeface="+mn-cs"/>
            </a:rPr>
            <a:t>                          916.76988</a:t>
          </a:r>
          <a:r>
            <a:rPr lang="en-IN">
              <a:effectLst/>
            </a:rPr>
            <a:t> </a:t>
          </a:r>
          <a:endParaRPr lang="en-IN" sz="1100"/>
        </a:p>
      </xdr:txBody>
    </xdr:sp>
    <xdr:clientData/>
  </xdr:twoCellAnchor>
  <xdr:twoCellAnchor>
    <xdr:from>
      <xdr:col>0</xdr:col>
      <xdr:colOff>152400</xdr:colOff>
      <xdr:row>6</xdr:row>
      <xdr:rowOff>83820</xdr:rowOff>
    </xdr:from>
    <xdr:to>
      <xdr:col>2</xdr:col>
      <xdr:colOff>0</xdr:colOff>
      <xdr:row>12</xdr:row>
      <xdr:rowOff>30480</xdr:rowOff>
    </xdr:to>
    <xdr:sp macro="" textlink="">
      <xdr:nvSpPr>
        <xdr:cNvPr id="25" name="Rectangle 24">
          <a:extLst>
            <a:ext uri="{FF2B5EF4-FFF2-40B4-BE49-F238E27FC236}">
              <a16:creationId xmlns:a16="http://schemas.microsoft.com/office/drawing/2014/main" id="{2B12AAAA-1D50-E4D8-7F60-61389EDDC8BA}"/>
            </a:ext>
          </a:extLst>
        </xdr:cNvPr>
        <xdr:cNvSpPr/>
      </xdr:nvSpPr>
      <xdr:spPr>
        <a:xfrm>
          <a:off x="152400" y="1181100"/>
          <a:ext cx="1066800" cy="1043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tx1"/>
              </a:solidFill>
            </a:rPr>
            <a:t>💰</a:t>
          </a:r>
        </a:p>
      </xdr:txBody>
    </xdr:sp>
    <xdr:clientData/>
  </xdr:twoCellAnchor>
  <xdr:twoCellAnchor>
    <xdr:from>
      <xdr:col>4</xdr:col>
      <xdr:colOff>464634</xdr:colOff>
      <xdr:row>6</xdr:row>
      <xdr:rowOff>120804</xdr:rowOff>
    </xdr:from>
    <xdr:to>
      <xdr:col>6</xdr:col>
      <xdr:colOff>65049</xdr:colOff>
      <xdr:row>11</xdr:row>
      <xdr:rowOff>4647</xdr:rowOff>
    </xdr:to>
    <xdr:sp macro="" textlink="">
      <xdr:nvSpPr>
        <xdr:cNvPr id="27" name="Rectangle 26">
          <a:extLst>
            <a:ext uri="{FF2B5EF4-FFF2-40B4-BE49-F238E27FC236}">
              <a16:creationId xmlns:a16="http://schemas.microsoft.com/office/drawing/2014/main" id="{B64DD04D-5BD9-25C1-0542-60B56E957886}"/>
            </a:ext>
          </a:extLst>
        </xdr:cNvPr>
        <xdr:cNvSpPr/>
      </xdr:nvSpPr>
      <xdr:spPr>
        <a:xfrm>
          <a:off x="2899317" y="1208048"/>
          <a:ext cx="817756" cy="7898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a:t>
          </a:r>
        </a:p>
      </xdr:txBody>
    </xdr:sp>
    <xdr:clientData/>
  </xdr:twoCellAnchor>
  <xdr:twoCellAnchor>
    <xdr:from>
      <xdr:col>9</xdr:col>
      <xdr:colOff>171915</xdr:colOff>
      <xdr:row>6</xdr:row>
      <xdr:rowOff>157977</xdr:rowOff>
    </xdr:from>
    <xdr:to>
      <xdr:col>10</xdr:col>
      <xdr:colOff>381001</xdr:colOff>
      <xdr:row>10</xdr:row>
      <xdr:rowOff>116160</xdr:rowOff>
    </xdr:to>
    <xdr:sp macro="" textlink="">
      <xdr:nvSpPr>
        <xdr:cNvPr id="28" name="Rectangle 27">
          <a:extLst>
            <a:ext uri="{FF2B5EF4-FFF2-40B4-BE49-F238E27FC236}">
              <a16:creationId xmlns:a16="http://schemas.microsoft.com/office/drawing/2014/main" id="{1C67DF51-A546-5FB0-407E-D15316CE979A}"/>
            </a:ext>
          </a:extLst>
        </xdr:cNvPr>
        <xdr:cNvSpPr/>
      </xdr:nvSpPr>
      <xdr:spPr>
        <a:xfrm>
          <a:off x="5649952" y="1245221"/>
          <a:ext cx="817756" cy="683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a:t>
          </a:r>
        </a:p>
      </xdr:txBody>
    </xdr:sp>
    <xdr:clientData/>
  </xdr:twoCellAnchor>
  <xdr:twoCellAnchor editAs="oneCell">
    <xdr:from>
      <xdr:col>13</xdr:col>
      <xdr:colOff>35943</xdr:colOff>
      <xdr:row>5</xdr:row>
      <xdr:rowOff>87126</xdr:rowOff>
    </xdr:from>
    <xdr:to>
      <xdr:col>19</xdr:col>
      <xdr:colOff>582284</xdr:colOff>
      <xdr:row>13</xdr:row>
      <xdr:rowOff>20990</xdr:rowOff>
    </xdr:to>
    <mc:AlternateContent xmlns:mc="http://schemas.openxmlformats.org/markup-compatibility/2006" xmlns:tsle="http://schemas.microsoft.com/office/drawing/2012/timeslicer">
      <mc:Choice Requires="tsle">
        <xdr:graphicFrame macro="">
          <xdr:nvGraphicFramePr>
            <xdr:cNvPr id="29" name="Date 1">
              <a:extLst>
                <a:ext uri="{FF2B5EF4-FFF2-40B4-BE49-F238E27FC236}">
                  <a16:creationId xmlns:a16="http://schemas.microsoft.com/office/drawing/2014/main" id="{16AFEDBB-67B5-4760-9B0A-6E44E39A8F6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960743" y="1012412"/>
              <a:ext cx="4203941" cy="14143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560718</xdr:colOff>
      <xdr:row>23</xdr:row>
      <xdr:rowOff>93453</xdr:rowOff>
    </xdr:from>
    <xdr:to>
      <xdr:col>19</xdr:col>
      <xdr:colOff>603849</xdr:colOff>
      <xdr:row>38</xdr:row>
      <xdr:rowOff>143774</xdr:rowOff>
    </xdr:to>
    <mc:AlternateContent xmlns:mc="http://schemas.openxmlformats.org/markup-compatibility/2006" xmlns:a14="http://schemas.microsoft.com/office/drawing/2010/main">
      <mc:Choice Requires="a14">
        <xdr:graphicFrame macro="">
          <xdr:nvGraphicFramePr>
            <xdr:cNvPr id="30" name="Total_Amount 1">
              <a:extLst>
                <a:ext uri="{FF2B5EF4-FFF2-40B4-BE49-F238E27FC236}">
                  <a16:creationId xmlns:a16="http://schemas.microsoft.com/office/drawing/2014/main" id="{8B1E2206-FE3B-48A0-93A4-B183292B5F96}"/>
                </a:ext>
              </a:extLst>
            </xdr:cNvPr>
            <xdr:cNvGraphicFramePr/>
          </xdr:nvGraphicFramePr>
          <xdr:xfrm>
            <a:off x="0" y="0"/>
            <a:ext cx="0" cy="0"/>
          </xdr:xfrm>
          <a:graphic>
            <a:graphicData uri="http://schemas.microsoft.com/office/drawing/2010/slicer">
              <sle:slicer xmlns:sle="http://schemas.microsoft.com/office/drawing/2010/slicer" name="Total_Amount 1"/>
            </a:graphicData>
          </a:graphic>
        </xdr:graphicFrame>
      </mc:Choice>
      <mc:Fallback xmlns="">
        <xdr:sp macro="" textlink="">
          <xdr:nvSpPr>
            <xdr:cNvPr id="0" name=""/>
            <xdr:cNvSpPr>
              <a:spLocks noTextEdit="1"/>
            </xdr:cNvSpPr>
          </xdr:nvSpPr>
          <xdr:spPr>
            <a:xfrm>
              <a:off x="10314318" y="4349767"/>
              <a:ext cx="1871931" cy="2826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0</xdr:row>
      <xdr:rowOff>22860</xdr:rowOff>
    </xdr:from>
    <xdr:to>
      <xdr:col>16</xdr:col>
      <xdr:colOff>99060</xdr:colOff>
      <xdr:row>50</xdr:row>
      <xdr:rowOff>137160</xdr:rowOff>
    </xdr:to>
    <xdr:sp macro="" textlink="">
      <xdr:nvSpPr>
        <xdr:cNvPr id="2" name="Rectangle 1">
          <a:extLst>
            <a:ext uri="{FF2B5EF4-FFF2-40B4-BE49-F238E27FC236}">
              <a16:creationId xmlns:a16="http://schemas.microsoft.com/office/drawing/2014/main" id="{624817A4-0BDE-E2C7-3638-46231A76B61B}"/>
            </a:ext>
          </a:extLst>
        </xdr:cNvPr>
        <xdr:cNvSpPr/>
      </xdr:nvSpPr>
      <xdr:spPr>
        <a:xfrm>
          <a:off x="2583180" y="22860"/>
          <a:ext cx="7269480" cy="93726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Sales Story from the Dataset :-</a:t>
          </a:r>
        </a:p>
        <a:p>
          <a:pPr algn="l"/>
          <a:endParaRPr lang="en-IN" sz="1200" b="1"/>
        </a:p>
        <a:p>
          <a:pPr algn="l"/>
          <a:r>
            <a:rPr lang="en-IN" sz="1200"/>
            <a:t>📱 </a:t>
          </a:r>
          <a:r>
            <a:rPr lang="en-IN" sz="1200" b="1"/>
            <a:t>Electronics Dominate Revenue :-</a:t>
          </a:r>
          <a:br>
            <a:rPr lang="en-IN" sz="1200"/>
          </a:br>
          <a:r>
            <a:rPr lang="en-IN" sz="1200"/>
            <a:t>Products like smartphones, laptops, and monitors clearly stand out.</a:t>
          </a:r>
          <a:br>
            <a:rPr lang="en-IN" sz="1200"/>
          </a:br>
          <a:r>
            <a:rPr lang="en-IN" sz="1200"/>
            <a:t>➡️ These items generate </a:t>
          </a:r>
          <a:r>
            <a:rPr lang="en-IN" sz="1200" b="1"/>
            <a:t>high revenue even in small quantities</a:t>
          </a:r>
          <a:br>
            <a:rPr lang="en-IN" sz="1200"/>
          </a:br>
          <a:r>
            <a:rPr lang="en-IN" sz="1200"/>
            <a:t>➡️ Smartphones especially act as </a:t>
          </a:r>
          <a:r>
            <a:rPr lang="en-IN" sz="1200" b="1"/>
            <a:t>top-performing products</a:t>
          </a:r>
        </a:p>
        <a:p>
          <a:pPr algn="l"/>
          <a:endParaRPr lang="en-IN" sz="1200"/>
        </a:p>
        <a:p>
          <a:pPr algn="l"/>
          <a:r>
            <a:rPr lang="en-IN" sz="1200"/>
            <a:t>🪑 </a:t>
          </a:r>
          <a:r>
            <a:rPr lang="en-IN" sz="1200" b="1"/>
            <a:t>Furniture Brings Stability :-</a:t>
          </a:r>
          <a:br>
            <a:rPr lang="en-IN" sz="1200"/>
          </a:br>
          <a:r>
            <a:rPr lang="en-IN" sz="1200"/>
            <a:t>Items like bookshelves, desks, and office chairs appear frequently in sales</a:t>
          </a:r>
          <a:br>
            <a:rPr lang="en-IN" sz="1200"/>
          </a:br>
          <a:r>
            <a:rPr lang="en-IN" sz="1200"/>
            <a:t>➡️ Lower price but </a:t>
          </a:r>
          <a:r>
            <a:rPr lang="en-IN" sz="1200" b="1"/>
            <a:t>consistent demand</a:t>
          </a:r>
          <a:br>
            <a:rPr lang="en-IN" sz="1200"/>
          </a:br>
          <a:r>
            <a:rPr lang="en-IN" sz="1200"/>
            <a:t>➡️ Acts as a </a:t>
          </a:r>
          <a:r>
            <a:rPr lang="en-IN" sz="1200" b="1"/>
            <a:t>steady income base for the business</a:t>
          </a:r>
        </a:p>
        <a:p>
          <a:pPr algn="l"/>
          <a:endParaRPr lang="en-IN" sz="1200"/>
        </a:p>
        <a:p>
          <a:pPr algn="l"/>
          <a:r>
            <a:rPr lang="en-IN" sz="1200"/>
            <a:t>👑 </a:t>
          </a:r>
          <a:r>
            <a:rPr lang="en-IN" sz="1200" b="1"/>
            <a:t>Premium Customers Drive Profit :-</a:t>
          </a:r>
          <a:br>
            <a:rPr lang="en-IN" sz="1200"/>
          </a:br>
          <a:r>
            <a:rPr lang="en-IN" sz="1200"/>
            <a:t>Customers in the premium segment spend more per order</a:t>
          </a:r>
          <a:br>
            <a:rPr lang="en-IN" sz="1200"/>
          </a:br>
          <a:r>
            <a:rPr lang="en-IN" sz="1200"/>
            <a:t>➡️ Fewer in number but </a:t>
          </a:r>
          <a:r>
            <a:rPr lang="en-IN" sz="1200" b="1"/>
            <a:t>contribute heavily to total revenue</a:t>
          </a:r>
          <a:br>
            <a:rPr lang="en-IN" sz="1200"/>
          </a:br>
          <a:r>
            <a:rPr lang="en-IN" sz="1200"/>
            <a:t>➡️ These are the </a:t>
          </a:r>
          <a:r>
            <a:rPr lang="en-IN" sz="1200" b="1"/>
            <a:t>most valuable customers to retain</a:t>
          </a:r>
        </a:p>
        <a:p>
          <a:pPr algn="l"/>
          <a:endParaRPr lang="en-IN" sz="1200"/>
        </a:p>
        <a:p>
          <a:pPr algn="l"/>
          <a:r>
            <a:rPr lang="en-IN" sz="1200"/>
            <a:t>👥 </a:t>
          </a:r>
          <a:r>
            <a:rPr lang="en-IN" sz="1200" b="1"/>
            <a:t>Standard &amp; Basic Customers Add Volume :-</a:t>
          </a:r>
          <a:br>
            <a:rPr lang="en-IN" sz="1200"/>
          </a:br>
          <a:r>
            <a:rPr lang="en-IN" sz="1200"/>
            <a:t>They make more frequent purchases</a:t>
          </a:r>
          <a:br>
            <a:rPr lang="en-IN" sz="1200"/>
          </a:br>
          <a:r>
            <a:rPr lang="en-IN" sz="1200"/>
            <a:t>➡️ Lower spending per transaction</a:t>
          </a:r>
          <a:br>
            <a:rPr lang="en-IN" sz="1200"/>
          </a:br>
          <a:r>
            <a:rPr lang="en-IN" sz="1200"/>
            <a:t>➡️ Important for </a:t>
          </a:r>
          <a:r>
            <a:rPr lang="en-IN" sz="1200" b="1"/>
            <a:t>maintaining daily sales flow</a:t>
          </a:r>
          <a:br>
            <a:rPr lang="en-IN" sz="1200" b="1"/>
          </a:br>
          <a:endParaRPr lang="en-IN" sz="1200"/>
        </a:p>
        <a:p>
          <a:pPr algn="l"/>
          <a:r>
            <a:rPr lang="en-IN" sz="1200"/>
            <a:t>🌍 </a:t>
          </a:r>
          <a:r>
            <a:rPr lang="en-IN" sz="1200" b="1"/>
            <a:t>Regional Performance Matters :-</a:t>
          </a:r>
          <a:br>
            <a:rPr lang="en-IN" sz="1200"/>
          </a:br>
          <a:r>
            <a:rPr lang="en-IN" sz="1200"/>
            <a:t>Regions like </a:t>
          </a:r>
          <a:r>
            <a:rPr lang="en-IN" sz="1200" b="1"/>
            <a:t>North, West, and Central</a:t>
          </a:r>
          <a:r>
            <a:rPr lang="en-IN" sz="1200"/>
            <a:t> show strong activity</a:t>
          </a:r>
          <a:br>
            <a:rPr lang="en-IN" sz="1200"/>
          </a:br>
          <a:r>
            <a:rPr lang="en-IN" sz="1200"/>
            <a:t>➡️ Some regions generate </a:t>
          </a:r>
          <a:r>
            <a:rPr lang="en-IN" sz="1200" b="1"/>
            <a:t>higher-value transactions</a:t>
          </a:r>
          <a:br>
            <a:rPr lang="en-IN" sz="1200"/>
          </a:br>
          <a:r>
            <a:rPr lang="en-IN" sz="1200"/>
            <a:t>➡️ Indicates </a:t>
          </a:r>
          <a:r>
            <a:rPr lang="en-IN" sz="1200" b="1"/>
            <a:t>uneven demand across locations</a:t>
          </a:r>
        </a:p>
        <a:p>
          <a:pPr algn="l"/>
          <a:endParaRPr lang="en-IN" sz="1200"/>
        </a:p>
        <a:p>
          <a:pPr algn="l"/>
          <a:r>
            <a:rPr lang="en-IN" sz="1200"/>
            <a:t>💳 </a:t>
          </a:r>
          <a:r>
            <a:rPr lang="en-IN" sz="1200" b="1"/>
            <a:t>Payment Trends Show Customer Behavior :-</a:t>
          </a:r>
          <a:br>
            <a:rPr lang="en-IN" sz="1200"/>
          </a:br>
          <a:r>
            <a:rPr lang="en-IN" sz="1200"/>
            <a:t>Credit Card, Debit Card &amp; PayPal are widely used</a:t>
          </a:r>
          <a:br>
            <a:rPr lang="en-IN" sz="1200"/>
          </a:br>
          <a:r>
            <a:rPr lang="en-IN" sz="1200"/>
            <a:t>➡️ </a:t>
          </a:r>
          <a:r>
            <a:rPr lang="en-IN" sz="1200" b="1"/>
            <a:t>High-value purchases = mostly digital payments</a:t>
          </a:r>
          <a:br>
            <a:rPr lang="en-IN" sz="1200"/>
          </a:br>
          <a:r>
            <a:rPr lang="en-IN" sz="1200"/>
            <a:t>➡️ Cash is still used for </a:t>
          </a:r>
          <a:r>
            <a:rPr lang="en-IN" sz="1200" b="1"/>
            <a:t>smaller transactions</a:t>
          </a:r>
        </a:p>
        <a:p>
          <a:pPr algn="l"/>
          <a:endParaRPr lang="en-IN" sz="1200"/>
        </a:p>
        <a:p>
          <a:pPr algn="l"/>
          <a:r>
            <a:rPr lang="en-IN" sz="1200"/>
            <a:t>⚡ </a:t>
          </a:r>
          <a:r>
            <a:rPr lang="en-IN" sz="1200" b="1"/>
            <a:t>Sales Happen in Peaks :-</a:t>
          </a:r>
          <a:br>
            <a:rPr lang="en-IN" sz="1200"/>
          </a:br>
          <a:r>
            <a:rPr lang="en-IN" sz="1200"/>
            <a:t>Transactions are not evenly distributed</a:t>
          </a:r>
          <a:br>
            <a:rPr lang="en-IN" sz="1200"/>
          </a:br>
          <a:r>
            <a:rPr lang="en-IN" sz="1200"/>
            <a:t>➡️ Sales occur in </a:t>
          </a:r>
          <a:r>
            <a:rPr lang="en-IN" sz="1200" b="1"/>
            <a:t>clusters or bursts</a:t>
          </a:r>
          <a:br>
            <a:rPr lang="en-IN" sz="1200"/>
          </a:br>
          <a:r>
            <a:rPr lang="en-IN" sz="1200"/>
            <a:t>➡️ Could be due to </a:t>
          </a:r>
          <a:r>
            <a:rPr lang="en-IN" sz="1200" b="1"/>
            <a:t>offers, timing, or salary cycles</a:t>
          </a:r>
        </a:p>
        <a:p>
          <a:pPr algn="l"/>
          <a:endParaRPr lang="en-IN" sz="1200"/>
        </a:p>
        <a:p>
          <a:pPr algn="l"/>
          <a:r>
            <a:rPr lang="en-IN" sz="1200"/>
            <a:t>💰 </a:t>
          </a:r>
          <a:r>
            <a:rPr lang="en-IN" sz="1200" b="1"/>
            <a:t>Customer Spending Pattern :-</a:t>
          </a:r>
          <a:br>
            <a:rPr lang="en-IN" sz="1200"/>
          </a:br>
          <a:r>
            <a:rPr lang="en-IN" sz="1200"/>
            <a:t>Some customers repeatedly appear with high total spend</a:t>
          </a:r>
          <a:br>
            <a:rPr lang="en-IN" sz="1200"/>
          </a:br>
          <a:r>
            <a:rPr lang="en-IN" sz="1200"/>
            <a:t>➡️ Shows </a:t>
          </a:r>
          <a:r>
            <a:rPr lang="en-IN" sz="1200" b="1"/>
            <a:t>loyalty and repeat purchases</a:t>
          </a:r>
          <a:br>
            <a:rPr lang="en-IN" sz="1200"/>
          </a:br>
          <a:r>
            <a:rPr lang="en-IN" sz="1200"/>
            <a:t>➡️ These customers are key for </a:t>
          </a:r>
          <a:r>
            <a:rPr lang="en-IN" sz="1200" b="1"/>
            <a:t>long-term growth</a:t>
          </a:r>
        </a:p>
        <a:p>
          <a:pPr algn="l"/>
          <a:endParaRPr lang="en-IN" sz="1200"/>
        </a:p>
        <a:p>
          <a:pPr algn="l"/>
          <a:r>
            <a:rPr lang="en-IN" sz="1200"/>
            <a:t>📈 </a:t>
          </a:r>
          <a:r>
            <a:rPr lang="en-IN" sz="1200" b="1"/>
            <a:t>Product Strategy Insight :-</a:t>
          </a:r>
          <a:endParaRPr lang="en-IN" sz="1200"/>
        </a:p>
        <a:p>
          <a:pPr algn="l"/>
          <a:r>
            <a:rPr lang="en-IN" sz="1200"/>
            <a:t>Electronics = High profit, low volume</a:t>
          </a:r>
        </a:p>
        <a:p>
          <a:pPr algn="l"/>
          <a:r>
            <a:rPr lang="en-IN" sz="1200"/>
            <a:t>Furniture = Low profit, high volume</a:t>
          </a:r>
          <a:br>
            <a:rPr lang="en-IN" sz="1200"/>
          </a:br>
          <a:r>
            <a:rPr lang="en-IN" sz="1200"/>
            <a:t>➡️ Business is balancing </a:t>
          </a:r>
          <a:r>
            <a:rPr lang="en-IN" sz="1200" b="1"/>
            <a:t>growth + stability together</a:t>
          </a:r>
          <a:endParaRPr lang="en-IN" sz="1200"/>
        </a:p>
        <a:p>
          <a:pPr algn="l"/>
          <a:endParaRPr lang="en-IN"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829332175927" createdVersion="8" refreshedVersion="8" minRefreshableVersion="3" recordCount="250" xr:uid="{981979E8-2375-463D-9F33-06FFB629BD9B}">
  <cacheSource type="worksheet">
    <worksheetSource ref="A1:S251" sheet="Analysis"/>
  </cacheSource>
  <cacheFields count="19">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 Extract" numFmtId="0">
      <sharedItems/>
    </cacheField>
    <cacheField name="Year" numFmtId="0">
      <sharedItems containsSemiMixedTypes="0" containsString="0" containsNumber="1" containsInteger="1" minValue="2024" maxValue="2025"/>
    </cacheField>
    <cacheField name="Customer Age" numFmtId="0">
      <sharedItems containsSemiMixedTypes="0" containsString="0" containsNumber="1" containsInteger="1" minValue="708" maxValue="1706"/>
    </cacheField>
    <cacheField name="Month End" numFmtId="0">
      <sharedItems containsSemiMixedTypes="0" containsString="0" containsNumber="1" containsInteger="1" minValue="45412" maxValue="45777"/>
    </cacheField>
    <cacheField name="Timestamp" numFmtId="22">
      <sharedItems containsSemiMixedTypes="0" containsNonDate="0" containsDate="1" containsString="0" minDate="2026-03-20T19:35:19" maxDate="2026-03-20T19:35:19"/>
    </cacheField>
  </cacheFields>
  <extLst>
    <ext xmlns:x14="http://schemas.microsoft.com/office/spreadsheetml/2009/9/main" uri="{725AE2AE-9491-48be-B2B4-4EB974FC3084}">
      <x14:pivotCacheDefinition pivotCacheId="1536613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912459490741" createdVersion="8" refreshedVersion="8" minRefreshableVersion="3" recordCount="251" xr:uid="{197585E3-7269-4B36-90CB-E2320E7FD2E9}">
  <cacheSource type="worksheet">
    <worksheetSource ref="A1:U1048576" sheet="Analysis"/>
  </cacheSource>
  <cacheFields count="22">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cacheField>
    <cacheField name="Customer_ID" numFmtId="0">
      <sharedItems containsBlank="1"/>
    </cacheField>
    <cacheField name="Customer_Name" numFmtId="0">
      <sharedItems containsBlank="1" count="51">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m/>
      </sharedItems>
    </cacheField>
    <cacheField name="Product_ID" numFmtId="0">
      <sharedItems containsBlank="1"/>
    </cacheField>
    <cacheField name="Product_Name" numFmtId="0">
      <sharedItems containsBlank="1"/>
    </cacheField>
    <cacheField name="Category"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164">
      <sharedItems containsString="0" containsBlank="1" containsNumber="1" minValue="59.99" maxValue="4499.95"/>
    </cacheField>
    <cacheField name="Month Extract" numFmtId="0">
      <sharedItems containsBlank="1"/>
    </cacheField>
    <cacheField name="Year" numFmtId="0">
      <sharedItems containsString="0" containsBlank="1" containsNumber="1" containsInteger="1" minValue="2024" maxValue="2025"/>
    </cacheField>
    <cacheField name="Customer Age" numFmtId="0">
      <sharedItems containsString="0" containsBlank="1" containsNumber="1" containsInteger="1" minValue="708" maxValue="1706"/>
    </cacheField>
    <cacheField name="Month End" numFmtId="0">
      <sharedItems containsString="0" containsBlank="1" containsNumber="1" containsInteger="1" minValue="45412" maxValue="45777"/>
    </cacheField>
    <cacheField name="Timestamp" numFmtId="0">
      <sharedItems containsNonDate="0" containsDate="1" containsString="0" containsBlank="1" minDate="2026-03-20T21:53:00" maxDate="2026-03-20T21:53:00"/>
    </cacheField>
    <cacheField name="Sale Amount" numFmtId="0">
      <sharedItems containsBlank="1" count="3">
        <s v="Low Sale"/>
        <s v="High Sale"/>
        <m/>
      </sharedItems>
    </cacheField>
    <cacheField name="Unique Customers" numFmtId="0">
      <sharedItems containsBlank="1"/>
    </cacheField>
    <cacheField name="Total Spend" numFmtId="0">
      <sharedItems containsString="0" containsBlank="1" containsNumber="1" minValue="179.97" maxValue="15659.65"/>
    </cacheField>
  </cacheFields>
  <extLst>
    <ext xmlns:x14="http://schemas.microsoft.com/office/spreadsheetml/2009/9/main" uri="{725AE2AE-9491-48be-B2B4-4EB974FC3084}">
      <x14:pivotCacheDefinition pivotCacheId="14156008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94282222222" createdVersion="8" refreshedVersion="8" minRefreshableVersion="3" recordCount="250" xr:uid="{94075154-95A5-432B-85C5-5469BA353656}">
  <cacheSource type="worksheet">
    <worksheetSource ref="A1:U251" sheet="Analysis"/>
  </cacheSource>
  <cacheFields count="22">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Month Extract" numFmtId="0">
      <sharedItems/>
    </cacheField>
    <cacheField name="Year" numFmtId="0">
      <sharedItems containsSemiMixedTypes="0" containsString="0" containsNumber="1" containsInteger="1" minValue="2024" maxValue="2025"/>
    </cacheField>
    <cacheField name="Customer Age" numFmtId="0">
      <sharedItems containsSemiMixedTypes="0" containsString="0" containsNumber="1" containsInteger="1" minValue="708" maxValue="1706"/>
    </cacheField>
    <cacheField name="Month End" numFmtId="0">
      <sharedItems containsSemiMixedTypes="0" containsString="0" containsNumber="1" containsInteger="1" minValue="45412" maxValue="45777" count="13">
        <n v="45412"/>
        <n v="45443"/>
        <n v="45473"/>
        <n v="45504"/>
        <n v="45535"/>
        <n v="45565"/>
        <n v="45596"/>
        <n v="45626"/>
        <n v="45657"/>
        <n v="45688"/>
        <n v="45716"/>
        <n v="45747"/>
        <n v="45777"/>
      </sharedItems>
    </cacheField>
    <cacheField name="Timestamp" numFmtId="22">
      <sharedItems containsSemiMixedTypes="0" containsNonDate="0" containsDate="1" containsString="0" minDate="2026-03-20T22:34:02" maxDate="2026-03-20T22:34:02"/>
    </cacheField>
    <cacheField name="Sale Amount" numFmtId="0">
      <sharedItems/>
    </cacheField>
    <cacheField name="Unique Customers" numFmtId="0">
      <sharedItems containsBlank="1"/>
    </cacheField>
    <cacheField name="Total Spend" numFmtId="0">
      <sharedItems containsSemiMixedTypes="0" containsString="0" containsNumber="1" minValue="179.97" maxValue="15659.65"/>
    </cacheField>
  </cacheFields>
  <extLst>
    <ext xmlns:x14="http://schemas.microsoft.com/office/spreadsheetml/2009/9/main" uri="{725AE2AE-9491-48be-B2B4-4EB974FC3084}">
      <x14:pivotCacheDefinition pivotCacheId="195236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s v="Electronics"/>
    <n v="3"/>
    <n v="249.99"/>
    <s v="Cash"/>
    <s v="Central"/>
    <s v="Basic"/>
    <d v="2021-08-17T00:00:00"/>
    <x v="0"/>
    <s v="Apr"/>
    <n v="2024"/>
    <n v="1676"/>
    <n v="45412"/>
    <d v="2026-03-20T19:35:19"/>
  </r>
  <r>
    <s v="TRX0023"/>
    <d v="2024-04-14T00:00:00"/>
    <s v="CUST013"/>
    <x v="1"/>
    <s v="P009"/>
    <s v="Monitor"/>
    <s v="Electronics"/>
    <n v="3"/>
    <n v="249.99"/>
    <s v="Credit Card"/>
    <s v="Central"/>
    <s v="Premium"/>
    <d v="2022-01-14T00:00:00"/>
    <x v="0"/>
    <s v="Apr"/>
    <n v="2024"/>
    <n v="1526"/>
    <n v="45412"/>
    <d v="2026-03-20T19:35:19"/>
  </r>
  <r>
    <s v="TRX0139"/>
    <d v="2024-04-17T00:00:00"/>
    <s v="CUST021"/>
    <x v="2"/>
    <s v="P005"/>
    <s v="Blender"/>
    <s v="Appliances"/>
    <n v="3"/>
    <n v="59.99"/>
    <s v="PayPal"/>
    <s v="South"/>
    <s v="Standard"/>
    <d v="2023-12-02T00:00:00"/>
    <x v="1"/>
    <s v="Apr"/>
    <n v="2024"/>
    <n v="839"/>
    <n v="45412"/>
    <d v="2026-03-20T19:35:19"/>
  </r>
  <r>
    <s v="TRX0043"/>
    <d v="2024-04-18T00:00:00"/>
    <s v="CUST046"/>
    <x v="3"/>
    <s v="P005"/>
    <s v="Blender"/>
    <s v="Appliances"/>
    <n v="3"/>
    <n v="59.99"/>
    <s v="Cash"/>
    <s v="North"/>
    <s v="Premium"/>
    <d v="2023-07-07T00:00:00"/>
    <x v="1"/>
    <s v="Apr"/>
    <n v="2024"/>
    <n v="987"/>
    <n v="45412"/>
    <d v="2026-03-20T19:35:19"/>
  </r>
  <r>
    <s v="TRX0212"/>
    <d v="2024-04-18T00:00:00"/>
    <s v="CUST003"/>
    <x v="4"/>
    <s v="P008"/>
    <s v="Bookshelf"/>
    <s v="Furniture"/>
    <n v="5"/>
    <n v="149.99"/>
    <s v="Credit Card"/>
    <s v="North"/>
    <s v="Premium"/>
    <d v="2024-01-04T00:00:00"/>
    <x v="2"/>
    <s v="Apr"/>
    <n v="2024"/>
    <n v="806"/>
    <n v="45412"/>
    <d v="2026-03-20T19:35:19"/>
  </r>
  <r>
    <s v="TRX0092"/>
    <d v="2024-04-21T00:00:00"/>
    <s v="CUST024"/>
    <x v="5"/>
    <s v="P005"/>
    <s v="Blender"/>
    <s v="Appliances"/>
    <n v="2"/>
    <n v="59.99"/>
    <s v="Cash"/>
    <s v="West"/>
    <s v="Standard"/>
    <d v="2022-07-04T00:00:00"/>
    <x v="3"/>
    <s v="Apr"/>
    <n v="2024"/>
    <n v="1355"/>
    <n v="45412"/>
    <d v="2026-03-20T19:35:19"/>
  </r>
  <r>
    <s v="TRX0193"/>
    <d v="2024-04-21T00:00:00"/>
    <s v="CUST024"/>
    <x v="5"/>
    <s v="P003"/>
    <s v="Headphones"/>
    <s v="Electronics"/>
    <n v="5"/>
    <n v="149.99"/>
    <s v="Credit Card"/>
    <s v="Central"/>
    <s v="Standard"/>
    <d v="2021-08-10T00:00:00"/>
    <x v="2"/>
    <s v="Apr"/>
    <n v="2024"/>
    <n v="1683"/>
    <n v="45412"/>
    <d v="2026-03-20T19:35:19"/>
  </r>
  <r>
    <s v="TRX0240"/>
    <d v="2024-04-21T00:00:00"/>
    <s v="CUST017"/>
    <x v="6"/>
    <s v="P005"/>
    <s v="Blender"/>
    <s v="Appliances"/>
    <n v="3"/>
    <n v="59.99"/>
    <s v="Debit Card"/>
    <s v="South"/>
    <s v="Basic"/>
    <d v="2023-03-22T00:00:00"/>
    <x v="1"/>
    <s v="Apr"/>
    <n v="2024"/>
    <n v="1094"/>
    <n v="45412"/>
    <d v="2026-03-20T19:35:19"/>
  </r>
  <r>
    <s v="TRX0135"/>
    <d v="2024-04-23T00:00:00"/>
    <s v="CUST009"/>
    <x v="7"/>
    <s v="P001"/>
    <s v="Laptop"/>
    <s v="Electronics"/>
    <n v="3"/>
    <n v="899.99"/>
    <s v="PayPal"/>
    <s v="East"/>
    <s v="Standard"/>
    <d v="2024-01-08T00:00:00"/>
    <x v="4"/>
    <s v="Apr"/>
    <n v="2024"/>
    <n v="802"/>
    <n v="45412"/>
    <d v="2026-03-20T19:35:19"/>
  </r>
  <r>
    <s v="TRX0185"/>
    <d v="2024-04-26T00:00:00"/>
    <s v="CUST026"/>
    <x v="8"/>
    <s v="P005"/>
    <s v="Blender"/>
    <s v="Appliances"/>
    <n v="3"/>
    <n v="59.99"/>
    <s v="Cash"/>
    <s v="West"/>
    <s v="Premium"/>
    <d v="2023-10-08T00:00:00"/>
    <x v="1"/>
    <s v="Apr"/>
    <n v="2024"/>
    <n v="894"/>
    <n v="45412"/>
    <d v="2026-03-20T19:35:19"/>
  </r>
  <r>
    <s v="TRX0138"/>
    <d v="2024-04-26T00:00:00"/>
    <s v="CUST022"/>
    <x v="9"/>
    <s v="P008"/>
    <s v="Bookshelf"/>
    <s v="Furniture"/>
    <n v="1"/>
    <n v="149.99"/>
    <s v="Credit Card"/>
    <s v="West"/>
    <s v="Standard"/>
    <d v="2023-06-26T00:00:00"/>
    <x v="5"/>
    <s v="Apr"/>
    <n v="2024"/>
    <n v="998"/>
    <n v="45412"/>
    <d v="2026-03-20T19:35:19"/>
  </r>
  <r>
    <s v="TRX0209"/>
    <d v="2024-04-26T00:00:00"/>
    <s v="CUST046"/>
    <x v="3"/>
    <s v="P008"/>
    <s v="Bookshelf"/>
    <s v="Furniture"/>
    <n v="5"/>
    <n v="149.99"/>
    <s v="Debit Card"/>
    <s v="North"/>
    <s v="Basic"/>
    <d v="2022-09-26T00:00:00"/>
    <x v="2"/>
    <s v="Apr"/>
    <n v="2024"/>
    <n v="1271"/>
    <n v="45412"/>
    <d v="2026-03-20T19:35:19"/>
  </r>
  <r>
    <s v="TRX0246"/>
    <d v="2024-04-26T00:00:00"/>
    <s v="CUST041"/>
    <x v="10"/>
    <s v="P008"/>
    <s v="Bookshelf"/>
    <s v="Furniture"/>
    <n v="3"/>
    <n v="149.99"/>
    <s v="Cash"/>
    <s v="North"/>
    <s v="Premium"/>
    <d v="2022-09-02T00:00:00"/>
    <x v="6"/>
    <s v="Apr"/>
    <n v="2024"/>
    <n v="1295"/>
    <n v="45412"/>
    <d v="2026-03-20T19:35:19"/>
  </r>
  <r>
    <s v="TRX0067"/>
    <d v="2024-04-27T00:00:00"/>
    <s v="CUST043"/>
    <x v="11"/>
    <s v="P005"/>
    <s v="Blender"/>
    <s v="Appliances"/>
    <n v="3"/>
    <n v="59.99"/>
    <s v="Credit Card"/>
    <s v="North"/>
    <s v="Standard"/>
    <d v="2024-02-29T00:00:00"/>
    <x v="1"/>
    <s v="Apr"/>
    <n v="2024"/>
    <n v="750"/>
    <n v="45412"/>
    <d v="2026-03-20T19:35:19"/>
  </r>
  <r>
    <s v="TRX0191"/>
    <d v="2024-04-27T00:00:00"/>
    <s v="CUST038"/>
    <x v="12"/>
    <s v="P002"/>
    <s v="Smartphone"/>
    <s v="Electronics"/>
    <n v="3"/>
    <n v="699.99"/>
    <s v="Credit Card"/>
    <s v="West"/>
    <s v="Basic"/>
    <d v="2022-01-16T00:00:00"/>
    <x v="7"/>
    <s v="Apr"/>
    <n v="2024"/>
    <n v="1524"/>
    <n v="45412"/>
    <d v="2026-03-20T19:35:19"/>
  </r>
  <r>
    <s v="TRX0230"/>
    <d v="2024-04-27T00:00:00"/>
    <s v="CUST027"/>
    <x v="13"/>
    <s v="P001"/>
    <s v="Laptop"/>
    <s v="Electronics"/>
    <n v="1"/>
    <n v="899.99"/>
    <s v="Debit Card"/>
    <s v="North"/>
    <s v="Standard"/>
    <d v="2022-12-25T00:00:00"/>
    <x v="8"/>
    <s v="Apr"/>
    <n v="2024"/>
    <n v="1181"/>
    <n v="45412"/>
    <d v="2026-03-20T19:35:19"/>
  </r>
  <r>
    <s v="TRX0049"/>
    <d v="2024-04-28T00:00:00"/>
    <s v="CUST025"/>
    <x v="14"/>
    <s v="P008"/>
    <s v="Bookshelf"/>
    <s v="Furniture"/>
    <n v="4"/>
    <n v="149.99"/>
    <s v="Debit Card"/>
    <s v="North"/>
    <s v="Premium"/>
    <d v="2024-03-23T00:00:00"/>
    <x v="9"/>
    <s v="Apr"/>
    <n v="2024"/>
    <n v="727"/>
    <n v="45412"/>
    <d v="2026-03-20T19:35:19"/>
  </r>
  <r>
    <s v="TRX0134"/>
    <d v="2024-04-28T00:00:00"/>
    <s v="CUST010"/>
    <x v="15"/>
    <s v="P002"/>
    <s v="Smartphone"/>
    <s v="Electronics"/>
    <n v="2"/>
    <n v="699.99"/>
    <s v="Cash"/>
    <s v="North"/>
    <s v="Basic"/>
    <d v="2022-08-08T00:00:00"/>
    <x v="10"/>
    <s v="Apr"/>
    <n v="2024"/>
    <n v="1320"/>
    <n v="45412"/>
    <d v="2026-03-20T19:35:19"/>
  </r>
  <r>
    <s v="TRX0122"/>
    <d v="2024-04-28T00:00:00"/>
    <s v="CUST025"/>
    <x v="14"/>
    <s v="P001"/>
    <s v="Laptop"/>
    <s v="Electronics"/>
    <n v="4"/>
    <n v="899.99"/>
    <s v="Credit Card"/>
    <s v="West"/>
    <s v="Standard"/>
    <d v="2024-02-05T00:00:00"/>
    <x v="11"/>
    <s v="Apr"/>
    <n v="2024"/>
    <n v="774"/>
    <n v="45412"/>
    <d v="2026-03-20T19:35:19"/>
  </r>
  <r>
    <s v="TRX0222"/>
    <d v="2024-04-28T00:00:00"/>
    <s v="CUST048"/>
    <x v="16"/>
    <s v="P009"/>
    <s v="Monitor"/>
    <s v="Electronics"/>
    <n v="3"/>
    <n v="249.99"/>
    <s v="Credit Card"/>
    <s v="North"/>
    <s v="Premium"/>
    <d v="2023-10-25T00:00:00"/>
    <x v="0"/>
    <s v="Apr"/>
    <n v="2024"/>
    <n v="877"/>
    <n v="45412"/>
    <d v="2026-03-20T19:35:19"/>
  </r>
  <r>
    <s v="TRX0231"/>
    <d v="2024-04-30T00:00:00"/>
    <s v="CUST018"/>
    <x v="17"/>
    <s v="P002"/>
    <s v="Smartphone"/>
    <s v="Electronics"/>
    <n v="5"/>
    <n v="699.99"/>
    <s v="Cash"/>
    <s v="West"/>
    <s v="Basic"/>
    <d v="2023-08-29T00:00:00"/>
    <x v="12"/>
    <s v="Apr"/>
    <n v="2024"/>
    <n v="934"/>
    <n v="45412"/>
    <d v="2026-03-20T19:35:19"/>
  </r>
  <r>
    <s v="TRX0239"/>
    <d v="2024-05-01T00:00:00"/>
    <s v="CUST012"/>
    <x v="18"/>
    <s v="P002"/>
    <s v="Smartphone"/>
    <s v="Electronics"/>
    <n v="4"/>
    <n v="699.99"/>
    <s v="Cash"/>
    <s v="East"/>
    <s v="Standard"/>
    <d v="2021-08-01T00:00:00"/>
    <x v="13"/>
    <s v="May"/>
    <n v="2024"/>
    <n v="1692"/>
    <n v="45443"/>
    <d v="2026-03-20T19:35:19"/>
  </r>
  <r>
    <s v="TRX0204"/>
    <d v="2024-05-03T00:00:00"/>
    <s v="CUST044"/>
    <x v="19"/>
    <s v="P009"/>
    <s v="Monitor"/>
    <s v="Electronics"/>
    <n v="4"/>
    <n v="249.99"/>
    <s v="PayPal"/>
    <s v="North"/>
    <s v="Standard"/>
    <d v="2021-09-29T00:00:00"/>
    <x v="14"/>
    <s v="May"/>
    <n v="2024"/>
    <n v="1633"/>
    <n v="45443"/>
    <d v="2026-03-20T19:35:19"/>
  </r>
  <r>
    <s v="TRX0242"/>
    <d v="2024-05-04T00:00:00"/>
    <s v="CUST025"/>
    <x v="14"/>
    <s v="P007"/>
    <s v="Desk"/>
    <s v="Furniture"/>
    <n v="4"/>
    <n v="299.99"/>
    <s v="Cash"/>
    <s v="West"/>
    <s v="Premium"/>
    <d v="2022-06-04T00:00:00"/>
    <x v="15"/>
    <s v="May"/>
    <n v="2024"/>
    <n v="1385"/>
    <n v="45443"/>
    <d v="2026-03-20T19:35:19"/>
  </r>
  <r>
    <s v="TRX0071"/>
    <d v="2024-05-10T00:00:00"/>
    <s v="CUST036"/>
    <x v="20"/>
    <s v="P009"/>
    <s v="Monitor"/>
    <s v="Electronics"/>
    <n v="5"/>
    <n v="249.99"/>
    <s v="Credit Card"/>
    <s v="West"/>
    <s v="Standard"/>
    <d v="2021-11-25T00:00:00"/>
    <x v="16"/>
    <s v="May"/>
    <n v="2024"/>
    <n v="1576"/>
    <n v="45443"/>
    <d v="2026-03-20T19:35:19"/>
  </r>
  <r>
    <s v="TRX0040"/>
    <d v="2024-05-12T00:00:00"/>
    <s v="CUST022"/>
    <x v="9"/>
    <s v="P007"/>
    <s v="Desk"/>
    <s v="Furniture"/>
    <n v="5"/>
    <n v="299.99"/>
    <s v="PayPal"/>
    <s v="East"/>
    <s v="Basic"/>
    <d v="2023-08-30T00:00:00"/>
    <x v="17"/>
    <s v="May"/>
    <n v="2024"/>
    <n v="933"/>
    <n v="45443"/>
    <d v="2026-03-20T19:35:19"/>
  </r>
  <r>
    <s v="TRX0235"/>
    <d v="2024-05-12T00:00:00"/>
    <s v="CUST014"/>
    <x v="21"/>
    <s v="P004"/>
    <s v="Coffee Maker"/>
    <s v="Appliances"/>
    <n v="3"/>
    <n v="79.989999999999995"/>
    <s v="PayPal"/>
    <s v="East"/>
    <s v="Premium"/>
    <d v="2023-03-27T00:00:00"/>
    <x v="18"/>
    <s v="May"/>
    <n v="2024"/>
    <n v="1089"/>
    <n v="45443"/>
    <d v="2026-03-20T19:35:19"/>
  </r>
  <r>
    <s v="TRX0004"/>
    <d v="2024-05-12T00:00:00"/>
    <s v="CUST012"/>
    <x v="18"/>
    <s v="P010"/>
    <s v="Keyboard"/>
    <s v="Electronics"/>
    <n v="5"/>
    <n v="89.99"/>
    <s v="Cash"/>
    <s v="North"/>
    <s v="Premium"/>
    <d v="2022-12-24T00:00:00"/>
    <x v="19"/>
    <s v="May"/>
    <n v="2024"/>
    <n v="1182"/>
    <n v="45443"/>
    <d v="2026-03-20T19:35:19"/>
  </r>
  <r>
    <s v="TRX0063"/>
    <d v="2024-05-13T00:00:00"/>
    <s v="CUST030"/>
    <x v="22"/>
    <s v="P005"/>
    <s v="Blender"/>
    <s v="Appliances"/>
    <n v="2"/>
    <n v="59.99"/>
    <s v="Debit Card"/>
    <s v="Central"/>
    <s v="Standard"/>
    <d v="2023-10-15T00:00:00"/>
    <x v="3"/>
    <s v="May"/>
    <n v="2024"/>
    <n v="887"/>
    <n v="45443"/>
    <d v="2026-03-20T19:35:19"/>
  </r>
  <r>
    <s v="TRX0241"/>
    <d v="2024-05-15T00:00:00"/>
    <s v="CUST029"/>
    <x v="23"/>
    <s v="P005"/>
    <s v="Blender"/>
    <s v="Appliances"/>
    <n v="4"/>
    <n v="59.99"/>
    <s v="Debit Card"/>
    <s v="East"/>
    <s v="Standard"/>
    <d v="2022-11-02T00:00:00"/>
    <x v="20"/>
    <s v="May"/>
    <n v="2024"/>
    <n v="1234"/>
    <n v="45443"/>
    <d v="2026-03-20T19:35:19"/>
  </r>
  <r>
    <s v="TRX0029"/>
    <d v="2024-05-15T00:00:00"/>
    <s v="CUST017"/>
    <x v="6"/>
    <s v="P006"/>
    <s v="Office Chair"/>
    <s v="Furniture"/>
    <n v="5"/>
    <n v="199.99"/>
    <s v="Cash"/>
    <s v="South"/>
    <s v="Standard"/>
    <d v="2021-08-04T00:00:00"/>
    <x v="21"/>
    <s v="May"/>
    <n v="2024"/>
    <n v="1689"/>
    <n v="45443"/>
    <d v="2026-03-20T19:35:19"/>
  </r>
  <r>
    <s v="TRX0194"/>
    <d v="2024-05-16T00:00:00"/>
    <s v="CUST006"/>
    <x v="24"/>
    <s v="P008"/>
    <s v="Bookshelf"/>
    <s v="Furniture"/>
    <n v="2"/>
    <n v="149.99"/>
    <s v="Credit Card"/>
    <s v="West"/>
    <s v="Basic"/>
    <d v="2022-09-19T00:00:00"/>
    <x v="22"/>
    <s v="May"/>
    <n v="2024"/>
    <n v="1278"/>
    <n v="45443"/>
    <d v="2026-03-20T19:35:19"/>
  </r>
  <r>
    <s v="TRX0130"/>
    <d v="2024-05-18T00:00:00"/>
    <s v="CUST002"/>
    <x v="25"/>
    <s v="P008"/>
    <s v="Bookshelf"/>
    <s v="Furniture"/>
    <n v="3"/>
    <n v="149.99"/>
    <s v="Credit Card"/>
    <s v="West"/>
    <s v="Premium"/>
    <d v="2023-05-22T00:00:00"/>
    <x v="6"/>
    <s v="May"/>
    <n v="2024"/>
    <n v="1033"/>
    <n v="45443"/>
    <d v="2026-03-20T19:35:19"/>
  </r>
  <r>
    <s v="TRX0041"/>
    <d v="2024-05-20T00:00:00"/>
    <s v="CUST021"/>
    <x v="2"/>
    <s v="P001"/>
    <s v="Laptop"/>
    <s v="Electronics"/>
    <n v="1"/>
    <n v="899.99"/>
    <s v="Credit Card"/>
    <s v="West"/>
    <s v="Premium"/>
    <d v="2022-01-17T00:00:00"/>
    <x v="8"/>
    <s v="May"/>
    <n v="2024"/>
    <n v="1523"/>
    <n v="45443"/>
    <d v="2026-03-20T19:35:19"/>
  </r>
  <r>
    <s v="TRX0232"/>
    <d v="2024-05-22T00:00:00"/>
    <s v="CUST012"/>
    <x v="18"/>
    <s v="P007"/>
    <s v="Desk"/>
    <s v="Furniture"/>
    <n v="3"/>
    <n v="299.99"/>
    <s v="Credit Card"/>
    <s v="East"/>
    <s v="Basic"/>
    <d v="2022-09-20T00:00:00"/>
    <x v="23"/>
    <s v="May"/>
    <n v="2024"/>
    <n v="1277"/>
    <n v="45443"/>
    <d v="2026-03-20T19:35:19"/>
  </r>
  <r>
    <s v="TRX0021"/>
    <d v="2024-05-23T00:00:00"/>
    <s v="CUST006"/>
    <x v="24"/>
    <s v="P004"/>
    <s v="Coffee Maker"/>
    <s v="Appliances"/>
    <n v="3"/>
    <n v="79.989999999999995"/>
    <s v="Cash"/>
    <s v="South"/>
    <s v="Basic"/>
    <d v="2023-04-30T00:00:00"/>
    <x v="18"/>
    <s v="May"/>
    <n v="2024"/>
    <n v="1055"/>
    <n v="45443"/>
    <d v="2026-03-20T19:35:19"/>
  </r>
  <r>
    <s v="TRX0245"/>
    <d v="2024-05-26T00:00:00"/>
    <s v="CUST031"/>
    <x v="26"/>
    <s v="P006"/>
    <s v="Office Chair"/>
    <s v="Furniture"/>
    <n v="3"/>
    <n v="199.99"/>
    <s v="Credit Card"/>
    <s v="North"/>
    <s v="Premium"/>
    <d v="2024-01-01T00:00:00"/>
    <x v="24"/>
    <s v="May"/>
    <n v="2024"/>
    <n v="809"/>
    <n v="45443"/>
    <d v="2026-03-20T19:35:19"/>
  </r>
  <r>
    <s v="TRX0015"/>
    <d v="2024-05-28T00:00:00"/>
    <s v="CUST008"/>
    <x v="27"/>
    <s v="P002"/>
    <s v="Smartphone"/>
    <s v="Electronics"/>
    <n v="5"/>
    <n v="699.99"/>
    <s v="PayPal"/>
    <s v="West"/>
    <s v="Standard"/>
    <d v="2021-07-30T00:00:00"/>
    <x v="12"/>
    <s v="May"/>
    <n v="2024"/>
    <n v="1694"/>
    <n v="45443"/>
    <d v="2026-03-20T19:35:19"/>
  </r>
  <r>
    <s v="TRX0202"/>
    <d v="2024-05-29T00:00:00"/>
    <s v="CUST035"/>
    <x v="28"/>
    <s v="P010"/>
    <s v="Keyboard"/>
    <s v="Electronics"/>
    <n v="3"/>
    <n v="89.99"/>
    <s v="PayPal"/>
    <s v="Central"/>
    <s v="Premium"/>
    <d v="2023-07-13T00:00:00"/>
    <x v="25"/>
    <s v="May"/>
    <n v="2024"/>
    <n v="981"/>
    <n v="45443"/>
    <d v="2026-03-20T19:35:19"/>
  </r>
  <r>
    <s v="TRX0042"/>
    <d v="2024-05-31T00:00:00"/>
    <s v="CUST019"/>
    <x v="29"/>
    <s v="P004"/>
    <s v="Coffee Maker"/>
    <s v="Appliances"/>
    <n v="1"/>
    <n v="79.989999999999995"/>
    <s v="Cash"/>
    <s v="North"/>
    <s v="Standard"/>
    <d v="2022-12-22T00:00:00"/>
    <x v="26"/>
    <s v="May"/>
    <n v="2024"/>
    <n v="1184"/>
    <n v="45443"/>
    <d v="2026-03-20T19:35:19"/>
  </r>
  <r>
    <s v="TRX0128"/>
    <d v="2024-06-01T00:00:00"/>
    <s v="CUST040"/>
    <x v="30"/>
    <s v="P005"/>
    <s v="Blender"/>
    <s v="Appliances"/>
    <n v="2"/>
    <n v="59.99"/>
    <s v="Cash"/>
    <s v="West"/>
    <s v="Basic"/>
    <d v="2024-04-08T00:00:00"/>
    <x v="3"/>
    <s v="Jun"/>
    <n v="2024"/>
    <n v="711"/>
    <n v="45473"/>
    <d v="2026-03-20T19:35:19"/>
  </r>
  <r>
    <s v="TRX0117"/>
    <d v="2024-06-01T00:00:00"/>
    <s v="CUST017"/>
    <x v="6"/>
    <s v="P010"/>
    <s v="Keyboard"/>
    <s v="Electronics"/>
    <n v="1"/>
    <n v="89.99"/>
    <s v="Cash"/>
    <s v="North"/>
    <s v="Basic"/>
    <d v="2023-08-03T00:00:00"/>
    <x v="27"/>
    <s v="Jun"/>
    <n v="2024"/>
    <n v="960"/>
    <n v="45473"/>
    <d v="2026-03-20T19:35:19"/>
  </r>
  <r>
    <s v="TRX0208"/>
    <d v="2024-06-03T00:00:00"/>
    <s v="CUST004"/>
    <x v="31"/>
    <s v="P010"/>
    <s v="Keyboard"/>
    <s v="Electronics"/>
    <n v="5"/>
    <n v="89.99"/>
    <s v="Credit Card"/>
    <s v="East"/>
    <s v="Standard"/>
    <d v="2022-01-26T00:00:00"/>
    <x v="19"/>
    <s v="Jun"/>
    <n v="2024"/>
    <n v="1514"/>
    <n v="45473"/>
    <d v="2026-03-20T19:35:19"/>
  </r>
  <r>
    <s v="TRX0234"/>
    <d v="2024-06-06T00:00:00"/>
    <s v="CUST013"/>
    <x v="1"/>
    <s v="P009"/>
    <s v="Monitor"/>
    <s v="Electronics"/>
    <n v="5"/>
    <n v="249.99"/>
    <s v="Credit Card"/>
    <s v="East"/>
    <s v="Standard"/>
    <d v="2022-05-26T00:00:00"/>
    <x v="16"/>
    <s v="Jun"/>
    <n v="2024"/>
    <n v="1394"/>
    <n v="45473"/>
    <d v="2026-03-20T19:35:19"/>
  </r>
  <r>
    <s v="TRX0121"/>
    <d v="2024-06-06T00:00:00"/>
    <s v="CUST028"/>
    <x v="32"/>
    <s v="P010"/>
    <s v="Keyboard"/>
    <s v="Electronics"/>
    <n v="1"/>
    <n v="89.99"/>
    <s v="Credit Card"/>
    <s v="South"/>
    <s v="Standard"/>
    <d v="2022-01-21T00:00:00"/>
    <x v="27"/>
    <s v="Jun"/>
    <n v="2024"/>
    <n v="1519"/>
    <n v="45473"/>
    <d v="2026-03-20T19:35:19"/>
  </r>
  <r>
    <s v="TRX0220"/>
    <d v="2024-06-07T00:00:00"/>
    <s v="CUST003"/>
    <x v="4"/>
    <s v="P008"/>
    <s v="Bookshelf"/>
    <s v="Furniture"/>
    <n v="2"/>
    <n v="149.99"/>
    <s v="Cash"/>
    <s v="East"/>
    <s v="Premium"/>
    <d v="2022-03-25T00:00:00"/>
    <x v="22"/>
    <s v="Jun"/>
    <n v="2024"/>
    <n v="1456"/>
    <n v="45473"/>
    <d v="2026-03-20T19:35:19"/>
  </r>
  <r>
    <s v="TRX0093"/>
    <d v="2024-06-09T00:00:00"/>
    <s v="CUST050"/>
    <x v="33"/>
    <s v="P005"/>
    <s v="Blender"/>
    <s v="Appliances"/>
    <n v="4"/>
    <n v="59.99"/>
    <s v="Cash"/>
    <s v="East"/>
    <s v="Standard"/>
    <d v="2021-08-27T00:00:00"/>
    <x v="20"/>
    <s v="Jun"/>
    <n v="2024"/>
    <n v="1666"/>
    <n v="45473"/>
    <d v="2026-03-20T19:35:19"/>
  </r>
  <r>
    <s v="TRX0088"/>
    <d v="2024-06-13T00:00:00"/>
    <s v="CUST006"/>
    <x v="24"/>
    <s v="P010"/>
    <s v="Keyboard"/>
    <s v="Electronics"/>
    <n v="5"/>
    <n v="89.99"/>
    <s v="Cash"/>
    <s v="Central"/>
    <s v="Premium"/>
    <d v="2022-01-18T00:00:00"/>
    <x v="19"/>
    <s v="Jun"/>
    <n v="2024"/>
    <n v="1522"/>
    <n v="45473"/>
    <d v="2026-03-20T19:35:19"/>
  </r>
  <r>
    <s v="TRX0115"/>
    <d v="2024-06-16T00:00:00"/>
    <s v="CUST012"/>
    <x v="18"/>
    <s v="P010"/>
    <s v="Keyboard"/>
    <s v="Electronics"/>
    <n v="2"/>
    <n v="89.99"/>
    <s v="Credit Card"/>
    <s v="South"/>
    <s v="Premium"/>
    <d v="2021-10-02T00:00:00"/>
    <x v="28"/>
    <s v="Jun"/>
    <n v="2024"/>
    <n v="1630"/>
    <n v="45473"/>
    <d v="2026-03-20T19:35:19"/>
  </r>
  <r>
    <s v="TRX0154"/>
    <d v="2024-06-16T00:00:00"/>
    <s v="CUST023"/>
    <x v="0"/>
    <s v="P001"/>
    <s v="Laptop"/>
    <s v="Electronics"/>
    <n v="5"/>
    <n v="899.99"/>
    <s v="Credit Card"/>
    <s v="South"/>
    <s v="Standard"/>
    <d v="2023-02-17T00:00:00"/>
    <x v="29"/>
    <s v="Jun"/>
    <n v="2024"/>
    <n v="1127"/>
    <n v="45473"/>
    <d v="2026-03-20T19:35:19"/>
  </r>
  <r>
    <s v="TRX0044"/>
    <d v="2024-06-16T00:00:00"/>
    <s v="CUST029"/>
    <x v="23"/>
    <s v="P001"/>
    <s v="Laptop"/>
    <s v="Electronics"/>
    <n v="5"/>
    <n v="899.99"/>
    <s v="PayPal"/>
    <s v="East"/>
    <s v="Premium"/>
    <d v="2023-12-18T00:00:00"/>
    <x v="29"/>
    <s v="Jun"/>
    <n v="2024"/>
    <n v="823"/>
    <n v="45473"/>
    <d v="2026-03-20T19:35:19"/>
  </r>
  <r>
    <s v="TRX0061"/>
    <d v="2024-06-17T00:00:00"/>
    <s v="CUST028"/>
    <x v="32"/>
    <s v="P005"/>
    <s v="Blender"/>
    <s v="Appliances"/>
    <n v="1"/>
    <n v="59.99"/>
    <s v="Debit Card"/>
    <s v="West"/>
    <s v="Premium"/>
    <d v="2023-09-21T00:00:00"/>
    <x v="30"/>
    <s v="Jun"/>
    <n v="2024"/>
    <n v="911"/>
    <n v="45473"/>
    <d v="2026-03-20T19:35:19"/>
  </r>
  <r>
    <s v="TRX0150"/>
    <d v="2024-06-17T00:00:00"/>
    <s v="CUST008"/>
    <x v="27"/>
    <s v="P007"/>
    <s v="Desk"/>
    <s v="Furniture"/>
    <n v="2"/>
    <n v="299.99"/>
    <s v="Debit Card"/>
    <s v="East"/>
    <s v="Standard"/>
    <d v="2023-11-23T00:00:00"/>
    <x v="31"/>
    <s v="Jun"/>
    <n v="2024"/>
    <n v="848"/>
    <n v="45473"/>
    <d v="2026-03-20T19:35:19"/>
  </r>
  <r>
    <s v="TRX0025"/>
    <d v="2024-06-25T00:00:00"/>
    <s v="CUST049"/>
    <x v="34"/>
    <s v="P010"/>
    <s v="Keyboard"/>
    <s v="Electronics"/>
    <n v="4"/>
    <n v="89.99"/>
    <s v="Debit Card"/>
    <s v="South"/>
    <s v="Basic"/>
    <d v="2023-12-21T00:00:00"/>
    <x v="32"/>
    <s v="Jun"/>
    <n v="2024"/>
    <n v="820"/>
    <n v="45473"/>
    <d v="2026-03-20T19:35:19"/>
  </r>
  <r>
    <s v="TRX0078"/>
    <d v="2024-06-26T00:00:00"/>
    <s v="CUST021"/>
    <x v="2"/>
    <s v="P004"/>
    <s v="Coffee Maker"/>
    <s v="Appliances"/>
    <n v="1"/>
    <n v="79.989999999999995"/>
    <s v="PayPal"/>
    <s v="Central"/>
    <s v="Premium"/>
    <d v="2024-03-01T00:00:00"/>
    <x v="26"/>
    <s v="Jun"/>
    <n v="2024"/>
    <n v="749"/>
    <n v="45473"/>
    <d v="2026-03-20T19:35:19"/>
  </r>
  <r>
    <s v="TRX0007"/>
    <d v="2024-06-26T00:00:00"/>
    <s v="CUST009"/>
    <x v="7"/>
    <s v="P010"/>
    <s v="Keyboard"/>
    <s v="Electronics"/>
    <n v="2"/>
    <n v="89.99"/>
    <s v="Cash"/>
    <s v="West"/>
    <s v="Basic"/>
    <d v="2021-08-30T00:00:00"/>
    <x v="28"/>
    <s v="Jun"/>
    <n v="2024"/>
    <n v="1663"/>
    <n v="45473"/>
    <d v="2026-03-20T19:35:19"/>
  </r>
  <r>
    <s v="TRX0184"/>
    <d v="2024-06-28T00:00:00"/>
    <s v="CUST046"/>
    <x v="3"/>
    <s v="P002"/>
    <s v="Smartphone"/>
    <s v="Electronics"/>
    <n v="3"/>
    <n v="699.99"/>
    <s v="Credit Card"/>
    <s v="East"/>
    <s v="Premium"/>
    <d v="2023-06-25T00:00:00"/>
    <x v="7"/>
    <s v="Jun"/>
    <n v="2024"/>
    <n v="999"/>
    <n v="45473"/>
    <d v="2026-03-20T19:35:19"/>
  </r>
  <r>
    <s v="TRX0104"/>
    <d v="2024-06-28T00:00:00"/>
    <s v="CUST012"/>
    <x v="18"/>
    <s v="P001"/>
    <s v="Laptop"/>
    <s v="Electronics"/>
    <n v="4"/>
    <n v="899.99"/>
    <s v="Credit Card"/>
    <s v="East"/>
    <s v="Premium"/>
    <d v="2023-03-08T00:00:00"/>
    <x v="11"/>
    <s v="Jun"/>
    <n v="2024"/>
    <n v="1108"/>
    <n v="45473"/>
    <d v="2026-03-20T19:35:19"/>
  </r>
  <r>
    <s v="TRX0127"/>
    <d v="2024-06-29T00:00:00"/>
    <s v="CUST030"/>
    <x v="22"/>
    <s v="P008"/>
    <s v="Bookshelf"/>
    <s v="Furniture"/>
    <n v="1"/>
    <n v="149.99"/>
    <s v="PayPal"/>
    <s v="East"/>
    <s v="Basic"/>
    <d v="2022-10-17T00:00:00"/>
    <x v="5"/>
    <s v="Jun"/>
    <n v="2024"/>
    <n v="1250"/>
    <n v="45473"/>
    <d v="2026-03-20T19:35:19"/>
  </r>
  <r>
    <s v="TRX0096"/>
    <d v="2024-07-01T00:00:00"/>
    <s v="CUST002"/>
    <x v="25"/>
    <s v="P010"/>
    <s v="Keyboard"/>
    <s v="Electronics"/>
    <n v="2"/>
    <n v="89.99"/>
    <s v="PayPal"/>
    <s v="Central"/>
    <s v="Premium"/>
    <d v="2023-12-15T00:00:00"/>
    <x v="28"/>
    <s v="Jul"/>
    <n v="2024"/>
    <n v="826"/>
    <n v="45504"/>
    <d v="2026-03-20T19:35:19"/>
  </r>
  <r>
    <s v="TRX0192"/>
    <d v="2024-07-02T00:00:00"/>
    <s v="CUST017"/>
    <x v="6"/>
    <s v="P010"/>
    <s v="Keyboard"/>
    <s v="Electronics"/>
    <n v="1"/>
    <n v="89.99"/>
    <s v="PayPal"/>
    <s v="West"/>
    <s v="Standard"/>
    <d v="2022-08-29T00:00:00"/>
    <x v="27"/>
    <s v="Jul"/>
    <n v="2024"/>
    <n v="1299"/>
    <n v="45504"/>
    <d v="2026-03-20T19:35:19"/>
  </r>
  <r>
    <s v="TRX0052"/>
    <d v="2024-07-03T00:00:00"/>
    <s v="CUST022"/>
    <x v="9"/>
    <s v="P010"/>
    <s v="Keyboard"/>
    <s v="Electronics"/>
    <n v="1"/>
    <n v="89.99"/>
    <s v="Cash"/>
    <s v="South"/>
    <s v="Standard"/>
    <d v="2022-02-19T00:00:00"/>
    <x v="27"/>
    <s v="Jul"/>
    <n v="2024"/>
    <n v="1490"/>
    <n v="45504"/>
    <d v="2026-03-20T19:35:19"/>
  </r>
  <r>
    <s v="TRX0070"/>
    <d v="2024-07-03T00:00:00"/>
    <s v="CUST007"/>
    <x v="35"/>
    <s v="P004"/>
    <s v="Coffee Maker"/>
    <s v="Appliances"/>
    <n v="5"/>
    <n v="79.989999999999995"/>
    <s v="Debit Card"/>
    <s v="Central"/>
    <s v="Basic"/>
    <d v="2023-02-24T00:00:00"/>
    <x v="33"/>
    <s v="Jul"/>
    <n v="2024"/>
    <n v="1120"/>
    <n v="45504"/>
    <d v="2026-03-20T19:35:19"/>
  </r>
  <r>
    <s v="TRX0086"/>
    <d v="2024-07-08T00:00:00"/>
    <s v="CUST020"/>
    <x v="36"/>
    <s v="P008"/>
    <s v="Bookshelf"/>
    <s v="Furniture"/>
    <n v="1"/>
    <n v="149.99"/>
    <s v="PayPal"/>
    <s v="North"/>
    <s v="Basic"/>
    <d v="2021-08-13T00:00:00"/>
    <x v="5"/>
    <s v="Jul"/>
    <n v="2024"/>
    <n v="1680"/>
    <n v="45504"/>
    <d v="2026-03-20T19:35:19"/>
  </r>
  <r>
    <s v="TRX0113"/>
    <d v="2024-07-08T00:00:00"/>
    <s v="CUST003"/>
    <x v="4"/>
    <s v="P002"/>
    <s v="Smartphone"/>
    <s v="Electronics"/>
    <n v="2"/>
    <n v="699.99"/>
    <s v="PayPal"/>
    <s v="East"/>
    <s v="Premium"/>
    <d v="2024-04-07T00:00:00"/>
    <x v="10"/>
    <s v="Jul"/>
    <n v="2024"/>
    <n v="712"/>
    <n v="45504"/>
    <d v="2026-03-20T19:35:19"/>
  </r>
  <r>
    <s v="TRX0114"/>
    <d v="2024-07-08T00:00:00"/>
    <s v="CUST018"/>
    <x v="17"/>
    <s v="P010"/>
    <s v="Keyboard"/>
    <s v="Electronics"/>
    <n v="5"/>
    <n v="89.99"/>
    <s v="Debit Card"/>
    <s v="North"/>
    <s v="Premium"/>
    <d v="2023-08-23T00:00:00"/>
    <x v="19"/>
    <s v="Jul"/>
    <n v="2024"/>
    <n v="940"/>
    <n v="45504"/>
    <d v="2026-03-20T19:35:19"/>
  </r>
  <r>
    <s v="TRX0136"/>
    <d v="2024-07-09T00:00:00"/>
    <s v="CUST049"/>
    <x v="34"/>
    <s v="P005"/>
    <s v="Blender"/>
    <s v="Appliances"/>
    <n v="4"/>
    <n v="59.99"/>
    <s v="Cash"/>
    <s v="South"/>
    <s v="Standard"/>
    <d v="2021-11-09T00:00:00"/>
    <x v="20"/>
    <s v="Jul"/>
    <n v="2024"/>
    <n v="1592"/>
    <n v="45504"/>
    <d v="2026-03-20T19:35:19"/>
  </r>
  <r>
    <s v="TRX0018"/>
    <d v="2024-07-11T00:00:00"/>
    <s v="CUST013"/>
    <x v="1"/>
    <s v="P003"/>
    <s v="Headphones"/>
    <s v="Electronics"/>
    <n v="1"/>
    <n v="149.99"/>
    <s v="Cash"/>
    <s v="Central"/>
    <s v="Standard"/>
    <d v="2022-12-14T00:00:00"/>
    <x v="5"/>
    <s v="Jul"/>
    <n v="2024"/>
    <n v="1192"/>
    <n v="45504"/>
    <d v="2026-03-20T19:35:19"/>
  </r>
  <r>
    <s v="TRX0141"/>
    <d v="2024-07-11T00:00:00"/>
    <s v="CUST033"/>
    <x v="37"/>
    <s v="P007"/>
    <s v="Desk"/>
    <s v="Furniture"/>
    <n v="1"/>
    <n v="299.99"/>
    <s v="Credit Card"/>
    <s v="North"/>
    <s v="Premium"/>
    <d v="2022-11-26T00:00:00"/>
    <x v="34"/>
    <s v="Jul"/>
    <n v="2024"/>
    <n v="1210"/>
    <n v="45504"/>
    <d v="2026-03-20T19:35:19"/>
  </r>
  <r>
    <s v="TRX0097"/>
    <d v="2024-07-14T00:00:00"/>
    <s v="CUST033"/>
    <x v="37"/>
    <s v="P006"/>
    <s v="Office Chair"/>
    <s v="Furniture"/>
    <n v="2"/>
    <n v="199.99"/>
    <s v="Cash"/>
    <s v="North"/>
    <s v="Basic"/>
    <d v="2021-12-11T00:00:00"/>
    <x v="35"/>
    <s v="Jul"/>
    <n v="2024"/>
    <n v="1560"/>
    <n v="45504"/>
    <d v="2026-03-20T19:35:19"/>
  </r>
  <r>
    <s v="TRX0169"/>
    <d v="2024-07-17T00:00:00"/>
    <s v="CUST047"/>
    <x v="38"/>
    <s v="P005"/>
    <s v="Blender"/>
    <s v="Appliances"/>
    <n v="3"/>
    <n v="59.99"/>
    <s v="Credit Card"/>
    <s v="West"/>
    <s v="Basic"/>
    <d v="2023-07-23T00:00:00"/>
    <x v="1"/>
    <s v="Jul"/>
    <n v="2024"/>
    <n v="971"/>
    <n v="45504"/>
    <d v="2026-03-20T19:35:19"/>
  </r>
  <r>
    <s v="TRX0216"/>
    <d v="2024-07-17T00:00:00"/>
    <s v="CUST041"/>
    <x v="10"/>
    <s v="P008"/>
    <s v="Bookshelf"/>
    <s v="Furniture"/>
    <n v="3"/>
    <n v="149.99"/>
    <s v="Cash"/>
    <s v="Central"/>
    <s v="Premium"/>
    <d v="2023-09-30T00:00:00"/>
    <x v="6"/>
    <s v="Jul"/>
    <n v="2024"/>
    <n v="902"/>
    <n v="45504"/>
    <d v="2026-03-20T19:35:19"/>
  </r>
  <r>
    <s v="TRX0131"/>
    <d v="2024-07-18T00:00:00"/>
    <s v="CUST026"/>
    <x v="8"/>
    <s v="P006"/>
    <s v="Office Chair"/>
    <s v="Furniture"/>
    <n v="3"/>
    <n v="199.99"/>
    <s v="Cash"/>
    <s v="North"/>
    <s v="Premium"/>
    <d v="2023-11-24T00:00:00"/>
    <x v="24"/>
    <s v="Jul"/>
    <n v="2024"/>
    <n v="847"/>
    <n v="45504"/>
    <d v="2026-03-20T19:35:19"/>
  </r>
  <r>
    <s v="TRX0162"/>
    <d v="2024-07-23T00:00:00"/>
    <s v="CUST040"/>
    <x v="30"/>
    <s v="P001"/>
    <s v="Laptop"/>
    <s v="Electronics"/>
    <n v="1"/>
    <n v="899.99"/>
    <s v="Cash"/>
    <s v="Central"/>
    <s v="Standard"/>
    <d v="2023-09-10T00:00:00"/>
    <x v="8"/>
    <s v="Jul"/>
    <n v="2024"/>
    <n v="922"/>
    <n v="45504"/>
    <d v="2026-03-20T19:35:19"/>
  </r>
  <r>
    <s v="TRX0244"/>
    <d v="2024-07-24T00:00:00"/>
    <s v="CUST013"/>
    <x v="1"/>
    <s v="P001"/>
    <s v="Laptop"/>
    <s v="Electronics"/>
    <n v="5"/>
    <n v="899.99"/>
    <s v="Debit Card"/>
    <s v="South"/>
    <s v="Standard"/>
    <d v="2022-12-04T00:00:00"/>
    <x v="29"/>
    <s v="Jul"/>
    <n v="2024"/>
    <n v="1202"/>
    <n v="45504"/>
    <d v="2026-03-20T19:35:19"/>
  </r>
  <r>
    <s v="TRX0006"/>
    <d v="2024-07-25T00:00:00"/>
    <s v="CUST007"/>
    <x v="35"/>
    <s v="P005"/>
    <s v="Blender"/>
    <s v="Appliances"/>
    <n v="2"/>
    <n v="59.99"/>
    <s v="Cash"/>
    <s v="North"/>
    <s v="Standard"/>
    <d v="2023-08-14T00:00:00"/>
    <x v="3"/>
    <s v="Jul"/>
    <n v="2024"/>
    <n v="949"/>
    <n v="45504"/>
    <d v="2026-03-20T19:35:19"/>
  </r>
  <r>
    <s v="TRX0215"/>
    <d v="2024-07-25T00:00:00"/>
    <s v="CUST047"/>
    <x v="38"/>
    <s v="P009"/>
    <s v="Monitor"/>
    <s v="Electronics"/>
    <n v="4"/>
    <n v="249.99"/>
    <s v="Debit Card"/>
    <s v="Central"/>
    <s v="Standard"/>
    <d v="2023-07-20T00:00:00"/>
    <x v="14"/>
    <s v="Jul"/>
    <n v="2024"/>
    <n v="974"/>
    <n v="45504"/>
    <d v="2026-03-20T19:35:19"/>
  </r>
  <r>
    <s v="TRX0080"/>
    <d v="2024-07-27T00:00:00"/>
    <s v="CUST018"/>
    <x v="17"/>
    <s v="P009"/>
    <s v="Monitor"/>
    <s v="Electronics"/>
    <n v="2"/>
    <n v="249.99"/>
    <s v="Cash"/>
    <s v="North"/>
    <s v="Premium"/>
    <d v="2023-08-26T00:00:00"/>
    <x v="36"/>
    <s v="Jul"/>
    <n v="2024"/>
    <n v="937"/>
    <n v="45504"/>
    <d v="2026-03-20T19:35:19"/>
  </r>
  <r>
    <s v="TRX0228"/>
    <d v="2024-07-27T00:00:00"/>
    <s v="CUST019"/>
    <x v="29"/>
    <s v="P007"/>
    <s v="Desk"/>
    <s v="Furniture"/>
    <n v="1"/>
    <n v="299.99"/>
    <s v="Cash"/>
    <s v="South"/>
    <s v="Basic"/>
    <d v="2023-02-25T00:00:00"/>
    <x v="34"/>
    <s v="Jul"/>
    <n v="2024"/>
    <n v="1119"/>
    <n v="45504"/>
    <d v="2026-03-20T19:35:19"/>
  </r>
  <r>
    <s v="TRX0157"/>
    <d v="2024-07-28T00:00:00"/>
    <s v="CUST025"/>
    <x v="14"/>
    <s v="P010"/>
    <s v="Keyboard"/>
    <s v="Electronics"/>
    <n v="2"/>
    <n v="89.99"/>
    <s v="PayPal"/>
    <s v="South"/>
    <s v="Basic"/>
    <d v="2023-02-19T00:00:00"/>
    <x v="28"/>
    <s v="Jul"/>
    <n v="2024"/>
    <n v="1125"/>
    <n v="45504"/>
    <d v="2026-03-20T19:35:19"/>
  </r>
  <r>
    <s v="TRX0002"/>
    <d v="2024-07-28T00:00:00"/>
    <s v="CUST019"/>
    <x v="29"/>
    <s v="P007"/>
    <s v="Desk"/>
    <s v="Furniture"/>
    <n v="3"/>
    <n v="299.99"/>
    <s v="Cash"/>
    <s v="Central"/>
    <s v="Basic"/>
    <d v="2022-06-20T00:00:00"/>
    <x v="23"/>
    <s v="Jul"/>
    <n v="2024"/>
    <n v="1369"/>
    <n v="45504"/>
    <d v="2026-03-20T19:35:19"/>
  </r>
  <r>
    <s v="TRX0217"/>
    <d v="2024-07-30T00:00:00"/>
    <s v="CUST025"/>
    <x v="14"/>
    <s v="P002"/>
    <s v="Smartphone"/>
    <s v="Electronics"/>
    <n v="2"/>
    <n v="699.99"/>
    <s v="Credit Card"/>
    <s v="North"/>
    <s v="Premium"/>
    <d v="2023-03-14T00:00:00"/>
    <x v="10"/>
    <s v="Jul"/>
    <n v="2024"/>
    <n v="1102"/>
    <n v="45504"/>
    <d v="2026-03-20T19:35:19"/>
  </r>
  <r>
    <s v="TRX0249"/>
    <d v="2024-07-31T00:00:00"/>
    <s v="CUST030"/>
    <x v="22"/>
    <s v="P001"/>
    <s v="Laptop"/>
    <s v="Electronics"/>
    <n v="4"/>
    <n v="899.99"/>
    <s v="Debit Card"/>
    <s v="South"/>
    <s v="Standard"/>
    <d v="2021-11-23T00:00:00"/>
    <x v="11"/>
    <s v="Jul"/>
    <n v="2024"/>
    <n v="1578"/>
    <n v="45504"/>
    <d v="2026-03-20T19:35:19"/>
  </r>
  <r>
    <s v="TRX0065"/>
    <d v="2024-08-05T00:00:00"/>
    <s v="CUST016"/>
    <x v="39"/>
    <s v="P008"/>
    <s v="Bookshelf"/>
    <s v="Furniture"/>
    <n v="2"/>
    <n v="149.99"/>
    <s v="Credit Card"/>
    <s v="West"/>
    <s v="Basic"/>
    <d v="2021-12-12T00:00:00"/>
    <x v="22"/>
    <s v="Aug"/>
    <n v="2024"/>
    <n v="1559"/>
    <n v="45535"/>
    <d v="2026-03-20T19:35:19"/>
  </r>
  <r>
    <s v="TRX0176"/>
    <d v="2024-08-06T00:00:00"/>
    <s v="CUST044"/>
    <x v="19"/>
    <s v="P008"/>
    <s v="Bookshelf"/>
    <s v="Furniture"/>
    <n v="2"/>
    <n v="149.99"/>
    <s v="Debit Card"/>
    <s v="East"/>
    <s v="Standard"/>
    <d v="2022-04-16T00:00:00"/>
    <x v="22"/>
    <s v="Aug"/>
    <n v="2024"/>
    <n v="1434"/>
    <n v="45535"/>
    <d v="2026-03-20T19:35:19"/>
  </r>
  <r>
    <s v="TRX0101"/>
    <d v="2024-08-09T00:00:00"/>
    <s v="CUST010"/>
    <x v="15"/>
    <s v="P010"/>
    <s v="Keyboard"/>
    <s v="Electronics"/>
    <n v="1"/>
    <n v="89.99"/>
    <s v="Credit Card"/>
    <s v="North"/>
    <s v="Standard"/>
    <d v="2024-04-11T00:00:00"/>
    <x v="27"/>
    <s v="Aug"/>
    <n v="2024"/>
    <n v="708"/>
    <n v="45535"/>
    <d v="2026-03-20T19:35:19"/>
  </r>
  <r>
    <s v="TRX0205"/>
    <d v="2024-08-11T00:00:00"/>
    <s v="CUST025"/>
    <x v="14"/>
    <s v="P007"/>
    <s v="Desk"/>
    <s v="Furniture"/>
    <n v="5"/>
    <n v="299.99"/>
    <s v="Credit Card"/>
    <s v="North"/>
    <s v="Basic"/>
    <d v="2023-02-08T00:00:00"/>
    <x v="17"/>
    <s v="Aug"/>
    <n v="2024"/>
    <n v="1136"/>
    <n v="45535"/>
    <d v="2026-03-20T19:35:19"/>
  </r>
  <r>
    <s v="TRX0020"/>
    <d v="2024-08-13T00:00:00"/>
    <s v="CUST007"/>
    <x v="35"/>
    <s v="P003"/>
    <s v="Headphones"/>
    <s v="Electronics"/>
    <n v="4"/>
    <n v="149.99"/>
    <s v="Debit Card"/>
    <s v="South"/>
    <s v="Premium"/>
    <d v="2022-09-16T00:00:00"/>
    <x v="9"/>
    <s v="Aug"/>
    <n v="2024"/>
    <n v="1281"/>
    <n v="45535"/>
    <d v="2026-03-20T19:35:19"/>
  </r>
  <r>
    <s v="TRX0075"/>
    <d v="2024-08-13T00:00:00"/>
    <s v="CUST020"/>
    <x v="36"/>
    <s v="P009"/>
    <s v="Monitor"/>
    <s v="Electronics"/>
    <n v="5"/>
    <n v="249.99"/>
    <s v="PayPal"/>
    <s v="East"/>
    <s v="Premium"/>
    <d v="2022-08-09T00:00:00"/>
    <x v="16"/>
    <s v="Aug"/>
    <n v="2024"/>
    <n v="1319"/>
    <n v="45535"/>
    <d v="2026-03-20T19:35:19"/>
  </r>
  <r>
    <s v="TRX0098"/>
    <d v="2024-08-13T00:00:00"/>
    <s v="CUST026"/>
    <x v="8"/>
    <s v="P009"/>
    <s v="Monitor"/>
    <s v="Electronics"/>
    <n v="3"/>
    <n v="249.99"/>
    <s v="PayPal"/>
    <s v="North"/>
    <s v="Premium"/>
    <d v="2021-09-26T00:00:00"/>
    <x v="0"/>
    <s v="Aug"/>
    <n v="2024"/>
    <n v="1636"/>
    <n v="45535"/>
    <d v="2026-03-20T19:35:19"/>
  </r>
  <r>
    <s v="TRX0247"/>
    <d v="2024-08-13T00:00:00"/>
    <s v="CUST046"/>
    <x v="3"/>
    <s v="P006"/>
    <s v="Office Chair"/>
    <s v="Furniture"/>
    <n v="4"/>
    <n v="199.99"/>
    <s v="Cash"/>
    <s v="North"/>
    <s v="Standard"/>
    <d v="2021-09-19T00:00:00"/>
    <x v="37"/>
    <s v="Aug"/>
    <n v="2024"/>
    <n v="1643"/>
    <n v="45535"/>
    <d v="2026-03-20T19:35:19"/>
  </r>
  <r>
    <s v="TRX0027"/>
    <d v="2024-08-15T00:00:00"/>
    <s v="CUST028"/>
    <x v="32"/>
    <s v="P006"/>
    <s v="Office Chair"/>
    <s v="Furniture"/>
    <n v="5"/>
    <n v="199.99"/>
    <s v="Cash"/>
    <s v="North"/>
    <s v="Premium"/>
    <d v="2023-03-06T00:00:00"/>
    <x v="21"/>
    <s v="Aug"/>
    <n v="2024"/>
    <n v="1110"/>
    <n v="45535"/>
    <d v="2026-03-20T19:35:19"/>
  </r>
  <r>
    <s v="TRX0140"/>
    <d v="2024-08-18T00:00:00"/>
    <s v="CUST025"/>
    <x v="14"/>
    <s v="P010"/>
    <s v="Keyboard"/>
    <s v="Electronics"/>
    <n v="2"/>
    <n v="89.99"/>
    <s v="Cash"/>
    <s v="East"/>
    <s v="Premium"/>
    <d v="2023-02-15T00:00:00"/>
    <x v="28"/>
    <s v="Aug"/>
    <n v="2024"/>
    <n v="1129"/>
    <n v="45535"/>
    <d v="2026-03-20T19:35:19"/>
  </r>
  <r>
    <s v="TRX0132"/>
    <d v="2024-08-19T00:00:00"/>
    <s v="CUST047"/>
    <x v="38"/>
    <s v="P001"/>
    <s v="Laptop"/>
    <s v="Electronics"/>
    <n v="5"/>
    <n v="899.99"/>
    <s v="Debit Card"/>
    <s v="East"/>
    <s v="Basic"/>
    <d v="2021-11-26T00:00:00"/>
    <x v="29"/>
    <s v="Aug"/>
    <n v="2024"/>
    <n v="1575"/>
    <n v="45535"/>
    <d v="2026-03-20T19:35:19"/>
  </r>
  <r>
    <s v="TRX0031"/>
    <d v="2024-08-19T00:00:00"/>
    <s v="CUST036"/>
    <x v="20"/>
    <s v="P003"/>
    <s v="Headphones"/>
    <s v="Electronics"/>
    <n v="3"/>
    <n v="149.99"/>
    <s v="PayPal"/>
    <s v="East"/>
    <s v="Basic"/>
    <d v="2022-01-13T00:00:00"/>
    <x v="6"/>
    <s v="Aug"/>
    <n v="2024"/>
    <n v="1527"/>
    <n v="45535"/>
    <d v="2026-03-20T19:35:19"/>
  </r>
  <r>
    <s v="TRX0236"/>
    <d v="2024-08-22T00:00:00"/>
    <s v="CUST044"/>
    <x v="19"/>
    <s v="P008"/>
    <s v="Bookshelf"/>
    <s v="Furniture"/>
    <n v="5"/>
    <n v="149.99"/>
    <s v="Credit Card"/>
    <s v="Central"/>
    <s v="Basic"/>
    <d v="2024-01-19T00:00:00"/>
    <x v="2"/>
    <s v="Aug"/>
    <n v="2024"/>
    <n v="791"/>
    <n v="45535"/>
    <d v="2026-03-20T19:35:19"/>
  </r>
  <r>
    <s v="TRX0001"/>
    <d v="2024-08-24T00:00:00"/>
    <s v="CUST039"/>
    <x v="40"/>
    <s v="P004"/>
    <s v="Coffee Maker"/>
    <s v="Appliances"/>
    <n v="3"/>
    <n v="79.989999999999995"/>
    <s v="Cash"/>
    <s v="Central"/>
    <s v="Premium"/>
    <d v="2022-08-06T00:00:00"/>
    <x v="18"/>
    <s v="Aug"/>
    <n v="2024"/>
    <n v="1322"/>
    <n v="45535"/>
    <d v="2026-03-20T19:35:19"/>
  </r>
  <r>
    <s v="TRX0037"/>
    <d v="2024-08-24T00:00:00"/>
    <s v="CUST035"/>
    <x v="28"/>
    <s v="P009"/>
    <s v="Monitor"/>
    <s v="Electronics"/>
    <n v="2"/>
    <n v="249.99"/>
    <s v="Cash"/>
    <s v="South"/>
    <s v="Standard"/>
    <d v="2022-01-11T00:00:00"/>
    <x v="36"/>
    <s v="Aug"/>
    <n v="2024"/>
    <n v="1529"/>
    <n v="45535"/>
    <d v="2026-03-20T19:35:19"/>
  </r>
  <r>
    <s v="TRX0058"/>
    <d v="2024-08-28T00:00:00"/>
    <s v="CUST047"/>
    <x v="38"/>
    <s v="P002"/>
    <s v="Smartphone"/>
    <s v="Electronics"/>
    <n v="1"/>
    <n v="699.99"/>
    <s v="Cash"/>
    <s v="Central"/>
    <s v="Premium"/>
    <d v="2021-10-28T00:00:00"/>
    <x v="38"/>
    <s v="Aug"/>
    <n v="2024"/>
    <n v="1604"/>
    <n v="45535"/>
    <d v="2026-03-20T19:35:19"/>
  </r>
  <r>
    <s v="TRX0170"/>
    <d v="2024-08-28T00:00:00"/>
    <s v="CUST034"/>
    <x v="41"/>
    <s v="P003"/>
    <s v="Headphones"/>
    <s v="Electronics"/>
    <n v="3"/>
    <n v="149.99"/>
    <s v="Cash"/>
    <s v="West"/>
    <s v="Premium"/>
    <d v="2023-10-13T00:00:00"/>
    <x v="6"/>
    <s v="Aug"/>
    <n v="2024"/>
    <n v="889"/>
    <n v="45535"/>
    <d v="2026-03-20T19:35:19"/>
  </r>
  <r>
    <s v="TRX0248"/>
    <d v="2024-08-30T00:00:00"/>
    <s v="CUST032"/>
    <x v="42"/>
    <s v="P002"/>
    <s v="Smartphone"/>
    <s v="Electronics"/>
    <n v="2"/>
    <n v="699.99"/>
    <s v="Credit Card"/>
    <s v="North"/>
    <s v="Premium"/>
    <d v="2021-08-13T00:00:00"/>
    <x v="10"/>
    <s v="Aug"/>
    <n v="2024"/>
    <n v="1680"/>
    <n v="45535"/>
    <d v="2026-03-20T19:35:19"/>
  </r>
  <r>
    <s v="TRX0099"/>
    <d v="2024-09-02T00:00:00"/>
    <s v="CUST034"/>
    <x v="41"/>
    <s v="P009"/>
    <s v="Monitor"/>
    <s v="Electronics"/>
    <n v="1"/>
    <n v="249.99"/>
    <s v="Credit Card"/>
    <s v="West"/>
    <s v="Premium"/>
    <d v="2022-05-04T00:00:00"/>
    <x v="39"/>
    <s v="Sep"/>
    <n v="2024"/>
    <n v="1416"/>
    <n v="45565"/>
    <d v="2026-03-20T19:35:19"/>
  </r>
  <r>
    <s v="TRX0074"/>
    <d v="2024-09-02T00:00:00"/>
    <s v="CUST023"/>
    <x v="0"/>
    <s v="P009"/>
    <s v="Monitor"/>
    <s v="Electronics"/>
    <n v="1"/>
    <n v="249.99"/>
    <s v="Debit Card"/>
    <s v="North"/>
    <s v="Premium"/>
    <d v="2024-02-10T00:00:00"/>
    <x v="39"/>
    <s v="Sep"/>
    <n v="2024"/>
    <n v="769"/>
    <n v="45565"/>
    <d v="2026-03-20T19:35:19"/>
  </r>
  <r>
    <s v="TRX0225"/>
    <d v="2024-09-03T00:00:00"/>
    <s v="CUST039"/>
    <x v="40"/>
    <s v="P002"/>
    <s v="Smartphone"/>
    <s v="Electronics"/>
    <n v="2"/>
    <n v="699.99"/>
    <s v="Debit Card"/>
    <s v="Central"/>
    <s v="Premium"/>
    <d v="2022-11-05T00:00:00"/>
    <x v="10"/>
    <s v="Sep"/>
    <n v="2024"/>
    <n v="1231"/>
    <n v="45565"/>
    <d v="2026-03-20T19:35:19"/>
  </r>
  <r>
    <s v="TRX0100"/>
    <d v="2024-09-06T00:00:00"/>
    <s v="CUST031"/>
    <x v="26"/>
    <s v="P005"/>
    <s v="Blender"/>
    <s v="Appliances"/>
    <n v="3"/>
    <n v="59.99"/>
    <s v="Credit Card"/>
    <s v="Central"/>
    <s v="Premium"/>
    <d v="2022-06-05T00:00:00"/>
    <x v="1"/>
    <s v="Sep"/>
    <n v="2024"/>
    <n v="1384"/>
    <n v="45565"/>
    <d v="2026-03-20T19:35:19"/>
  </r>
  <r>
    <s v="TRX0142"/>
    <d v="2024-09-09T00:00:00"/>
    <s v="CUST002"/>
    <x v="25"/>
    <s v="P005"/>
    <s v="Blender"/>
    <s v="Appliances"/>
    <n v="3"/>
    <n v="59.99"/>
    <s v="PayPal"/>
    <s v="East"/>
    <s v="Standard"/>
    <d v="2022-07-06T00:00:00"/>
    <x v="1"/>
    <s v="Sep"/>
    <n v="2024"/>
    <n v="1353"/>
    <n v="45565"/>
    <d v="2026-03-20T19:35:19"/>
  </r>
  <r>
    <s v="TRX0112"/>
    <d v="2024-09-09T00:00:00"/>
    <s v="CUST008"/>
    <x v="27"/>
    <s v="P004"/>
    <s v="Coffee Maker"/>
    <s v="Appliances"/>
    <n v="4"/>
    <n v="79.989999999999995"/>
    <s v="Cash"/>
    <s v="North"/>
    <s v="Basic"/>
    <d v="2021-11-30T00:00:00"/>
    <x v="40"/>
    <s v="Sep"/>
    <n v="2024"/>
    <n v="1571"/>
    <n v="45565"/>
    <d v="2026-03-20T19:35:19"/>
  </r>
  <r>
    <s v="TRX0161"/>
    <d v="2024-09-10T00:00:00"/>
    <s v="CUST017"/>
    <x v="6"/>
    <s v="P004"/>
    <s v="Coffee Maker"/>
    <s v="Appliances"/>
    <n v="1"/>
    <n v="79.989999999999995"/>
    <s v="Cash"/>
    <s v="West"/>
    <s v="Basic"/>
    <d v="2022-05-12T00:00:00"/>
    <x v="26"/>
    <s v="Sep"/>
    <n v="2024"/>
    <n v="1408"/>
    <n v="45565"/>
    <d v="2026-03-20T19:35:19"/>
  </r>
  <r>
    <s v="TRX0108"/>
    <d v="2024-09-12T00:00:00"/>
    <s v="CUST024"/>
    <x v="5"/>
    <s v="P007"/>
    <s v="Desk"/>
    <s v="Furniture"/>
    <n v="3"/>
    <n v="299.99"/>
    <s v="Credit Card"/>
    <s v="Central"/>
    <s v="Premium"/>
    <d v="2021-10-25T00:00:00"/>
    <x v="23"/>
    <s v="Sep"/>
    <n v="2024"/>
    <n v="1607"/>
    <n v="45565"/>
    <d v="2026-03-20T19:35:19"/>
  </r>
  <r>
    <s v="TRX0211"/>
    <d v="2024-09-13T00:00:00"/>
    <s v="CUST046"/>
    <x v="3"/>
    <s v="P010"/>
    <s v="Keyboard"/>
    <s v="Electronics"/>
    <n v="2"/>
    <n v="89.99"/>
    <s v="Credit Card"/>
    <s v="South"/>
    <s v="Premium"/>
    <d v="2022-03-21T00:00:00"/>
    <x v="28"/>
    <s v="Sep"/>
    <n v="2024"/>
    <n v="1460"/>
    <n v="45565"/>
    <d v="2026-03-20T19:35:19"/>
  </r>
  <r>
    <s v="TRX0005"/>
    <d v="2024-09-15T00:00:00"/>
    <s v="CUST042"/>
    <x v="43"/>
    <s v="P003"/>
    <s v="Headphones"/>
    <s v="Electronics"/>
    <n v="4"/>
    <n v="149.99"/>
    <s v="Cash"/>
    <s v="North"/>
    <s v="Basic"/>
    <d v="2022-12-14T00:00:00"/>
    <x v="9"/>
    <s v="Sep"/>
    <n v="2024"/>
    <n v="1192"/>
    <n v="45565"/>
    <d v="2026-03-20T19:35:19"/>
  </r>
  <r>
    <s v="TRX0195"/>
    <d v="2024-09-16T00:00:00"/>
    <s v="CUST026"/>
    <x v="8"/>
    <s v="P009"/>
    <s v="Monitor"/>
    <s v="Electronics"/>
    <n v="2"/>
    <n v="249.99"/>
    <s v="PayPal"/>
    <s v="South"/>
    <s v="Basic"/>
    <d v="2023-03-08T00:00:00"/>
    <x v="36"/>
    <s v="Sep"/>
    <n v="2024"/>
    <n v="1108"/>
    <n v="45565"/>
    <d v="2026-03-20T19:35:19"/>
  </r>
  <r>
    <s v="TRX0054"/>
    <d v="2024-09-16T00:00:00"/>
    <s v="CUST004"/>
    <x v="31"/>
    <s v="P006"/>
    <s v="Office Chair"/>
    <s v="Furniture"/>
    <n v="4"/>
    <n v="199.99"/>
    <s v="Debit Card"/>
    <s v="East"/>
    <s v="Basic"/>
    <d v="2021-09-19T00:00:00"/>
    <x v="37"/>
    <s v="Sep"/>
    <n v="2024"/>
    <n v="1643"/>
    <n v="45565"/>
    <d v="2026-03-20T19:35:19"/>
  </r>
  <r>
    <s v="TRX0077"/>
    <d v="2024-09-19T00:00:00"/>
    <s v="CUST019"/>
    <x v="29"/>
    <s v="P010"/>
    <s v="Keyboard"/>
    <s v="Electronics"/>
    <n v="5"/>
    <n v="89.99"/>
    <s v="Credit Card"/>
    <s v="East"/>
    <s v="Premium"/>
    <d v="2021-09-07T00:00:00"/>
    <x v="19"/>
    <s v="Sep"/>
    <n v="2024"/>
    <n v="1655"/>
    <n v="45565"/>
    <d v="2026-03-20T19:35:19"/>
  </r>
  <r>
    <s v="TRX0111"/>
    <d v="2024-09-19T00:00:00"/>
    <s v="CUST011"/>
    <x v="44"/>
    <s v="P003"/>
    <s v="Headphones"/>
    <s v="Electronics"/>
    <n v="1"/>
    <n v="149.99"/>
    <s v="PayPal"/>
    <s v="East"/>
    <s v="Standard"/>
    <d v="2021-10-13T00:00:00"/>
    <x v="5"/>
    <s v="Sep"/>
    <n v="2024"/>
    <n v="1619"/>
    <n v="45565"/>
    <d v="2026-03-20T19:35:19"/>
  </r>
  <r>
    <s v="TRX0123"/>
    <d v="2024-09-19T00:00:00"/>
    <s v="CUST041"/>
    <x v="10"/>
    <s v="P002"/>
    <s v="Smartphone"/>
    <s v="Electronics"/>
    <n v="4"/>
    <n v="699.99"/>
    <s v="PayPal"/>
    <s v="South"/>
    <s v="Basic"/>
    <d v="2022-02-26T00:00:00"/>
    <x v="13"/>
    <s v="Sep"/>
    <n v="2024"/>
    <n v="1483"/>
    <n v="45565"/>
    <d v="2026-03-20T19:35:19"/>
  </r>
  <r>
    <s v="TRX0177"/>
    <d v="2024-09-24T00:00:00"/>
    <s v="CUST032"/>
    <x v="42"/>
    <s v="P001"/>
    <s v="Laptop"/>
    <s v="Electronics"/>
    <n v="3"/>
    <n v="899.99"/>
    <s v="Credit Card"/>
    <s v="North"/>
    <s v="Standard"/>
    <d v="2023-08-19T00:00:00"/>
    <x v="4"/>
    <s v="Sep"/>
    <n v="2024"/>
    <n v="944"/>
    <n v="45565"/>
    <d v="2026-03-20T19:35:19"/>
  </r>
  <r>
    <s v="TRX0119"/>
    <d v="2024-09-25T00:00:00"/>
    <s v="CUST014"/>
    <x v="21"/>
    <s v="P008"/>
    <s v="Bookshelf"/>
    <s v="Furniture"/>
    <n v="3"/>
    <n v="149.99"/>
    <s v="PayPal"/>
    <s v="East"/>
    <s v="Basic"/>
    <d v="2022-11-21T00:00:00"/>
    <x v="6"/>
    <s v="Sep"/>
    <n v="2024"/>
    <n v="1215"/>
    <n v="45565"/>
    <d v="2026-03-20T19:35:19"/>
  </r>
  <r>
    <s v="TRX0181"/>
    <d v="2024-09-28T00:00:00"/>
    <s v="CUST012"/>
    <x v="18"/>
    <s v="P007"/>
    <s v="Desk"/>
    <s v="Furniture"/>
    <n v="2"/>
    <n v="299.99"/>
    <s v="Debit Card"/>
    <s v="Central"/>
    <s v="Basic"/>
    <d v="2022-01-08T00:00:00"/>
    <x v="31"/>
    <s v="Sep"/>
    <n v="2024"/>
    <n v="1532"/>
    <n v="45565"/>
    <d v="2026-03-20T19:35:19"/>
  </r>
  <r>
    <s v="TRX0129"/>
    <d v="2024-09-29T00:00:00"/>
    <s v="CUST015"/>
    <x v="45"/>
    <s v="P006"/>
    <s v="Office Chair"/>
    <s v="Furniture"/>
    <n v="1"/>
    <n v="199.99"/>
    <s v="Debit Card"/>
    <s v="East"/>
    <s v="Standard"/>
    <d v="2023-01-27T00:00:00"/>
    <x v="41"/>
    <s v="Sep"/>
    <n v="2024"/>
    <n v="1148"/>
    <n v="45565"/>
    <d v="2026-03-20T19:35:19"/>
  </r>
  <r>
    <s v="TRX0174"/>
    <d v="2024-10-01T00:00:00"/>
    <s v="CUST003"/>
    <x v="4"/>
    <s v="P007"/>
    <s v="Desk"/>
    <s v="Furniture"/>
    <n v="4"/>
    <n v="299.99"/>
    <s v="Cash"/>
    <s v="Central"/>
    <s v="Premium"/>
    <d v="2021-09-21T00:00:00"/>
    <x v="15"/>
    <s v="Oct"/>
    <n v="2024"/>
    <n v="1641"/>
    <n v="45596"/>
    <d v="2026-03-20T19:35:19"/>
  </r>
  <r>
    <s v="TRX0146"/>
    <d v="2024-10-07T00:00:00"/>
    <s v="CUST010"/>
    <x v="15"/>
    <s v="P005"/>
    <s v="Blender"/>
    <s v="Appliances"/>
    <n v="2"/>
    <n v="59.99"/>
    <s v="Credit Card"/>
    <s v="Central"/>
    <s v="Basic"/>
    <d v="2022-01-18T00:00:00"/>
    <x v="3"/>
    <s v="Oct"/>
    <n v="2024"/>
    <n v="1522"/>
    <n v="45596"/>
    <d v="2026-03-20T19:35:19"/>
  </r>
  <r>
    <s v="TRX0203"/>
    <d v="2024-10-07T00:00:00"/>
    <s v="CUST032"/>
    <x v="42"/>
    <s v="P003"/>
    <s v="Headphones"/>
    <s v="Electronics"/>
    <n v="4"/>
    <n v="149.99"/>
    <s v="Credit Card"/>
    <s v="North"/>
    <s v="Premium"/>
    <d v="2023-05-30T00:00:00"/>
    <x v="9"/>
    <s v="Oct"/>
    <n v="2024"/>
    <n v="1025"/>
    <n v="45596"/>
    <d v="2026-03-20T19:35:19"/>
  </r>
  <r>
    <s v="TRX0055"/>
    <d v="2024-10-08T00:00:00"/>
    <s v="CUST016"/>
    <x v="39"/>
    <s v="P002"/>
    <s v="Smartphone"/>
    <s v="Electronics"/>
    <n v="2"/>
    <n v="699.99"/>
    <s v="Debit Card"/>
    <s v="East"/>
    <s v="Premium"/>
    <d v="2023-12-14T00:00:00"/>
    <x v="10"/>
    <s v="Oct"/>
    <n v="2024"/>
    <n v="827"/>
    <n v="45596"/>
    <d v="2026-03-20T19:35:19"/>
  </r>
  <r>
    <s v="TRX0218"/>
    <d v="2024-10-08T00:00:00"/>
    <s v="CUST034"/>
    <x v="41"/>
    <s v="P008"/>
    <s v="Bookshelf"/>
    <s v="Furniture"/>
    <n v="3"/>
    <n v="149.99"/>
    <s v="Credit Card"/>
    <s v="South"/>
    <s v="Standard"/>
    <d v="2023-01-14T00:00:00"/>
    <x v="6"/>
    <s v="Oct"/>
    <n v="2024"/>
    <n v="1161"/>
    <n v="45596"/>
    <d v="2026-03-20T19:35:19"/>
  </r>
  <r>
    <s v="TRX0085"/>
    <d v="2024-10-11T00:00:00"/>
    <s v="CUST019"/>
    <x v="29"/>
    <s v="P007"/>
    <s v="Desk"/>
    <s v="Furniture"/>
    <n v="3"/>
    <n v="299.99"/>
    <s v="Credit Card"/>
    <s v="Central"/>
    <s v="Standard"/>
    <d v="2023-09-05T00:00:00"/>
    <x v="23"/>
    <s v="Oct"/>
    <n v="2024"/>
    <n v="927"/>
    <n v="45596"/>
    <d v="2026-03-20T19:35:19"/>
  </r>
  <r>
    <s v="TRX0158"/>
    <d v="2024-10-14T00:00:00"/>
    <s v="CUST027"/>
    <x v="13"/>
    <s v="P001"/>
    <s v="Laptop"/>
    <s v="Electronics"/>
    <n v="3"/>
    <n v="899.99"/>
    <s v="PayPal"/>
    <s v="West"/>
    <s v="Basic"/>
    <d v="2023-10-16T00:00:00"/>
    <x v="4"/>
    <s v="Oct"/>
    <n v="2024"/>
    <n v="886"/>
    <n v="45596"/>
    <d v="2026-03-20T19:35:19"/>
  </r>
  <r>
    <s v="TRX0173"/>
    <d v="2024-10-16T00:00:00"/>
    <s v="CUST018"/>
    <x v="17"/>
    <s v="P002"/>
    <s v="Smartphone"/>
    <s v="Electronics"/>
    <n v="5"/>
    <n v="699.99"/>
    <s v="Cash"/>
    <s v="East"/>
    <s v="Standard"/>
    <d v="2023-03-23T00:00:00"/>
    <x v="12"/>
    <s v="Oct"/>
    <n v="2024"/>
    <n v="1093"/>
    <n v="45596"/>
    <d v="2026-03-20T19:35:19"/>
  </r>
  <r>
    <s v="TRX0034"/>
    <d v="2024-10-16T00:00:00"/>
    <s v="CUST049"/>
    <x v="34"/>
    <s v="P002"/>
    <s v="Smartphone"/>
    <s v="Electronics"/>
    <n v="4"/>
    <n v="699.99"/>
    <s v="Credit Card"/>
    <s v="Central"/>
    <s v="Basic"/>
    <d v="2024-04-03T00:00:00"/>
    <x v="13"/>
    <s v="Oct"/>
    <n v="2024"/>
    <n v="716"/>
    <n v="45596"/>
    <d v="2026-03-20T19:35:19"/>
  </r>
  <r>
    <s v="TRX0189"/>
    <d v="2024-10-16T00:00:00"/>
    <s v="CUST040"/>
    <x v="30"/>
    <s v="P001"/>
    <s v="Laptop"/>
    <s v="Electronics"/>
    <n v="1"/>
    <n v="899.99"/>
    <s v="Credit Card"/>
    <s v="East"/>
    <s v="Standard"/>
    <d v="2024-03-18T00:00:00"/>
    <x v="8"/>
    <s v="Oct"/>
    <n v="2024"/>
    <n v="732"/>
    <n v="45596"/>
    <d v="2026-03-20T19:35:19"/>
  </r>
  <r>
    <s v="TRX0190"/>
    <d v="2024-10-18T00:00:00"/>
    <s v="CUST039"/>
    <x v="40"/>
    <s v="P003"/>
    <s v="Headphones"/>
    <s v="Electronics"/>
    <n v="2"/>
    <n v="149.99"/>
    <s v="Credit Card"/>
    <s v="West"/>
    <s v="Basic"/>
    <d v="2022-12-21T00:00:00"/>
    <x v="22"/>
    <s v="Oct"/>
    <n v="2024"/>
    <n v="1185"/>
    <n v="45596"/>
    <d v="2026-03-20T19:35:19"/>
  </r>
  <r>
    <s v="TRX0079"/>
    <d v="2024-10-21T00:00:00"/>
    <s v="CUST039"/>
    <x v="40"/>
    <s v="P010"/>
    <s v="Keyboard"/>
    <s v="Electronics"/>
    <n v="3"/>
    <n v="89.99"/>
    <s v="PayPal"/>
    <s v="Central"/>
    <s v="Basic"/>
    <d v="2021-12-21T00:00:00"/>
    <x v="25"/>
    <s v="Oct"/>
    <n v="2024"/>
    <n v="1550"/>
    <n v="45596"/>
    <d v="2026-03-20T19:35:19"/>
  </r>
  <r>
    <s v="TRX0095"/>
    <d v="2024-10-23T00:00:00"/>
    <s v="CUST046"/>
    <x v="3"/>
    <s v="P003"/>
    <s v="Headphones"/>
    <s v="Electronics"/>
    <n v="2"/>
    <n v="149.99"/>
    <s v="PayPal"/>
    <s v="Central"/>
    <s v="Basic"/>
    <d v="2021-10-04T00:00:00"/>
    <x v="22"/>
    <s v="Oct"/>
    <n v="2024"/>
    <n v="1628"/>
    <n v="45596"/>
    <d v="2026-03-20T19:35:19"/>
  </r>
  <r>
    <s v="TRX0009"/>
    <d v="2024-10-23T00:00:00"/>
    <s v="CUST004"/>
    <x v="31"/>
    <s v="P002"/>
    <s v="Smartphone"/>
    <s v="Electronics"/>
    <n v="2"/>
    <n v="699.99"/>
    <s v="Cash"/>
    <s v="Central"/>
    <s v="Basic"/>
    <d v="2023-03-07T00:00:00"/>
    <x v="10"/>
    <s v="Oct"/>
    <n v="2024"/>
    <n v="1109"/>
    <n v="45596"/>
    <d v="2026-03-20T19:35:19"/>
  </r>
  <r>
    <s v="TRX0167"/>
    <d v="2024-10-24T00:00:00"/>
    <s v="CUST028"/>
    <x v="32"/>
    <s v="P002"/>
    <s v="Smartphone"/>
    <s v="Electronics"/>
    <n v="5"/>
    <n v="699.99"/>
    <s v="Cash"/>
    <s v="North"/>
    <s v="Premium"/>
    <d v="2022-03-15T00:00:00"/>
    <x v="12"/>
    <s v="Oct"/>
    <n v="2024"/>
    <n v="1466"/>
    <n v="45596"/>
    <d v="2026-03-20T19:35:19"/>
  </r>
  <r>
    <s v="TRX0153"/>
    <d v="2024-10-27T00:00:00"/>
    <s v="CUST049"/>
    <x v="34"/>
    <s v="P010"/>
    <s v="Keyboard"/>
    <s v="Electronics"/>
    <n v="3"/>
    <n v="89.99"/>
    <s v="Credit Card"/>
    <s v="North"/>
    <s v="Standard"/>
    <d v="2022-02-23T00:00:00"/>
    <x v="25"/>
    <s v="Oct"/>
    <n v="2024"/>
    <n v="1486"/>
    <n v="45596"/>
    <d v="2026-03-20T19:35:19"/>
  </r>
  <r>
    <s v="TRX0057"/>
    <d v="2024-11-01T00:00:00"/>
    <s v="CUST023"/>
    <x v="0"/>
    <s v="P009"/>
    <s v="Monitor"/>
    <s v="Electronics"/>
    <n v="5"/>
    <n v="249.99"/>
    <s v="Credit Card"/>
    <s v="South"/>
    <s v="Standard"/>
    <d v="2022-11-16T00:00:00"/>
    <x v="16"/>
    <s v="Nov"/>
    <n v="2024"/>
    <n v="1220"/>
    <n v="45626"/>
    <d v="2026-03-20T19:35:19"/>
  </r>
  <r>
    <s v="TRX0017"/>
    <d v="2024-11-04T00:00:00"/>
    <s v="CUST026"/>
    <x v="8"/>
    <s v="P007"/>
    <s v="Desk"/>
    <s v="Furniture"/>
    <n v="3"/>
    <n v="299.99"/>
    <s v="Credit Card"/>
    <s v="South"/>
    <s v="Standard"/>
    <d v="2021-11-02T00:00:00"/>
    <x v="23"/>
    <s v="Nov"/>
    <n v="2024"/>
    <n v="1599"/>
    <n v="45626"/>
    <d v="2026-03-20T19:35:19"/>
  </r>
  <r>
    <s v="TRX0060"/>
    <d v="2024-11-07T00:00:00"/>
    <s v="CUST012"/>
    <x v="18"/>
    <s v="P010"/>
    <s v="Keyboard"/>
    <s v="Electronics"/>
    <n v="3"/>
    <n v="89.99"/>
    <s v="Credit Card"/>
    <s v="North"/>
    <s v="Premium"/>
    <d v="2021-08-12T00:00:00"/>
    <x v="25"/>
    <s v="Nov"/>
    <n v="2024"/>
    <n v="1681"/>
    <n v="45626"/>
    <d v="2026-03-20T19:35:19"/>
  </r>
  <r>
    <s v="TRX0109"/>
    <d v="2024-11-08T00:00:00"/>
    <s v="CUST010"/>
    <x v="15"/>
    <s v="P008"/>
    <s v="Bookshelf"/>
    <s v="Furniture"/>
    <n v="2"/>
    <n v="149.99"/>
    <s v="Credit Card"/>
    <s v="West"/>
    <s v="Premium"/>
    <d v="2022-10-14T00:00:00"/>
    <x v="22"/>
    <s v="Nov"/>
    <n v="2024"/>
    <n v="1253"/>
    <n v="45626"/>
    <d v="2026-03-20T19:35:19"/>
  </r>
  <r>
    <s v="TRX0090"/>
    <d v="2024-11-09T00:00:00"/>
    <s v="CUST020"/>
    <x v="36"/>
    <s v="P009"/>
    <s v="Monitor"/>
    <s v="Electronics"/>
    <n v="1"/>
    <n v="249.99"/>
    <s v="Credit Card"/>
    <s v="North"/>
    <s v="Premium"/>
    <d v="2022-09-24T00:00:00"/>
    <x v="39"/>
    <s v="Nov"/>
    <n v="2024"/>
    <n v="1273"/>
    <n v="45626"/>
    <d v="2026-03-20T19:35:19"/>
  </r>
  <r>
    <s v="TRX0035"/>
    <d v="2024-11-11T00:00:00"/>
    <s v="CUST041"/>
    <x v="10"/>
    <s v="P003"/>
    <s v="Headphones"/>
    <s v="Electronics"/>
    <n v="3"/>
    <n v="149.99"/>
    <s v="Cash"/>
    <s v="North"/>
    <s v="Basic"/>
    <d v="2022-07-27T00:00:00"/>
    <x v="6"/>
    <s v="Nov"/>
    <n v="2024"/>
    <n v="1332"/>
    <n v="45626"/>
    <d v="2026-03-20T19:35:19"/>
  </r>
  <r>
    <s v="TRX0172"/>
    <d v="2024-11-11T00:00:00"/>
    <s v="CUST023"/>
    <x v="0"/>
    <s v="P005"/>
    <s v="Blender"/>
    <s v="Appliances"/>
    <n v="5"/>
    <n v="59.99"/>
    <s v="PayPal"/>
    <s v="West"/>
    <s v="Premium"/>
    <d v="2022-05-13T00:00:00"/>
    <x v="42"/>
    <s v="Nov"/>
    <n v="2024"/>
    <n v="1407"/>
    <n v="45626"/>
    <d v="2026-03-20T19:35:19"/>
  </r>
  <r>
    <s v="TRX0076"/>
    <d v="2024-11-11T00:00:00"/>
    <s v="CUST012"/>
    <x v="18"/>
    <s v="P009"/>
    <s v="Monitor"/>
    <s v="Electronics"/>
    <n v="4"/>
    <n v="249.99"/>
    <s v="Credit Card"/>
    <s v="West"/>
    <s v="Standard"/>
    <d v="2022-04-08T00:00:00"/>
    <x v="14"/>
    <s v="Nov"/>
    <n v="2024"/>
    <n v="1442"/>
    <n v="45626"/>
    <d v="2026-03-20T19:35:19"/>
  </r>
  <r>
    <s v="TRX0210"/>
    <d v="2024-11-12T00:00:00"/>
    <s v="CUST004"/>
    <x v="31"/>
    <s v="P008"/>
    <s v="Bookshelf"/>
    <s v="Furniture"/>
    <n v="5"/>
    <n v="149.99"/>
    <s v="PayPal"/>
    <s v="Central"/>
    <s v="Basic"/>
    <d v="2022-12-06T00:00:00"/>
    <x v="2"/>
    <s v="Nov"/>
    <n v="2024"/>
    <n v="1200"/>
    <n v="45626"/>
    <d v="2026-03-20T19:35:19"/>
  </r>
  <r>
    <s v="TRX0149"/>
    <d v="2024-11-12T00:00:00"/>
    <s v="CUST027"/>
    <x v="13"/>
    <s v="P005"/>
    <s v="Blender"/>
    <s v="Appliances"/>
    <n v="3"/>
    <n v="59.99"/>
    <s v="Debit Card"/>
    <s v="South"/>
    <s v="Standard"/>
    <d v="2023-11-30T00:00:00"/>
    <x v="1"/>
    <s v="Nov"/>
    <n v="2024"/>
    <n v="841"/>
    <n v="45626"/>
    <d v="2026-03-20T19:35:19"/>
  </r>
  <r>
    <s v="TRX0073"/>
    <d v="2024-11-17T00:00:00"/>
    <s v="CUST032"/>
    <x v="42"/>
    <s v="P008"/>
    <s v="Bookshelf"/>
    <s v="Furniture"/>
    <n v="5"/>
    <n v="149.99"/>
    <s v="Cash"/>
    <s v="North"/>
    <s v="Basic"/>
    <d v="2022-11-04T00:00:00"/>
    <x v="2"/>
    <s v="Nov"/>
    <n v="2024"/>
    <n v="1232"/>
    <n v="45626"/>
    <d v="2026-03-20T19:35:19"/>
  </r>
  <r>
    <s v="TRX0033"/>
    <d v="2024-11-17T00:00:00"/>
    <s v="CUST025"/>
    <x v="14"/>
    <s v="P002"/>
    <s v="Smartphone"/>
    <s v="Electronics"/>
    <n v="2"/>
    <n v="699.99"/>
    <s v="PayPal"/>
    <s v="West"/>
    <s v="Standard"/>
    <d v="2022-07-28T00:00:00"/>
    <x v="10"/>
    <s v="Nov"/>
    <n v="2024"/>
    <n v="1331"/>
    <n v="45626"/>
    <d v="2026-03-20T19:35:19"/>
  </r>
  <r>
    <s v="TRX0160"/>
    <d v="2024-11-21T00:00:00"/>
    <s v="CUST029"/>
    <x v="23"/>
    <s v="P006"/>
    <s v="Office Chair"/>
    <s v="Furniture"/>
    <n v="4"/>
    <n v="199.99"/>
    <s v="Debit Card"/>
    <s v="Central"/>
    <s v="Premium"/>
    <d v="2021-08-19T00:00:00"/>
    <x v="37"/>
    <s v="Nov"/>
    <n v="2024"/>
    <n v="1674"/>
    <n v="45626"/>
    <d v="2026-03-20T19:35:19"/>
  </r>
  <r>
    <s v="TRX0145"/>
    <d v="2024-11-23T00:00:00"/>
    <s v="CUST033"/>
    <x v="37"/>
    <s v="P005"/>
    <s v="Blender"/>
    <s v="Appliances"/>
    <n v="1"/>
    <n v="59.99"/>
    <s v="Debit Card"/>
    <s v="West"/>
    <s v="Standard"/>
    <d v="2021-12-30T00:00:00"/>
    <x v="30"/>
    <s v="Nov"/>
    <n v="2024"/>
    <n v="1541"/>
    <n v="45626"/>
    <d v="2026-03-20T19:35:19"/>
  </r>
  <r>
    <s v="TRX0148"/>
    <d v="2024-11-23T00:00:00"/>
    <s v="CUST004"/>
    <x v="31"/>
    <s v="P002"/>
    <s v="Smartphone"/>
    <s v="Electronics"/>
    <n v="3"/>
    <n v="699.99"/>
    <s v="PayPal"/>
    <s v="West"/>
    <s v="Standard"/>
    <d v="2022-01-22T00:00:00"/>
    <x v="7"/>
    <s v="Nov"/>
    <n v="2024"/>
    <n v="1518"/>
    <n v="45626"/>
    <d v="2026-03-20T19:35:19"/>
  </r>
  <r>
    <s v="TRX0012"/>
    <d v="2024-11-26T00:00:00"/>
    <s v="CUST045"/>
    <x v="46"/>
    <s v="P009"/>
    <s v="Monitor"/>
    <s v="Electronics"/>
    <n v="5"/>
    <n v="249.99"/>
    <s v="Credit Card"/>
    <s v="North"/>
    <s v="Basic"/>
    <d v="2022-11-08T00:00:00"/>
    <x v="16"/>
    <s v="Nov"/>
    <n v="2024"/>
    <n v="1228"/>
    <n v="45626"/>
    <d v="2026-03-20T19:35:19"/>
  </r>
  <r>
    <s v="TRX0206"/>
    <d v="2024-11-27T00:00:00"/>
    <s v="CUST014"/>
    <x v="21"/>
    <s v="P008"/>
    <s v="Bookshelf"/>
    <s v="Furniture"/>
    <n v="2"/>
    <n v="149.99"/>
    <s v="Cash"/>
    <s v="South"/>
    <s v="Standard"/>
    <d v="2023-06-24T00:00:00"/>
    <x v="22"/>
    <s v="Nov"/>
    <n v="2024"/>
    <n v="1000"/>
    <n v="45626"/>
    <d v="2026-03-20T19:35:19"/>
  </r>
  <r>
    <s v="TRX0045"/>
    <d v="2024-12-01T00:00:00"/>
    <s v="CUST021"/>
    <x v="2"/>
    <s v="P007"/>
    <s v="Desk"/>
    <s v="Furniture"/>
    <n v="3"/>
    <n v="299.99"/>
    <s v="Cash"/>
    <s v="South"/>
    <s v="Premium"/>
    <d v="2022-04-08T00:00:00"/>
    <x v="23"/>
    <s v="Dec"/>
    <n v="2024"/>
    <n v="1442"/>
    <n v="45657"/>
    <d v="2026-03-20T19:35:19"/>
  </r>
  <r>
    <s v="TRX0094"/>
    <d v="2024-12-01T00:00:00"/>
    <s v="CUST017"/>
    <x v="6"/>
    <s v="P009"/>
    <s v="Monitor"/>
    <s v="Electronics"/>
    <n v="5"/>
    <n v="249.99"/>
    <s v="Cash"/>
    <s v="Central"/>
    <s v="Premium"/>
    <d v="2021-10-16T00:00:00"/>
    <x v="16"/>
    <s v="Dec"/>
    <n v="2024"/>
    <n v="1616"/>
    <n v="45657"/>
    <d v="2026-03-20T19:35:19"/>
  </r>
  <r>
    <s v="TRX0133"/>
    <d v="2024-12-01T00:00:00"/>
    <s v="CUST013"/>
    <x v="1"/>
    <s v="P003"/>
    <s v="Headphones"/>
    <s v="Electronics"/>
    <n v="2"/>
    <n v="149.99"/>
    <s v="Cash"/>
    <s v="South"/>
    <s v="Premium"/>
    <d v="2021-10-06T00:00:00"/>
    <x v="22"/>
    <s v="Dec"/>
    <n v="2024"/>
    <n v="1626"/>
    <n v="45657"/>
    <d v="2026-03-20T19:35:19"/>
  </r>
  <r>
    <s v="TRX0201"/>
    <d v="2024-12-01T00:00:00"/>
    <s v="CUST025"/>
    <x v="14"/>
    <s v="P002"/>
    <s v="Smartphone"/>
    <s v="Electronics"/>
    <n v="5"/>
    <n v="699.99"/>
    <s v="Debit Card"/>
    <s v="West"/>
    <s v="Standard"/>
    <d v="2023-01-18T00:00:00"/>
    <x v="12"/>
    <s v="Dec"/>
    <n v="2024"/>
    <n v="1157"/>
    <n v="45657"/>
    <d v="2026-03-20T19:35:19"/>
  </r>
  <r>
    <s v="TRX0137"/>
    <d v="2024-12-03T00:00:00"/>
    <s v="CUST011"/>
    <x v="44"/>
    <s v="P009"/>
    <s v="Monitor"/>
    <s v="Electronics"/>
    <n v="4"/>
    <n v="249.99"/>
    <s v="PayPal"/>
    <s v="East"/>
    <s v="Premium"/>
    <d v="2023-06-21T00:00:00"/>
    <x v="14"/>
    <s v="Dec"/>
    <n v="2024"/>
    <n v="1003"/>
    <n v="45657"/>
    <d v="2026-03-20T19:35:19"/>
  </r>
  <r>
    <s v="TRX0066"/>
    <d v="2024-12-04T00:00:00"/>
    <s v="CUST024"/>
    <x v="5"/>
    <s v="P002"/>
    <s v="Smartphone"/>
    <s v="Electronics"/>
    <n v="4"/>
    <n v="699.99"/>
    <s v="Credit Card"/>
    <s v="North"/>
    <s v="Premium"/>
    <d v="2022-05-22T00:00:00"/>
    <x v="13"/>
    <s v="Dec"/>
    <n v="2024"/>
    <n v="1398"/>
    <n v="45657"/>
    <d v="2026-03-20T19:35:19"/>
  </r>
  <r>
    <s v="TRX0180"/>
    <d v="2024-12-09T00:00:00"/>
    <s v="CUST036"/>
    <x v="20"/>
    <s v="P009"/>
    <s v="Monitor"/>
    <s v="Electronics"/>
    <n v="2"/>
    <n v="249.99"/>
    <s v="Credit Card"/>
    <s v="Central"/>
    <s v="Premium"/>
    <d v="2021-07-19T00:00:00"/>
    <x v="36"/>
    <s v="Dec"/>
    <n v="2024"/>
    <n v="1705"/>
    <n v="45657"/>
    <d v="2026-03-20T19:35:19"/>
  </r>
  <r>
    <s v="TRX0082"/>
    <d v="2024-12-09T00:00:00"/>
    <s v="CUST005"/>
    <x v="47"/>
    <s v="P005"/>
    <s v="Blender"/>
    <s v="Appliances"/>
    <n v="3"/>
    <n v="59.99"/>
    <s v="Cash"/>
    <s v="Central"/>
    <s v="Premium"/>
    <d v="2023-05-06T00:00:00"/>
    <x v="1"/>
    <s v="Dec"/>
    <n v="2024"/>
    <n v="1049"/>
    <n v="45657"/>
    <d v="2026-03-20T19:35:19"/>
  </r>
  <r>
    <s v="TRX0036"/>
    <d v="2024-12-09T00:00:00"/>
    <s v="CUST008"/>
    <x v="27"/>
    <s v="P004"/>
    <s v="Coffee Maker"/>
    <s v="Appliances"/>
    <n v="4"/>
    <n v="79.989999999999995"/>
    <s v="Debit Card"/>
    <s v="East"/>
    <s v="Standard"/>
    <d v="2022-12-26T00:00:00"/>
    <x v="40"/>
    <s v="Dec"/>
    <n v="2024"/>
    <n v="1180"/>
    <n v="45657"/>
    <d v="2026-03-20T19:35:19"/>
  </r>
  <r>
    <s v="TRX0198"/>
    <d v="2024-12-10T00:00:00"/>
    <s v="CUST030"/>
    <x v="22"/>
    <s v="P004"/>
    <s v="Coffee Maker"/>
    <s v="Appliances"/>
    <n v="3"/>
    <n v="79.989999999999995"/>
    <s v="Debit Card"/>
    <s v="East"/>
    <s v="Standard"/>
    <d v="2022-08-06T00:00:00"/>
    <x v="18"/>
    <s v="Dec"/>
    <n v="2024"/>
    <n v="1322"/>
    <n v="45657"/>
    <d v="2026-03-20T19:35:19"/>
  </r>
  <r>
    <s v="TRX0032"/>
    <d v="2024-12-12T00:00:00"/>
    <s v="CUST041"/>
    <x v="10"/>
    <s v="P001"/>
    <s v="Laptop"/>
    <s v="Electronics"/>
    <n v="2"/>
    <n v="899.99"/>
    <s v="Cash"/>
    <s v="North"/>
    <s v="Basic"/>
    <d v="2021-07-29T00:00:00"/>
    <x v="43"/>
    <s v="Dec"/>
    <n v="2024"/>
    <n v="1695"/>
    <n v="45657"/>
    <d v="2026-03-20T19:35:19"/>
  </r>
  <r>
    <s v="TRX0081"/>
    <d v="2024-12-15T00:00:00"/>
    <s v="CUST007"/>
    <x v="35"/>
    <s v="P008"/>
    <s v="Bookshelf"/>
    <s v="Furniture"/>
    <n v="1"/>
    <n v="149.99"/>
    <s v="Debit Card"/>
    <s v="East"/>
    <s v="Standard"/>
    <d v="2023-10-01T00:00:00"/>
    <x v="5"/>
    <s v="Dec"/>
    <n v="2024"/>
    <n v="901"/>
    <n v="45657"/>
    <d v="2026-03-20T19:35:19"/>
  </r>
  <r>
    <s v="TRX0224"/>
    <d v="2024-12-15T00:00:00"/>
    <s v="CUST031"/>
    <x v="26"/>
    <s v="P007"/>
    <s v="Desk"/>
    <s v="Furniture"/>
    <n v="2"/>
    <n v="299.99"/>
    <s v="Cash"/>
    <s v="East"/>
    <s v="Premium"/>
    <d v="2022-06-12T00:00:00"/>
    <x v="31"/>
    <s v="Dec"/>
    <n v="2024"/>
    <n v="1377"/>
    <n v="45657"/>
    <d v="2026-03-20T19:35:19"/>
  </r>
  <r>
    <s v="TRX0028"/>
    <d v="2024-12-18T00:00:00"/>
    <s v="CUST002"/>
    <x v="25"/>
    <s v="P005"/>
    <s v="Blender"/>
    <s v="Appliances"/>
    <n v="2"/>
    <n v="59.99"/>
    <s v="Cash"/>
    <s v="West"/>
    <s v="Basic"/>
    <d v="2023-09-22T00:00:00"/>
    <x v="3"/>
    <s v="Dec"/>
    <n v="2024"/>
    <n v="910"/>
    <n v="45657"/>
    <d v="2026-03-20T19:35:19"/>
  </r>
  <r>
    <s v="TRX0183"/>
    <d v="2024-12-19T00:00:00"/>
    <s v="CUST007"/>
    <x v="35"/>
    <s v="P010"/>
    <s v="Keyboard"/>
    <s v="Electronics"/>
    <n v="1"/>
    <n v="89.99"/>
    <s v="Debit Card"/>
    <s v="Central"/>
    <s v="Standard"/>
    <d v="2022-07-18T00:00:00"/>
    <x v="27"/>
    <s v="Dec"/>
    <n v="2024"/>
    <n v="1341"/>
    <n v="45657"/>
    <d v="2026-03-20T19:35:19"/>
  </r>
  <r>
    <s v="TRX0163"/>
    <d v="2024-12-19T00:00:00"/>
    <s v="CUST019"/>
    <x v="29"/>
    <s v="P001"/>
    <s v="Laptop"/>
    <s v="Electronics"/>
    <n v="5"/>
    <n v="899.99"/>
    <s v="Debit Card"/>
    <s v="East"/>
    <s v="Standard"/>
    <d v="2022-03-05T00:00:00"/>
    <x v="29"/>
    <s v="Dec"/>
    <n v="2024"/>
    <n v="1476"/>
    <n v="45657"/>
    <d v="2026-03-20T19:35:19"/>
  </r>
  <r>
    <s v="TRX0046"/>
    <d v="2024-12-20T00:00:00"/>
    <s v="CUST003"/>
    <x v="4"/>
    <s v="P008"/>
    <s v="Bookshelf"/>
    <s v="Furniture"/>
    <n v="2"/>
    <n v="149.99"/>
    <s v="Cash"/>
    <s v="South"/>
    <s v="Basic"/>
    <d v="2023-11-09T00:00:00"/>
    <x v="22"/>
    <s v="Dec"/>
    <n v="2024"/>
    <n v="862"/>
    <n v="45657"/>
    <d v="2026-03-20T19:35:19"/>
  </r>
  <r>
    <s v="TRX0164"/>
    <d v="2024-12-22T00:00:00"/>
    <s v="CUST014"/>
    <x v="21"/>
    <s v="P003"/>
    <s v="Headphones"/>
    <s v="Electronics"/>
    <n v="2"/>
    <n v="149.99"/>
    <s v="Debit Card"/>
    <s v="West"/>
    <s v="Premium"/>
    <d v="2023-12-20T00:00:00"/>
    <x v="22"/>
    <s v="Dec"/>
    <n v="2024"/>
    <n v="821"/>
    <n v="45657"/>
    <d v="2026-03-20T19:35:19"/>
  </r>
  <r>
    <s v="TRX0008"/>
    <d v="2024-12-22T00:00:00"/>
    <s v="CUST007"/>
    <x v="35"/>
    <s v="P008"/>
    <s v="Bookshelf"/>
    <s v="Furniture"/>
    <n v="3"/>
    <n v="149.99"/>
    <s v="Debit Card"/>
    <s v="North"/>
    <s v="Standard"/>
    <d v="2021-11-22T00:00:00"/>
    <x v="6"/>
    <s v="Dec"/>
    <n v="2024"/>
    <n v="1579"/>
    <n v="45657"/>
    <d v="2026-03-20T19:35:19"/>
  </r>
  <r>
    <s v="TRX0171"/>
    <d v="2024-12-23T00:00:00"/>
    <s v="CUST021"/>
    <x v="2"/>
    <s v="P007"/>
    <s v="Desk"/>
    <s v="Furniture"/>
    <n v="2"/>
    <n v="299.99"/>
    <s v="PayPal"/>
    <s v="South"/>
    <s v="Basic"/>
    <d v="2022-06-09T00:00:00"/>
    <x v="31"/>
    <s v="Dec"/>
    <n v="2024"/>
    <n v="1380"/>
    <n v="45657"/>
    <d v="2026-03-20T19:35:19"/>
  </r>
  <r>
    <s v="TRX0143"/>
    <d v="2024-12-28T00:00:00"/>
    <s v="CUST003"/>
    <x v="4"/>
    <s v="P007"/>
    <s v="Desk"/>
    <s v="Furniture"/>
    <n v="2"/>
    <n v="299.99"/>
    <s v="Cash"/>
    <s v="West"/>
    <s v="Basic"/>
    <d v="2022-07-29T00:00:00"/>
    <x v="31"/>
    <s v="Dec"/>
    <n v="2024"/>
    <n v="1330"/>
    <n v="45657"/>
    <d v="2026-03-20T19:35:19"/>
  </r>
  <r>
    <s v="TRX0165"/>
    <d v="2024-12-28T00:00:00"/>
    <s v="CUST030"/>
    <x v="22"/>
    <s v="P006"/>
    <s v="Office Chair"/>
    <s v="Furniture"/>
    <n v="4"/>
    <n v="199.99"/>
    <s v="Credit Card"/>
    <s v="Central"/>
    <s v="Basic"/>
    <d v="2021-11-23T00:00:00"/>
    <x v="37"/>
    <s v="Dec"/>
    <n v="2024"/>
    <n v="1578"/>
    <n v="45657"/>
    <d v="2026-03-20T19:35:19"/>
  </r>
  <r>
    <s v="TRX0156"/>
    <d v="2024-12-29T00:00:00"/>
    <s v="CUST009"/>
    <x v="7"/>
    <s v="P010"/>
    <s v="Keyboard"/>
    <s v="Electronics"/>
    <n v="1"/>
    <n v="89.99"/>
    <s v="Credit Card"/>
    <s v="South"/>
    <s v="Premium"/>
    <d v="2022-01-30T00:00:00"/>
    <x v="27"/>
    <s v="Dec"/>
    <n v="2024"/>
    <n v="1510"/>
    <n v="45657"/>
    <d v="2026-03-20T19:35:19"/>
  </r>
  <r>
    <s v="TRX0147"/>
    <d v="2024-12-29T00:00:00"/>
    <s v="CUST036"/>
    <x v="20"/>
    <s v="P008"/>
    <s v="Bookshelf"/>
    <s v="Furniture"/>
    <n v="5"/>
    <n v="149.99"/>
    <s v="Cash"/>
    <s v="Central"/>
    <s v="Premium"/>
    <d v="2024-02-25T00:00:00"/>
    <x v="2"/>
    <s v="Dec"/>
    <n v="2024"/>
    <n v="754"/>
    <n v="45657"/>
    <d v="2026-03-20T19:35:19"/>
  </r>
  <r>
    <s v="TRX0207"/>
    <d v="2024-12-31T00:00:00"/>
    <s v="CUST025"/>
    <x v="14"/>
    <s v="P001"/>
    <s v="Laptop"/>
    <s v="Electronics"/>
    <n v="1"/>
    <n v="899.99"/>
    <s v="PayPal"/>
    <s v="North"/>
    <s v="Premium"/>
    <d v="2023-05-04T00:00:00"/>
    <x v="8"/>
    <s v="Dec"/>
    <n v="2024"/>
    <n v="1051"/>
    <n v="45657"/>
    <d v="2026-03-20T19:35:19"/>
  </r>
  <r>
    <s v="TRX0056"/>
    <d v="2025-01-03T00:00:00"/>
    <s v="CUST019"/>
    <x v="29"/>
    <s v="P010"/>
    <s v="Keyboard"/>
    <s v="Electronics"/>
    <n v="2"/>
    <n v="89.99"/>
    <s v="Credit Card"/>
    <s v="South"/>
    <s v="Premium"/>
    <d v="2022-01-03T00:00:00"/>
    <x v="28"/>
    <s v="Jan"/>
    <n v="2025"/>
    <n v="1537"/>
    <n v="45688"/>
    <d v="2026-03-20T19:35:19"/>
  </r>
  <r>
    <s v="TRX0026"/>
    <d v="2025-01-04T00:00:00"/>
    <s v="CUST037"/>
    <x v="48"/>
    <s v="P001"/>
    <s v="Laptop"/>
    <s v="Electronics"/>
    <n v="1"/>
    <n v="899.99"/>
    <s v="PayPal"/>
    <s v="North"/>
    <s v="Standard"/>
    <d v="2022-07-10T00:00:00"/>
    <x v="8"/>
    <s v="Jan"/>
    <n v="2025"/>
    <n v="1349"/>
    <n v="45688"/>
    <d v="2026-03-20T19:35:19"/>
  </r>
  <r>
    <s v="TRX0237"/>
    <d v="2025-01-06T00:00:00"/>
    <s v="CUST006"/>
    <x v="24"/>
    <s v="P003"/>
    <s v="Headphones"/>
    <s v="Electronics"/>
    <n v="5"/>
    <n v="149.99"/>
    <s v="PayPal"/>
    <s v="East"/>
    <s v="Premium"/>
    <d v="2022-09-20T00:00:00"/>
    <x v="2"/>
    <s v="Jan"/>
    <n v="2025"/>
    <n v="1277"/>
    <n v="45688"/>
    <d v="2026-03-20T19:35:19"/>
  </r>
  <r>
    <s v="TRX0091"/>
    <d v="2025-01-06T00:00:00"/>
    <s v="CUST003"/>
    <x v="4"/>
    <s v="P007"/>
    <s v="Desk"/>
    <s v="Furniture"/>
    <n v="3"/>
    <n v="299.99"/>
    <s v="Cash"/>
    <s v="South"/>
    <s v="Standard"/>
    <d v="2021-08-14T00:00:00"/>
    <x v="23"/>
    <s v="Jan"/>
    <n v="2025"/>
    <n v="1679"/>
    <n v="45688"/>
    <d v="2026-03-20T19:35:19"/>
  </r>
  <r>
    <s v="TRX0125"/>
    <d v="2025-01-09T00:00:00"/>
    <s v="CUST026"/>
    <x v="8"/>
    <s v="P002"/>
    <s v="Smartphone"/>
    <s v="Electronics"/>
    <n v="3"/>
    <n v="699.99"/>
    <s v="Credit Card"/>
    <s v="Central"/>
    <s v="Premium"/>
    <d v="2023-06-28T00:00:00"/>
    <x v="7"/>
    <s v="Jan"/>
    <n v="2025"/>
    <n v="996"/>
    <n v="45688"/>
    <d v="2026-03-20T19:35:19"/>
  </r>
  <r>
    <s v="TRX0223"/>
    <d v="2025-01-10T00:00:00"/>
    <s v="CUST036"/>
    <x v="20"/>
    <s v="P006"/>
    <s v="Office Chair"/>
    <s v="Furniture"/>
    <n v="5"/>
    <n v="199.99"/>
    <s v="PayPal"/>
    <s v="Central"/>
    <s v="Standard"/>
    <d v="2022-03-13T00:00:00"/>
    <x v="21"/>
    <s v="Jan"/>
    <n v="2025"/>
    <n v="1468"/>
    <n v="45688"/>
    <d v="2026-03-20T19:35:19"/>
  </r>
  <r>
    <s v="TRX0243"/>
    <d v="2025-01-10T00:00:00"/>
    <s v="CUST048"/>
    <x v="16"/>
    <s v="P009"/>
    <s v="Monitor"/>
    <s v="Electronics"/>
    <n v="5"/>
    <n v="249.99"/>
    <s v="Credit Card"/>
    <s v="South"/>
    <s v="Basic"/>
    <d v="2024-02-08T00:00:00"/>
    <x v="16"/>
    <s v="Jan"/>
    <n v="2025"/>
    <n v="771"/>
    <n v="45688"/>
    <d v="2026-03-20T19:35:19"/>
  </r>
  <r>
    <s v="TRX0084"/>
    <d v="2025-01-11T00:00:00"/>
    <s v="CUST031"/>
    <x v="26"/>
    <s v="P003"/>
    <s v="Headphones"/>
    <s v="Electronics"/>
    <n v="4"/>
    <n v="149.99"/>
    <s v="Debit Card"/>
    <s v="East"/>
    <s v="Standard"/>
    <d v="2021-12-06T00:00:00"/>
    <x v="9"/>
    <s v="Jan"/>
    <n v="2025"/>
    <n v="1565"/>
    <n v="45688"/>
    <d v="2026-03-20T19:35:19"/>
  </r>
  <r>
    <s v="TRX0238"/>
    <d v="2025-01-11T00:00:00"/>
    <s v="CUST038"/>
    <x v="12"/>
    <s v="P002"/>
    <s v="Smartphone"/>
    <s v="Electronics"/>
    <n v="3"/>
    <n v="699.99"/>
    <s v="Cash"/>
    <s v="North"/>
    <s v="Premium"/>
    <d v="2022-02-10T00:00:00"/>
    <x v="7"/>
    <s v="Jan"/>
    <n v="2025"/>
    <n v="1499"/>
    <n v="45688"/>
    <d v="2026-03-20T19:35:19"/>
  </r>
  <r>
    <s v="TRX0102"/>
    <d v="2025-01-13T00:00:00"/>
    <s v="CUST045"/>
    <x v="46"/>
    <s v="P004"/>
    <s v="Coffee Maker"/>
    <s v="Appliances"/>
    <n v="1"/>
    <n v="79.989999999999995"/>
    <s v="Credit Card"/>
    <s v="South"/>
    <s v="Basic"/>
    <d v="2024-01-31T00:00:00"/>
    <x v="26"/>
    <s v="Jan"/>
    <n v="2025"/>
    <n v="779"/>
    <n v="45688"/>
    <d v="2026-03-20T19:35:19"/>
  </r>
  <r>
    <s v="TRX0022"/>
    <d v="2025-01-13T00:00:00"/>
    <s v="CUST025"/>
    <x v="14"/>
    <s v="P007"/>
    <s v="Desk"/>
    <s v="Furniture"/>
    <n v="1"/>
    <n v="299.99"/>
    <s v="Credit Card"/>
    <s v="North"/>
    <s v="Basic"/>
    <d v="2021-08-28T00:00:00"/>
    <x v="34"/>
    <s v="Jan"/>
    <n v="2025"/>
    <n v="1665"/>
    <n v="45688"/>
    <d v="2026-03-20T19:35:19"/>
  </r>
  <r>
    <s v="TRX0087"/>
    <d v="2025-01-14T00:00:00"/>
    <s v="CUST028"/>
    <x v="32"/>
    <s v="P009"/>
    <s v="Monitor"/>
    <s v="Electronics"/>
    <n v="4"/>
    <n v="249.99"/>
    <s v="Credit Card"/>
    <s v="North"/>
    <s v="Premium"/>
    <d v="2021-09-21T00:00:00"/>
    <x v="14"/>
    <s v="Jan"/>
    <n v="2025"/>
    <n v="1641"/>
    <n v="45688"/>
    <d v="2026-03-20T19:35:19"/>
  </r>
  <r>
    <s v="TRX0107"/>
    <d v="2025-01-14T00:00:00"/>
    <s v="CUST030"/>
    <x v="22"/>
    <s v="P003"/>
    <s v="Headphones"/>
    <s v="Electronics"/>
    <n v="2"/>
    <n v="149.99"/>
    <s v="Cash"/>
    <s v="North"/>
    <s v="Standard"/>
    <d v="2022-12-18T00:00:00"/>
    <x v="22"/>
    <s v="Jan"/>
    <n v="2025"/>
    <n v="1188"/>
    <n v="45688"/>
    <d v="2026-03-20T19:35:19"/>
  </r>
  <r>
    <s v="TRX0051"/>
    <d v="2025-01-14T00:00:00"/>
    <s v="CUST032"/>
    <x v="42"/>
    <s v="P007"/>
    <s v="Desk"/>
    <s v="Furniture"/>
    <n v="3"/>
    <n v="299.99"/>
    <s v="Credit Card"/>
    <s v="South"/>
    <s v="Basic"/>
    <d v="2023-10-05T00:00:00"/>
    <x v="23"/>
    <s v="Jan"/>
    <n v="2025"/>
    <n v="897"/>
    <n v="45688"/>
    <d v="2026-03-20T19:35:19"/>
  </r>
  <r>
    <s v="TRX0106"/>
    <d v="2025-01-16T00:00:00"/>
    <s v="CUST039"/>
    <x v="40"/>
    <s v="P006"/>
    <s v="Office Chair"/>
    <s v="Furniture"/>
    <n v="4"/>
    <n v="199.99"/>
    <s v="Debit Card"/>
    <s v="South"/>
    <s v="Standard"/>
    <d v="2021-12-14T00:00:00"/>
    <x v="37"/>
    <s v="Jan"/>
    <n v="2025"/>
    <n v="1557"/>
    <n v="45688"/>
    <d v="2026-03-20T19:35:19"/>
  </r>
  <r>
    <s v="TRX0059"/>
    <d v="2025-01-16T00:00:00"/>
    <s v="CUST016"/>
    <x v="39"/>
    <s v="P007"/>
    <s v="Desk"/>
    <s v="Furniture"/>
    <n v="5"/>
    <n v="299.99"/>
    <s v="Debit Card"/>
    <s v="Central"/>
    <s v="Basic"/>
    <d v="2021-08-23T00:00:00"/>
    <x v="17"/>
    <s v="Jan"/>
    <n v="2025"/>
    <n v="1670"/>
    <n v="45688"/>
    <d v="2026-03-20T19:35:19"/>
  </r>
  <r>
    <s v="TRX0072"/>
    <d v="2025-01-16T00:00:00"/>
    <s v="CUST009"/>
    <x v="7"/>
    <s v="P008"/>
    <s v="Bookshelf"/>
    <s v="Furniture"/>
    <n v="3"/>
    <n v="149.99"/>
    <s v="Credit Card"/>
    <s v="East"/>
    <s v="Standard"/>
    <d v="2021-07-18T00:00:00"/>
    <x v="6"/>
    <s v="Jan"/>
    <n v="2025"/>
    <n v="1706"/>
    <n v="45688"/>
    <d v="2026-03-20T19:35:19"/>
  </r>
  <r>
    <s v="TRX0110"/>
    <d v="2025-01-19T00:00:00"/>
    <s v="CUST006"/>
    <x v="24"/>
    <s v="P005"/>
    <s v="Blender"/>
    <s v="Appliances"/>
    <n v="5"/>
    <n v="59.99"/>
    <s v="Debit Card"/>
    <s v="East"/>
    <s v="Basic"/>
    <d v="2022-03-22T00:00:00"/>
    <x v="42"/>
    <s v="Jan"/>
    <n v="2025"/>
    <n v="1459"/>
    <n v="45688"/>
    <d v="2026-03-20T19:35:19"/>
  </r>
  <r>
    <s v="TRX0126"/>
    <d v="2025-01-25T00:00:00"/>
    <s v="CUST022"/>
    <x v="9"/>
    <s v="P005"/>
    <s v="Blender"/>
    <s v="Appliances"/>
    <n v="4"/>
    <n v="59.99"/>
    <s v="Debit Card"/>
    <s v="East"/>
    <s v="Standard"/>
    <d v="2022-01-03T00:00:00"/>
    <x v="20"/>
    <s v="Jan"/>
    <n v="2025"/>
    <n v="1537"/>
    <n v="45688"/>
    <d v="2026-03-20T19:35:19"/>
  </r>
  <r>
    <s v="TRX0159"/>
    <d v="2025-01-26T00:00:00"/>
    <s v="CUST024"/>
    <x v="5"/>
    <s v="P009"/>
    <s v="Monitor"/>
    <s v="Electronics"/>
    <n v="4"/>
    <n v="249.99"/>
    <s v="Debit Card"/>
    <s v="Central"/>
    <s v="Premium"/>
    <d v="2023-10-18T00:00:00"/>
    <x v="14"/>
    <s v="Jan"/>
    <n v="2025"/>
    <n v="884"/>
    <n v="45688"/>
    <d v="2026-03-20T19:35:19"/>
  </r>
  <r>
    <s v="TRX0030"/>
    <d v="2025-01-29T00:00:00"/>
    <s v="CUST011"/>
    <x v="44"/>
    <s v="P001"/>
    <s v="Laptop"/>
    <s v="Electronics"/>
    <n v="4"/>
    <n v="899.99"/>
    <s v="PayPal"/>
    <s v="Central"/>
    <s v="Basic"/>
    <d v="2022-06-22T00:00:00"/>
    <x v="11"/>
    <s v="Jan"/>
    <n v="2025"/>
    <n v="1367"/>
    <n v="45688"/>
    <d v="2026-03-20T19:35:19"/>
  </r>
  <r>
    <s v="TRX0178"/>
    <d v="2025-01-29T00:00:00"/>
    <s v="CUST025"/>
    <x v="14"/>
    <s v="P007"/>
    <s v="Desk"/>
    <s v="Furniture"/>
    <n v="3"/>
    <n v="299.99"/>
    <s v="Debit Card"/>
    <s v="West"/>
    <s v="Standard"/>
    <d v="2023-01-26T00:00:00"/>
    <x v="23"/>
    <s v="Jan"/>
    <n v="2025"/>
    <n v="1149"/>
    <n v="45688"/>
    <d v="2026-03-20T19:35:19"/>
  </r>
  <r>
    <s v="TRX0188"/>
    <d v="2025-01-29T00:00:00"/>
    <s v="CUST045"/>
    <x v="46"/>
    <s v="P002"/>
    <s v="Smartphone"/>
    <s v="Electronics"/>
    <n v="2"/>
    <n v="699.99"/>
    <s v="Debit Card"/>
    <s v="Central"/>
    <s v="Premium"/>
    <d v="2022-04-30T00:00:00"/>
    <x v="10"/>
    <s v="Jan"/>
    <n v="2025"/>
    <n v="1420"/>
    <n v="45688"/>
    <d v="2026-03-20T19:35:19"/>
  </r>
  <r>
    <s v="TRX0010"/>
    <d v="2025-01-31T00:00:00"/>
    <s v="CUST026"/>
    <x v="8"/>
    <s v="P002"/>
    <s v="Smartphone"/>
    <s v="Electronics"/>
    <n v="4"/>
    <n v="699.99"/>
    <s v="Debit Card"/>
    <s v="West"/>
    <s v="Premium"/>
    <d v="2022-05-11T00:00:00"/>
    <x v="13"/>
    <s v="Jan"/>
    <n v="2025"/>
    <n v="1409"/>
    <n v="45688"/>
    <d v="2026-03-20T19:35:19"/>
  </r>
  <r>
    <s v="TRX0069"/>
    <d v="2025-01-31T00:00:00"/>
    <s v="CUST029"/>
    <x v="23"/>
    <s v="P010"/>
    <s v="Keyboard"/>
    <s v="Electronics"/>
    <n v="2"/>
    <n v="89.99"/>
    <s v="Debit Card"/>
    <s v="South"/>
    <s v="Basic"/>
    <d v="2022-08-04T00:00:00"/>
    <x v="28"/>
    <s v="Jan"/>
    <n v="2025"/>
    <n v="1324"/>
    <n v="45688"/>
    <d v="2026-03-20T19:35:19"/>
  </r>
  <r>
    <s v="TRX0166"/>
    <d v="2025-01-31T00:00:00"/>
    <s v="CUST003"/>
    <x v="4"/>
    <s v="P010"/>
    <s v="Keyboard"/>
    <s v="Electronics"/>
    <n v="3"/>
    <n v="89.99"/>
    <s v="Debit Card"/>
    <s v="South"/>
    <s v="Premium"/>
    <d v="2024-01-16T00:00:00"/>
    <x v="25"/>
    <s v="Jan"/>
    <n v="2025"/>
    <n v="794"/>
    <n v="45688"/>
    <d v="2026-03-20T19:35:19"/>
  </r>
  <r>
    <s v="TRX0219"/>
    <d v="2025-02-04T00:00:00"/>
    <s v="CUST037"/>
    <x v="48"/>
    <s v="P005"/>
    <s v="Blender"/>
    <s v="Appliances"/>
    <n v="1"/>
    <n v="59.99"/>
    <s v="Debit Card"/>
    <s v="Central"/>
    <s v="Standard"/>
    <d v="2023-04-29T00:00:00"/>
    <x v="30"/>
    <s v="Feb"/>
    <n v="2025"/>
    <n v="1056"/>
    <n v="45716"/>
    <d v="2026-03-20T19:35:19"/>
  </r>
  <r>
    <s v="TRX0024"/>
    <d v="2025-02-07T00:00:00"/>
    <s v="CUST042"/>
    <x v="43"/>
    <s v="P008"/>
    <s v="Bookshelf"/>
    <s v="Furniture"/>
    <n v="3"/>
    <n v="149.99"/>
    <s v="Debit Card"/>
    <s v="North"/>
    <s v="Premium"/>
    <d v="2022-01-03T00:00:00"/>
    <x v="6"/>
    <s v="Feb"/>
    <n v="2025"/>
    <n v="1537"/>
    <n v="45716"/>
    <d v="2026-03-20T19:35:19"/>
  </r>
  <r>
    <s v="TRX0105"/>
    <d v="2025-02-07T00:00:00"/>
    <s v="CUST048"/>
    <x v="16"/>
    <s v="P007"/>
    <s v="Desk"/>
    <s v="Furniture"/>
    <n v="5"/>
    <n v="299.99"/>
    <s v="Credit Card"/>
    <s v="South"/>
    <s v="Basic"/>
    <d v="2023-02-02T00:00:00"/>
    <x v="17"/>
    <s v="Feb"/>
    <n v="2025"/>
    <n v="1142"/>
    <n v="45716"/>
    <d v="2026-03-20T19:35:19"/>
  </r>
  <r>
    <s v="TRX0011"/>
    <d v="2025-02-08T00:00:00"/>
    <s v="CUST040"/>
    <x v="30"/>
    <s v="P005"/>
    <s v="Blender"/>
    <s v="Appliances"/>
    <n v="5"/>
    <n v="59.99"/>
    <s v="Debit Card"/>
    <s v="Central"/>
    <s v="Standard"/>
    <d v="2023-09-08T00:00:00"/>
    <x v="42"/>
    <s v="Feb"/>
    <n v="2025"/>
    <n v="924"/>
    <n v="45716"/>
    <d v="2026-03-20T19:35:19"/>
  </r>
  <r>
    <s v="TRX0187"/>
    <d v="2025-02-13T00:00:00"/>
    <s v="CUST036"/>
    <x v="20"/>
    <s v="P004"/>
    <s v="Coffee Maker"/>
    <s v="Appliances"/>
    <n v="3"/>
    <n v="79.989999999999995"/>
    <s v="Cash"/>
    <s v="East"/>
    <s v="Premium"/>
    <d v="2021-08-28T00:00:00"/>
    <x v="18"/>
    <s v="Feb"/>
    <n v="2025"/>
    <n v="1665"/>
    <n v="45716"/>
    <d v="2026-03-20T19:35:19"/>
  </r>
  <r>
    <s v="TRX0089"/>
    <d v="2025-02-16T00:00:00"/>
    <s v="CUST021"/>
    <x v="2"/>
    <s v="P006"/>
    <s v="Office Chair"/>
    <s v="Furniture"/>
    <n v="3"/>
    <n v="199.99"/>
    <s v="Cash"/>
    <s v="Central"/>
    <s v="Basic"/>
    <d v="2022-06-23T00:00:00"/>
    <x v="24"/>
    <s v="Feb"/>
    <n v="2025"/>
    <n v="1366"/>
    <n v="45716"/>
    <d v="2026-03-20T19:35:19"/>
  </r>
  <r>
    <s v="TRX0196"/>
    <d v="2025-02-16T00:00:00"/>
    <s v="CUST023"/>
    <x v="0"/>
    <s v="P010"/>
    <s v="Keyboard"/>
    <s v="Electronics"/>
    <n v="2"/>
    <n v="89.99"/>
    <s v="PayPal"/>
    <s v="Central"/>
    <s v="Basic"/>
    <d v="2023-11-27T00:00:00"/>
    <x v="28"/>
    <s v="Feb"/>
    <n v="2025"/>
    <n v="844"/>
    <n v="45716"/>
    <d v="2026-03-20T19:35:19"/>
  </r>
  <r>
    <s v="TRX0118"/>
    <d v="2025-02-17T00:00:00"/>
    <s v="CUST015"/>
    <x v="45"/>
    <s v="P008"/>
    <s v="Bookshelf"/>
    <s v="Furniture"/>
    <n v="2"/>
    <n v="149.99"/>
    <s v="Cash"/>
    <s v="South"/>
    <s v="Premium"/>
    <d v="2022-06-16T00:00:00"/>
    <x v="22"/>
    <s v="Feb"/>
    <n v="2025"/>
    <n v="1373"/>
    <n v="45716"/>
    <d v="2026-03-20T19:35:19"/>
  </r>
  <r>
    <s v="TRX0179"/>
    <d v="2025-02-19T00:00:00"/>
    <s v="CUST029"/>
    <x v="23"/>
    <s v="P002"/>
    <s v="Smartphone"/>
    <s v="Electronics"/>
    <n v="5"/>
    <n v="699.99"/>
    <s v="PayPal"/>
    <s v="South"/>
    <s v="Premium"/>
    <d v="2024-03-01T00:00:00"/>
    <x v="12"/>
    <s v="Feb"/>
    <n v="2025"/>
    <n v="749"/>
    <n v="45716"/>
    <d v="2026-03-20T19:35:19"/>
  </r>
  <r>
    <s v="TRX0168"/>
    <d v="2025-02-19T00:00:00"/>
    <s v="CUST003"/>
    <x v="4"/>
    <s v="P008"/>
    <s v="Bookshelf"/>
    <s v="Furniture"/>
    <n v="3"/>
    <n v="149.99"/>
    <s v="PayPal"/>
    <s v="Central"/>
    <s v="Standard"/>
    <d v="2022-03-13T00:00:00"/>
    <x v="6"/>
    <s v="Feb"/>
    <n v="2025"/>
    <n v="1468"/>
    <n v="45716"/>
    <d v="2026-03-20T19:35:19"/>
  </r>
  <r>
    <s v="TRX0214"/>
    <d v="2025-02-20T00:00:00"/>
    <s v="CUST018"/>
    <x v="17"/>
    <s v="P001"/>
    <s v="Laptop"/>
    <s v="Electronics"/>
    <n v="3"/>
    <n v="899.99"/>
    <s v="Cash"/>
    <s v="East"/>
    <s v="Standard"/>
    <d v="2022-02-21T00:00:00"/>
    <x v="4"/>
    <s v="Feb"/>
    <n v="2025"/>
    <n v="1488"/>
    <n v="45716"/>
    <d v="2026-03-20T19:35:19"/>
  </r>
  <r>
    <s v="TRX0221"/>
    <d v="2025-02-20T00:00:00"/>
    <s v="CUST033"/>
    <x v="37"/>
    <s v="P006"/>
    <s v="Office Chair"/>
    <s v="Furniture"/>
    <n v="3"/>
    <n v="199.99"/>
    <s v="Cash"/>
    <s v="West"/>
    <s v="Premium"/>
    <d v="2022-09-19T00:00:00"/>
    <x v="24"/>
    <s v="Feb"/>
    <n v="2025"/>
    <n v="1278"/>
    <n v="45716"/>
    <d v="2026-03-20T19:35:19"/>
  </r>
  <r>
    <s v="TRX0083"/>
    <d v="2025-02-22T00:00:00"/>
    <s v="CUST017"/>
    <x v="6"/>
    <s v="P007"/>
    <s v="Desk"/>
    <s v="Furniture"/>
    <n v="5"/>
    <n v="299.99"/>
    <s v="Cash"/>
    <s v="West"/>
    <s v="Standard"/>
    <d v="2023-08-04T00:00:00"/>
    <x v="17"/>
    <s v="Feb"/>
    <n v="2025"/>
    <n v="959"/>
    <n v="45716"/>
    <d v="2026-03-20T19:35:19"/>
  </r>
  <r>
    <s v="TRX0151"/>
    <d v="2025-02-22T00:00:00"/>
    <s v="CUST040"/>
    <x v="30"/>
    <s v="P002"/>
    <s v="Smartphone"/>
    <s v="Electronics"/>
    <n v="1"/>
    <n v="699.99"/>
    <s v="PayPal"/>
    <s v="West"/>
    <s v="Basic"/>
    <d v="2023-01-08T00:00:00"/>
    <x v="38"/>
    <s v="Feb"/>
    <n v="2025"/>
    <n v="1167"/>
    <n v="45716"/>
    <d v="2026-03-20T19:35:19"/>
  </r>
  <r>
    <s v="TRX0047"/>
    <d v="2025-02-23T00:00:00"/>
    <s v="CUST042"/>
    <x v="43"/>
    <s v="P002"/>
    <s v="Smartphone"/>
    <s v="Electronics"/>
    <n v="1"/>
    <n v="699.99"/>
    <s v="Cash"/>
    <s v="North"/>
    <s v="Premium"/>
    <d v="2022-01-22T00:00:00"/>
    <x v="38"/>
    <s v="Feb"/>
    <n v="2025"/>
    <n v="1518"/>
    <n v="45716"/>
    <d v="2026-03-20T19:35:19"/>
  </r>
  <r>
    <s v="TRX0200"/>
    <d v="2025-02-23T00:00:00"/>
    <s v="CUST037"/>
    <x v="48"/>
    <s v="P008"/>
    <s v="Bookshelf"/>
    <s v="Furniture"/>
    <n v="4"/>
    <n v="149.99"/>
    <s v="PayPal"/>
    <s v="North"/>
    <s v="Premium"/>
    <d v="2021-08-04T00:00:00"/>
    <x v="9"/>
    <s v="Feb"/>
    <n v="2025"/>
    <n v="1689"/>
    <n v="45716"/>
    <d v="2026-03-20T19:35:19"/>
  </r>
  <r>
    <s v="TRX0062"/>
    <d v="2025-02-23T00:00:00"/>
    <s v="CUST016"/>
    <x v="39"/>
    <s v="P010"/>
    <s v="Keyboard"/>
    <s v="Electronics"/>
    <n v="5"/>
    <n v="89.99"/>
    <s v="PayPal"/>
    <s v="West"/>
    <s v="Premium"/>
    <d v="2023-08-02T00:00:00"/>
    <x v="19"/>
    <s v="Feb"/>
    <n v="2025"/>
    <n v="961"/>
    <n v="45716"/>
    <d v="2026-03-20T19:35:19"/>
  </r>
  <r>
    <s v="TRX0182"/>
    <d v="2025-02-24T00:00:00"/>
    <s v="CUST031"/>
    <x v="26"/>
    <s v="P006"/>
    <s v="Office Chair"/>
    <s v="Furniture"/>
    <n v="2"/>
    <n v="199.99"/>
    <s v="Cash"/>
    <s v="Central"/>
    <s v="Premium"/>
    <d v="2022-01-12T00:00:00"/>
    <x v="35"/>
    <s v="Feb"/>
    <n v="2025"/>
    <n v="1528"/>
    <n v="45716"/>
    <d v="2026-03-20T19:35:19"/>
  </r>
  <r>
    <s v="TRX0229"/>
    <d v="2025-02-27T00:00:00"/>
    <s v="CUST015"/>
    <x v="45"/>
    <s v="P005"/>
    <s v="Blender"/>
    <s v="Appliances"/>
    <n v="4"/>
    <n v="59.99"/>
    <s v="Cash"/>
    <s v="West"/>
    <s v="Standard"/>
    <d v="2023-05-24T00:00:00"/>
    <x v="20"/>
    <s v="Feb"/>
    <n v="2025"/>
    <n v="1031"/>
    <n v="45716"/>
    <d v="2026-03-20T19:35:19"/>
  </r>
  <r>
    <s v="TRX0048"/>
    <d v="2025-02-27T00:00:00"/>
    <s v="CUST048"/>
    <x v="16"/>
    <s v="P007"/>
    <s v="Desk"/>
    <s v="Furniture"/>
    <n v="2"/>
    <n v="299.99"/>
    <s v="PayPal"/>
    <s v="South"/>
    <s v="Basic"/>
    <d v="2022-01-15T00:00:00"/>
    <x v="31"/>
    <s v="Feb"/>
    <n v="2025"/>
    <n v="1525"/>
    <n v="45716"/>
    <d v="2026-03-20T19:35:19"/>
  </r>
  <r>
    <s v="TRX0227"/>
    <d v="2025-03-02T00:00:00"/>
    <s v="CUST017"/>
    <x v="6"/>
    <s v="P008"/>
    <s v="Bookshelf"/>
    <s v="Furniture"/>
    <n v="2"/>
    <n v="149.99"/>
    <s v="Cash"/>
    <s v="Central"/>
    <s v="Basic"/>
    <d v="2023-05-22T00:00:00"/>
    <x v="22"/>
    <s v="Mar"/>
    <n v="2025"/>
    <n v="1033"/>
    <n v="45747"/>
    <d v="2026-03-20T19:35:19"/>
  </r>
  <r>
    <s v="TRX0226"/>
    <d v="2025-03-04T00:00:00"/>
    <s v="CUST039"/>
    <x v="40"/>
    <s v="P002"/>
    <s v="Smartphone"/>
    <s v="Electronics"/>
    <n v="5"/>
    <n v="699.99"/>
    <s v="Debit Card"/>
    <s v="East"/>
    <s v="Premium"/>
    <d v="2023-08-23T00:00:00"/>
    <x v="12"/>
    <s v="Mar"/>
    <n v="2025"/>
    <n v="940"/>
    <n v="45747"/>
    <d v="2026-03-20T19:35:19"/>
  </r>
  <r>
    <s v="TRX0053"/>
    <d v="2025-03-05T00:00:00"/>
    <s v="CUST043"/>
    <x v="11"/>
    <s v="P005"/>
    <s v="Blender"/>
    <s v="Appliances"/>
    <n v="5"/>
    <n v="59.99"/>
    <s v="Cash"/>
    <s v="West"/>
    <s v="Premium"/>
    <d v="2023-12-31T00:00:00"/>
    <x v="42"/>
    <s v="Mar"/>
    <n v="2025"/>
    <n v="810"/>
    <n v="45747"/>
    <d v="2026-03-20T19:35:19"/>
  </r>
  <r>
    <s v="TRX0233"/>
    <d v="2025-03-07T00:00:00"/>
    <s v="CUST023"/>
    <x v="0"/>
    <s v="P010"/>
    <s v="Keyboard"/>
    <s v="Electronics"/>
    <n v="2"/>
    <n v="89.99"/>
    <s v="Credit Card"/>
    <s v="West"/>
    <s v="Premium"/>
    <d v="2024-01-04T00:00:00"/>
    <x v="28"/>
    <s v="Mar"/>
    <n v="2025"/>
    <n v="806"/>
    <n v="45747"/>
    <d v="2026-03-20T19:35:19"/>
  </r>
  <r>
    <s v="TRX0175"/>
    <d v="2025-03-07T00:00:00"/>
    <s v="CUST030"/>
    <x v="22"/>
    <s v="P009"/>
    <s v="Monitor"/>
    <s v="Electronics"/>
    <n v="5"/>
    <n v="249.99"/>
    <s v="Cash"/>
    <s v="East"/>
    <s v="Standard"/>
    <d v="2021-12-10T00:00:00"/>
    <x v="16"/>
    <s v="Mar"/>
    <n v="2025"/>
    <n v="1561"/>
    <n v="45747"/>
    <d v="2026-03-20T19:35:19"/>
  </r>
  <r>
    <s v="TRX0186"/>
    <d v="2025-03-08T00:00:00"/>
    <s v="CUST039"/>
    <x v="40"/>
    <s v="P008"/>
    <s v="Bookshelf"/>
    <s v="Furniture"/>
    <n v="2"/>
    <n v="149.99"/>
    <s v="PayPal"/>
    <s v="Central"/>
    <s v="Premium"/>
    <d v="2022-03-12T00:00:00"/>
    <x v="22"/>
    <s v="Mar"/>
    <n v="2025"/>
    <n v="1469"/>
    <n v="45747"/>
    <d v="2026-03-20T19:35:19"/>
  </r>
  <r>
    <s v="TRX0016"/>
    <d v="2025-03-08T00:00:00"/>
    <s v="CUST035"/>
    <x v="28"/>
    <s v="P001"/>
    <s v="Laptop"/>
    <s v="Electronics"/>
    <n v="5"/>
    <n v="899.99"/>
    <s v="PayPal"/>
    <s v="East"/>
    <s v="Premium"/>
    <d v="2024-04-07T00:00:00"/>
    <x v="29"/>
    <s v="Mar"/>
    <n v="2025"/>
    <n v="712"/>
    <n v="45747"/>
    <d v="2026-03-20T19:35:19"/>
  </r>
  <r>
    <s v="TRX0199"/>
    <d v="2025-03-08T00:00:00"/>
    <s v="CUST017"/>
    <x v="6"/>
    <s v="P008"/>
    <s v="Bookshelf"/>
    <s v="Furniture"/>
    <n v="4"/>
    <n v="149.99"/>
    <s v="Cash"/>
    <s v="Central"/>
    <s v="Standard"/>
    <d v="2023-12-03T00:00:00"/>
    <x v="9"/>
    <s v="Mar"/>
    <n v="2025"/>
    <n v="838"/>
    <n v="45747"/>
    <d v="2026-03-20T19:35:19"/>
  </r>
  <r>
    <s v="TRX0038"/>
    <d v="2025-03-10T00:00:00"/>
    <s v="CUST035"/>
    <x v="28"/>
    <s v="P009"/>
    <s v="Monitor"/>
    <s v="Electronics"/>
    <n v="1"/>
    <n v="249.99"/>
    <s v="Cash"/>
    <s v="North"/>
    <s v="Standard"/>
    <d v="2023-07-10T00:00:00"/>
    <x v="39"/>
    <s v="Mar"/>
    <n v="2025"/>
    <n v="984"/>
    <n v="45747"/>
    <d v="2026-03-20T19:35:19"/>
  </r>
  <r>
    <s v="TRX0014"/>
    <d v="2025-03-18T00:00:00"/>
    <s v="CUST033"/>
    <x v="37"/>
    <s v="P005"/>
    <s v="Blender"/>
    <s v="Appliances"/>
    <n v="2"/>
    <n v="59.99"/>
    <s v="Credit Card"/>
    <s v="West"/>
    <s v="Basic"/>
    <d v="2023-09-24T00:00:00"/>
    <x v="3"/>
    <s v="Mar"/>
    <n v="2025"/>
    <n v="908"/>
    <n v="45747"/>
    <d v="2026-03-20T19:35:19"/>
  </r>
  <r>
    <s v="TRX0003"/>
    <d v="2025-03-21T00:00:00"/>
    <s v="CUST002"/>
    <x v="25"/>
    <s v="P008"/>
    <s v="Bookshelf"/>
    <s v="Furniture"/>
    <n v="2"/>
    <n v="149.99"/>
    <s v="Cash"/>
    <s v="West"/>
    <s v="Premium"/>
    <d v="2023-11-03T00:00:00"/>
    <x v="22"/>
    <s v="Mar"/>
    <n v="2025"/>
    <n v="868"/>
    <n v="45747"/>
    <d v="2026-03-20T19:35:19"/>
  </r>
  <r>
    <s v="TRX0124"/>
    <d v="2025-03-21T00:00:00"/>
    <s v="CUST040"/>
    <x v="30"/>
    <s v="P001"/>
    <s v="Laptop"/>
    <s v="Electronics"/>
    <n v="3"/>
    <n v="899.99"/>
    <s v="Debit Card"/>
    <s v="North"/>
    <s v="Premium"/>
    <d v="2022-11-11T00:00:00"/>
    <x v="4"/>
    <s v="Mar"/>
    <n v="2025"/>
    <n v="1225"/>
    <n v="45747"/>
    <d v="2026-03-20T19:35:19"/>
  </r>
  <r>
    <s v="TRX0013"/>
    <d v="2025-03-21T00:00:00"/>
    <s v="CUST024"/>
    <x v="5"/>
    <s v="P001"/>
    <s v="Laptop"/>
    <s v="Electronics"/>
    <n v="3"/>
    <n v="899.99"/>
    <s v="PayPal"/>
    <s v="North"/>
    <s v="Basic"/>
    <d v="2023-02-18T00:00:00"/>
    <x v="4"/>
    <s v="Mar"/>
    <n v="2025"/>
    <n v="1126"/>
    <n v="45747"/>
    <d v="2026-03-20T19:35:19"/>
  </r>
  <r>
    <s v="TRX0019"/>
    <d v="2025-03-23T00:00:00"/>
    <s v="CUST023"/>
    <x v="0"/>
    <s v="P007"/>
    <s v="Desk"/>
    <s v="Furniture"/>
    <n v="3"/>
    <n v="299.99"/>
    <s v="Credit Card"/>
    <s v="West"/>
    <s v="Premium"/>
    <d v="2023-11-04T00:00:00"/>
    <x v="23"/>
    <s v="Mar"/>
    <n v="2025"/>
    <n v="867"/>
    <n v="45747"/>
    <d v="2026-03-20T19:35:19"/>
  </r>
  <r>
    <s v="TRX0050"/>
    <d v="2025-03-24T00:00:00"/>
    <s v="CUST001"/>
    <x v="49"/>
    <s v="P008"/>
    <s v="Bookshelf"/>
    <s v="Furniture"/>
    <n v="4"/>
    <n v="149.99"/>
    <s v="PayPal"/>
    <s v="West"/>
    <s v="Standard"/>
    <d v="2021-12-30T00:00:00"/>
    <x v="9"/>
    <s v="Mar"/>
    <n v="2025"/>
    <n v="1541"/>
    <n v="45747"/>
    <d v="2026-03-20T19:35:19"/>
  </r>
  <r>
    <s v="TRX0152"/>
    <d v="2025-03-27T00:00:00"/>
    <s v="CUST044"/>
    <x v="19"/>
    <s v="P004"/>
    <s v="Coffee Maker"/>
    <s v="Appliances"/>
    <n v="4"/>
    <n v="79.989999999999995"/>
    <s v="Credit Card"/>
    <s v="Central"/>
    <s v="Basic"/>
    <d v="2023-12-28T00:00:00"/>
    <x v="40"/>
    <s v="Mar"/>
    <n v="2025"/>
    <n v="813"/>
    <n v="45747"/>
    <d v="2026-03-20T19:35:19"/>
  </r>
  <r>
    <s v="TRX0213"/>
    <d v="2025-03-29T00:00:00"/>
    <s v="CUST020"/>
    <x v="36"/>
    <s v="P010"/>
    <s v="Keyboard"/>
    <s v="Electronics"/>
    <n v="5"/>
    <n v="89.99"/>
    <s v="PayPal"/>
    <s v="South"/>
    <s v="Basic"/>
    <d v="2022-05-23T00:00:00"/>
    <x v="19"/>
    <s v="Mar"/>
    <n v="2025"/>
    <n v="1397"/>
    <n v="45747"/>
    <d v="2026-03-20T19:35:19"/>
  </r>
  <r>
    <s v="TRX0197"/>
    <d v="2025-03-30T00:00:00"/>
    <s v="CUST048"/>
    <x v="16"/>
    <s v="P008"/>
    <s v="Bookshelf"/>
    <s v="Furniture"/>
    <n v="3"/>
    <n v="149.99"/>
    <s v="PayPal"/>
    <s v="Central"/>
    <s v="Standard"/>
    <d v="2023-09-02T00:00:00"/>
    <x v="6"/>
    <s v="Mar"/>
    <n v="2025"/>
    <n v="930"/>
    <n v="45747"/>
    <d v="2026-03-20T19:35:19"/>
  </r>
  <r>
    <s v="TRX0250"/>
    <d v="2025-03-30T00:00:00"/>
    <s v="CUST026"/>
    <x v="8"/>
    <s v="P010"/>
    <s v="Keyboard"/>
    <s v="Electronics"/>
    <n v="2"/>
    <n v="89.99"/>
    <s v="Debit Card"/>
    <s v="West"/>
    <s v="Premium"/>
    <d v="2021-11-22T00:00:00"/>
    <x v="28"/>
    <s v="Mar"/>
    <n v="2025"/>
    <n v="1579"/>
    <n v="45747"/>
    <d v="2026-03-20T19:35:19"/>
  </r>
  <r>
    <s v="TRX0068"/>
    <d v="2025-04-01T00:00:00"/>
    <s v="CUST044"/>
    <x v="19"/>
    <s v="P002"/>
    <s v="Smartphone"/>
    <s v="Electronics"/>
    <n v="2"/>
    <n v="699.99"/>
    <s v="PayPal"/>
    <s v="North"/>
    <s v="Standard"/>
    <d v="2022-02-26T00:00:00"/>
    <x v="10"/>
    <s v="Apr"/>
    <n v="2025"/>
    <n v="1483"/>
    <n v="45777"/>
    <d v="2026-03-20T19:35:19"/>
  </r>
  <r>
    <s v="TRX0144"/>
    <d v="2025-04-02T00:00:00"/>
    <s v="CUST029"/>
    <x v="23"/>
    <s v="P001"/>
    <s v="Laptop"/>
    <s v="Electronics"/>
    <n v="3"/>
    <n v="899.99"/>
    <s v="Cash"/>
    <s v="Central"/>
    <s v="Standard"/>
    <d v="2023-01-27T00:00:00"/>
    <x v="4"/>
    <s v="Apr"/>
    <n v="2025"/>
    <n v="1148"/>
    <n v="45777"/>
    <d v="2026-03-20T19:35:19"/>
  </r>
  <r>
    <s v="TRX0039"/>
    <d v="2025-04-08T00:00:00"/>
    <s v="CUST048"/>
    <x v="16"/>
    <s v="P004"/>
    <s v="Coffee Maker"/>
    <s v="Appliances"/>
    <n v="3"/>
    <n v="79.989999999999995"/>
    <s v="Credit Card"/>
    <s v="North"/>
    <s v="Basic"/>
    <d v="2021-11-11T00:00:00"/>
    <x v="18"/>
    <s v="Apr"/>
    <n v="2025"/>
    <n v="1590"/>
    <n v="45777"/>
    <d v="2026-03-20T19:35:19"/>
  </r>
  <r>
    <s v="TRX0116"/>
    <d v="2025-04-09T00:00:00"/>
    <s v="CUST009"/>
    <x v="7"/>
    <s v="P010"/>
    <s v="Keyboard"/>
    <s v="Electronics"/>
    <n v="1"/>
    <n v="89.99"/>
    <s v="Debit Card"/>
    <s v="East"/>
    <s v="Basic"/>
    <d v="2024-02-24T00:00:00"/>
    <x v="27"/>
    <s v="Apr"/>
    <n v="2025"/>
    <n v="755"/>
    <n v="45777"/>
    <d v="2026-03-20T19:35:19"/>
  </r>
  <r>
    <s v="TRX0120"/>
    <d v="2025-04-11T00:00:00"/>
    <s v="CUST045"/>
    <x v="46"/>
    <s v="P002"/>
    <s v="Smartphone"/>
    <s v="Electronics"/>
    <n v="3"/>
    <n v="699.99"/>
    <s v="PayPal"/>
    <s v="North"/>
    <s v="Basic"/>
    <d v="2022-12-14T00:00:00"/>
    <x v="7"/>
    <s v="Apr"/>
    <n v="2025"/>
    <n v="1192"/>
    <n v="45777"/>
    <d v="2026-03-20T19:35:19"/>
  </r>
  <r>
    <s v="TRX0103"/>
    <d v="2025-04-11T00:00:00"/>
    <s v="CUST039"/>
    <x v="40"/>
    <s v="P010"/>
    <s v="Keyboard"/>
    <s v="Electronics"/>
    <n v="2"/>
    <n v="89.99"/>
    <s v="Debit Card"/>
    <s v="East"/>
    <s v="Basic"/>
    <d v="2023-06-11T00:00:00"/>
    <x v="28"/>
    <s v="Apr"/>
    <n v="2025"/>
    <n v="1013"/>
    <n v="45777"/>
    <d v="2026-03-20T19:35:19"/>
  </r>
  <r>
    <s v="TRX0064"/>
    <d v="2025-04-11T00:00:00"/>
    <s v="CUST031"/>
    <x v="26"/>
    <s v="P010"/>
    <s v="Keyboard"/>
    <s v="Electronics"/>
    <n v="3"/>
    <n v="89.99"/>
    <s v="Debit Card"/>
    <s v="North"/>
    <s v="Premium"/>
    <d v="2022-11-13T00:00:00"/>
    <x v="25"/>
    <s v="Apr"/>
    <n v="2025"/>
    <n v="1223"/>
    <n v="45777"/>
    <d v="2026-03-20T19:35: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TRX0155"/>
    <x v="0"/>
    <s v="CUST023"/>
    <x v="0"/>
    <s v="P009"/>
    <s v="Monitor"/>
    <s v="Electronics"/>
    <n v="3"/>
    <n v="249.99"/>
    <s v="Cash"/>
    <s v="Central"/>
    <s v="Basic"/>
    <d v="2021-08-17T00:00:00"/>
    <n v="749.97"/>
    <s v="Apr"/>
    <n v="2024"/>
    <n v="1676"/>
    <n v="45412"/>
    <d v="2026-03-20T21:53:00"/>
    <x v="0"/>
    <s v="Paul Baker"/>
    <n v="8309.739999999998"/>
  </r>
  <r>
    <s v="TRX0023"/>
    <x v="1"/>
    <s v="CUST013"/>
    <x v="1"/>
    <s v="P009"/>
    <s v="Monitor"/>
    <s v="Electronics"/>
    <n v="3"/>
    <n v="249.99"/>
    <s v="Credit Card"/>
    <s v="Central"/>
    <s v="Premium"/>
    <d v="2022-01-14T00:00:00"/>
    <n v="749.97"/>
    <s v="Apr"/>
    <n v="2024"/>
    <n v="1526"/>
    <n v="45412"/>
    <d v="2026-03-20T21:53:00"/>
    <x v="0"/>
    <s v="Joseph Jackson"/>
    <n v="6949.84"/>
  </r>
  <r>
    <s v="TRX0139"/>
    <x v="2"/>
    <s v="CUST021"/>
    <x v="2"/>
    <s v="P005"/>
    <s v="Blender"/>
    <s v="Appliances"/>
    <n v="3"/>
    <n v="59.99"/>
    <s v="PayPal"/>
    <s v="South"/>
    <s v="Standard"/>
    <d v="2023-12-02T00:00:00"/>
    <n v="179.97"/>
    <s v="Apr"/>
    <n v="2024"/>
    <n v="839"/>
    <n v="45412"/>
    <d v="2026-03-20T21:53:00"/>
    <x v="0"/>
    <s v="Kevin Scott"/>
    <n v="3259.87"/>
  </r>
  <r>
    <s v="TRX0043"/>
    <x v="3"/>
    <s v="CUST046"/>
    <x v="3"/>
    <s v="P005"/>
    <s v="Blender"/>
    <s v="Appliances"/>
    <n v="3"/>
    <n v="59.99"/>
    <s v="Cash"/>
    <s v="North"/>
    <s v="Premium"/>
    <d v="2023-07-07T00:00:00"/>
    <n v="179.97"/>
    <s v="Apr"/>
    <n v="2024"/>
    <n v="987"/>
    <n v="45412"/>
    <d v="2026-03-20T21:53:00"/>
    <x v="0"/>
    <s v="Kathleen Bennett"/>
    <n v="4309.8099999999995"/>
  </r>
  <r>
    <s v="TRX0212"/>
    <x v="3"/>
    <s v="CUST003"/>
    <x v="4"/>
    <s v="P008"/>
    <s v="Bookshelf"/>
    <s v="Furniture"/>
    <n v="5"/>
    <n v="149.99"/>
    <s v="Credit Card"/>
    <s v="North"/>
    <s v="Premium"/>
    <d v="2024-01-04T00:00:00"/>
    <n v="749.95"/>
    <s v="Apr"/>
    <n v="2024"/>
    <n v="806"/>
    <n v="45412"/>
    <d v="2026-03-20T21:53:00"/>
    <x v="0"/>
    <s v="Michael Brown"/>
    <n v="6169.7400000000007"/>
  </r>
  <r>
    <s v="TRX0092"/>
    <x v="4"/>
    <s v="CUST024"/>
    <x v="5"/>
    <s v="P005"/>
    <s v="Blender"/>
    <s v="Appliances"/>
    <n v="2"/>
    <n v="59.99"/>
    <s v="Cash"/>
    <s v="West"/>
    <s v="Standard"/>
    <d v="2022-07-04T00:00:00"/>
    <n v="119.98"/>
    <s v="Apr"/>
    <n v="2024"/>
    <n v="1355"/>
    <n v="45412"/>
    <d v="2026-03-20T21:53:00"/>
    <x v="0"/>
    <s v="Dorothy Nelson"/>
    <n v="8269.7900000000009"/>
  </r>
  <r>
    <s v="TRX0193"/>
    <x v="4"/>
    <s v="CUST024"/>
    <x v="5"/>
    <s v="P003"/>
    <s v="Headphones"/>
    <s v="Electronics"/>
    <n v="5"/>
    <n v="149.99"/>
    <s v="Credit Card"/>
    <s v="Central"/>
    <s v="Standard"/>
    <d v="2021-08-10T00:00:00"/>
    <n v="749.95"/>
    <s v="Apr"/>
    <n v="2024"/>
    <n v="1683"/>
    <n v="45412"/>
    <d v="2026-03-20T21:53:00"/>
    <x v="0"/>
    <s v="Charles Allen"/>
    <n v="8269.7900000000009"/>
  </r>
  <r>
    <s v="TRX0240"/>
    <x v="4"/>
    <s v="CUST017"/>
    <x v="6"/>
    <s v="P005"/>
    <s v="Blender"/>
    <s v="Appliances"/>
    <n v="3"/>
    <n v="59.99"/>
    <s v="Debit Card"/>
    <s v="South"/>
    <s v="Basic"/>
    <d v="2023-03-22T00:00:00"/>
    <n v="179.97"/>
    <s v="Apr"/>
    <n v="2024"/>
    <n v="1094"/>
    <n v="45412"/>
    <d v="2026-03-20T21:53:00"/>
    <x v="0"/>
    <s v="Robert Thomas"/>
    <n v="5089.7300000000005"/>
  </r>
  <r>
    <s v="TRX0135"/>
    <x v="5"/>
    <s v="CUST009"/>
    <x v="7"/>
    <s v="P001"/>
    <s v="Laptop"/>
    <s v="Electronics"/>
    <n v="3"/>
    <n v="899.99"/>
    <s v="PayPal"/>
    <s v="East"/>
    <s v="Standard"/>
    <d v="2024-01-08T00:00:00"/>
    <n v="2699.97"/>
    <s v="Apr"/>
    <n v="2024"/>
    <n v="802"/>
    <n v="45412"/>
    <d v="2026-03-20T21:53:00"/>
    <x v="1"/>
    <s v="Karen Hill"/>
    <n v="3509.8999999999996"/>
  </r>
  <r>
    <s v="TRX0185"/>
    <x v="6"/>
    <s v="CUST026"/>
    <x v="8"/>
    <s v="P005"/>
    <s v="Blender"/>
    <s v="Appliances"/>
    <n v="3"/>
    <n v="59.99"/>
    <s v="Cash"/>
    <s v="West"/>
    <s v="Premium"/>
    <d v="2023-10-08T00:00:00"/>
    <n v="179.97"/>
    <s v="Apr"/>
    <n v="2024"/>
    <n v="894"/>
    <n v="45412"/>
    <d v="2026-03-20T21:53:00"/>
    <x v="0"/>
    <s v="Susan Green"/>
    <n v="8009.7699999999995"/>
  </r>
  <r>
    <s v="TRX0138"/>
    <x v="6"/>
    <s v="CUST022"/>
    <x v="9"/>
    <s v="P008"/>
    <s v="Bookshelf"/>
    <s v="Furniture"/>
    <n v="1"/>
    <n v="149.99"/>
    <s v="Credit Card"/>
    <s v="West"/>
    <s v="Standard"/>
    <d v="2023-06-26T00:00:00"/>
    <n v="149.99"/>
    <s v="Apr"/>
    <n v="2024"/>
    <n v="998"/>
    <n v="45412"/>
    <d v="2026-03-20T21:53:00"/>
    <x v="0"/>
    <s v="Peter Richardson"/>
    <n v="1979.89"/>
  </r>
  <r>
    <s v="TRX0209"/>
    <x v="6"/>
    <s v="CUST046"/>
    <x v="3"/>
    <s v="P008"/>
    <s v="Bookshelf"/>
    <s v="Furniture"/>
    <n v="5"/>
    <n v="149.99"/>
    <s v="Debit Card"/>
    <s v="North"/>
    <s v="Basic"/>
    <d v="2022-09-26T00:00:00"/>
    <n v="749.95"/>
    <s v="Apr"/>
    <n v="2024"/>
    <n v="1271"/>
    <n v="45412"/>
    <d v="2026-03-20T21:53:00"/>
    <x v="0"/>
    <s v="Dennis Gray"/>
    <n v="4309.8099999999995"/>
  </r>
  <r>
    <s v="TRX0246"/>
    <x v="6"/>
    <s v="CUST041"/>
    <x v="10"/>
    <s v="P008"/>
    <s v="Bookshelf"/>
    <s v="Furniture"/>
    <n v="3"/>
    <n v="149.99"/>
    <s v="Cash"/>
    <s v="North"/>
    <s v="Premium"/>
    <d v="2022-09-02T00:00:00"/>
    <n v="449.97"/>
    <s v="Apr"/>
    <n v="2024"/>
    <n v="1295"/>
    <n v="45412"/>
    <d v="2026-03-20T21:53:00"/>
    <x v="0"/>
    <s v="Michelle Rogers"/>
    <n v="5949.85"/>
  </r>
  <r>
    <s v="TRX0067"/>
    <x v="7"/>
    <s v="CUST043"/>
    <x v="11"/>
    <s v="P005"/>
    <s v="Blender"/>
    <s v="Appliances"/>
    <n v="3"/>
    <n v="59.99"/>
    <s v="Credit Card"/>
    <s v="North"/>
    <s v="Standard"/>
    <d v="2024-02-29T00:00:00"/>
    <n v="179.97"/>
    <s v="Apr"/>
    <n v="2024"/>
    <n v="750"/>
    <n v="45412"/>
    <d v="2026-03-20T21:53:00"/>
    <x v="0"/>
    <s v="George Adams"/>
    <n v="479.91999999999996"/>
  </r>
  <r>
    <s v="TRX0191"/>
    <x v="7"/>
    <s v="CUST038"/>
    <x v="12"/>
    <s v="P002"/>
    <s v="Smartphone"/>
    <s v="Electronics"/>
    <n v="3"/>
    <n v="699.99"/>
    <s v="Credit Card"/>
    <s v="West"/>
    <s v="Basic"/>
    <d v="2022-01-16T00:00:00"/>
    <n v="2099.9699999999998"/>
    <s v="Apr"/>
    <n v="2024"/>
    <n v="1524"/>
    <n v="45412"/>
    <d v="2026-03-20T21:53:00"/>
    <x v="1"/>
    <s v="Mark Carter"/>
    <n v="4199.9399999999996"/>
  </r>
  <r>
    <s v="TRX0230"/>
    <x v="7"/>
    <s v="CUST027"/>
    <x v="13"/>
    <s v="P001"/>
    <s v="Laptop"/>
    <s v="Electronics"/>
    <n v="1"/>
    <n v="899.99"/>
    <s v="Debit Card"/>
    <s v="North"/>
    <s v="Standard"/>
    <d v="2022-12-25T00:00:00"/>
    <n v="899.99"/>
    <s v="Apr"/>
    <n v="2024"/>
    <n v="1181"/>
    <n v="45412"/>
    <d v="2026-03-20T21:53:00"/>
    <x v="0"/>
    <s v="Maria Garcia"/>
    <n v="3779.93"/>
  </r>
  <r>
    <s v="TRX0049"/>
    <x v="8"/>
    <s v="CUST025"/>
    <x v="14"/>
    <s v="P008"/>
    <s v="Bookshelf"/>
    <s v="Furniture"/>
    <n v="4"/>
    <n v="149.99"/>
    <s v="Debit Card"/>
    <s v="North"/>
    <s v="Premium"/>
    <d v="2024-03-23T00:00:00"/>
    <n v="599.96"/>
    <s v="Apr"/>
    <n v="2024"/>
    <n v="727"/>
    <n v="45412"/>
    <d v="2026-03-20T21:53:00"/>
    <x v="0"/>
    <s v="Virginia Sanders"/>
    <n v="15659.65"/>
  </r>
  <r>
    <s v="TRX0134"/>
    <x v="8"/>
    <s v="CUST010"/>
    <x v="15"/>
    <s v="P002"/>
    <s v="Smartphone"/>
    <s v="Electronics"/>
    <n v="2"/>
    <n v="699.99"/>
    <s v="Cash"/>
    <s v="North"/>
    <s v="Basic"/>
    <d v="2022-08-08T00:00:00"/>
    <n v="1399.98"/>
    <s v="Apr"/>
    <n v="2024"/>
    <n v="1320"/>
    <n v="45412"/>
    <d v="2026-03-20T21:53:00"/>
    <x v="1"/>
    <s v="Barbara Young"/>
    <n v="1909.93"/>
  </r>
  <r>
    <s v="TRX0122"/>
    <x v="8"/>
    <s v="CUST025"/>
    <x v="14"/>
    <s v="P001"/>
    <s v="Laptop"/>
    <s v="Electronics"/>
    <n v="4"/>
    <n v="899.99"/>
    <s v="Credit Card"/>
    <s v="West"/>
    <s v="Standard"/>
    <d v="2024-02-05T00:00:00"/>
    <n v="3599.96"/>
    <s v="Apr"/>
    <n v="2024"/>
    <n v="774"/>
    <n v="45412"/>
    <d v="2026-03-20T21:53:00"/>
    <x v="1"/>
    <s v="Patricia Moore"/>
    <n v="15659.65"/>
  </r>
  <r>
    <s v="TRX0222"/>
    <x v="8"/>
    <s v="CUST048"/>
    <x v="16"/>
    <s v="P009"/>
    <s v="Monitor"/>
    <s v="Electronics"/>
    <n v="3"/>
    <n v="249.99"/>
    <s v="Credit Card"/>
    <s v="North"/>
    <s v="Premium"/>
    <d v="2023-10-25T00:00:00"/>
    <n v="749.97"/>
    <s v="Apr"/>
    <n v="2024"/>
    <n v="877"/>
    <n v="45412"/>
    <d v="2026-03-20T21:53:00"/>
    <x v="0"/>
    <s v="Cynthia Price"/>
    <n v="4789.7900000000009"/>
  </r>
  <r>
    <s v="TRX0231"/>
    <x v="9"/>
    <s v="CUST018"/>
    <x v="17"/>
    <s v="P002"/>
    <s v="Smartphone"/>
    <s v="Electronics"/>
    <n v="5"/>
    <n v="699.99"/>
    <s v="Cash"/>
    <s v="West"/>
    <s v="Basic"/>
    <d v="2023-08-29T00:00:00"/>
    <n v="3499.95"/>
    <s v="Apr"/>
    <n v="2024"/>
    <n v="934"/>
    <n v="45412"/>
    <d v="2026-03-20T21:53:00"/>
    <x v="1"/>
    <s v="Nancy Collins"/>
    <n v="10649.8"/>
  </r>
  <r>
    <s v="TRX0239"/>
    <x v="10"/>
    <s v="CUST012"/>
    <x v="18"/>
    <s v="P002"/>
    <s v="Smartphone"/>
    <s v="Electronics"/>
    <n v="4"/>
    <n v="699.99"/>
    <s v="Cash"/>
    <s v="East"/>
    <s v="Standard"/>
    <d v="2021-08-01T00:00:00"/>
    <n v="2799.96"/>
    <s v="May"/>
    <n v="2024"/>
    <n v="1692"/>
    <n v="45443"/>
    <d v="2026-03-20T21:53:00"/>
    <x v="1"/>
    <s v="Linda Martin"/>
    <n v="9799.73"/>
  </r>
  <r>
    <s v="TRX0204"/>
    <x v="11"/>
    <s v="CUST044"/>
    <x v="19"/>
    <s v="P009"/>
    <s v="Monitor"/>
    <s v="Electronics"/>
    <n v="4"/>
    <n v="249.99"/>
    <s v="PayPal"/>
    <s v="North"/>
    <s v="Standard"/>
    <d v="2021-09-29T00:00:00"/>
    <n v="999.96"/>
    <s v="May"/>
    <n v="2024"/>
    <n v="1633"/>
    <n v="45443"/>
    <d v="2026-03-20T21:53:00"/>
    <x v="0"/>
    <s v="Helen Roberts"/>
    <n v="3769.8300000000004"/>
  </r>
  <r>
    <s v="TRX0242"/>
    <x v="12"/>
    <s v="CUST025"/>
    <x v="14"/>
    <s v="P007"/>
    <s v="Desk"/>
    <s v="Furniture"/>
    <n v="4"/>
    <n v="299.99"/>
    <s v="Cash"/>
    <s v="West"/>
    <s v="Premium"/>
    <d v="2022-06-04T00:00:00"/>
    <n v="1199.96"/>
    <s v="May"/>
    <n v="2024"/>
    <n v="1385"/>
    <n v="45443"/>
    <d v="2026-03-20T21:53:00"/>
    <x v="1"/>
    <s v="Edward Mitchell"/>
    <n v="15659.65"/>
  </r>
  <r>
    <s v="TRX0071"/>
    <x v="13"/>
    <s v="CUST036"/>
    <x v="20"/>
    <s v="P009"/>
    <s v="Monitor"/>
    <s v="Electronics"/>
    <n v="5"/>
    <n v="249.99"/>
    <s v="Credit Card"/>
    <s v="West"/>
    <s v="Standard"/>
    <d v="2021-11-25T00:00:00"/>
    <n v="1249.95"/>
    <s v="May"/>
    <n v="2024"/>
    <n v="1576"/>
    <n v="45443"/>
    <d v="2026-03-20T21:53:00"/>
    <x v="1"/>
    <s v="Lisa Anderson"/>
    <n v="4189.7700000000004"/>
  </r>
  <r>
    <s v="TRX0040"/>
    <x v="14"/>
    <s v="CUST022"/>
    <x v="9"/>
    <s v="P007"/>
    <s v="Desk"/>
    <s v="Furniture"/>
    <n v="5"/>
    <n v="299.99"/>
    <s v="PayPal"/>
    <s v="East"/>
    <s v="Basic"/>
    <d v="2023-08-30T00:00:00"/>
    <n v="1499.95"/>
    <s v="May"/>
    <n v="2024"/>
    <n v="933"/>
    <n v="45443"/>
    <d v="2026-03-20T21:53:00"/>
    <x v="1"/>
    <s v="Emma Wilson"/>
    <n v="1979.89"/>
  </r>
  <r>
    <s v="TRX0235"/>
    <x v="14"/>
    <s v="CUST014"/>
    <x v="21"/>
    <s v="P004"/>
    <s v="Coffee Maker"/>
    <s v="Appliances"/>
    <n v="3"/>
    <n v="79.989999999999995"/>
    <s v="PayPal"/>
    <s v="East"/>
    <s v="Premium"/>
    <d v="2023-03-27T00:00:00"/>
    <n v="239.97"/>
    <s v="May"/>
    <n v="2024"/>
    <n v="1089"/>
    <n v="45443"/>
    <d v="2026-03-20T21:53:00"/>
    <x v="0"/>
    <s v="Steven Turner"/>
    <n v="1289.9000000000001"/>
  </r>
  <r>
    <s v="TRX0004"/>
    <x v="14"/>
    <s v="CUST012"/>
    <x v="18"/>
    <s v="P010"/>
    <s v="Keyboard"/>
    <s v="Electronics"/>
    <n v="5"/>
    <n v="89.99"/>
    <s v="Cash"/>
    <s v="North"/>
    <s v="Premium"/>
    <d v="2022-12-24T00:00:00"/>
    <n v="449.95"/>
    <s v="May"/>
    <n v="2024"/>
    <n v="1182"/>
    <n v="45443"/>
    <d v="2026-03-20T21:53:00"/>
    <x v="0"/>
    <s v="Jennifer Taylor"/>
    <n v="9799.73"/>
  </r>
  <r>
    <s v="TRX0063"/>
    <x v="15"/>
    <s v="CUST030"/>
    <x v="22"/>
    <s v="P005"/>
    <s v="Blender"/>
    <s v="Appliances"/>
    <n v="2"/>
    <n v="59.99"/>
    <s v="Debit Card"/>
    <s v="Central"/>
    <s v="Standard"/>
    <d v="2023-10-15T00:00:00"/>
    <n v="119.98"/>
    <s v="May"/>
    <n v="2024"/>
    <n v="887"/>
    <n v="45443"/>
    <d v="2026-03-20T21:53:00"/>
    <x v="0"/>
    <s v="Harry Morgan"/>
    <n v="6459.79"/>
  </r>
  <r>
    <s v="TRX0241"/>
    <x v="16"/>
    <s v="CUST029"/>
    <x v="23"/>
    <s v="P005"/>
    <s v="Blender"/>
    <s v="Appliances"/>
    <n v="4"/>
    <n v="59.99"/>
    <s v="Debit Card"/>
    <s v="East"/>
    <s v="Standard"/>
    <d v="2022-11-02T00:00:00"/>
    <n v="239.96"/>
    <s v="May"/>
    <n v="2024"/>
    <n v="1234"/>
    <n v="45443"/>
    <d v="2026-03-20T21:53:00"/>
    <x v="0"/>
    <s v="Daniel King"/>
    <n v="11919.769999999999"/>
  </r>
  <r>
    <s v="TRX0029"/>
    <x v="16"/>
    <s v="CUST017"/>
    <x v="6"/>
    <s v="P006"/>
    <s v="Office Chair"/>
    <s v="Furniture"/>
    <n v="5"/>
    <n v="199.99"/>
    <s v="Cash"/>
    <s v="South"/>
    <s v="Standard"/>
    <d v="2021-08-04T00:00:00"/>
    <n v="999.95"/>
    <s v="May"/>
    <n v="2024"/>
    <n v="1689"/>
    <n v="45443"/>
    <d v="2026-03-20T21:53:00"/>
    <x v="0"/>
    <s v="Sharon Butler"/>
    <n v="5089.7300000000005"/>
  </r>
  <r>
    <s v="TRX0194"/>
    <x v="17"/>
    <s v="CUST006"/>
    <x v="24"/>
    <s v="P008"/>
    <s v="Bookshelf"/>
    <s v="Furniture"/>
    <n v="2"/>
    <n v="149.99"/>
    <s v="Credit Card"/>
    <s v="West"/>
    <s v="Basic"/>
    <d v="2022-09-19T00:00:00"/>
    <n v="299.98"/>
    <s v="May"/>
    <n v="2024"/>
    <n v="1278"/>
    <n v="45443"/>
    <d v="2026-03-20T21:53:00"/>
    <x v="0"/>
    <s v="Sarah Davis"/>
    <n v="2039.8000000000002"/>
  </r>
  <r>
    <s v="TRX0130"/>
    <x v="18"/>
    <s v="CUST002"/>
    <x v="25"/>
    <s v="P008"/>
    <s v="Bookshelf"/>
    <s v="Furniture"/>
    <n v="3"/>
    <n v="149.99"/>
    <s v="Credit Card"/>
    <s v="West"/>
    <s v="Premium"/>
    <d v="2023-05-22T00:00:00"/>
    <n v="449.97"/>
    <s v="May"/>
    <n v="2024"/>
    <n v="1033"/>
    <n v="45443"/>
    <d v="2026-03-20T21:53:00"/>
    <x v="0"/>
    <s v="Betty Campbell"/>
    <n v="1229.8800000000001"/>
  </r>
  <r>
    <s v="TRX0041"/>
    <x v="19"/>
    <s v="CUST021"/>
    <x v="2"/>
    <s v="P001"/>
    <s v="Laptop"/>
    <s v="Electronics"/>
    <n v="1"/>
    <n v="899.99"/>
    <s v="Credit Card"/>
    <s v="West"/>
    <s v="Premium"/>
    <d v="2022-01-17T00:00:00"/>
    <n v="899.99"/>
    <s v="May"/>
    <n v="2024"/>
    <n v="1523"/>
    <n v="45443"/>
    <d v="2026-03-20T21:53:00"/>
    <x v="0"/>
    <s v="Julie Foster"/>
    <n v="3259.87"/>
  </r>
  <r>
    <s v="TRX0232"/>
    <x v="20"/>
    <s v="CUST012"/>
    <x v="18"/>
    <s v="P007"/>
    <s v="Desk"/>
    <s v="Furniture"/>
    <n v="3"/>
    <n v="299.99"/>
    <s v="Credit Card"/>
    <s v="East"/>
    <s v="Basic"/>
    <d v="2022-09-20T00:00:00"/>
    <n v="899.97"/>
    <s v="May"/>
    <n v="2024"/>
    <n v="1277"/>
    <n v="45443"/>
    <d v="2026-03-20T21:53:00"/>
    <x v="0"/>
    <s v="Raymond Ross"/>
    <n v="9799.73"/>
  </r>
  <r>
    <s v="TRX0021"/>
    <x v="21"/>
    <s v="CUST006"/>
    <x v="24"/>
    <s v="P004"/>
    <s v="Coffee Maker"/>
    <s v="Appliances"/>
    <n v="3"/>
    <n v="79.989999999999995"/>
    <s v="Cash"/>
    <s v="South"/>
    <s v="Basic"/>
    <d v="2023-04-30T00:00:00"/>
    <n v="239.97"/>
    <s v="May"/>
    <n v="2024"/>
    <n v="1055"/>
    <n v="45443"/>
    <d v="2026-03-20T21:53:00"/>
    <x v="0"/>
    <s v="David Martinez"/>
    <n v="2039.8000000000002"/>
  </r>
  <r>
    <s v="TRX0245"/>
    <x v="22"/>
    <s v="CUST031"/>
    <x v="26"/>
    <s v="P006"/>
    <s v="Office Chair"/>
    <s v="Furniture"/>
    <n v="3"/>
    <n v="199.99"/>
    <s v="Credit Card"/>
    <s v="North"/>
    <s v="Premium"/>
    <d v="2024-01-01T00:00:00"/>
    <n v="599.97"/>
    <s v="May"/>
    <n v="2024"/>
    <n v="809"/>
    <n v="45443"/>
    <d v="2026-03-20T21:53:00"/>
    <x v="0"/>
    <s v="Margaret Wright"/>
    <n v="2649.83"/>
  </r>
  <r>
    <s v="TRX0015"/>
    <x v="23"/>
    <s v="CUST008"/>
    <x v="27"/>
    <s v="P002"/>
    <s v="Smartphone"/>
    <s v="Electronics"/>
    <n v="5"/>
    <n v="699.99"/>
    <s v="PayPal"/>
    <s v="West"/>
    <s v="Standard"/>
    <d v="2021-07-30T00:00:00"/>
    <n v="3499.95"/>
    <s v="May"/>
    <n v="2024"/>
    <n v="1694"/>
    <n v="45443"/>
    <d v="2026-03-20T21:53:00"/>
    <x v="1"/>
    <s v="Frank Torres"/>
    <n v="4739.8500000000004"/>
  </r>
  <r>
    <s v="TRX0202"/>
    <x v="24"/>
    <s v="CUST035"/>
    <x v="28"/>
    <s v="P010"/>
    <s v="Keyboard"/>
    <s v="Electronics"/>
    <n v="3"/>
    <n v="89.99"/>
    <s v="PayPal"/>
    <s v="Central"/>
    <s v="Premium"/>
    <d v="2023-07-13T00:00:00"/>
    <n v="269.97000000000003"/>
    <s v="May"/>
    <n v="2024"/>
    <n v="981"/>
    <n v="45443"/>
    <d v="2026-03-20T21:53:00"/>
    <x v="0"/>
    <s v="Gerald Murphy"/>
    <n v="5519.8899999999994"/>
  </r>
  <r>
    <s v="TRX0042"/>
    <x v="25"/>
    <s v="CUST019"/>
    <x v="29"/>
    <s v="P004"/>
    <s v="Coffee Maker"/>
    <s v="Appliances"/>
    <n v="1"/>
    <n v="79.989999999999995"/>
    <s v="Cash"/>
    <s v="North"/>
    <s v="Standard"/>
    <d v="2022-12-22T00:00:00"/>
    <n v="79.989999999999995"/>
    <s v="May"/>
    <n v="2024"/>
    <n v="1184"/>
    <n v="45443"/>
    <d v="2026-03-20T21:53:00"/>
    <x v="0"/>
    <s v="Elizabeth Hall"/>
    <n v="7309.7999999999993"/>
  </r>
  <r>
    <s v="TRX0128"/>
    <x v="26"/>
    <s v="CUST040"/>
    <x v="30"/>
    <s v="P005"/>
    <s v="Blender"/>
    <s v="Appliances"/>
    <n v="2"/>
    <n v="59.99"/>
    <s v="Cash"/>
    <s v="West"/>
    <s v="Basic"/>
    <d v="2024-04-08T00:00:00"/>
    <n v="119.98"/>
    <s v="Jun"/>
    <n v="2024"/>
    <n v="711"/>
    <n v="45473"/>
    <d v="2026-03-20T21:53:00"/>
    <x v="0"/>
    <s v="Lawrence Reed"/>
    <n v="5619.869999999999"/>
  </r>
  <r>
    <s v="TRX0117"/>
    <x v="26"/>
    <s v="CUST017"/>
    <x v="6"/>
    <s v="P010"/>
    <s v="Keyboard"/>
    <s v="Electronics"/>
    <n v="1"/>
    <n v="89.99"/>
    <s v="Cash"/>
    <s v="North"/>
    <s v="Basic"/>
    <d v="2023-08-03T00:00:00"/>
    <n v="89.99"/>
    <s v="Jun"/>
    <n v="2024"/>
    <n v="960"/>
    <n v="45473"/>
    <d v="2026-03-20T21:53:00"/>
    <x v="0"/>
    <s v="Carol Evans"/>
    <n v="5089.7300000000005"/>
  </r>
  <r>
    <s v="TRX0208"/>
    <x v="27"/>
    <s v="CUST004"/>
    <x v="31"/>
    <s v="P010"/>
    <s v="Keyboard"/>
    <s v="Electronics"/>
    <n v="5"/>
    <n v="89.99"/>
    <s v="Credit Card"/>
    <s v="East"/>
    <s v="Standard"/>
    <d v="2022-01-26T00:00:00"/>
    <n v="449.95"/>
    <s v="Jun"/>
    <n v="2024"/>
    <n v="1514"/>
    <n v="45473"/>
    <d v="2026-03-20T21:53:00"/>
    <x v="0"/>
    <s v="Sandra Phillips"/>
    <n v="5499.8099999999995"/>
  </r>
  <r>
    <s v="TRX0234"/>
    <x v="28"/>
    <s v="CUST013"/>
    <x v="1"/>
    <s v="P009"/>
    <s v="Monitor"/>
    <s v="Electronics"/>
    <n v="5"/>
    <n v="249.99"/>
    <s v="Credit Card"/>
    <s v="East"/>
    <s v="Standard"/>
    <d v="2022-05-26T00:00:00"/>
    <n v="1249.95"/>
    <s v="Jun"/>
    <n v="2024"/>
    <n v="1394"/>
    <n v="45473"/>
    <d v="2026-03-20T21:53:00"/>
    <x v="1"/>
    <s v="Ruth Brooks"/>
    <n v="6949.84"/>
  </r>
  <r>
    <s v="TRX0121"/>
    <x v="28"/>
    <s v="CUST028"/>
    <x v="32"/>
    <s v="P010"/>
    <s v="Keyboard"/>
    <s v="Electronics"/>
    <n v="1"/>
    <n v="89.99"/>
    <s v="Credit Card"/>
    <s v="South"/>
    <s v="Standard"/>
    <d v="2022-01-21T00:00:00"/>
    <n v="89.99"/>
    <s v="Jun"/>
    <n v="2024"/>
    <n v="1519"/>
    <n v="45473"/>
    <d v="2026-03-20T21:53:00"/>
    <x v="0"/>
    <s v="William White"/>
    <n v="5649.84"/>
  </r>
  <r>
    <s v="TRX0220"/>
    <x v="29"/>
    <s v="CUST003"/>
    <x v="4"/>
    <s v="P008"/>
    <s v="Bookshelf"/>
    <s v="Furniture"/>
    <n v="2"/>
    <n v="149.99"/>
    <s v="Cash"/>
    <s v="East"/>
    <s v="Premium"/>
    <d v="2022-03-25T00:00:00"/>
    <n v="299.98"/>
    <s v="Jun"/>
    <n v="2024"/>
    <n v="1456"/>
    <n v="45473"/>
    <d v="2026-03-20T21:53:00"/>
    <x v="0"/>
    <s v="Richard Lee"/>
    <n v="6169.7400000000007"/>
  </r>
  <r>
    <s v="TRX0093"/>
    <x v="30"/>
    <s v="CUST050"/>
    <x v="33"/>
    <s v="P005"/>
    <s v="Blender"/>
    <s v="Appliances"/>
    <n v="4"/>
    <n v="59.99"/>
    <s v="Cash"/>
    <s v="East"/>
    <s v="Standard"/>
    <d v="2021-08-27T00:00:00"/>
    <n v="239.96"/>
    <s v="Jun"/>
    <n v="2024"/>
    <n v="1666"/>
    <n v="45473"/>
    <d v="2026-03-20T21:53:00"/>
    <x v="0"/>
    <s v="Douglas Watson"/>
    <n v="239.96"/>
  </r>
  <r>
    <s v="TRX0088"/>
    <x v="31"/>
    <s v="CUST006"/>
    <x v="24"/>
    <s v="P010"/>
    <s v="Keyboard"/>
    <s v="Electronics"/>
    <n v="5"/>
    <n v="89.99"/>
    <s v="Cash"/>
    <s v="Central"/>
    <s v="Premium"/>
    <d v="2022-01-18T00:00:00"/>
    <n v="449.95"/>
    <s v="Jun"/>
    <n v="2024"/>
    <n v="1522"/>
    <n v="45473"/>
    <d v="2026-03-20T21:53:00"/>
    <x v="0"/>
    <s v="James Johnson"/>
    <n v="2039.8000000000002"/>
  </r>
  <r>
    <s v="TRX0115"/>
    <x v="32"/>
    <s v="CUST012"/>
    <x v="18"/>
    <s v="P010"/>
    <s v="Keyboard"/>
    <s v="Electronics"/>
    <n v="2"/>
    <n v="89.99"/>
    <s v="Credit Card"/>
    <s v="South"/>
    <s v="Premium"/>
    <d v="2021-10-02T00:00:00"/>
    <n v="179.98"/>
    <s v="Jun"/>
    <n v="2024"/>
    <n v="1630"/>
    <n v="45473"/>
    <d v="2026-03-20T21:53:00"/>
    <x v="0"/>
    <s v="Arthur Edwards"/>
    <n v="9799.73"/>
  </r>
  <r>
    <s v="TRX0154"/>
    <x v="32"/>
    <s v="CUST023"/>
    <x v="0"/>
    <s v="P001"/>
    <s v="Laptop"/>
    <s v="Electronics"/>
    <n v="5"/>
    <n v="899.99"/>
    <s v="Credit Card"/>
    <s v="South"/>
    <s v="Standard"/>
    <d v="2023-02-17T00:00:00"/>
    <n v="4499.95"/>
    <s v="Jun"/>
    <n v="2024"/>
    <n v="1127"/>
    <n v="45473"/>
    <d v="2026-03-20T21:53:00"/>
    <x v="1"/>
    <s v="John Smith"/>
    <n v="8309.739999999998"/>
  </r>
  <r>
    <s v="TRX0044"/>
    <x v="32"/>
    <s v="CUST029"/>
    <x v="23"/>
    <s v="P001"/>
    <s v="Laptop"/>
    <s v="Electronics"/>
    <n v="5"/>
    <n v="899.99"/>
    <s v="PayPal"/>
    <s v="East"/>
    <s v="Premium"/>
    <d v="2023-12-18T00:00:00"/>
    <n v="4499.95"/>
    <s v="Jun"/>
    <n v="2024"/>
    <n v="823"/>
    <n v="45473"/>
    <d v="2026-03-20T21:53:00"/>
    <x v="1"/>
    <m/>
    <n v="11919.769999999999"/>
  </r>
  <r>
    <s v="TRX0061"/>
    <x v="33"/>
    <s v="CUST028"/>
    <x v="32"/>
    <s v="P005"/>
    <s v="Blender"/>
    <s v="Appliances"/>
    <n v="1"/>
    <n v="59.99"/>
    <s v="Debit Card"/>
    <s v="West"/>
    <s v="Premium"/>
    <d v="2023-09-21T00:00:00"/>
    <n v="59.99"/>
    <s v="Jun"/>
    <n v="2024"/>
    <n v="911"/>
    <n v="45473"/>
    <d v="2026-03-20T21:53:00"/>
    <x v="0"/>
    <m/>
    <n v="5649.84"/>
  </r>
  <r>
    <s v="TRX0150"/>
    <x v="33"/>
    <s v="CUST008"/>
    <x v="27"/>
    <s v="P007"/>
    <s v="Desk"/>
    <s v="Furniture"/>
    <n v="2"/>
    <n v="299.99"/>
    <s v="Debit Card"/>
    <s v="East"/>
    <s v="Standard"/>
    <d v="2023-11-23T00:00:00"/>
    <n v="599.98"/>
    <s v="Jun"/>
    <n v="2024"/>
    <n v="848"/>
    <n v="45473"/>
    <d v="2026-03-20T21:53:00"/>
    <x v="0"/>
    <m/>
    <n v="4739.8500000000004"/>
  </r>
  <r>
    <s v="TRX0025"/>
    <x v="34"/>
    <s v="CUST049"/>
    <x v="34"/>
    <s v="P010"/>
    <s v="Keyboard"/>
    <s v="Electronics"/>
    <n v="4"/>
    <n v="89.99"/>
    <s v="Debit Card"/>
    <s v="South"/>
    <s v="Basic"/>
    <d v="2023-12-21T00:00:00"/>
    <n v="359.96"/>
    <s v="Jun"/>
    <n v="2024"/>
    <n v="820"/>
    <n v="45473"/>
    <d v="2026-03-20T21:53:00"/>
    <x v="0"/>
    <m/>
    <n v="3669.8500000000004"/>
  </r>
  <r>
    <s v="TRX0078"/>
    <x v="35"/>
    <s v="CUST021"/>
    <x v="2"/>
    <s v="P004"/>
    <s v="Coffee Maker"/>
    <s v="Appliances"/>
    <n v="1"/>
    <n v="79.989999999999995"/>
    <s v="PayPal"/>
    <s v="Central"/>
    <s v="Premium"/>
    <d v="2024-03-01T00:00:00"/>
    <n v="79.989999999999995"/>
    <s v="Jun"/>
    <n v="2024"/>
    <n v="749"/>
    <n v="45473"/>
    <d v="2026-03-20T21:53:00"/>
    <x v="0"/>
    <m/>
    <n v="3259.87"/>
  </r>
  <r>
    <s v="TRX0007"/>
    <x v="35"/>
    <s v="CUST009"/>
    <x v="7"/>
    <s v="P010"/>
    <s v="Keyboard"/>
    <s v="Electronics"/>
    <n v="2"/>
    <n v="89.99"/>
    <s v="Cash"/>
    <s v="West"/>
    <s v="Basic"/>
    <d v="2021-08-30T00:00:00"/>
    <n v="179.98"/>
    <s v="Jun"/>
    <n v="2024"/>
    <n v="1663"/>
    <n v="45473"/>
    <d v="2026-03-20T21:53:00"/>
    <x v="0"/>
    <m/>
    <n v="3509.8999999999996"/>
  </r>
  <r>
    <s v="TRX0184"/>
    <x v="36"/>
    <s v="CUST046"/>
    <x v="3"/>
    <s v="P002"/>
    <s v="Smartphone"/>
    <s v="Electronics"/>
    <n v="3"/>
    <n v="699.99"/>
    <s v="Credit Card"/>
    <s v="East"/>
    <s v="Premium"/>
    <d v="2023-06-25T00:00:00"/>
    <n v="2099.9699999999998"/>
    <s v="Jun"/>
    <n v="2024"/>
    <n v="999"/>
    <n v="45473"/>
    <d v="2026-03-20T21:53:00"/>
    <x v="1"/>
    <m/>
    <n v="4309.8099999999995"/>
  </r>
  <r>
    <s v="TRX0104"/>
    <x v="36"/>
    <s v="CUST012"/>
    <x v="18"/>
    <s v="P001"/>
    <s v="Laptop"/>
    <s v="Electronics"/>
    <n v="4"/>
    <n v="899.99"/>
    <s v="Credit Card"/>
    <s v="East"/>
    <s v="Premium"/>
    <d v="2023-03-08T00:00:00"/>
    <n v="3599.96"/>
    <s v="Jun"/>
    <n v="2024"/>
    <n v="1108"/>
    <n v="45473"/>
    <d v="2026-03-20T21:53:00"/>
    <x v="1"/>
    <m/>
    <n v="9799.73"/>
  </r>
  <r>
    <s v="TRX0127"/>
    <x v="37"/>
    <s v="CUST030"/>
    <x v="22"/>
    <s v="P008"/>
    <s v="Bookshelf"/>
    <s v="Furniture"/>
    <n v="1"/>
    <n v="149.99"/>
    <s v="PayPal"/>
    <s v="East"/>
    <s v="Basic"/>
    <d v="2022-10-17T00:00:00"/>
    <n v="149.99"/>
    <s v="Jun"/>
    <n v="2024"/>
    <n v="1250"/>
    <n v="45473"/>
    <d v="2026-03-20T21:53:00"/>
    <x v="0"/>
    <m/>
    <n v="6459.79"/>
  </r>
  <r>
    <s v="TRX0096"/>
    <x v="38"/>
    <s v="CUST002"/>
    <x v="25"/>
    <s v="P010"/>
    <s v="Keyboard"/>
    <s v="Electronics"/>
    <n v="2"/>
    <n v="89.99"/>
    <s v="PayPal"/>
    <s v="Central"/>
    <s v="Premium"/>
    <d v="2023-12-15T00:00:00"/>
    <n v="179.98"/>
    <s v="Jul"/>
    <n v="2024"/>
    <n v="826"/>
    <n v="45504"/>
    <d v="2026-03-20T21:53:00"/>
    <x v="0"/>
    <m/>
    <n v="1229.8800000000001"/>
  </r>
  <r>
    <s v="TRX0192"/>
    <x v="39"/>
    <s v="CUST017"/>
    <x v="6"/>
    <s v="P010"/>
    <s v="Keyboard"/>
    <s v="Electronics"/>
    <n v="1"/>
    <n v="89.99"/>
    <s v="PayPal"/>
    <s v="West"/>
    <s v="Standard"/>
    <d v="2022-08-29T00:00:00"/>
    <n v="89.99"/>
    <s v="Jul"/>
    <n v="2024"/>
    <n v="1299"/>
    <n v="45504"/>
    <d v="2026-03-20T21:53:00"/>
    <x v="0"/>
    <m/>
    <n v="5089.7300000000005"/>
  </r>
  <r>
    <s v="TRX0052"/>
    <x v="40"/>
    <s v="CUST022"/>
    <x v="9"/>
    <s v="P010"/>
    <s v="Keyboard"/>
    <s v="Electronics"/>
    <n v="1"/>
    <n v="89.99"/>
    <s v="Cash"/>
    <s v="South"/>
    <s v="Standard"/>
    <d v="2022-02-19T00:00:00"/>
    <n v="89.99"/>
    <s v="Jul"/>
    <n v="2024"/>
    <n v="1490"/>
    <n v="45504"/>
    <d v="2026-03-20T21:53:00"/>
    <x v="0"/>
    <m/>
    <n v="1979.89"/>
  </r>
  <r>
    <s v="TRX0070"/>
    <x v="40"/>
    <s v="CUST007"/>
    <x v="35"/>
    <s v="P004"/>
    <s v="Coffee Maker"/>
    <s v="Appliances"/>
    <n v="5"/>
    <n v="79.989999999999995"/>
    <s v="Debit Card"/>
    <s v="Central"/>
    <s v="Basic"/>
    <d v="2023-02-24T00:00:00"/>
    <n v="399.95"/>
    <s v="Jul"/>
    <n v="2024"/>
    <n v="1120"/>
    <n v="45504"/>
    <d v="2026-03-20T21:53:00"/>
    <x v="0"/>
    <m/>
    <n v="1809.84"/>
  </r>
  <r>
    <s v="TRX0086"/>
    <x v="41"/>
    <s v="CUST020"/>
    <x v="36"/>
    <s v="P008"/>
    <s v="Bookshelf"/>
    <s v="Furniture"/>
    <n v="1"/>
    <n v="149.99"/>
    <s v="PayPal"/>
    <s v="North"/>
    <s v="Basic"/>
    <d v="2021-08-13T00:00:00"/>
    <n v="149.99"/>
    <s v="Jul"/>
    <n v="2024"/>
    <n v="1680"/>
    <n v="45504"/>
    <d v="2026-03-20T21:53:00"/>
    <x v="0"/>
    <m/>
    <n v="2099.88"/>
  </r>
  <r>
    <s v="TRX0113"/>
    <x v="41"/>
    <s v="CUST003"/>
    <x v="4"/>
    <s v="P002"/>
    <s v="Smartphone"/>
    <s v="Electronics"/>
    <n v="2"/>
    <n v="699.99"/>
    <s v="PayPal"/>
    <s v="East"/>
    <s v="Premium"/>
    <d v="2024-04-07T00:00:00"/>
    <n v="1399.98"/>
    <s v="Jul"/>
    <n v="2024"/>
    <n v="712"/>
    <n v="45504"/>
    <d v="2026-03-20T21:53:00"/>
    <x v="1"/>
    <m/>
    <n v="6169.7400000000007"/>
  </r>
  <r>
    <s v="TRX0114"/>
    <x v="41"/>
    <s v="CUST018"/>
    <x v="17"/>
    <s v="P010"/>
    <s v="Keyboard"/>
    <s v="Electronics"/>
    <n v="5"/>
    <n v="89.99"/>
    <s v="Debit Card"/>
    <s v="North"/>
    <s v="Premium"/>
    <d v="2023-08-23T00:00:00"/>
    <n v="449.95"/>
    <s v="Jul"/>
    <n v="2024"/>
    <n v="940"/>
    <n v="45504"/>
    <d v="2026-03-20T21:53:00"/>
    <x v="0"/>
    <m/>
    <n v="10649.8"/>
  </r>
  <r>
    <s v="TRX0136"/>
    <x v="42"/>
    <s v="CUST049"/>
    <x v="34"/>
    <s v="P005"/>
    <s v="Blender"/>
    <s v="Appliances"/>
    <n v="4"/>
    <n v="59.99"/>
    <s v="Cash"/>
    <s v="South"/>
    <s v="Standard"/>
    <d v="2021-11-09T00:00:00"/>
    <n v="239.96"/>
    <s v="Jul"/>
    <n v="2024"/>
    <n v="1592"/>
    <n v="45504"/>
    <d v="2026-03-20T21:53:00"/>
    <x v="0"/>
    <m/>
    <n v="3669.8500000000004"/>
  </r>
  <r>
    <s v="TRX0018"/>
    <x v="43"/>
    <s v="CUST013"/>
    <x v="1"/>
    <s v="P003"/>
    <s v="Headphones"/>
    <s v="Electronics"/>
    <n v="1"/>
    <n v="149.99"/>
    <s v="Cash"/>
    <s v="Central"/>
    <s v="Standard"/>
    <d v="2022-12-14T00:00:00"/>
    <n v="149.99"/>
    <s v="Jul"/>
    <n v="2024"/>
    <n v="1192"/>
    <n v="45504"/>
    <d v="2026-03-20T21:53:00"/>
    <x v="0"/>
    <m/>
    <n v="6949.84"/>
  </r>
  <r>
    <s v="TRX0141"/>
    <x v="43"/>
    <s v="CUST033"/>
    <x v="37"/>
    <s v="P007"/>
    <s v="Desk"/>
    <s v="Furniture"/>
    <n v="1"/>
    <n v="299.99"/>
    <s v="Credit Card"/>
    <s v="North"/>
    <s v="Premium"/>
    <d v="2022-11-26T00:00:00"/>
    <n v="299.99"/>
    <s v="Jul"/>
    <n v="2024"/>
    <n v="1210"/>
    <n v="45504"/>
    <d v="2026-03-20T21:53:00"/>
    <x v="0"/>
    <m/>
    <n v="1479.91"/>
  </r>
  <r>
    <s v="TRX0097"/>
    <x v="44"/>
    <s v="CUST033"/>
    <x v="37"/>
    <s v="P006"/>
    <s v="Office Chair"/>
    <s v="Furniture"/>
    <n v="2"/>
    <n v="199.99"/>
    <s v="Cash"/>
    <s v="North"/>
    <s v="Basic"/>
    <d v="2021-12-11T00:00:00"/>
    <n v="399.98"/>
    <s v="Jul"/>
    <n v="2024"/>
    <n v="1560"/>
    <n v="45504"/>
    <d v="2026-03-20T21:53:00"/>
    <x v="0"/>
    <m/>
    <n v="1479.91"/>
  </r>
  <r>
    <s v="TRX0169"/>
    <x v="45"/>
    <s v="CUST047"/>
    <x v="38"/>
    <s v="P005"/>
    <s v="Blender"/>
    <s v="Appliances"/>
    <n v="3"/>
    <n v="59.99"/>
    <s v="Credit Card"/>
    <s v="West"/>
    <s v="Basic"/>
    <d v="2023-07-23T00:00:00"/>
    <n v="179.97"/>
    <s v="Jul"/>
    <n v="2024"/>
    <n v="971"/>
    <n v="45504"/>
    <d v="2026-03-20T21:53:00"/>
    <x v="0"/>
    <m/>
    <n v="6379.87"/>
  </r>
  <r>
    <s v="TRX0216"/>
    <x v="45"/>
    <s v="CUST041"/>
    <x v="10"/>
    <s v="P008"/>
    <s v="Bookshelf"/>
    <s v="Furniture"/>
    <n v="3"/>
    <n v="149.99"/>
    <s v="Cash"/>
    <s v="Central"/>
    <s v="Premium"/>
    <d v="2023-09-30T00:00:00"/>
    <n v="449.97"/>
    <s v="Jul"/>
    <n v="2024"/>
    <n v="902"/>
    <n v="45504"/>
    <d v="2026-03-20T21:53:00"/>
    <x v="0"/>
    <m/>
    <n v="5949.85"/>
  </r>
  <r>
    <s v="TRX0131"/>
    <x v="46"/>
    <s v="CUST026"/>
    <x v="8"/>
    <s v="P006"/>
    <s v="Office Chair"/>
    <s v="Furniture"/>
    <n v="3"/>
    <n v="199.99"/>
    <s v="Cash"/>
    <s v="North"/>
    <s v="Premium"/>
    <d v="2023-11-24T00:00:00"/>
    <n v="599.97"/>
    <s v="Jul"/>
    <n v="2024"/>
    <n v="847"/>
    <n v="45504"/>
    <d v="2026-03-20T21:53:00"/>
    <x v="0"/>
    <m/>
    <n v="8009.7699999999995"/>
  </r>
  <r>
    <s v="TRX0162"/>
    <x v="47"/>
    <s v="CUST040"/>
    <x v="30"/>
    <s v="P001"/>
    <s v="Laptop"/>
    <s v="Electronics"/>
    <n v="1"/>
    <n v="899.99"/>
    <s v="Cash"/>
    <s v="Central"/>
    <s v="Standard"/>
    <d v="2023-09-10T00:00:00"/>
    <n v="899.99"/>
    <s v="Jul"/>
    <n v="2024"/>
    <n v="922"/>
    <n v="45504"/>
    <d v="2026-03-20T21:53:00"/>
    <x v="0"/>
    <m/>
    <n v="5619.869999999999"/>
  </r>
  <r>
    <s v="TRX0244"/>
    <x v="48"/>
    <s v="CUST013"/>
    <x v="1"/>
    <s v="P001"/>
    <s v="Laptop"/>
    <s v="Electronics"/>
    <n v="5"/>
    <n v="899.99"/>
    <s v="Debit Card"/>
    <s v="South"/>
    <s v="Standard"/>
    <d v="2022-12-04T00:00:00"/>
    <n v="4499.95"/>
    <s v="Jul"/>
    <n v="2024"/>
    <n v="1202"/>
    <n v="45504"/>
    <d v="2026-03-20T21:53:00"/>
    <x v="1"/>
    <m/>
    <n v="6949.84"/>
  </r>
  <r>
    <s v="TRX0006"/>
    <x v="49"/>
    <s v="CUST007"/>
    <x v="35"/>
    <s v="P005"/>
    <s v="Blender"/>
    <s v="Appliances"/>
    <n v="2"/>
    <n v="59.99"/>
    <s v="Cash"/>
    <s v="North"/>
    <s v="Standard"/>
    <d v="2023-08-14T00:00:00"/>
    <n v="119.98"/>
    <s v="Jul"/>
    <n v="2024"/>
    <n v="949"/>
    <n v="45504"/>
    <d v="2026-03-20T21:53:00"/>
    <x v="0"/>
    <m/>
    <n v="1809.84"/>
  </r>
  <r>
    <s v="TRX0215"/>
    <x v="49"/>
    <s v="CUST047"/>
    <x v="38"/>
    <s v="P009"/>
    <s v="Monitor"/>
    <s v="Electronics"/>
    <n v="4"/>
    <n v="249.99"/>
    <s v="Debit Card"/>
    <s v="Central"/>
    <s v="Standard"/>
    <d v="2023-07-20T00:00:00"/>
    <n v="999.96"/>
    <s v="Jul"/>
    <n v="2024"/>
    <n v="974"/>
    <n v="45504"/>
    <d v="2026-03-20T21:53:00"/>
    <x v="0"/>
    <m/>
    <n v="6379.87"/>
  </r>
  <r>
    <s v="TRX0080"/>
    <x v="50"/>
    <s v="CUST018"/>
    <x v="17"/>
    <s v="P009"/>
    <s v="Monitor"/>
    <s v="Electronics"/>
    <n v="2"/>
    <n v="249.99"/>
    <s v="Cash"/>
    <s v="North"/>
    <s v="Premium"/>
    <d v="2023-08-26T00:00:00"/>
    <n v="499.98"/>
    <s v="Jul"/>
    <n v="2024"/>
    <n v="937"/>
    <n v="45504"/>
    <d v="2026-03-20T21:53:00"/>
    <x v="0"/>
    <m/>
    <n v="10649.8"/>
  </r>
  <r>
    <s v="TRX0228"/>
    <x v="50"/>
    <s v="CUST019"/>
    <x v="29"/>
    <s v="P007"/>
    <s v="Desk"/>
    <s v="Furniture"/>
    <n v="1"/>
    <n v="299.99"/>
    <s v="Cash"/>
    <s v="South"/>
    <s v="Basic"/>
    <d v="2023-02-25T00:00:00"/>
    <n v="299.99"/>
    <s v="Jul"/>
    <n v="2024"/>
    <n v="1119"/>
    <n v="45504"/>
    <d v="2026-03-20T21:53:00"/>
    <x v="0"/>
    <m/>
    <n v="7309.7999999999993"/>
  </r>
  <r>
    <s v="TRX0157"/>
    <x v="51"/>
    <s v="CUST025"/>
    <x v="14"/>
    <s v="P010"/>
    <s v="Keyboard"/>
    <s v="Electronics"/>
    <n v="2"/>
    <n v="89.99"/>
    <s v="PayPal"/>
    <s v="South"/>
    <s v="Basic"/>
    <d v="2023-02-19T00:00:00"/>
    <n v="179.98"/>
    <s v="Jul"/>
    <n v="2024"/>
    <n v="1125"/>
    <n v="45504"/>
    <d v="2026-03-20T21:53:00"/>
    <x v="0"/>
    <m/>
    <n v="15659.65"/>
  </r>
  <r>
    <s v="TRX0002"/>
    <x v="51"/>
    <s v="CUST019"/>
    <x v="29"/>
    <s v="P007"/>
    <s v="Desk"/>
    <s v="Furniture"/>
    <n v="3"/>
    <n v="299.99"/>
    <s v="Cash"/>
    <s v="Central"/>
    <s v="Basic"/>
    <d v="2022-06-20T00:00:00"/>
    <n v="899.97"/>
    <s v="Jul"/>
    <n v="2024"/>
    <n v="1369"/>
    <n v="45504"/>
    <d v="2026-03-20T21:53:00"/>
    <x v="0"/>
    <m/>
    <n v="7309.7999999999993"/>
  </r>
  <r>
    <s v="TRX0217"/>
    <x v="52"/>
    <s v="CUST025"/>
    <x v="14"/>
    <s v="P002"/>
    <s v="Smartphone"/>
    <s v="Electronics"/>
    <n v="2"/>
    <n v="699.99"/>
    <s v="Credit Card"/>
    <s v="North"/>
    <s v="Premium"/>
    <d v="2023-03-14T00:00:00"/>
    <n v="1399.98"/>
    <s v="Jul"/>
    <n v="2024"/>
    <n v="1102"/>
    <n v="45504"/>
    <d v="2026-03-20T21:53:00"/>
    <x v="1"/>
    <m/>
    <n v="15659.65"/>
  </r>
  <r>
    <s v="TRX0249"/>
    <x v="53"/>
    <s v="CUST030"/>
    <x v="22"/>
    <s v="P001"/>
    <s v="Laptop"/>
    <s v="Electronics"/>
    <n v="4"/>
    <n v="899.99"/>
    <s v="Debit Card"/>
    <s v="South"/>
    <s v="Standard"/>
    <d v="2021-11-23T00:00:00"/>
    <n v="3599.96"/>
    <s v="Jul"/>
    <n v="2024"/>
    <n v="1578"/>
    <n v="45504"/>
    <d v="2026-03-20T21:53:00"/>
    <x v="1"/>
    <m/>
    <n v="6459.79"/>
  </r>
  <r>
    <s v="TRX0065"/>
    <x v="54"/>
    <s v="CUST016"/>
    <x v="39"/>
    <s v="P008"/>
    <s v="Bookshelf"/>
    <s v="Furniture"/>
    <n v="2"/>
    <n v="149.99"/>
    <s v="Credit Card"/>
    <s v="West"/>
    <s v="Basic"/>
    <d v="2021-12-12T00:00:00"/>
    <n v="299.98"/>
    <s v="Aug"/>
    <n v="2024"/>
    <n v="1559"/>
    <n v="45535"/>
    <d v="2026-03-20T21:53:00"/>
    <x v="0"/>
    <m/>
    <n v="3649.8599999999997"/>
  </r>
  <r>
    <s v="TRX0176"/>
    <x v="55"/>
    <s v="CUST044"/>
    <x v="19"/>
    <s v="P008"/>
    <s v="Bookshelf"/>
    <s v="Furniture"/>
    <n v="2"/>
    <n v="149.99"/>
    <s v="Debit Card"/>
    <s v="East"/>
    <s v="Standard"/>
    <d v="2022-04-16T00:00:00"/>
    <n v="299.98"/>
    <s v="Aug"/>
    <n v="2024"/>
    <n v="1434"/>
    <n v="45535"/>
    <d v="2026-03-20T21:53:00"/>
    <x v="0"/>
    <m/>
    <n v="3769.8300000000004"/>
  </r>
  <r>
    <s v="TRX0101"/>
    <x v="56"/>
    <s v="CUST010"/>
    <x v="15"/>
    <s v="P010"/>
    <s v="Keyboard"/>
    <s v="Electronics"/>
    <n v="1"/>
    <n v="89.99"/>
    <s v="Credit Card"/>
    <s v="North"/>
    <s v="Standard"/>
    <d v="2024-04-11T00:00:00"/>
    <n v="89.99"/>
    <s v="Aug"/>
    <n v="2024"/>
    <n v="708"/>
    <n v="45535"/>
    <d v="2026-03-20T21:53:00"/>
    <x v="0"/>
    <m/>
    <n v="1909.93"/>
  </r>
  <r>
    <s v="TRX0205"/>
    <x v="57"/>
    <s v="CUST025"/>
    <x v="14"/>
    <s v="P007"/>
    <s v="Desk"/>
    <s v="Furniture"/>
    <n v="5"/>
    <n v="299.99"/>
    <s v="Credit Card"/>
    <s v="North"/>
    <s v="Basic"/>
    <d v="2023-02-08T00:00:00"/>
    <n v="1499.95"/>
    <s v="Aug"/>
    <n v="2024"/>
    <n v="1136"/>
    <n v="45535"/>
    <d v="2026-03-20T21:53:00"/>
    <x v="1"/>
    <m/>
    <n v="15659.65"/>
  </r>
  <r>
    <s v="TRX0020"/>
    <x v="58"/>
    <s v="CUST007"/>
    <x v="35"/>
    <s v="P003"/>
    <s v="Headphones"/>
    <s v="Electronics"/>
    <n v="4"/>
    <n v="149.99"/>
    <s v="Debit Card"/>
    <s v="South"/>
    <s v="Premium"/>
    <d v="2022-09-16T00:00:00"/>
    <n v="599.96"/>
    <s v="Aug"/>
    <n v="2024"/>
    <n v="1281"/>
    <n v="45535"/>
    <d v="2026-03-20T21:53:00"/>
    <x v="0"/>
    <m/>
    <n v="1809.84"/>
  </r>
  <r>
    <s v="TRX0075"/>
    <x v="58"/>
    <s v="CUST020"/>
    <x v="36"/>
    <s v="P009"/>
    <s v="Monitor"/>
    <s v="Electronics"/>
    <n v="5"/>
    <n v="249.99"/>
    <s v="PayPal"/>
    <s v="East"/>
    <s v="Premium"/>
    <d v="2022-08-09T00:00:00"/>
    <n v="1249.95"/>
    <s v="Aug"/>
    <n v="2024"/>
    <n v="1319"/>
    <n v="45535"/>
    <d v="2026-03-20T21:53:00"/>
    <x v="1"/>
    <m/>
    <n v="2099.88"/>
  </r>
  <r>
    <s v="TRX0098"/>
    <x v="58"/>
    <s v="CUST026"/>
    <x v="8"/>
    <s v="P009"/>
    <s v="Monitor"/>
    <s v="Electronics"/>
    <n v="3"/>
    <n v="249.99"/>
    <s v="PayPal"/>
    <s v="North"/>
    <s v="Premium"/>
    <d v="2021-09-26T00:00:00"/>
    <n v="749.97"/>
    <s v="Aug"/>
    <n v="2024"/>
    <n v="1636"/>
    <n v="45535"/>
    <d v="2026-03-20T21:53:00"/>
    <x v="0"/>
    <m/>
    <n v="8009.7699999999995"/>
  </r>
  <r>
    <s v="TRX0247"/>
    <x v="58"/>
    <s v="CUST046"/>
    <x v="3"/>
    <s v="P006"/>
    <s v="Office Chair"/>
    <s v="Furniture"/>
    <n v="4"/>
    <n v="199.99"/>
    <s v="Cash"/>
    <s v="North"/>
    <s v="Standard"/>
    <d v="2021-09-19T00:00:00"/>
    <n v="799.96"/>
    <s v="Aug"/>
    <n v="2024"/>
    <n v="1643"/>
    <n v="45535"/>
    <d v="2026-03-20T21:53:00"/>
    <x v="0"/>
    <m/>
    <n v="4309.8099999999995"/>
  </r>
  <r>
    <s v="TRX0027"/>
    <x v="59"/>
    <s v="CUST028"/>
    <x v="32"/>
    <s v="P006"/>
    <s v="Office Chair"/>
    <s v="Furniture"/>
    <n v="5"/>
    <n v="199.99"/>
    <s v="Cash"/>
    <s v="North"/>
    <s v="Premium"/>
    <d v="2023-03-06T00:00:00"/>
    <n v="999.95"/>
    <s v="Aug"/>
    <n v="2024"/>
    <n v="1110"/>
    <n v="45535"/>
    <d v="2026-03-20T21:53:00"/>
    <x v="0"/>
    <m/>
    <n v="5649.84"/>
  </r>
  <r>
    <s v="TRX0140"/>
    <x v="60"/>
    <s v="CUST025"/>
    <x v="14"/>
    <s v="P010"/>
    <s v="Keyboard"/>
    <s v="Electronics"/>
    <n v="2"/>
    <n v="89.99"/>
    <s v="Cash"/>
    <s v="East"/>
    <s v="Premium"/>
    <d v="2023-02-15T00:00:00"/>
    <n v="179.98"/>
    <s v="Aug"/>
    <n v="2024"/>
    <n v="1129"/>
    <n v="45535"/>
    <d v="2026-03-20T21:53:00"/>
    <x v="0"/>
    <m/>
    <n v="15659.65"/>
  </r>
  <r>
    <s v="TRX0132"/>
    <x v="61"/>
    <s v="CUST047"/>
    <x v="38"/>
    <s v="P001"/>
    <s v="Laptop"/>
    <s v="Electronics"/>
    <n v="5"/>
    <n v="899.99"/>
    <s v="Debit Card"/>
    <s v="East"/>
    <s v="Basic"/>
    <d v="2021-11-26T00:00:00"/>
    <n v="4499.95"/>
    <s v="Aug"/>
    <n v="2024"/>
    <n v="1575"/>
    <n v="45535"/>
    <d v="2026-03-20T21:53:00"/>
    <x v="1"/>
    <m/>
    <n v="6379.87"/>
  </r>
  <r>
    <s v="TRX0031"/>
    <x v="61"/>
    <s v="CUST036"/>
    <x v="20"/>
    <s v="P003"/>
    <s v="Headphones"/>
    <s v="Electronics"/>
    <n v="3"/>
    <n v="149.99"/>
    <s v="PayPal"/>
    <s v="East"/>
    <s v="Basic"/>
    <d v="2022-01-13T00:00:00"/>
    <n v="449.97"/>
    <s v="Aug"/>
    <n v="2024"/>
    <n v="1527"/>
    <n v="45535"/>
    <d v="2026-03-20T21:53:00"/>
    <x v="0"/>
    <m/>
    <n v="4189.7700000000004"/>
  </r>
  <r>
    <s v="TRX0236"/>
    <x v="62"/>
    <s v="CUST044"/>
    <x v="19"/>
    <s v="P008"/>
    <s v="Bookshelf"/>
    <s v="Furniture"/>
    <n v="5"/>
    <n v="149.99"/>
    <s v="Credit Card"/>
    <s v="Central"/>
    <s v="Basic"/>
    <d v="2024-01-19T00:00:00"/>
    <n v="749.95"/>
    <s v="Aug"/>
    <n v="2024"/>
    <n v="791"/>
    <n v="45535"/>
    <d v="2026-03-20T21:53:00"/>
    <x v="0"/>
    <m/>
    <n v="3769.8300000000004"/>
  </r>
  <r>
    <s v="TRX0001"/>
    <x v="63"/>
    <s v="CUST039"/>
    <x v="40"/>
    <s v="P004"/>
    <s v="Coffee Maker"/>
    <s v="Appliances"/>
    <n v="3"/>
    <n v="79.989999999999995"/>
    <s v="Cash"/>
    <s v="Central"/>
    <s v="Premium"/>
    <d v="2022-08-06T00:00:00"/>
    <n v="239.97"/>
    <s v="Aug"/>
    <n v="2024"/>
    <n v="1322"/>
    <n v="45535"/>
    <d v="2026-03-20T21:53:00"/>
    <x v="0"/>
    <m/>
    <n v="6989.7699999999986"/>
  </r>
  <r>
    <s v="TRX0037"/>
    <x v="63"/>
    <s v="CUST035"/>
    <x v="28"/>
    <s v="P009"/>
    <s v="Monitor"/>
    <s v="Electronics"/>
    <n v="2"/>
    <n v="249.99"/>
    <s v="Cash"/>
    <s v="South"/>
    <s v="Standard"/>
    <d v="2022-01-11T00:00:00"/>
    <n v="499.98"/>
    <s v="Aug"/>
    <n v="2024"/>
    <n v="1529"/>
    <n v="45535"/>
    <d v="2026-03-20T21:53:00"/>
    <x v="0"/>
    <m/>
    <n v="5519.8899999999994"/>
  </r>
  <r>
    <s v="TRX0058"/>
    <x v="64"/>
    <s v="CUST047"/>
    <x v="38"/>
    <s v="P002"/>
    <s v="Smartphone"/>
    <s v="Electronics"/>
    <n v="1"/>
    <n v="699.99"/>
    <s v="Cash"/>
    <s v="Central"/>
    <s v="Premium"/>
    <d v="2021-10-28T00:00:00"/>
    <n v="699.99"/>
    <s v="Aug"/>
    <n v="2024"/>
    <n v="1604"/>
    <n v="45535"/>
    <d v="2026-03-20T21:53:00"/>
    <x v="0"/>
    <m/>
    <n v="6379.87"/>
  </r>
  <r>
    <s v="TRX0170"/>
    <x v="64"/>
    <s v="CUST034"/>
    <x v="41"/>
    <s v="P003"/>
    <s v="Headphones"/>
    <s v="Electronics"/>
    <n v="3"/>
    <n v="149.99"/>
    <s v="Cash"/>
    <s v="West"/>
    <s v="Premium"/>
    <d v="2023-10-13T00:00:00"/>
    <n v="449.97"/>
    <s v="Aug"/>
    <n v="2024"/>
    <n v="889"/>
    <n v="45535"/>
    <d v="2026-03-20T21:53:00"/>
    <x v="0"/>
    <m/>
    <n v="1149.93"/>
  </r>
  <r>
    <s v="TRX0248"/>
    <x v="65"/>
    <s v="CUST032"/>
    <x v="42"/>
    <s v="P002"/>
    <s v="Smartphone"/>
    <s v="Electronics"/>
    <n v="2"/>
    <n v="699.99"/>
    <s v="Credit Card"/>
    <s v="North"/>
    <s v="Premium"/>
    <d v="2021-08-13T00:00:00"/>
    <n v="1399.98"/>
    <s v="Aug"/>
    <n v="2024"/>
    <n v="1680"/>
    <n v="45535"/>
    <d v="2026-03-20T21:53:00"/>
    <x v="1"/>
    <m/>
    <n v="6349.83"/>
  </r>
  <r>
    <s v="TRX0099"/>
    <x v="66"/>
    <s v="CUST034"/>
    <x v="41"/>
    <s v="P009"/>
    <s v="Monitor"/>
    <s v="Electronics"/>
    <n v="1"/>
    <n v="249.99"/>
    <s v="Credit Card"/>
    <s v="West"/>
    <s v="Premium"/>
    <d v="2022-05-04T00:00:00"/>
    <n v="249.99"/>
    <s v="Sep"/>
    <n v="2024"/>
    <n v="1416"/>
    <n v="45565"/>
    <d v="2026-03-20T21:53:00"/>
    <x v="0"/>
    <m/>
    <n v="1149.93"/>
  </r>
  <r>
    <s v="TRX0074"/>
    <x v="66"/>
    <s v="CUST023"/>
    <x v="0"/>
    <s v="P009"/>
    <s v="Monitor"/>
    <s v="Electronics"/>
    <n v="1"/>
    <n v="249.99"/>
    <s v="Debit Card"/>
    <s v="North"/>
    <s v="Premium"/>
    <d v="2024-02-10T00:00:00"/>
    <n v="249.99"/>
    <s v="Sep"/>
    <n v="2024"/>
    <n v="769"/>
    <n v="45565"/>
    <d v="2026-03-20T21:53:00"/>
    <x v="0"/>
    <m/>
    <n v="8309.739999999998"/>
  </r>
  <r>
    <s v="TRX0225"/>
    <x v="67"/>
    <s v="CUST039"/>
    <x v="40"/>
    <s v="P002"/>
    <s v="Smartphone"/>
    <s v="Electronics"/>
    <n v="2"/>
    <n v="699.99"/>
    <s v="Debit Card"/>
    <s v="Central"/>
    <s v="Premium"/>
    <d v="2022-11-05T00:00:00"/>
    <n v="1399.98"/>
    <s v="Sep"/>
    <n v="2024"/>
    <n v="1231"/>
    <n v="45565"/>
    <d v="2026-03-20T21:53:00"/>
    <x v="1"/>
    <m/>
    <n v="6989.7699999999986"/>
  </r>
  <r>
    <s v="TRX0100"/>
    <x v="68"/>
    <s v="CUST031"/>
    <x v="26"/>
    <s v="P005"/>
    <s v="Blender"/>
    <s v="Appliances"/>
    <n v="3"/>
    <n v="59.99"/>
    <s v="Credit Card"/>
    <s v="Central"/>
    <s v="Premium"/>
    <d v="2022-06-05T00:00:00"/>
    <n v="179.97"/>
    <s v="Sep"/>
    <n v="2024"/>
    <n v="1384"/>
    <n v="45565"/>
    <d v="2026-03-20T21:53:00"/>
    <x v="0"/>
    <m/>
    <n v="2649.83"/>
  </r>
  <r>
    <s v="TRX0142"/>
    <x v="69"/>
    <s v="CUST002"/>
    <x v="25"/>
    <s v="P005"/>
    <s v="Blender"/>
    <s v="Appliances"/>
    <n v="3"/>
    <n v="59.99"/>
    <s v="PayPal"/>
    <s v="East"/>
    <s v="Standard"/>
    <d v="2022-07-06T00:00:00"/>
    <n v="179.97"/>
    <s v="Sep"/>
    <n v="2024"/>
    <n v="1353"/>
    <n v="45565"/>
    <d v="2026-03-20T21:53:00"/>
    <x v="0"/>
    <m/>
    <n v="1229.8800000000001"/>
  </r>
  <r>
    <s v="TRX0112"/>
    <x v="69"/>
    <s v="CUST008"/>
    <x v="27"/>
    <s v="P004"/>
    <s v="Coffee Maker"/>
    <s v="Appliances"/>
    <n v="4"/>
    <n v="79.989999999999995"/>
    <s v="Cash"/>
    <s v="North"/>
    <s v="Basic"/>
    <d v="2021-11-30T00:00:00"/>
    <n v="319.95999999999998"/>
    <s v="Sep"/>
    <n v="2024"/>
    <n v="1571"/>
    <n v="45565"/>
    <d v="2026-03-20T21:53:00"/>
    <x v="0"/>
    <m/>
    <n v="4739.8500000000004"/>
  </r>
  <r>
    <s v="TRX0161"/>
    <x v="70"/>
    <s v="CUST017"/>
    <x v="6"/>
    <s v="P004"/>
    <s v="Coffee Maker"/>
    <s v="Appliances"/>
    <n v="1"/>
    <n v="79.989999999999995"/>
    <s v="Cash"/>
    <s v="West"/>
    <s v="Basic"/>
    <d v="2022-05-12T00:00:00"/>
    <n v="79.989999999999995"/>
    <s v="Sep"/>
    <n v="2024"/>
    <n v="1408"/>
    <n v="45565"/>
    <d v="2026-03-20T21:53:00"/>
    <x v="0"/>
    <m/>
    <n v="5089.7300000000005"/>
  </r>
  <r>
    <s v="TRX0108"/>
    <x v="71"/>
    <s v="CUST024"/>
    <x v="5"/>
    <s v="P007"/>
    <s v="Desk"/>
    <s v="Furniture"/>
    <n v="3"/>
    <n v="299.99"/>
    <s v="Credit Card"/>
    <s v="Central"/>
    <s v="Premium"/>
    <d v="2021-10-25T00:00:00"/>
    <n v="899.97"/>
    <s v="Sep"/>
    <n v="2024"/>
    <n v="1607"/>
    <n v="45565"/>
    <d v="2026-03-20T21:53:00"/>
    <x v="0"/>
    <m/>
    <n v="8269.7900000000009"/>
  </r>
  <r>
    <s v="TRX0211"/>
    <x v="72"/>
    <s v="CUST046"/>
    <x v="3"/>
    <s v="P010"/>
    <s v="Keyboard"/>
    <s v="Electronics"/>
    <n v="2"/>
    <n v="89.99"/>
    <s v="Credit Card"/>
    <s v="South"/>
    <s v="Premium"/>
    <d v="2022-03-21T00:00:00"/>
    <n v="179.98"/>
    <s v="Sep"/>
    <n v="2024"/>
    <n v="1460"/>
    <n v="45565"/>
    <d v="2026-03-20T21:53:00"/>
    <x v="0"/>
    <m/>
    <n v="4309.8099999999995"/>
  </r>
  <r>
    <s v="TRX0005"/>
    <x v="73"/>
    <s v="CUST042"/>
    <x v="43"/>
    <s v="P003"/>
    <s v="Headphones"/>
    <s v="Electronics"/>
    <n v="4"/>
    <n v="149.99"/>
    <s v="Cash"/>
    <s v="North"/>
    <s v="Basic"/>
    <d v="2022-12-14T00:00:00"/>
    <n v="599.96"/>
    <s v="Sep"/>
    <n v="2024"/>
    <n v="1192"/>
    <n v="45565"/>
    <d v="2026-03-20T21:53:00"/>
    <x v="0"/>
    <m/>
    <n v="1749.92"/>
  </r>
  <r>
    <s v="TRX0195"/>
    <x v="74"/>
    <s v="CUST026"/>
    <x v="8"/>
    <s v="P009"/>
    <s v="Monitor"/>
    <s v="Electronics"/>
    <n v="2"/>
    <n v="249.99"/>
    <s v="PayPal"/>
    <s v="South"/>
    <s v="Basic"/>
    <d v="2023-03-08T00:00:00"/>
    <n v="499.98"/>
    <s v="Sep"/>
    <n v="2024"/>
    <n v="1108"/>
    <n v="45565"/>
    <d v="2026-03-20T21:53:00"/>
    <x v="0"/>
    <m/>
    <n v="8009.7699999999995"/>
  </r>
  <r>
    <s v="TRX0054"/>
    <x v="74"/>
    <s v="CUST004"/>
    <x v="31"/>
    <s v="P006"/>
    <s v="Office Chair"/>
    <s v="Furniture"/>
    <n v="4"/>
    <n v="199.99"/>
    <s v="Debit Card"/>
    <s v="East"/>
    <s v="Basic"/>
    <d v="2021-09-19T00:00:00"/>
    <n v="799.96"/>
    <s v="Sep"/>
    <n v="2024"/>
    <n v="1643"/>
    <n v="45565"/>
    <d v="2026-03-20T21:53:00"/>
    <x v="0"/>
    <m/>
    <n v="5499.8099999999995"/>
  </r>
  <r>
    <s v="TRX0077"/>
    <x v="75"/>
    <s v="CUST019"/>
    <x v="29"/>
    <s v="P010"/>
    <s v="Keyboard"/>
    <s v="Electronics"/>
    <n v="5"/>
    <n v="89.99"/>
    <s v="Credit Card"/>
    <s v="East"/>
    <s v="Premium"/>
    <d v="2021-09-07T00:00:00"/>
    <n v="449.95"/>
    <s v="Sep"/>
    <n v="2024"/>
    <n v="1655"/>
    <n v="45565"/>
    <d v="2026-03-20T21:53:00"/>
    <x v="0"/>
    <m/>
    <n v="7309.7999999999993"/>
  </r>
  <r>
    <s v="TRX0111"/>
    <x v="75"/>
    <s v="CUST011"/>
    <x v="44"/>
    <s v="P003"/>
    <s v="Headphones"/>
    <s v="Electronics"/>
    <n v="1"/>
    <n v="149.99"/>
    <s v="PayPal"/>
    <s v="East"/>
    <s v="Standard"/>
    <d v="2021-10-13T00:00:00"/>
    <n v="149.99"/>
    <s v="Sep"/>
    <n v="2024"/>
    <n v="1619"/>
    <n v="45565"/>
    <d v="2026-03-20T21:53:00"/>
    <x v="0"/>
    <m/>
    <n v="4749.91"/>
  </r>
  <r>
    <s v="TRX0123"/>
    <x v="75"/>
    <s v="CUST041"/>
    <x v="10"/>
    <s v="P002"/>
    <s v="Smartphone"/>
    <s v="Electronics"/>
    <n v="4"/>
    <n v="699.99"/>
    <s v="PayPal"/>
    <s v="South"/>
    <s v="Basic"/>
    <d v="2022-02-26T00:00:00"/>
    <n v="2799.96"/>
    <s v="Sep"/>
    <n v="2024"/>
    <n v="1483"/>
    <n v="45565"/>
    <d v="2026-03-20T21:53:00"/>
    <x v="1"/>
    <m/>
    <n v="5949.85"/>
  </r>
  <r>
    <s v="TRX0177"/>
    <x v="76"/>
    <s v="CUST032"/>
    <x v="42"/>
    <s v="P001"/>
    <s v="Laptop"/>
    <s v="Electronics"/>
    <n v="3"/>
    <n v="899.99"/>
    <s v="Credit Card"/>
    <s v="North"/>
    <s v="Standard"/>
    <d v="2023-08-19T00:00:00"/>
    <n v="2699.97"/>
    <s v="Sep"/>
    <n v="2024"/>
    <n v="944"/>
    <n v="45565"/>
    <d v="2026-03-20T21:53:00"/>
    <x v="1"/>
    <m/>
    <n v="6349.83"/>
  </r>
  <r>
    <s v="TRX0119"/>
    <x v="77"/>
    <s v="CUST014"/>
    <x v="21"/>
    <s v="P008"/>
    <s v="Bookshelf"/>
    <s v="Furniture"/>
    <n v="3"/>
    <n v="149.99"/>
    <s v="PayPal"/>
    <s v="East"/>
    <s v="Basic"/>
    <d v="2022-11-21T00:00:00"/>
    <n v="449.97"/>
    <s v="Sep"/>
    <n v="2024"/>
    <n v="1215"/>
    <n v="45565"/>
    <d v="2026-03-20T21:53:00"/>
    <x v="0"/>
    <m/>
    <n v="1289.9000000000001"/>
  </r>
  <r>
    <s v="TRX0181"/>
    <x v="78"/>
    <s v="CUST012"/>
    <x v="18"/>
    <s v="P007"/>
    <s v="Desk"/>
    <s v="Furniture"/>
    <n v="2"/>
    <n v="299.99"/>
    <s v="Debit Card"/>
    <s v="Central"/>
    <s v="Basic"/>
    <d v="2022-01-08T00:00:00"/>
    <n v="599.98"/>
    <s v="Sep"/>
    <n v="2024"/>
    <n v="1532"/>
    <n v="45565"/>
    <d v="2026-03-20T21:53:00"/>
    <x v="0"/>
    <m/>
    <n v="9799.73"/>
  </r>
  <r>
    <s v="TRX0129"/>
    <x v="79"/>
    <s v="CUST015"/>
    <x v="45"/>
    <s v="P006"/>
    <s v="Office Chair"/>
    <s v="Furniture"/>
    <n v="1"/>
    <n v="199.99"/>
    <s v="Debit Card"/>
    <s v="East"/>
    <s v="Standard"/>
    <d v="2023-01-27T00:00:00"/>
    <n v="199.99"/>
    <s v="Sep"/>
    <n v="2024"/>
    <n v="1148"/>
    <n v="45565"/>
    <d v="2026-03-20T21:53:00"/>
    <x v="0"/>
    <m/>
    <n v="739.93000000000006"/>
  </r>
  <r>
    <s v="TRX0174"/>
    <x v="80"/>
    <s v="CUST003"/>
    <x v="4"/>
    <s v="P007"/>
    <s v="Desk"/>
    <s v="Furniture"/>
    <n v="4"/>
    <n v="299.99"/>
    <s v="Cash"/>
    <s v="Central"/>
    <s v="Premium"/>
    <d v="2021-09-21T00:00:00"/>
    <n v="1199.96"/>
    <s v="Oct"/>
    <n v="2024"/>
    <n v="1641"/>
    <n v="45596"/>
    <d v="2026-03-20T21:53:00"/>
    <x v="1"/>
    <m/>
    <n v="6169.7400000000007"/>
  </r>
  <r>
    <s v="TRX0146"/>
    <x v="81"/>
    <s v="CUST010"/>
    <x v="15"/>
    <s v="P005"/>
    <s v="Blender"/>
    <s v="Appliances"/>
    <n v="2"/>
    <n v="59.99"/>
    <s v="Credit Card"/>
    <s v="Central"/>
    <s v="Basic"/>
    <d v="2022-01-18T00:00:00"/>
    <n v="119.98"/>
    <s v="Oct"/>
    <n v="2024"/>
    <n v="1522"/>
    <n v="45596"/>
    <d v="2026-03-20T21:53:00"/>
    <x v="0"/>
    <m/>
    <n v="1909.93"/>
  </r>
  <r>
    <s v="TRX0203"/>
    <x v="81"/>
    <s v="CUST032"/>
    <x v="42"/>
    <s v="P003"/>
    <s v="Headphones"/>
    <s v="Electronics"/>
    <n v="4"/>
    <n v="149.99"/>
    <s v="Credit Card"/>
    <s v="North"/>
    <s v="Premium"/>
    <d v="2023-05-30T00:00:00"/>
    <n v="599.96"/>
    <s v="Oct"/>
    <n v="2024"/>
    <n v="1025"/>
    <n v="45596"/>
    <d v="2026-03-20T21:53:00"/>
    <x v="0"/>
    <m/>
    <n v="6349.83"/>
  </r>
  <r>
    <s v="TRX0055"/>
    <x v="82"/>
    <s v="CUST016"/>
    <x v="39"/>
    <s v="P002"/>
    <s v="Smartphone"/>
    <s v="Electronics"/>
    <n v="2"/>
    <n v="699.99"/>
    <s v="Debit Card"/>
    <s v="East"/>
    <s v="Premium"/>
    <d v="2023-12-14T00:00:00"/>
    <n v="1399.98"/>
    <s v="Oct"/>
    <n v="2024"/>
    <n v="827"/>
    <n v="45596"/>
    <d v="2026-03-20T21:53:00"/>
    <x v="1"/>
    <m/>
    <n v="3649.8599999999997"/>
  </r>
  <r>
    <s v="TRX0218"/>
    <x v="82"/>
    <s v="CUST034"/>
    <x v="41"/>
    <s v="P008"/>
    <s v="Bookshelf"/>
    <s v="Furniture"/>
    <n v="3"/>
    <n v="149.99"/>
    <s v="Credit Card"/>
    <s v="South"/>
    <s v="Standard"/>
    <d v="2023-01-14T00:00:00"/>
    <n v="449.97"/>
    <s v="Oct"/>
    <n v="2024"/>
    <n v="1161"/>
    <n v="45596"/>
    <d v="2026-03-20T21:53:00"/>
    <x v="0"/>
    <m/>
    <n v="1149.93"/>
  </r>
  <r>
    <s v="TRX0085"/>
    <x v="83"/>
    <s v="CUST019"/>
    <x v="29"/>
    <s v="P007"/>
    <s v="Desk"/>
    <s v="Furniture"/>
    <n v="3"/>
    <n v="299.99"/>
    <s v="Credit Card"/>
    <s v="Central"/>
    <s v="Standard"/>
    <d v="2023-09-05T00:00:00"/>
    <n v="899.97"/>
    <s v="Oct"/>
    <n v="2024"/>
    <n v="927"/>
    <n v="45596"/>
    <d v="2026-03-20T21:53:00"/>
    <x v="0"/>
    <m/>
    <n v="7309.7999999999993"/>
  </r>
  <r>
    <s v="TRX0158"/>
    <x v="84"/>
    <s v="CUST027"/>
    <x v="13"/>
    <s v="P001"/>
    <s v="Laptop"/>
    <s v="Electronics"/>
    <n v="3"/>
    <n v="899.99"/>
    <s v="PayPal"/>
    <s v="West"/>
    <s v="Basic"/>
    <d v="2023-10-16T00:00:00"/>
    <n v="2699.97"/>
    <s v="Oct"/>
    <n v="2024"/>
    <n v="886"/>
    <n v="45596"/>
    <d v="2026-03-20T21:53:00"/>
    <x v="1"/>
    <m/>
    <n v="3779.93"/>
  </r>
  <r>
    <s v="TRX0173"/>
    <x v="85"/>
    <s v="CUST018"/>
    <x v="17"/>
    <s v="P002"/>
    <s v="Smartphone"/>
    <s v="Electronics"/>
    <n v="5"/>
    <n v="699.99"/>
    <s v="Cash"/>
    <s v="East"/>
    <s v="Standard"/>
    <d v="2023-03-23T00:00:00"/>
    <n v="3499.95"/>
    <s v="Oct"/>
    <n v="2024"/>
    <n v="1093"/>
    <n v="45596"/>
    <d v="2026-03-20T21:53:00"/>
    <x v="1"/>
    <m/>
    <n v="10649.8"/>
  </r>
  <r>
    <s v="TRX0034"/>
    <x v="85"/>
    <s v="CUST049"/>
    <x v="34"/>
    <s v="P002"/>
    <s v="Smartphone"/>
    <s v="Electronics"/>
    <n v="4"/>
    <n v="699.99"/>
    <s v="Credit Card"/>
    <s v="Central"/>
    <s v="Basic"/>
    <d v="2024-04-03T00:00:00"/>
    <n v="2799.96"/>
    <s v="Oct"/>
    <n v="2024"/>
    <n v="716"/>
    <n v="45596"/>
    <d v="2026-03-20T21:53:00"/>
    <x v="1"/>
    <m/>
    <n v="3669.8500000000004"/>
  </r>
  <r>
    <s v="TRX0189"/>
    <x v="85"/>
    <s v="CUST040"/>
    <x v="30"/>
    <s v="P001"/>
    <s v="Laptop"/>
    <s v="Electronics"/>
    <n v="1"/>
    <n v="899.99"/>
    <s v="Credit Card"/>
    <s v="East"/>
    <s v="Standard"/>
    <d v="2024-03-18T00:00:00"/>
    <n v="899.99"/>
    <s v="Oct"/>
    <n v="2024"/>
    <n v="732"/>
    <n v="45596"/>
    <d v="2026-03-20T21:53:00"/>
    <x v="0"/>
    <m/>
    <n v="5619.869999999999"/>
  </r>
  <r>
    <s v="TRX0190"/>
    <x v="86"/>
    <s v="CUST039"/>
    <x v="40"/>
    <s v="P003"/>
    <s v="Headphones"/>
    <s v="Electronics"/>
    <n v="2"/>
    <n v="149.99"/>
    <s v="Credit Card"/>
    <s v="West"/>
    <s v="Basic"/>
    <d v="2022-12-21T00:00:00"/>
    <n v="299.98"/>
    <s v="Oct"/>
    <n v="2024"/>
    <n v="1185"/>
    <n v="45596"/>
    <d v="2026-03-20T21:53:00"/>
    <x v="0"/>
    <m/>
    <n v="6989.7699999999986"/>
  </r>
  <r>
    <s v="TRX0079"/>
    <x v="87"/>
    <s v="CUST039"/>
    <x v="40"/>
    <s v="P010"/>
    <s v="Keyboard"/>
    <s v="Electronics"/>
    <n v="3"/>
    <n v="89.99"/>
    <s v="PayPal"/>
    <s v="Central"/>
    <s v="Basic"/>
    <d v="2021-12-21T00:00:00"/>
    <n v="269.97000000000003"/>
    <s v="Oct"/>
    <n v="2024"/>
    <n v="1550"/>
    <n v="45596"/>
    <d v="2026-03-20T21:53:00"/>
    <x v="0"/>
    <m/>
    <n v="6989.7699999999986"/>
  </r>
  <r>
    <s v="TRX0095"/>
    <x v="88"/>
    <s v="CUST046"/>
    <x v="3"/>
    <s v="P003"/>
    <s v="Headphones"/>
    <s v="Electronics"/>
    <n v="2"/>
    <n v="149.99"/>
    <s v="PayPal"/>
    <s v="Central"/>
    <s v="Basic"/>
    <d v="2021-10-04T00:00:00"/>
    <n v="299.98"/>
    <s v="Oct"/>
    <n v="2024"/>
    <n v="1628"/>
    <n v="45596"/>
    <d v="2026-03-20T21:53:00"/>
    <x v="0"/>
    <m/>
    <n v="4309.8099999999995"/>
  </r>
  <r>
    <s v="TRX0009"/>
    <x v="88"/>
    <s v="CUST004"/>
    <x v="31"/>
    <s v="P002"/>
    <s v="Smartphone"/>
    <s v="Electronics"/>
    <n v="2"/>
    <n v="699.99"/>
    <s v="Cash"/>
    <s v="Central"/>
    <s v="Basic"/>
    <d v="2023-03-07T00:00:00"/>
    <n v="1399.98"/>
    <s v="Oct"/>
    <n v="2024"/>
    <n v="1109"/>
    <n v="45596"/>
    <d v="2026-03-20T21:53:00"/>
    <x v="1"/>
    <m/>
    <n v="5499.8099999999995"/>
  </r>
  <r>
    <s v="TRX0167"/>
    <x v="89"/>
    <s v="CUST028"/>
    <x v="32"/>
    <s v="P002"/>
    <s v="Smartphone"/>
    <s v="Electronics"/>
    <n v="5"/>
    <n v="699.99"/>
    <s v="Cash"/>
    <s v="North"/>
    <s v="Premium"/>
    <d v="2022-03-15T00:00:00"/>
    <n v="3499.95"/>
    <s v="Oct"/>
    <n v="2024"/>
    <n v="1466"/>
    <n v="45596"/>
    <d v="2026-03-20T21:53:00"/>
    <x v="1"/>
    <m/>
    <n v="5649.84"/>
  </r>
  <r>
    <s v="TRX0153"/>
    <x v="90"/>
    <s v="CUST049"/>
    <x v="34"/>
    <s v="P010"/>
    <s v="Keyboard"/>
    <s v="Electronics"/>
    <n v="3"/>
    <n v="89.99"/>
    <s v="Credit Card"/>
    <s v="North"/>
    <s v="Standard"/>
    <d v="2022-02-23T00:00:00"/>
    <n v="269.97000000000003"/>
    <s v="Oct"/>
    <n v="2024"/>
    <n v="1486"/>
    <n v="45596"/>
    <d v="2026-03-20T21:53:00"/>
    <x v="0"/>
    <m/>
    <n v="3669.8500000000004"/>
  </r>
  <r>
    <s v="TRX0057"/>
    <x v="91"/>
    <s v="CUST023"/>
    <x v="0"/>
    <s v="P009"/>
    <s v="Monitor"/>
    <s v="Electronics"/>
    <n v="5"/>
    <n v="249.99"/>
    <s v="Credit Card"/>
    <s v="South"/>
    <s v="Standard"/>
    <d v="2022-11-16T00:00:00"/>
    <n v="1249.95"/>
    <s v="Nov"/>
    <n v="2024"/>
    <n v="1220"/>
    <n v="45626"/>
    <d v="2026-03-20T21:53:00"/>
    <x v="1"/>
    <m/>
    <n v="8309.739999999998"/>
  </r>
  <r>
    <s v="TRX0017"/>
    <x v="92"/>
    <s v="CUST026"/>
    <x v="8"/>
    <s v="P007"/>
    <s v="Desk"/>
    <s v="Furniture"/>
    <n v="3"/>
    <n v="299.99"/>
    <s v="Credit Card"/>
    <s v="South"/>
    <s v="Standard"/>
    <d v="2021-11-02T00:00:00"/>
    <n v="899.97"/>
    <s v="Nov"/>
    <n v="2024"/>
    <n v="1599"/>
    <n v="45626"/>
    <d v="2026-03-20T21:53:00"/>
    <x v="0"/>
    <m/>
    <n v="8009.7699999999995"/>
  </r>
  <r>
    <s v="TRX0060"/>
    <x v="93"/>
    <s v="CUST012"/>
    <x v="18"/>
    <s v="P010"/>
    <s v="Keyboard"/>
    <s v="Electronics"/>
    <n v="3"/>
    <n v="89.99"/>
    <s v="Credit Card"/>
    <s v="North"/>
    <s v="Premium"/>
    <d v="2021-08-12T00:00:00"/>
    <n v="269.97000000000003"/>
    <s v="Nov"/>
    <n v="2024"/>
    <n v="1681"/>
    <n v="45626"/>
    <d v="2026-03-20T21:53:00"/>
    <x v="0"/>
    <m/>
    <n v="9799.73"/>
  </r>
  <r>
    <s v="TRX0109"/>
    <x v="94"/>
    <s v="CUST010"/>
    <x v="15"/>
    <s v="P008"/>
    <s v="Bookshelf"/>
    <s v="Furniture"/>
    <n v="2"/>
    <n v="149.99"/>
    <s v="Credit Card"/>
    <s v="West"/>
    <s v="Premium"/>
    <d v="2022-10-14T00:00:00"/>
    <n v="299.98"/>
    <s v="Nov"/>
    <n v="2024"/>
    <n v="1253"/>
    <n v="45626"/>
    <d v="2026-03-20T21:53:00"/>
    <x v="0"/>
    <m/>
    <n v="1909.93"/>
  </r>
  <r>
    <s v="TRX0090"/>
    <x v="95"/>
    <s v="CUST020"/>
    <x v="36"/>
    <s v="P009"/>
    <s v="Monitor"/>
    <s v="Electronics"/>
    <n v="1"/>
    <n v="249.99"/>
    <s v="Credit Card"/>
    <s v="North"/>
    <s v="Premium"/>
    <d v="2022-09-24T00:00:00"/>
    <n v="249.99"/>
    <s v="Nov"/>
    <n v="2024"/>
    <n v="1273"/>
    <n v="45626"/>
    <d v="2026-03-20T21:53:00"/>
    <x v="0"/>
    <m/>
    <n v="2099.88"/>
  </r>
  <r>
    <s v="TRX0035"/>
    <x v="96"/>
    <s v="CUST041"/>
    <x v="10"/>
    <s v="P003"/>
    <s v="Headphones"/>
    <s v="Electronics"/>
    <n v="3"/>
    <n v="149.99"/>
    <s v="Cash"/>
    <s v="North"/>
    <s v="Basic"/>
    <d v="2022-07-27T00:00:00"/>
    <n v="449.97"/>
    <s v="Nov"/>
    <n v="2024"/>
    <n v="1332"/>
    <n v="45626"/>
    <d v="2026-03-20T21:53:00"/>
    <x v="0"/>
    <m/>
    <n v="5949.85"/>
  </r>
  <r>
    <s v="TRX0172"/>
    <x v="96"/>
    <s v="CUST023"/>
    <x v="0"/>
    <s v="P005"/>
    <s v="Blender"/>
    <s v="Appliances"/>
    <n v="5"/>
    <n v="59.99"/>
    <s v="PayPal"/>
    <s v="West"/>
    <s v="Premium"/>
    <d v="2022-05-13T00:00:00"/>
    <n v="299.95"/>
    <s v="Nov"/>
    <n v="2024"/>
    <n v="1407"/>
    <n v="45626"/>
    <d v="2026-03-20T21:53:00"/>
    <x v="0"/>
    <m/>
    <n v="8309.739999999998"/>
  </r>
  <r>
    <s v="TRX0076"/>
    <x v="96"/>
    <s v="CUST012"/>
    <x v="18"/>
    <s v="P009"/>
    <s v="Monitor"/>
    <s v="Electronics"/>
    <n v="4"/>
    <n v="249.99"/>
    <s v="Credit Card"/>
    <s v="West"/>
    <s v="Standard"/>
    <d v="2022-04-08T00:00:00"/>
    <n v="999.96"/>
    <s v="Nov"/>
    <n v="2024"/>
    <n v="1442"/>
    <n v="45626"/>
    <d v="2026-03-20T21:53:00"/>
    <x v="0"/>
    <m/>
    <n v="9799.73"/>
  </r>
  <r>
    <s v="TRX0210"/>
    <x v="97"/>
    <s v="CUST004"/>
    <x v="31"/>
    <s v="P008"/>
    <s v="Bookshelf"/>
    <s v="Furniture"/>
    <n v="5"/>
    <n v="149.99"/>
    <s v="PayPal"/>
    <s v="Central"/>
    <s v="Basic"/>
    <d v="2022-12-06T00:00:00"/>
    <n v="749.95"/>
    <s v="Nov"/>
    <n v="2024"/>
    <n v="1200"/>
    <n v="45626"/>
    <d v="2026-03-20T21:53:00"/>
    <x v="0"/>
    <m/>
    <n v="5499.8099999999995"/>
  </r>
  <r>
    <s v="TRX0149"/>
    <x v="97"/>
    <s v="CUST027"/>
    <x v="13"/>
    <s v="P005"/>
    <s v="Blender"/>
    <s v="Appliances"/>
    <n v="3"/>
    <n v="59.99"/>
    <s v="Debit Card"/>
    <s v="South"/>
    <s v="Standard"/>
    <d v="2023-11-30T00:00:00"/>
    <n v="179.97"/>
    <s v="Nov"/>
    <n v="2024"/>
    <n v="841"/>
    <n v="45626"/>
    <d v="2026-03-20T21:53:00"/>
    <x v="0"/>
    <m/>
    <n v="3779.93"/>
  </r>
  <r>
    <s v="TRX0073"/>
    <x v="98"/>
    <s v="CUST032"/>
    <x v="42"/>
    <s v="P008"/>
    <s v="Bookshelf"/>
    <s v="Furniture"/>
    <n v="5"/>
    <n v="149.99"/>
    <s v="Cash"/>
    <s v="North"/>
    <s v="Basic"/>
    <d v="2022-11-04T00:00:00"/>
    <n v="749.95"/>
    <s v="Nov"/>
    <n v="2024"/>
    <n v="1232"/>
    <n v="45626"/>
    <d v="2026-03-20T21:53:00"/>
    <x v="0"/>
    <m/>
    <n v="6349.83"/>
  </r>
  <r>
    <s v="TRX0033"/>
    <x v="98"/>
    <s v="CUST025"/>
    <x v="14"/>
    <s v="P002"/>
    <s v="Smartphone"/>
    <s v="Electronics"/>
    <n v="2"/>
    <n v="699.99"/>
    <s v="PayPal"/>
    <s v="West"/>
    <s v="Standard"/>
    <d v="2022-07-28T00:00:00"/>
    <n v="1399.98"/>
    <s v="Nov"/>
    <n v="2024"/>
    <n v="1331"/>
    <n v="45626"/>
    <d v="2026-03-20T21:53:00"/>
    <x v="1"/>
    <m/>
    <n v="15659.65"/>
  </r>
  <r>
    <s v="TRX0160"/>
    <x v="99"/>
    <s v="CUST029"/>
    <x v="23"/>
    <s v="P006"/>
    <s v="Office Chair"/>
    <s v="Furniture"/>
    <n v="4"/>
    <n v="199.99"/>
    <s v="Debit Card"/>
    <s v="Central"/>
    <s v="Premium"/>
    <d v="2021-08-19T00:00:00"/>
    <n v="799.96"/>
    <s v="Nov"/>
    <n v="2024"/>
    <n v="1674"/>
    <n v="45626"/>
    <d v="2026-03-20T21:53:00"/>
    <x v="0"/>
    <m/>
    <n v="11919.769999999999"/>
  </r>
  <r>
    <s v="TRX0145"/>
    <x v="100"/>
    <s v="CUST033"/>
    <x v="37"/>
    <s v="P005"/>
    <s v="Blender"/>
    <s v="Appliances"/>
    <n v="1"/>
    <n v="59.99"/>
    <s v="Debit Card"/>
    <s v="West"/>
    <s v="Standard"/>
    <d v="2021-12-30T00:00:00"/>
    <n v="59.99"/>
    <s v="Nov"/>
    <n v="2024"/>
    <n v="1541"/>
    <n v="45626"/>
    <d v="2026-03-20T21:53:00"/>
    <x v="0"/>
    <m/>
    <n v="1479.91"/>
  </r>
  <r>
    <s v="TRX0148"/>
    <x v="100"/>
    <s v="CUST004"/>
    <x v="31"/>
    <s v="P002"/>
    <s v="Smartphone"/>
    <s v="Electronics"/>
    <n v="3"/>
    <n v="699.99"/>
    <s v="PayPal"/>
    <s v="West"/>
    <s v="Standard"/>
    <d v="2022-01-22T00:00:00"/>
    <n v="2099.9699999999998"/>
    <s v="Nov"/>
    <n v="2024"/>
    <n v="1518"/>
    <n v="45626"/>
    <d v="2026-03-20T21:53:00"/>
    <x v="1"/>
    <m/>
    <n v="5499.8099999999995"/>
  </r>
  <r>
    <s v="TRX0012"/>
    <x v="101"/>
    <s v="CUST045"/>
    <x v="46"/>
    <s v="P009"/>
    <s v="Monitor"/>
    <s v="Electronics"/>
    <n v="5"/>
    <n v="249.99"/>
    <s v="Credit Card"/>
    <s v="North"/>
    <s v="Basic"/>
    <d v="2022-11-08T00:00:00"/>
    <n v="1249.95"/>
    <s v="Nov"/>
    <n v="2024"/>
    <n v="1228"/>
    <n v="45626"/>
    <d v="2026-03-20T21:53:00"/>
    <x v="1"/>
    <m/>
    <n v="4829.8899999999994"/>
  </r>
  <r>
    <s v="TRX0206"/>
    <x v="102"/>
    <s v="CUST014"/>
    <x v="21"/>
    <s v="P008"/>
    <s v="Bookshelf"/>
    <s v="Furniture"/>
    <n v="2"/>
    <n v="149.99"/>
    <s v="Cash"/>
    <s v="South"/>
    <s v="Standard"/>
    <d v="2023-06-24T00:00:00"/>
    <n v="299.98"/>
    <s v="Nov"/>
    <n v="2024"/>
    <n v="1000"/>
    <n v="45626"/>
    <d v="2026-03-20T21:53:00"/>
    <x v="0"/>
    <m/>
    <n v="1289.9000000000001"/>
  </r>
  <r>
    <s v="TRX0045"/>
    <x v="103"/>
    <s v="CUST021"/>
    <x v="2"/>
    <s v="P007"/>
    <s v="Desk"/>
    <s v="Furniture"/>
    <n v="3"/>
    <n v="299.99"/>
    <s v="Cash"/>
    <s v="South"/>
    <s v="Premium"/>
    <d v="2022-04-08T00:00:00"/>
    <n v="899.97"/>
    <s v="Dec"/>
    <n v="2024"/>
    <n v="1442"/>
    <n v="45657"/>
    <d v="2026-03-20T21:53:00"/>
    <x v="0"/>
    <m/>
    <n v="3259.87"/>
  </r>
  <r>
    <s v="TRX0094"/>
    <x v="103"/>
    <s v="CUST017"/>
    <x v="6"/>
    <s v="P009"/>
    <s v="Monitor"/>
    <s v="Electronics"/>
    <n v="5"/>
    <n v="249.99"/>
    <s v="Cash"/>
    <s v="Central"/>
    <s v="Premium"/>
    <d v="2021-10-16T00:00:00"/>
    <n v="1249.95"/>
    <s v="Dec"/>
    <n v="2024"/>
    <n v="1616"/>
    <n v="45657"/>
    <d v="2026-03-20T21:53:00"/>
    <x v="1"/>
    <m/>
    <n v="5089.7300000000005"/>
  </r>
  <r>
    <s v="TRX0133"/>
    <x v="103"/>
    <s v="CUST013"/>
    <x v="1"/>
    <s v="P003"/>
    <s v="Headphones"/>
    <s v="Electronics"/>
    <n v="2"/>
    <n v="149.99"/>
    <s v="Cash"/>
    <s v="South"/>
    <s v="Premium"/>
    <d v="2021-10-06T00:00:00"/>
    <n v="299.98"/>
    <s v="Dec"/>
    <n v="2024"/>
    <n v="1626"/>
    <n v="45657"/>
    <d v="2026-03-20T21:53:00"/>
    <x v="0"/>
    <m/>
    <n v="6949.84"/>
  </r>
  <r>
    <s v="TRX0201"/>
    <x v="103"/>
    <s v="CUST025"/>
    <x v="14"/>
    <s v="P002"/>
    <s v="Smartphone"/>
    <s v="Electronics"/>
    <n v="5"/>
    <n v="699.99"/>
    <s v="Debit Card"/>
    <s v="West"/>
    <s v="Standard"/>
    <d v="2023-01-18T00:00:00"/>
    <n v="3499.95"/>
    <s v="Dec"/>
    <n v="2024"/>
    <n v="1157"/>
    <n v="45657"/>
    <d v="2026-03-20T21:53:00"/>
    <x v="1"/>
    <m/>
    <n v="15659.65"/>
  </r>
  <r>
    <s v="TRX0137"/>
    <x v="104"/>
    <s v="CUST011"/>
    <x v="44"/>
    <s v="P009"/>
    <s v="Monitor"/>
    <s v="Electronics"/>
    <n v="4"/>
    <n v="249.99"/>
    <s v="PayPal"/>
    <s v="East"/>
    <s v="Premium"/>
    <d v="2023-06-21T00:00:00"/>
    <n v="999.96"/>
    <s v="Dec"/>
    <n v="2024"/>
    <n v="1003"/>
    <n v="45657"/>
    <d v="2026-03-20T21:53:00"/>
    <x v="0"/>
    <m/>
    <n v="4749.91"/>
  </r>
  <r>
    <s v="TRX0066"/>
    <x v="105"/>
    <s v="CUST024"/>
    <x v="5"/>
    <s v="P002"/>
    <s v="Smartphone"/>
    <s v="Electronics"/>
    <n v="4"/>
    <n v="699.99"/>
    <s v="Credit Card"/>
    <s v="North"/>
    <s v="Premium"/>
    <d v="2022-05-22T00:00:00"/>
    <n v="2799.96"/>
    <s v="Dec"/>
    <n v="2024"/>
    <n v="1398"/>
    <n v="45657"/>
    <d v="2026-03-20T21:53:00"/>
    <x v="1"/>
    <m/>
    <n v="8269.7900000000009"/>
  </r>
  <r>
    <s v="TRX0180"/>
    <x v="106"/>
    <s v="CUST036"/>
    <x v="20"/>
    <s v="P009"/>
    <s v="Monitor"/>
    <s v="Electronics"/>
    <n v="2"/>
    <n v="249.99"/>
    <s v="Credit Card"/>
    <s v="Central"/>
    <s v="Premium"/>
    <d v="2021-07-19T00:00:00"/>
    <n v="499.98"/>
    <s v="Dec"/>
    <n v="2024"/>
    <n v="1705"/>
    <n v="45657"/>
    <d v="2026-03-20T21:53:00"/>
    <x v="0"/>
    <m/>
    <n v="4189.7700000000004"/>
  </r>
  <r>
    <s v="TRX0082"/>
    <x v="106"/>
    <s v="CUST005"/>
    <x v="47"/>
    <s v="P005"/>
    <s v="Blender"/>
    <s v="Appliances"/>
    <n v="3"/>
    <n v="59.99"/>
    <s v="Cash"/>
    <s v="Central"/>
    <s v="Premium"/>
    <d v="2023-05-06T00:00:00"/>
    <n v="179.97"/>
    <s v="Dec"/>
    <n v="2024"/>
    <n v="1049"/>
    <n v="45657"/>
    <d v="2026-03-20T21:53:00"/>
    <x v="0"/>
    <m/>
    <n v="179.97"/>
  </r>
  <r>
    <s v="TRX0036"/>
    <x v="106"/>
    <s v="CUST008"/>
    <x v="27"/>
    <s v="P004"/>
    <s v="Coffee Maker"/>
    <s v="Appliances"/>
    <n v="4"/>
    <n v="79.989999999999995"/>
    <s v="Debit Card"/>
    <s v="East"/>
    <s v="Standard"/>
    <d v="2022-12-26T00:00:00"/>
    <n v="319.95999999999998"/>
    <s v="Dec"/>
    <n v="2024"/>
    <n v="1180"/>
    <n v="45657"/>
    <d v="2026-03-20T21:53:00"/>
    <x v="0"/>
    <m/>
    <n v="4739.8500000000004"/>
  </r>
  <r>
    <s v="TRX0198"/>
    <x v="107"/>
    <s v="CUST030"/>
    <x v="22"/>
    <s v="P004"/>
    <s v="Coffee Maker"/>
    <s v="Appliances"/>
    <n v="3"/>
    <n v="79.989999999999995"/>
    <s v="Debit Card"/>
    <s v="East"/>
    <s v="Standard"/>
    <d v="2022-08-06T00:00:00"/>
    <n v="239.97"/>
    <s v="Dec"/>
    <n v="2024"/>
    <n v="1322"/>
    <n v="45657"/>
    <d v="2026-03-20T21:53:00"/>
    <x v="0"/>
    <m/>
    <n v="6459.79"/>
  </r>
  <r>
    <s v="TRX0032"/>
    <x v="108"/>
    <s v="CUST041"/>
    <x v="10"/>
    <s v="P001"/>
    <s v="Laptop"/>
    <s v="Electronics"/>
    <n v="2"/>
    <n v="899.99"/>
    <s v="Cash"/>
    <s v="North"/>
    <s v="Basic"/>
    <d v="2021-07-29T00:00:00"/>
    <n v="1799.98"/>
    <s v="Dec"/>
    <n v="2024"/>
    <n v="1695"/>
    <n v="45657"/>
    <d v="2026-03-20T21:53:00"/>
    <x v="1"/>
    <m/>
    <n v="5949.85"/>
  </r>
  <r>
    <s v="TRX0081"/>
    <x v="109"/>
    <s v="CUST007"/>
    <x v="35"/>
    <s v="P008"/>
    <s v="Bookshelf"/>
    <s v="Furniture"/>
    <n v="1"/>
    <n v="149.99"/>
    <s v="Debit Card"/>
    <s v="East"/>
    <s v="Standard"/>
    <d v="2023-10-01T00:00:00"/>
    <n v="149.99"/>
    <s v="Dec"/>
    <n v="2024"/>
    <n v="901"/>
    <n v="45657"/>
    <d v="2026-03-20T21:53:00"/>
    <x v="0"/>
    <m/>
    <n v="1809.84"/>
  </r>
  <r>
    <s v="TRX0224"/>
    <x v="109"/>
    <s v="CUST031"/>
    <x v="26"/>
    <s v="P007"/>
    <s v="Desk"/>
    <s v="Furniture"/>
    <n v="2"/>
    <n v="299.99"/>
    <s v="Cash"/>
    <s v="East"/>
    <s v="Premium"/>
    <d v="2022-06-12T00:00:00"/>
    <n v="599.98"/>
    <s v="Dec"/>
    <n v="2024"/>
    <n v="1377"/>
    <n v="45657"/>
    <d v="2026-03-20T21:53:00"/>
    <x v="0"/>
    <m/>
    <n v="2649.83"/>
  </r>
  <r>
    <s v="TRX0028"/>
    <x v="110"/>
    <s v="CUST002"/>
    <x v="25"/>
    <s v="P005"/>
    <s v="Blender"/>
    <s v="Appliances"/>
    <n v="2"/>
    <n v="59.99"/>
    <s v="Cash"/>
    <s v="West"/>
    <s v="Basic"/>
    <d v="2023-09-22T00:00:00"/>
    <n v="119.98"/>
    <s v="Dec"/>
    <n v="2024"/>
    <n v="910"/>
    <n v="45657"/>
    <d v="2026-03-20T21:53:00"/>
    <x v="0"/>
    <m/>
    <n v="1229.8800000000001"/>
  </r>
  <r>
    <s v="TRX0183"/>
    <x v="111"/>
    <s v="CUST007"/>
    <x v="35"/>
    <s v="P010"/>
    <s v="Keyboard"/>
    <s v="Electronics"/>
    <n v="1"/>
    <n v="89.99"/>
    <s v="Debit Card"/>
    <s v="Central"/>
    <s v="Standard"/>
    <d v="2022-07-18T00:00:00"/>
    <n v="89.99"/>
    <s v="Dec"/>
    <n v="2024"/>
    <n v="1341"/>
    <n v="45657"/>
    <d v="2026-03-20T21:53:00"/>
    <x v="0"/>
    <m/>
    <n v="1809.84"/>
  </r>
  <r>
    <s v="TRX0163"/>
    <x v="111"/>
    <s v="CUST019"/>
    <x v="29"/>
    <s v="P001"/>
    <s v="Laptop"/>
    <s v="Electronics"/>
    <n v="5"/>
    <n v="899.99"/>
    <s v="Debit Card"/>
    <s v="East"/>
    <s v="Standard"/>
    <d v="2022-03-05T00:00:00"/>
    <n v="4499.95"/>
    <s v="Dec"/>
    <n v="2024"/>
    <n v="1476"/>
    <n v="45657"/>
    <d v="2026-03-20T21:53:00"/>
    <x v="1"/>
    <m/>
    <n v="7309.7999999999993"/>
  </r>
  <r>
    <s v="TRX0046"/>
    <x v="112"/>
    <s v="CUST003"/>
    <x v="4"/>
    <s v="P008"/>
    <s v="Bookshelf"/>
    <s v="Furniture"/>
    <n v="2"/>
    <n v="149.99"/>
    <s v="Cash"/>
    <s v="South"/>
    <s v="Basic"/>
    <d v="2023-11-09T00:00:00"/>
    <n v="299.98"/>
    <s v="Dec"/>
    <n v="2024"/>
    <n v="862"/>
    <n v="45657"/>
    <d v="2026-03-20T21:53:00"/>
    <x v="0"/>
    <m/>
    <n v="6169.7400000000007"/>
  </r>
  <r>
    <s v="TRX0164"/>
    <x v="113"/>
    <s v="CUST014"/>
    <x v="21"/>
    <s v="P003"/>
    <s v="Headphones"/>
    <s v="Electronics"/>
    <n v="2"/>
    <n v="149.99"/>
    <s v="Debit Card"/>
    <s v="West"/>
    <s v="Premium"/>
    <d v="2023-12-20T00:00:00"/>
    <n v="299.98"/>
    <s v="Dec"/>
    <n v="2024"/>
    <n v="821"/>
    <n v="45657"/>
    <d v="2026-03-20T21:53:00"/>
    <x v="0"/>
    <m/>
    <n v="1289.9000000000001"/>
  </r>
  <r>
    <s v="TRX0008"/>
    <x v="113"/>
    <s v="CUST007"/>
    <x v="35"/>
    <s v="P008"/>
    <s v="Bookshelf"/>
    <s v="Furniture"/>
    <n v="3"/>
    <n v="149.99"/>
    <s v="Debit Card"/>
    <s v="North"/>
    <s v="Standard"/>
    <d v="2021-11-22T00:00:00"/>
    <n v="449.97"/>
    <s v="Dec"/>
    <n v="2024"/>
    <n v="1579"/>
    <n v="45657"/>
    <d v="2026-03-20T21:53:00"/>
    <x v="0"/>
    <m/>
    <n v="1809.84"/>
  </r>
  <r>
    <s v="TRX0171"/>
    <x v="114"/>
    <s v="CUST021"/>
    <x v="2"/>
    <s v="P007"/>
    <s v="Desk"/>
    <s v="Furniture"/>
    <n v="2"/>
    <n v="299.99"/>
    <s v="PayPal"/>
    <s v="South"/>
    <s v="Basic"/>
    <d v="2022-06-09T00:00:00"/>
    <n v="599.98"/>
    <s v="Dec"/>
    <n v="2024"/>
    <n v="1380"/>
    <n v="45657"/>
    <d v="2026-03-20T21:53:00"/>
    <x v="0"/>
    <m/>
    <n v="3259.87"/>
  </r>
  <r>
    <s v="TRX0143"/>
    <x v="115"/>
    <s v="CUST003"/>
    <x v="4"/>
    <s v="P007"/>
    <s v="Desk"/>
    <s v="Furniture"/>
    <n v="2"/>
    <n v="299.99"/>
    <s v="Cash"/>
    <s v="West"/>
    <s v="Basic"/>
    <d v="2022-07-29T00:00:00"/>
    <n v="599.98"/>
    <s v="Dec"/>
    <n v="2024"/>
    <n v="1330"/>
    <n v="45657"/>
    <d v="2026-03-20T21:53:00"/>
    <x v="0"/>
    <m/>
    <n v="6169.7400000000007"/>
  </r>
  <r>
    <s v="TRX0165"/>
    <x v="115"/>
    <s v="CUST030"/>
    <x v="22"/>
    <s v="P006"/>
    <s v="Office Chair"/>
    <s v="Furniture"/>
    <n v="4"/>
    <n v="199.99"/>
    <s v="Credit Card"/>
    <s v="Central"/>
    <s v="Basic"/>
    <d v="2021-11-23T00:00:00"/>
    <n v="799.96"/>
    <s v="Dec"/>
    <n v="2024"/>
    <n v="1578"/>
    <n v="45657"/>
    <d v="2026-03-20T21:53:00"/>
    <x v="0"/>
    <m/>
    <n v="6459.79"/>
  </r>
  <r>
    <s v="TRX0156"/>
    <x v="116"/>
    <s v="CUST009"/>
    <x v="7"/>
    <s v="P010"/>
    <s v="Keyboard"/>
    <s v="Electronics"/>
    <n v="1"/>
    <n v="89.99"/>
    <s v="Credit Card"/>
    <s v="South"/>
    <s v="Premium"/>
    <d v="2022-01-30T00:00:00"/>
    <n v="89.99"/>
    <s v="Dec"/>
    <n v="2024"/>
    <n v="1510"/>
    <n v="45657"/>
    <d v="2026-03-20T21:53:00"/>
    <x v="0"/>
    <m/>
    <n v="3509.8999999999996"/>
  </r>
  <r>
    <s v="TRX0147"/>
    <x v="116"/>
    <s v="CUST036"/>
    <x v="20"/>
    <s v="P008"/>
    <s v="Bookshelf"/>
    <s v="Furniture"/>
    <n v="5"/>
    <n v="149.99"/>
    <s v="Cash"/>
    <s v="Central"/>
    <s v="Premium"/>
    <d v="2024-02-25T00:00:00"/>
    <n v="749.95"/>
    <s v="Dec"/>
    <n v="2024"/>
    <n v="754"/>
    <n v="45657"/>
    <d v="2026-03-20T21:53:00"/>
    <x v="0"/>
    <m/>
    <n v="4189.7700000000004"/>
  </r>
  <r>
    <s v="TRX0207"/>
    <x v="117"/>
    <s v="CUST025"/>
    <x v="14"/>
    <s v="P001"/>
    <s v="Laptop"/>
    <s v="Electronics"/>
    <n v="1"/>
    <n v="899.99"/>
    <s v="PayPal"/>
    <s v="North"/>
    <s v="Premium"/>
    <d v="2023-05-04T00:00:00"/>
    <n v="899.99"/>
    <s v="Dec"/>
    <n v="2024"/>
    <n v="1051"/>
    <n v="45657"/>
    <d v="2026-03-20T21:53:00"/>
    <x v="0"/>
    <m/>
    <n v="15659.65"/>
  </r>
  <r>
    <s v="TRX0056"/>
    <x v="118"/>
    <s v="CUST019"/>
    <x v="29"/>
    <s v="P010"/>
    <s v="Keyboard"/>
    <s v="Electronics"/>
    <n v="2"/>
    <n v="89.99"/>
    <s v="Credit Card"/>
    <s v="South"/>
    <s v="Premium"/>
    <d v="2022-01-03T00:00:00"/>
    <n v="179.98"/>
    <s v="Jan"/>
    <n v="2025"/>
    <n v="1537"/>
    <n v="45688"/>
    <d v="2026-03-20T21:53:00"/>
    <x v="0"/>
    <m/>
    <n v="7309.7999999999993"/>
  </r>
  <r>
    <s v="TRX0026"/>
    <x v="119"/>
    <s v="CUST037"/>
    <x v="48"/>
    <s v="P001"/>
    <s v="Laptop"/>
    <s v="Electronics"/>
    <n v="1"/>
    <n v="899.99"/>
    <s v="PayPal"/>
    <s v="North"/>
    <s v="Standard"/>
    <d v="2022-07-10T00:00:00"/>
    <n v="899.99"/>
    <s v="Jan"/>
    <n v="2025"/>
    <n v="1349"/>
    <n v="45688"/>
    <d v="2026-03-20T21:53:00"/>
    <x v="0"/>
    <m/>
    <n v="1559.94"/>
  </r>
  <r>
    <s v="TRX0237"/>
    <x v="120"/>
    <s v="CUST006"/>
    <x v="24"/>
    <s v="P003"/>
    <s v="Headphones"/>
    <s v="Electronics"/>
    <n v="5"/>
    <n v="149.99"/>
    <s v="PayPal"/>
    <s v="East"/>
    <s v="Premium"/>
    <d v="2022-09-20T00:00:00"/>
    <n v="749.95"/>
    <s v="Jan"/>
    <n v="2025"/>
    <n v="1277"/>
    <n v="45688"/>
    <d v="2026-03-20T21:53:00"/>
    <x v="0"/>
    <m/>
    <n v="2039.8000000000002"/>
  </r>
  <r>
    <s v="TRX0091"/>
    <x v="120"/>
    <s v="CUST003"/>
    <x v="4"/>
    <s v="P007"/>
    <s v="Desk"/>
    <s v="Furniture"/>
    <n v="3"/>
    <n v="299.99"/>
    <s v="Cash"/>
    <s v="South"/>
    <s v="Standard"/>
    <d v="2021-08-14T00:00:00"/>
    <n v="899.97"/>
    <s v="Jan"/>
    <n v="2025"/>
    <n v="1679"/>
    <n v="45688"/>
    <d v="2026-03-20T21:53:00"/>
    <x v="0"/>
    <m/>
    <n v="6169.7400000000007"/>
  </r>
  <r>
    <s v="TRX0125"/>
    <x v="121"/>
    <s v="CUST026"/>
    <x v="8"/>
    <s v="P002"/>
    <s v="Smartphone"/>
    <s v="Electronics"/>
    <n v="3"/>
    <n v="699.99"/>
    <s v="Credit Card"/>
    <s v="Central"/>
    <s v="Premium"/>
    <d v="2023-06-28T00:00:00"/>
    <n v="2099.9699999999998"/>
    <s v="Jan"/>
    <n v="2025"/>
    <n v="996"/>
    <n v="45688"/>
    <d v="2026-03-20T21:53:00"/>
    <x v="1"/>
    <m/>
    <n v="8009.7699999999995"/>
  </r>
  <r>
    <s v="TRX0223"/>
    <x v="122"/>
    <s v="CUST036"/>
    <x v="20"/>
    <s v="P006"/>
    <s v="Office Chair"/>
    <s v="Furniture"/>
    <n v="5"/>
    <n v="199.99"/>
    <s v="PayPal"/>
    <s v="Central"/>
    <s v="Standard"/>
    <d v="2022-03-13T00:00:00"/>
    <n v="999.95"/>
    <s v="Jan"/>
    <n v="2025"/>
    <n v="1468"/>
    <n v="45688"/>
    <d v="2026-03-20T21:53:00"/>
    <x v="0"/>
    <m/>
    <n v="4189.7700000000004"/>
  </r>
  <r>
    <s v="TRX0243"/>
    <x v="122"/>
    <s v="CUST048"/>
    <x v="16"/>
    <s v="P009"/>
    <s v="Monitor"/>
    <s v="Electronics"/>
    <n v="5"/>
    <n v="249.99"/>
    <s v="Credit Card"/>
    <s v="South"/>
    <s v="Basic"/>
    <d v="2024-02-08T00:00:00"/>
    <n v="1249.95"/>
    <s v="Jan"/>
    <n v="2025"/>
    <n v="771"/>
    <n v="45688"/>
    <d v="2026-03-20T21:53:00"/>
    <x v="1"/>
    <m/>
    <n v="4789.7900000000009"/>
  </r>
  <r>
    <s v="TRX0084"/>
    <x v="123"/>
    <s v="CUST031"/>
    <x v="26"/>
    <s v="P003"/>
    <s v="Headphones"/>
    <s v="Electronics"/>
    <n v="4"/>
    <n v="149.99"/>
    <s v="Debit Card"/>
    <s v="East"/>
    <s v="Standard"/>
    <d v="2021-12-06T00:00:00"/>
    <n v="599.96"/>
    <s v="Jan"/>
    <n v="2025"/>
    <n v="1565"/>
    <n v="45688"/>
    <d v="2026-03-20T21:53:00"/>
    <x v="0"/>
    <m/>
    <n v="2649.83"/>
  </r>
  <r>
    <s v="TRX0238"/>
    <x v="123"/>
    <s v="CUST038"/>
    <x v="12"/>
    <s v="P002"/>
    <s v="Smartphone"/>
    <s v="Electronics"/>
    <n v="3"/>
    <n v="699.99"/>
    <s v="Cash"/>
    <s v="North"/>
    <s v="Premium"/>
    <d v="2022-02-10T00:00:00"/>
    <n v="2099.9699999999998"/>
    <s v="Jan"/>
    <n v="2025"/>
    <n v="1499"/>
    <n v="45688"/>
    <d v="2026-03-20T21:53:00"/>
    <x v="1"/>
    <m/>
    <n v="4199.9399999999996"/>
  </r>
  <r>
    <s v="TRX0102"/>
    <x v="124"/>
    <s v="CUST045"/>
    <x v="46"/>
    <s v="P004"/>
    <s v="Coffee Maker"/>
    <s v="Appliances"/>
    <n v="1"/>
    <n v="79.989999999999995"/>
    <s v="Credit Card"/>
    <s v="South"/>
    <s v="Basic"/>
    <d v="2024-01-31T00:00:00"/>
    <n v="79.989999999999995"/>
    <s v="Jan"/>
    <n v="2025"/>
    <n v="779"/>
    <n v="45688"/>
    <d v="2026-03-20T21:53:00"/>
    <x v="0"/>
    <m/>
    <n v="4829.8899999999994"/>
  </r>
  <r>
    <s v="TRX0022"/>
    <x v="124"/>
    <s v="CUST025"/>
    <x v="14"/>
    <s v="P007"/>
    <s v="Desk"/>
    <s v="Furniture"/>
    <n v="1"/>
    <n v="299.99"/>
    <s v="Credit Card"/>
    <s v="North"/>
    <s v="Basic"/>
    <d v="2021-08-28T00:00:00"/>
    <n v="299.99"/>
    <s v="Jan"/>
    <n v="2025"/>
    <n v="1665"/>
    <n v="45688"/>
    <d v="2026-03-20T21:53:00"/>
    <x v="0"/>
    <m/>
    <n v="15659.65"/>
  </r>
  <r>
    <s v="TRX0087"/>
    <x v="125"/>
    <s v="CUST028"/>
    <x v="32"/>
    <s v="P009"/>
    <s v="Monitor"/>
    <s v="Electronics"/>
    <n v="4"/>
    <n v="249.99"/>
    <s v="Credit Card"/>
    <s v="North"/>
    <s v="Premium"/>
    <d v="2021-09-21T00:00:00"/>
    <n v="999.96"/>
    <s v="Jan"/>
    <n v="2025"/>
    <n v="1641"/>
    <n v="45688"/>
    <d v="2026-03-20T21:53:00"/>
    <x v="0"/>
    <m/>
    <n v="5649.84"/>
  </r>
  <r>
    <s v="TRX0107"/>
    <x v="125"/>
    <s v="CUST030"/>
    <x v="22"/>
    <s v="P003"/>
    <s v="Headphones"/>
    <s v="Electronics"/>
    <n v="2"/>
    <n v="149.99"/>
    <s v="Cash"/>
    <s v="North"/>
    <s v="Standard"/>
    <d v="2022-12-18T00:00:00"/>
    <n v="299.98"/>
    <s v="Jan"/>
    <n v="2025"/>
    <n v="1188"/>
    <n v="45688"/>
    <d v="2026-03-20T21:53:00"/>
    <x v="0"/>
    <m/>
    <n v="6459.79"/>
  </r>
  <r>
    <s v="TRX0051"/>
    <x v="125"/>
    <s v="CUST032"/>
    <x v="42"/>
    <s v="P007"/>
    <s v="Desk"/>
    <s v="Furniture"/>
    <n v="3"/>
    <n v="299.99"/>
    <s v="Credit Card"/>
    <s v="South"/>
    <s v="Basic"/>
    <d v="2023-10-05T00:00:00"/>
    <n v="899.97"/>
    <s v="Jan"/>
    <n v="2025"/>
    <n v="897"/>
    <n v="45688"/>
    <d v="2026-03-20T21:53:00"/>
    <x v="0"/>
    <m/>
    <n v="6349.83"/>
  </r>
  <r>
    <s v="TRX0106"/>
    <x v="126"/>
    <s v="CUST039"/>
    <x v="40"/>
    <s v="P006"/>
    <s v="Office Chair"/>
    <s v="Furniture"/>
    <n v="4"/>
    <n v="199.99"/>
    <s v="Debit Card"/>
    <s v="South"/>
    <s v="Standard"/>
    <d v="2021-12-14T00:00:00"/>
    <n v="799.96"/>
    <s v="Jan"/>
    <n v="2025"/>
    <n v="1557"/>
    <n v="45688"/>
    <d v="2026-03-20T21:53:00"/>
    <x v="0"/>
    <m/>
    <n v="6989.7699999999986"/>
  </r>
  <r>
    <s v="TRX0059"/>
    <x v="126"/>
    <s v="CUST016"/>
    <x v="39"/>
    <s v="P007"/>
    <s v="Desk"/>
    <s v="Furniture"/>
    <n v="5"/>
    <n v="299.99"/>
    <s v="Debit Card"/>
    <s v="Central"/>
    <s v="Basic"/>
    <d v="2021-08-23T00:00:00"/>
    <n v="1499.95"/>
    <s v="Jan"/>
    <n v="2025"/>
    <n v="1670"/>
    <n v="45688"/>
    <d v="2026-03-20T21:53:00"/>
    <x v="1"/>
    <m/>
    <n v="3649.8599999999997"/>
  </r>
  <r>
    <s v="TRX0072"/>
    <x v="126"/>
    <s v="CUST009"/>
    <x v="7"/>
    <s v="P008"/>
    <s v="Bookshelf"/>
    <s v="Furniture"/>
    <n v="3"/>
    <n v="149.99"/>
    <s v="Credit Card"/>
    <s v="East"/>
    <s v="Standard"/>
    <d v="2021-07-18T00:00:00"/>
    <n v="449.97"/>
    <s v="Jan"/>
    <n v="2025"/>
    <n v="1706"/>
    <n v="45688"/>
    <d v="2026-03-20T21:53:00"/>
    <x v="0"/>
    <m/>
    <n v="3509.8999999999996"/>
  </r>
  <r>
    <s v="TRX0110"/>
    <x v="127"/>
    <s v="CUST006"/>
    <x v="24"/>
    <s v="P005"/>
    <s v="Blender"/>
    <s v="Appliances"/>
    <n v="5"/>
    <n v="59.99"/>
    <s v="Debit Card"/>
    <s v="East"/>
    <s v="Basic"/>
    <d v="2022-03-22T00:00:00"/>
    <n v="299.95"/>
    <s v="Jan"/>
    <n v="2025"/>
    <n v="1459"/>
    <n v="45688"/>
    <d v="2026-03-20T21:53:00"/>
    <x v="0"/>
    <m/>
    <n v="2039.8000000000002"/>
  </r>
  <r>
    <s v="TRX0126"/>
    <x v="128"/>
    <s v="CUST022"/>
    <x v="9"/>
    <s v="P005"/>
    <s v="Blender"/>
    <s v="Appliances"/>
    <n v="4"/>
    <n v="59.99"/>
    <s v="Debit Card"/>
    <s v="East"/>
    <s v="Standard"/>
    <d v="2022-01-03T00:00:00"/>
    <n v="239.96"/>
    <s v="Jan"/>
    <n v="2025"/>
    <n v="1537"/>
    <n v="45688"/>
    <d v="2026-03-20T21:53:00"/>
    <x v="0"/>
    <m/>
    <n v="1979.89"/>
  </r>
  <r>
    <s v="TRX0159"/>
    <x v="129"/>
    <s v="CUST024"/>
    <x v="5"/>
    <s v="P009"/>
    <s v="Monitor"/>
    <s v="Electronics"/>
    <n v="4"/>
    <n v="249.99"/>
    <s v="Debit Card"/>
    <s v="Central"/>
    <s v="Premium"/>
    <d v="2023-10-18T00:00:00"/>
    <n v="999.96"/>
    <s v="Jan"/>
    <n v="2025"/>
    <n v="884"/>
    <n v="45688"/>
    <d v="2026-03-20T21:53:00"/>
    <x v="0"/>
    <m/>
    <n v="8269.7900000000009"/>
  </r>
  <r>
    <s v="TRX0030"/>
    <x v="130"/>
    <s v="CUST011"/>
    <x v="44"/>
    <s v="P001"/>
    <s v="Laptop"/>
    <s v="Electronics"/>
    <n v="4"/>
    <n v="899.99"/>
    <s v="PayPal"/>
    <s v="Central"/>
    <s v="Basic"/>
    <d v="2022-06-22T00:00:00"/>
    <n v="3599.96"/>
    <s v="Jan"/>
    <n v="2025"/>
    <n v="1367"/>
    <n v="45688"/>
    <d v="2026-03-20T21:53:00"/>
    <x v="1"/>
    <m/>
    <n v="4749.91"/>
  </r>
  <r>
    <s v="TRX0178"/>
    <x v="130"/>
    <s v="CUST025"/>
    <x v="14"/>
    <s v="P007"/>
    <s v="Desk"/>
    <s v="Furniture"/>
    <n v="3"/>
    <n v="299.99"/>
    <s v="Debit Card"/>
    <s v="West"/>
    <s v="Standard"/>
    <d v="2023-01-26T00:00:00"/>
    <n v="899.97"/>
    <s v="Jan"/>
    <n v="2025"/>
    <n v="1149"/>
    <n v="45688"/>
    <d v="2026-03-20T21:53:00"/>
    <x v="0"/>
    <m/>
    <n v="15659.65"/>
  </r>
  <r>
    <s v="TRX0188"/>
    <x v="130"/>
    <s v="CUST045"/>
    <x v="46"/>
    <s v="P002"/>
    <s v="Smartphone"/>
    <s v="Electronics"/>
    <n v="2"/>
    <n v="699.99"/>
    <s v="Debit Card"/>
    <s v="Central"/>
    <s v="Premium"/>
    <d v="2022-04-30T00:00:00"/>
    <n v="1399.98"/>
    <s v="Jan"/>
    <n v="2025"/>
    <n v="1420"/>
    <n v="45688"/>
    <d v="2026-03-20T21:53:00"/>
    <x v="1"/>
    <m/>
    <n v="4829.8899999999994"/>
  </r>
  <r>
    <s v="TRX0010"/>
    <x v="131"/>
    <s v="CUST026"/>
    <x v="8"/>
    <s v="P002"/>
    <s v="Smartphone"/>
    <s v="Electronics"/>
    <n v="4"/>
    <n v="699.99"/>
    <s v="Debit Card"/>
    <s v="West"/>
    <s v="Premium"/>
    <d v="2022-05-11T00:00:00"/>
    <n v="2799.96"/>
    <s v="Jan"/>
    <n v="2025"/>
    <n v="1409"/>
    <n v="45688"/>
    <d v="2026-03-20T21:53:00"/>
    <x v="1"/>
    <m/>
    <n v="8009.7699999999995"/>
  </r>
  <r>
    <s v="TRX0069"/>
    <x v="131"/>
    <s v="CUST029"/>
    <x v="23"/>
    <s v="P010"/>
    <s v="Keyboard"/>
    <s v="Electronics"/>
    <n v="2"/>
    <n v="89.99"/>
    <s v="Debit Card"/>
    <s v="South"/>
    <s v="Basic"/>
    <d v="2022-08-04T00:00:00"/>
    <n v="179.98"/>
    <s v="Jan"/>
    <n v="2025"/>
    <n v="1324"/>
    <n v="45688"/>
    <d v="2026-03-20T21:53:00"/>
    <x v="0"/>
    <m/>
    <n v="11919.769999999999"/>
  </r>
  <r>
    <s v="TRX0166"/>
    <x v="131"/>
    <s v="CUST003"/>
    <x v="4"/>
    <s v="P010"/>
    <s v="Keyboard"/>
    <s v="Electronics"/>
    <n v="3"/>
    <n v="89.99"/>
    <s v="Debit Card"/>
    <s v="South"/>
    <s v="Premium"/>
    <d v="2024-01-16T00:00:00"/>
    <n v="269.97000000000003"/>
    <s v="Jan"/>
    <n v="2025"/>
    <n v="794"/>
    <n v="45688"/>
    <d v="2026-03-20T21:53:00"/>
    <x v="0"/>
    <m/>
    <n v="6169.7400000000007"/>
  </r>
  <r>
    <s v="TRX0219"/>
    <x v="132"/>
    <s v="CUST037"/>
    <x v="48"/>
    <s v="P005"/>
    <s v="Blender"/>
    <s v="Appliances"/>
    <n v="1"/>
    <n v="59.99"/>
    <s v="Debit Card"/>
    <s v="Central"/>
    <s v="Standard"/>
    <d v="2023-04-29T00:00:00"/>
    <n v="59.99"/>
    <s v="Feb"/>
    <n v="2025"/>
    <n v="1056"/>
    <n v="45716"/>
    <d v="2026-03-20T21:53:00"/>
    <x v="0"/>
    <m/>
    <n v="1559.94"/>
  </r>
  <r>
    <s v="TRX0024"/>
    <x v="133"/>
    <s v="CUST042"/>
    <x v="43"/>
    <s v="P008"/>
    <s v="Bookshelf"/>
    <s v="Furniture"/>
    <n v="3"/>
    <n v="149.99"/>
    <s v="Debit Card"/>
    <s v="North"/>
    <s v="Premium"/>
    <d v="2022-01-03T00:00:00"/>
    <n v="449.97"/>
    <s v="Feb"/>
    <n v="2025"/>
    <n v="1537"/>
    <n v="45716"/>
    <d v="2026-03-20T21:53:00"/>
    <x v="0"/>
    <m/>
    <n v="1749.92"/>
  </r>
  <r>
    <s v="TRX0105"/>
    <x v="133"/>
    <s v="CUST048"/>
    <x v="16"/>
    <s v="P007"/>
    <s v="Desk"/>
    <s v="Furniture"/>
    <n v="5"/>
    <n v="299.99"/>
    <s v="Credit Card"/>
    <s v="South"/>
    <s v="Basic"/>
    <d v="2023-02-02T00:00:00"/>
    <n v="1499.95"/>
    <s v="Feb"/>
    <n v="2025"/>
    <n v="1142"/>
    <n v="45716"/>
    <d v="2026-03-20T21:53:00"/>
    <x v="1"/>
    <m/>
    <n v="4789.7900000000009"/>
  </r>
  <r>
    <s v="TRX0011"/>
    <x v="134"/>
    <s v="CUST040"/>
    <x v="30"/>
    <s v="P005"/>
    <s v="Blender"/>
    <s v="Appliances"/>
    <n v="5"/>
    <n v="59.99"/>
    <s v="Debit Card"/>
    <s v="Central"/>
    <s v="Standard"/>
    <d v="2023-09-08T00:00:00"/>
    <n v="299.95"/>
    <s v="Feb"/>
    <n v="2025"/>
    <n v="924"/>
    <n v="45716"/>
    <d v="2026-03-20T21:53:00"/>
    <x v="0"/>
    <m/>
    <n v="5619.869999999999"/>
  </r>
  <r>
    <s v="TRX0187"/>
    <x v="135"/>
    <s v="CUST036"/>
    <x v="20"/>
    <s v="P004"/>
    <s v="Coffee Maker"/>
    <s v="Appliances"/>
    <n v="3"/>
    <n v="79.989999999999995"/>
    <s v="Cash"/>
    <s v="East"/>
    <s v="Premium"/>
    <d v="2021-08-28T00:00:00"/>
    <n v="239.97"/>
    <s v="Feb"/>
    <n v="2025"/>
    <n v="1665"/>
    <n v="45716"/>
    <d v="2026-03-20T21:53:00"/>
    <x v="0"/>
    <m/>
    <n v="4189.7700000000004"/>
  </r>
  <r>
    <s v="TRX0089"/>
    <x v="136"/>
    <s v="CUST021"/>
    <x v="2"/>
    <s v="P006"/>
    <s v="Office Chair"/>
    <s v="Furniture"/>
    <n v="3"/>
    <n v="199.99"/>
    <s v="Cash"/>
    <s v="Central"/>
    <s v="Basic"/>
    <d v="2022-06-23T00:00:00"/>
    <n v="599.97"/>
    <s v="Feb"/>
    <n v="2025"/>
    <n v="1366"/>
    <n v="45716"/>
    <d v="2026-03-20T21:53:00"/>
    <x v="0"/>
    <m/>
    <n v="3259.87"/>
  </r>
  <r>
    <s v="TRX0196"/>
    <x v="136"/>
    <s v="CUST023"/>
    <x v="0"/>
    <s v="P010"/>
    <s v="Keyboard"/>
    <s v="Electronics"/>
    <n v="2"/>
    <n v="89.99"/>
    <s v="PayPal"/>
    <s v="Central"/>
    <s v="Basic"/>
    <d v="2023-11-27T00:00:00"/>
    <n v="179.98"/>
    <s v="Feb"/>
    <n v="2025"/>
    <n v="844"/>
    <n v="45716"/>
    <d v="2026-03-20T21:53:00"/>
    <x v="0"/>
    <m/>
    <n v="8309.739999999998"/>
  </r>
  <r>
    <s v="TRX0118"/>
    <x v="137"/>
    <s v="CUST015"/>
    <x v="45"/>
    <s v="P008"/>
    <s v="Bookshelf"/>
    <s v="Furniture"/>
    <n v="2"/>
    <n v="149.99"/>
    <s v="Cash"/>
    <s v="South"/>
    <s v="Premium"/>
    <d v="2022-06-16T00:00:00"/>
    <n v="299.98"/>
    <s v="Feb"/>
    <n v="2025"/>
    <n v="1373"/>
    <n v="45716"/>
    <d v="2026-03-20T21:53:00"/>
    <x v="0"/>
    <m/>
    <n v="739.93000000000006"/>
  </r>
  <r>
    <s v="TRX0179"/>
    <x v="138"/>
    <s v="CUST029"/>
    <x v="23"/>
    <s v="P002"/>
    <s v="Smartphone"/>
    <s v="Electronics"/>
    <n v="5"/>
    <n v="699.99"/>
    <s v="PayPal"/>
    <s v="South"/>
    <s v="Premium"/>
    <d v="2024-03-01T00:00:00"/>
    <n v="3499.95"/>
    <s v="Feb"/>
    <n v="2025"/>
    <n v="749"/>
    <n v="45716"/>
    <d v="2026-03-20T21:53:00"/>
    <x v="1"/>
    <m/>
    <n v="11919.769999999999"/>
  </r>
  <r>
    <s v="TRX0168"/>
    <x v="138"/>
    <s v="CUST003"/>
    <x v="4"/>
    <s v="P008"/>
    <s v="Bookshelf"/>
    <s v="Furniture"/>
    <n v="3"/>
    <n v="149.99"/>
    <s v="PayPal"/>
    <s v="Central"/>
    <s v="Standard"/>
    <d v="2022-03-13T00:00:00"/>
    <n v="449.97"/>
    <s v="Feb"/>
    <n v="2025"/>
    <n v="1468"/>
    <n v="45716"/>
    <d v="2026-03-20T21:53:00"/>
    <x v="0"/>
    <m/>
    <n v="6169.7400000000007"/>
  </r>
  <r>
    <s v="TRX0214"/>
    <x v="139"/>
    <s v="CUST018"/>
    <x v="17"/>
    <s v="P001"/>
    <s v="Laptop"/>
    <s v="Electronics"/>
    <n v="3"/>
    <n v="899.99"/>
    <s v="Cash"/>
    <s v="East"/>
    <s v="Standard"/>
    <d v="2022-02-21T00:00:00"/>
    <n v="2699.97"/>
    <s v="Feb"/>
    <n v="2025"/>
    <n v="1488"/>
    <n v="45716"/>
    <d v="2026-03-20T21:53:00"/>
    <x v="1"/>
    <m/>
    <n v="10649.8"/>
  </r>
  <r>
    <s v="TRX0221"/>
    <x v="139"/>
    <s v="CUST033"/>
    <x v="37"/>
    <s v="P006"/>
    <s v="Office Chair"/>
    <s v="Furniture"/>
    <n v="3"/>
    <n v="199.99"/>
    <s v="Cash"/>
    <s v="West"/>
    <s v="Premium"/>
    <d v="2022-09-19T00:00:00"/>
    <n v="599.97"/>
    <s v="Feb"/>
    <n v="2025"/>
    <n v="1278"/>
    <n v="45716"/>
    <d v="2026-03-20T21:53:00"/>
    <x v="0"/>
    <m/>
    <n v="1479.91"/>
  </r>
  <r>
    <s v="TRX0083"/>
    <x v="140"/>
    <s v="CUST017"/>
    <x v="6"/>
    <s v="P007"/>
    <s v="Desk"/>
    <s v="Furniture"/>
    <n v="5"/>
    <n v="299.99"/>
    <s v="Cash"/>
    <s v="West"/>
    <s v="Standard"/>
    <d v="2023-08-04T00:00:00"/>
    <n v="1499.95"/>
    <s v="Feb"/>
    <n v="2025"/>
    <n v="959"/>
    <n v="45716"/>
    <d v="2026-03-20T21:53:00"/>
    <x v="1"/>
    <m/>
    <n v="5089.7300000000005"/>
  </r>
  <r>
    <s v="TRX0151"/>
    <x v="140"/>
    <s v="CUST040"/>
    <x v="30"/>
    <s v="P002"/>
    <s v="Smartphone"/>
    <s v="Electronics"/>
    <n v="1"/>
    <n v="699.99"/>
    <s v="PayPal"/>
    <s v="West"/>
    <s v="Basic"/>
    <d v="2023-01-08T00:00:00"/>
    <n v="699.99"/>
    <s v="Feb"/>
    <n v="2025"/>
    <n v="1167"/>
    <n v="45716"/>
    <d v="2026-03-20T21:53:00"/>
    <x v="0"/>
    <m/>
    <n v="5619.869999999999"/>
  </r>
  <r>
    <s v="TRX0047"/>
    <x v="141"/>
    <s v="CUST042"/>
    <x v="43"/>
    <s v="P002"/>
    <s v="Smartphone"/>
    <s v="Electronics"/>
    <n v="1"/>
    <n v="699.99"/>
    <s v="Cash"/>
    <s v="North"/>
    <s v="Premium"/>
    <d v="2022-01-22T00:00:00"/>
    <n v="699.99"/>
    <s v="Feb"/>
    <n v="2025"/>
    <n v="1518"/>
    <n v="45716"/>
    <d v="2026-03-20T21:53:00"/>
    <x v="0"/>
    <m/>
    <n v="1749.92"/>
  </r>
  <r>
    <s v="TRX0200"/>
    <x v="141"/>
    <s v="CUST037"/>
    <x v="48"/>
    <s v="P008"/>
    <s v="Bookshelf"/>
    <s v="Furniture"/>
    <n v="4"/>
    <n v="149.99"/>
    <s v="PayPal"/>
    <s v="North"/>
    <s v="Premium"/>
    <d v="2021-08-04T00:00:00"/>
    <n v="599.96"/>
    <s v="Feb"/>
    <n v="2025"/>
    <n v="1689"/>
    <n v="45716"/>
    <d v="2026-03-20T21:53:00"/>
    <x v="0"/>
    <m/>
    <n v="1559.94"/>
  </r>
  <r>
    <s v="TRX0062"/>
    <x v="141"/>
    <s v="CUST016"/>
    <x v="39"/>
    <s v="P010"/>
    <s v="Keyboard"/>
    <s v="Electronics"/>
    <n v="5"/>
    <n v="89.99"/>
    <s v="PayPal"/>
    <s v="West"/>
    <s v="Premium"/>
    <d v="2023-08-02T00:00:00"/>
    <n v="449.95"/>
    <s v="Feb"/>
    <n v="2025"/>
    <n v="961"/>
    <n v="45716"/>
    <d v="2026-03-20T21:53:00"/>
    <x v="0"/>
    <m/>
    <n v="3649.8599999999997"/>
  </r>
  <r>
    <s v="TRX0182"/>
    <x v="142"/>
    <s v="CUST031"/>
    <x v="26"/>
    <s v="P006"/>
    <s v="Office Chair"/>
    <s v="Furniture"/>
    <n v="2"/>
    <n v="199.99"/>
    <s v="Cash"/>
    <s v="Central"/>
    <s v="Premium"/>
    <d v="2022-01-12T00:00:00"/>
    <n v="399.98"/>
    <s v="Feb"/>
    <n v="2025"/>
    <n v="1528"/>
    <n v="45716"/>
    <d v="2026-03-20T21:53:00"/>
    <x v="0"/>
    <m/>
    <n v="2649.83"/>
  </r>
  <r>
    <s v="TRX0229"/>
    <x v="143"/>
    <s v="CUST015"/>
    <x v="45"/>
    <s v="P005"/>
    <s v="Blender"/>
    <s v="Appliances"/>
    <n v="4"/>
    <n v="59.99"/>
    <s v="Cash"/>
    <s v="West"/>
    <s v="Standard"/>
    <d v="2023-05-24T00:00:00"/>
    <n v="239.96"/>
    <s v="Feb"/>
    <n v="2025"/>
    <n v="1031"/>
    <n v="45716"/>
    <d v="2026-03-20T21:53:00"/>
    <x v="0"/>
    <m/>
    <n v="739.93000000000006"/>
  </r>
  <r>
    <s v="TRX0048"/>
    <x v="143"/>
    <s v="CUST048"/>
    <x v="16"/>
    <s v="P007"/>
    <s v="Desk"/>
    <s v="Furniture"/>
    <n v="2"/>
    <n v="299.99"/>
    <s v="PayPal"/>
    <s v="South"/>
    <s v="Basic"/>
    <d v="2022-01-15T00:00:00"/>
    <n v="599.98"/>
    <s v="Feb"/>
    <n v="2025"/>
    <n v="1525"/>
    <n v="45716"/>
    <d v="2026-03-20T21:53:00"/>
    <x v="0"/>
    <m/>
    <n v="4789.7900000000009"/>
  </r>
  <r>
    <s v="TRX0227"/>
    <x v="144"/>
    <s v="CUST017"/>
    <x v="6"/>
    <s v="P008"/>
    <s v="Bookshelf"/>
    <s v="Furniture"/>
    <n v="2"/>
    <n v="149.99"/>
    <s v="Cash"/>
    <s v="Central"/>
    <s v="Basic"/>
    <d v="2023-05-22T00:00:00"/>
    <n v="299.98"/>
    <s v="Mar"/>
    <n v="2025"/>
    <n v="1033"/>
    <n v="45747"/>
    <d v="2026-03-20T21:53:00"/>
    <x v="0"/>
    <m/>
    <n v="5089.7300000000005"/>
  </r>
  <r>
    <s v="TRX0226"/>
    <x v="145"/>
    <s v="CUST039"/>
    <x v="40"/>
    <s v="P002"/>
    <s v="Smartphone"/>
    <s v="Electronics"/>
    <n v="5"/>
    <n v="699.99"/>
    <s v="Debit Card"/>
    <s v="East"/>
    <s v="Premium"/>
    <d v="2023-08-23T00:00:00"/>
    <n v="3499.95"/>
    <s v="Mar"/>
    <n v="2025"/>
    <n v="940"/>
    <n v="45747"/>
    <d v="2026-03-20T21:53:00"/>
    <x v="1"/>
    <m/>
    <n v="6989.7699999999986"/>
  </r>
  <r>
    <s v="TRX0053"/>
    <x v="146"/>
    <s v="CUST043"/>
    <x v="11"/>
    <s v="P005"/>
    <s v="Blender"/>
    <s v="Appliances"/>
    <n v="5"/>
    <n v="59.99"/>
    <s v="Cash"/>
    <s v="West"/>
    <s v="Premium"/>
    <d v="2023-12-31T00:00:00"/>
    <n v="299.95"/>
    <s v="Mar"/>
    <n v="2025"/>
    <n v="810"/>
    <n v="45747"/>
    <d v="2026-03-20T21:53:00"/>
    <x v="0"/>
    <m/>
    <n v="479.91999999999996"/>
  </r>
  <r>
    <s v="TRX0233"/>
    <x v="147"/>
    <s v="CUST023"/>
    <x v="0"/>
    <s v="P010"/>
    <s v="Keyboard"/>
    <s v="Electronics"/>
    <n v="2"/>
    <n v="89.99"/>
    <s v="Credit Card"/>
    <s v="West"/>
    <s v="Premium"/>
    <d v="2024-01-04T00:00:00"/>
    <n v="179.98"/>
    <s v="Mar"/>
    <n v="2025"/>
    <n v="806"/>
    <n v="45747"/>
    <d v="2026-03-20T21:53:00"/>
    <x v="0"/>
    <m/>
    <n v="8309.739999999998"/>
  </r>
  <r>
    <s v="TRX0175"/>
    <x v="147"/>
    <s v="CUST030"/>
    <x v="22"/>
    <s v="P009"/>
    <s v="Monitor"/>
    <s v="Electronics"/>
    <n v="5"/>
    <n v="249.99"/>
    <s v="Cash"/>
    <s v="East"/>
    <s v="Standard"/>
    <d v="2021-12-10T00:00:00"/>
    <n v="1249.95"/>
    <s v="Mar"/>
    <n v="2025"/>
    <n v="1561"/>
    <n v="45747"/>
    <d v="2026-03-20T21:53:00"/>
    <x v="1"/>
    <m/>
    <n v="6459.79"/>
  </r>
  <r>
    <s v="TRX0186"/>
    <x v="148"/>
    <s v="CUST039"/>
    <x v="40"/>
    <s v="P008"/>
    <s v="Bookshelf"/>
    <s v="Furniture"/>
    <n v="2"/>
    <n v="149.99"/>
    <s v="PayPal"/>
    <s v="Central"/>
    <s v="Premium"/>
    <d v="2022-03-12T00:00:00"/>
    <n v="299.98"/>
    <s v="Mar"/>
    <n v="2025"/>
    <n v="1469"/>
    <n v="45747"/>
    <d v="2026-03-20T21:53:00"/>
    <x v="0"/>
    <m/>
    <n v="6989.7699999999986"/>
  </r>
  <r>
    <s v="TRX0016"/>
    <x v="148"/>
    <s v="CUST035"/>
    <x v="28"/>
    <s v="P001"/>
    <s v="Laptop"/>
    <s v="Electronics"/>
    <n v="5"/>
    <n v="899.99"/>
    <s v="PayPal"/>
    <s v="East"/>
    <s v="Premium"/>
    <d v="2024-04-07T00:00:00"/>
    <n v="4499.95"/>
    <s v="Mar"/>
    <n v="2025"/>
    <n v="712"/>
    <n v="45747"/>
    <d v="2026-03-20T21:53:00"/>
    <x v="1"/>
    <m/>
    <n v="5519.8899999999994"/>
  </r>
  <r>
    <s v="TRX0199"/>
    <x v="148"/>
    <s v="CUST017"/>
    <x v="6"/>
    <s v="P008"/>
    <s v="Bookshelf"/>
    <s v="Furniture"/>
    <n v="4"/>
    <n v="149.99"/>
    <s v="Cash"/>
    <s v="Central"/>
    <s v="Standard"/>
    <d v="2023-12-03T00:00:00"/>
    <n v="599.96"/>
    <s v="Mar"/>
    <n v="2025"/>
    <n v="838"/>
    <n v="45747"/>
    <d v="2026-03-20T21:53:00"/>
    <x v="0"/>
    <m/>
    <n v="5089.7300000000005"/>
  </r>
  <r>
    <s v="TRX0038"/>
    <x v="149"/>
    <s v="CUST035"/>
    <x v="28"/>
    <s v="P009"/>
    <s v="Monitor"/>
    <s v="Electronics"/>
    <n v="1"/>
    <n v="249.99"/>
    <s v="Cash"/>
    <s v="North"/>
    <s v="Standard"/>
    <d v="2023-07-10T00:00:00"/>
    <n v="249.99"/>
    <s v="Mar"/>
    <n v="2025"/>
    <n v="984"/>
    <n v="45747"/>
    <d v="2026-03-20T21:53:00"/>
    <x v="0"/>
    <m/>
    <n v="5519.8899999999994"/>
  </r>
  <r>
    <s v="TRX0014"/>
    <x v="150"/>
    <s v="CUST033"/>
    <x v="37"/>
    <s v="P005"/>
    <s v="Blender"/>
    <s v="Appliances"/>
    <n v="2"/>
    <n v="59.99"/>
    <s v="Credit Card"/>
    <s v="West"/>
    <s v="Basic"/>
    <d v="2023-09-24T00:00:00"/>
    <n v="119.98"/>
    <s v="Mar"/>
    <n v="2025"/>
    <n v="908"/>
    <n v="45747"/>
    <d v="2026-03-20T21:53:00"/>
    <x v="0"/>
    <m/>
    <n v="1479.91"/>
  </r>
  <r>
    <s v="TRX0003"/>
    <x v="151"/>
    <s v="CUST002"/>
    <x v="25"/>
    <s v="P008"/>
    <s v="Bookshelf"/>
    <s v="Furniture"/>
    <n v="2"/>
    <n v="149.99"/>
    <s v="Cash"/>
    <s v="West"/>
    <s v="Premium"/>
    <d v="2023-11-03T00:00:00"/>
    <n v="299.98"/>
    <s v="Mar"/>
    <n v="2025"/>
    <n v="868"/>
    <n v="45747"/>
    <d v="2026-03-20T21:53:00"/>
    <x v="0"/>
    <m/>
    <n v="1229.8800000000001"/>
  </r>
  <r>
    <s v="TRX0124"/>
    <x v="151"/>
    <s v="CUST040"/>
    <x v="30"/>
    <s v="P001"/>
    <s v="Laptop"/>
    <s v="Electronics"/>
    <n v="3"/>
    <n v="899.99"/>
    <s v="Debit Card"/>
    <s v="North"/>
    <s v="Premium"/>
    <d v="2022-11-11T00:00:00"/>
    <n v="2699.97"/>
    <s v="Mar"/>
    <n v="2025"/>
    <n v="1225"/>
    <n v="45747"/>
    <d v="2026-03-20T21:53:00"/>
    <x v="1"/>
    <m/>
    <n v="5619.869999999999"/>
  </r>
  <r>
    <s v="TRX0013"/>
    <x v="151"/>
    <s v="CUST024"/>
    <x v="5"/>
    <s v="P001"/>
    <s v="Laptop"/>
    <s v="Electronics"/>
    <n v="3"/>
    <n v="899.99"/>
    <s v="PayPal"/>
    <s v="North"/>
    <s v="Basic"/>
    <d v="2023-02-18T00:00:00"/>
    <n v="2699.97"/>
    <s v="Mar"/>
    <n v="2025"/>
    <n v="1126"/>
    <n v="45747"/>
    <d v="2026-03-20T21:53:00"/>
    <x v="1"/>
    <m/>
    <n v="8269.7900000000009"/>
  </r>
  <r>
    <s v="TRX0019"/>
    <x v="152"/>
    <s v="CUST023"/>
    <x v="0"/>
    <s v="P007"/>
    <s v="Desk"/>
    <s v="Furniture"/>
    <n v="3"/>
    <n v="299.99"/>
    <s v="Credit Card"/>
    <s v="West"/>
    <s v="Premium"/>
    <d v="2023-11-04T00:00:00"/>
    <n v="899.97"/>
    <s v="Mar"/>
    <n v="2025"/>
    <n v="867"/>
    <n v="45747"/>
    <d v="2026-03-20T21:53:00"/>
    <x v="0"/>
    <m/>
    <n v="8309.739999999998"/>
  </r>
  <r>
    <s v="TRX0050"/>
    <x v="153"/>
    <s v="CUST001"/>
    <x v="49"/>
    <s v="P008"/>
    <s v="Bookshelf"/>
    <s v="Furniture"/>
    <n v="4"/>
    <n v="149.99"/>
    <s v="PayPal"/>
    <s v="West"/>
    <s v="Standard"/>
    <d v="2021-12-30T00:00:00"/>
    <n v="599.96"/>
    <s v="Mar"/>
    <n v="2025"/>
    <n v="1541"/>
    <n v="45747"/>
    <d v="2026-03-20T21:53:00"/>
    <x v="0"/>
    <m/>
    <n v="599.96"/>
  </r>
  <r>
    <s v="TRX0152"/>
    <x v="154"/>
    <s v="CUST044"/>
    <x v="19"/>
    <s v="P004"/>
    <s v="Coffee Maker"/>
    <s v="Appliances"/>
    <n v="4"/>
    <n v="79.989999999999995"/>
    <s v="Credit Card"/>
    <s v="Central"/>
    <s v="Basic"/>
    <d v="2023-12-28T00:00:00"/>
    <n v="319.95999999999998"/>
    <s v="Mar"/>
    <n v="2025"/>
    <n v="813"/>
    <n v="45747"/>
    <d v="2026-03-20T21:53:00"/>
    <x v="0"/>
    <m/>
    <n v="3769.8300000000004"/>
  </r>
  <r>
    <s v="TRX0213"/>
    <x v="155"/>
    <s v="CUST020"/>
    <x v="36"/>
    <s v="P010"/>
    <s v="Keyboard"/>
    <s v="Electronics"/>
    <n v="5"/>
    <n v="89.99"/>
    <s v="PayPal"/>
    <s v="South"/>
    <s v="Basic"/>
    <d v="2022-05-23T00:00:00"/>
    <n v="449.95"/>
    <s v="Mar"/>
    <n v="2025"/>
    <n v="1397"/>
    <n v="45747"/>
    <d v="2026-03-20T21:53:00"/>
    <x v="0"/>
    <m/>
    <n v="2099.88"/>
  </r>
  <r>
    <s v="TRX0197"/>
    <x v="156"/>
    <s v="CUST048"/>
    <x v="16"/>
    <s v="P008"/>
    <s v="Bookshelf"/>
    <s v="Furniture"/>
    <n v="3"/>
    <n v="149.99"/>
    <s v="PayPal"/>
    <s v="Central"/>
    <s v="Standard"/>
    <d v="2023-09-02T00:00:00"/>
    <n v="449.97"/>
    <s v="Mar"/>
    <n v="2025"/>
    <n v="930"/>
    <n v="45747"/>
    <d v="2026-03-20T21:53:00"/>
    <x v="0"/>
    <m/>
    <n v="4789.7900000000009"/>
  </r>
  <r>
    <s v="TRX0250"/>
    <x v="156"/>
    <s v="CUST026"/>
    <x v="8"/>
    <s v="P010"/>
    <s v="Keyboard"/>
    <s v="Electronics"/>
    <n v="2"/>
    <n v="89.99"/>
    <s v="Debit Card"/>
    <s v="West"/>
    <s v="Premium"/>
    <d v="2021-11-22T00:00:00"/>
    <n v="179.98"/>
    <s v="Mar"/>
    <n v="2025"/>
    <n v="1579"/>
    <n v="45747"/>
    <d v="2026-03-20T21:53:00"/>
    <x v="0"/>
    <m/>
    <n v="8009.7699999999995"/>
  </r>
  <r>
    <s v="TRX0068"/>
    <x v="157"/>
    <s v="CUST044"/>
    <x v="19"/>
    <s v="P002"/>
    <s v="Smartphone"/>
    <s v="Electronics"/>
    <n v="2"/>
    <n v="699.99"/>
    <s v="PayPal"/>
    <s v="North"/>
    <s v="Standard"/>
    <d v="2022-02-26T00:00:00"/>
    <n v="1399.98"/>
    <s v="Apr"/>
    <n v="2025"/>
    <n v="1483"/>
    <n v="45777"/>
    <d v="2026-03-20T21:53:00"/>
    <x v="1"/>
    <m/>
    <n v="3769.8300000000004"/>
  </r>
  <r>
    <s v="TRX0144"/>
    <x v="158"/>
    <s v="CUST029"/>
    <x v="23"/>
    <s v="P001"/>
    <s v="Laptop"/>
    <s v="Electronics"/>
    <n v="3"/>
    <n v="899.99"/>
    <s v="Cash"/>
    <s v="Central"/>
    <s v="Standard"/>
    <d v="2023-01-27T00:00:00"/>
    <n v="2699.97"/>
    <s v="Apr"/>
    <n v="2025"/>
    <n v="1148"/>
    <n v="45777"/>
    <d v="2026-03-20T21:53:00"/>
    <x v="1"/>
    <m/>
    <n v="11919.769999999999"/>
  </r>
  <r>
    <s v="TRX0039"/>
    <x v="159"/>
    <s v="CUST048"/>
    <x v="16"/>
    <s v="P004"/>
    <s v="Coffee Maker"/>
    <s v="Appliances"/>
    <n v="3"/>
    <n v="79.989999999999995"/>
    <s v="Credit Card"/>
    <s v="North"/>
    <s v="Basic"/>
    <d v="2021-11-11T00:00:00"/>
    <n v="239.97"/>
    <s v="Apr"/>
    <n v="2025"/>
    <n v="1590"/>
    <n v="45777"/>
    <d v="2026-03-20T21:53:00"/>
    <x v="0"/>
    <m/>
    <n v="4789.7900000000009"/>
  </r>
  <r>
    <s v="TRX0116"/>
    <x v="160"/>
    <s v="CUST009"/>
    <x v="7"/>
    <s v="P010"/>
    <s v="Keyboard"/>
    <s v="Electronics"/>
    <n v="1"/>
    <n v="89.99"/>
    <s v="Debit Card"/>
    <s v="East"/>
    <s v="Basic"/>
    <d v="2024-02-24T00:00:00"/>
    <n v="89.99"/>
    <s v="Apr"/>
    <n v="2025"/>
    <n v="755"/>
    <n v="45777"/>
    <d v="2026-03-20T21:53:00"/>
    <x v="0"/>
    <m/>
    <n v="3509.8999999999996"/>
  </r>
  <r>
    <s v="TRX0120"/>
    <x v="161"/>
    <s v="CUST045"/>
    <x v="46"/>
    <s v="P002"/>
    <s v="Smartphone"/>
    <s v="Electronics"/>
    <n v="3"/>
    <n v="699.99"/>
    <s v="PayPal"/>
    <s v="North"/>
    <s v="Basic"/>
    <d v="2022-12-14T00:00:00"/>
    <n v="2099.9699999999998"/>
    <s v="Apr"/>
    <n v="2025"/>
    <n v="1192"/>
    <n v="45777"/>
    <d v="2026-03-20T21:53:00"/>
    <x v="1"/>
    <m/>
    <n v="4829.8899999999994"/>
  </r>
  <r>
    <s v="TRX0103"/>
    <x v="161"/>
    <s v="CUST039"/>
    <x v="40"/>
    <s v="P010"/>
    <s v="Keyboard"/>
    <s v="Electronics"/>
    <n v="2"/>
    <n v="89.99"/>
    <s v="Debit Card"/>
    <s v="East"/>
    <s v="Basic"/>
    <d v="2023-06-11T00:00:00"/>
    <n v="179.98"/>
    <s v="Apr"/>
    <n v="2025"/>
    <n v="1013"/>
    <n v="45777"/>
    <d v="2026-03-20T21:53:00"/>
    <x v="0"/>
    <m/>
    <n v="6989.7699999999986"/>
  </r>
  <r>
    <s v="TRX0064"/>
    <x v="161"/>
    <s v="CUST031"/>
    <x v="26"/>
    <s v="P010"/>
    <s v="Keyboard"/>
    <s v="Electronics"/>
    <n v="3"/>
    <n v="89.99"/>
    <s v="Debit Card"/>
    <s v="North"/>
    <s v="Premium"/>
    <d v="2022-11-13T00:00:00"/>
    <n v="269.97000000000003"/>
    <s v="Apr"/>
    <n v="2025"/>
    <n v="1223"/>
    <n v="45777"/>
    <d v="2026-03-20T21:53:00"/>
    <x v="0"/>
    <m/>
    <n v="2649.83"/>
  </r>
  <r>
    <m/>
    <x v="162"/>
    <m/>
    <x v="50"/>
    <m/>
    <m/>
    <m/>
    <m/>
    <m/>
    <m/>
    <m/>
    <m/>
    <m/>
    <m/>
    <m/>
    <m/>
    <m/>
    <m/>
    <m/>
    <x v="2"/>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x v="0"/>
    <d v="2021-08-17T00:00:00"/>
    <n v="749.97"/>
    <s v="Apr"/>
    <n v="2024"/>
    <n v="1676"/>
    <x v="0"/>
    <d v="2026-03-20T22:34:02"/>
    <s v="Low Sale"/>
    <s v="Paul Baker"/>
    <n v="8309.739999999998"/>
  </r>
  <r>
    <s v="TRX0023"/>
    <d v="2024-04-14T00:00:00"/>
    <s v="CUST013"/>
    <s v="Joseph Jackson"/>
    <s v="P009"/>
    <x v="0"/>
    <s v="Electronics"/>
    <n v="3"/>
    <n v="249.99"/>
    <s v="Credit Card"/>
    <x v="0"/>
    <x v="1"/>
    <d v="2022-01-14T00:00:00"/>
    <n v="749.97"/>
    <s v="Apr"/>
    <n v="2024"/>
    <n v="1526"/>
    <x v="0"/>
    <d v="2026-03-20T22:34:02"/>
    <s v="Low Sale"/>
    <s v="Joseph Jackson"/>
    <n v="6949.84"/>
  </r>
  <r>
    <s v="TRX0139"/>
    <d v="2024-04-17T00:00:00"/>
    <s v="CUST021"/>
    <s v="Kevin Scott"/>
    <s v="P005"/>
    <x v="1"/>
    <s v="Appliances"/>
    <n v="3"/>
    <n v="59.99"/>
    <s v="PayPal"/>
    <x v="1"/>
    <x v="2"/>
    <d v="2023-12-02T00:00:00"/>
    <n v="179.97"/>
    <s v="Apr"/>
    <n v="2024"/>
    <n v="839"/>
    <x v="0"/>
    <d v="2026-03-20T22:34:02"/>
    <s v="Low Sale"/>
    <s v="Kevin Scott"/>
    <n v="3259.87"/>
  </r>
  <r>
    <s v="TRX0043"/>
    <d v="2024-04-18T00:00:00"/>
    <s v="CUST046"/>
    <s v="Kathleen Bennett"/>
    <s v="P005"/>
    <x v="1"/>
    <s v="Appliances"/>
    <n v="3"/>
    <n v="59.99"/>
    <s v="Cash"/>
    <x v="2"/>
    <x v="1"/>
    <d v="2023-07-07T00:00:00"/>
    <n v="179.97"/>
    <s v="Apr"/>
    <n v="2024"/>
    <n v="987"/>
    <x v="0"/>
    <d v="2026-03-20T22:34:02"/>
    <s v="Low Sale"/>
    <s v="Kathleen Bennett"/>
    <n v="4309.8099999999995"/>
  </r>
  <r>
    <s v="TRX0212"/>
    <d v="2024-04-18T00:00:00"/>
    <s v="CUST003"/>
    <s v="Michael Brown"/>
    <s v="P008"/>
    <x v="2"/>
    <s v="Furniture"/>
    <n v="5"/>
    <n v="149.99"/>
    <s v="Credit Card"/>
    <x v="2"/>
    <x v="1"/>
    <d v="2024-01-04T00:00:00"/>
    <n v="749.95"/>
    <s v="Apr"/>
    <n v="2024"/>
    <n v="806"/>
    <x v="0"/>
    <d v="2026-03-20T22:34:02"/>
    <s v="Low Sale"/>
    <s v="Michael Brown"/>
    <n v="6169.7400000000007"/>
  </r>
  <r>
    <s v="TRX0092"/>
    <d v="2024-04-21T00:00:00"/>
    <s v="CUST024"/>
    <s v="Dorothy Nelson"/>
    <s v="P005"/>
    <x v="1"/>
    <s v="Appliances"/>
    <n v="2"/>
    <n v="59.99"/>
    <s v="Cash"/>
    <x v="3"/>
    <x v="2"/>
    <d v="2022-07-04T00:00:00"/>
    <n v="119.98"/>
    <s v="Apr"/>
    <n v="2024"/>
    <n v="1355"/>
    <x v="0"/>
    <d v="2026-03-20T22:34:02"/>
    <s v="Low Sale"/>
    <s v="Dorothy Nelson"/>
    <n v="8269.7900000000009"/>
  </r>
  <r>
    <s v="TRX0193"/>
    <d v="2024-04-21T00:00:00"/>
    <s v="CUST024"/>
    <s v="Dorothy Nelson"/>
    <s v="P003"/>
    <x v="3"/>
    <s v="Electronics"/>
    <n v="5"/>
    <n v="149.99"/>
    <s v="Credit Card"/>
    <x v="0"/>
    <x v="2"/>
    <d v="2021-08-10T00:00:00"/>
    <n v="749.95"/>
    <s v="Apr"/>
    <n v="2024"/>
    <n v="1683"/>
    <x v="0"/>
    <d v="2026-03-20T22:34:02"/>
    <s v="Low Sale"/>
    <s v="Charles Allen"/>
    <n v="8269.7900000000009"/>
  </r>
  <r>
    <s v="TRX0240"/>
    <d v="2024-04-21T00:00:00"/>
    <s v="CUST017"/>
    <s v="Charles Allen"/>
    <s v="P005"/>
    <x v="1"/>
    <s v="Appliances"/>
    <n v="3"/>
    <n v="59.99"/>
    <s v="Debit Card"/>
    <x v="1"/>
    <x v="0"/>
    <d v="2023-03-22T00:00:00"/>
    <n v="179.97"/>
    <s v="Apr"/>
    <n v="2024"/>
    <n v="1094"/>
    <x v="0"/>
    <d v="2026-03-20T22:34:02"/>
    <s v="Low Sale"/>
    <s v="Robert Thomas"/>
    <n v="5089.7300000000005"/>
  </r>
  <r>
    <s v="TRX0135"/>
    <d v="2024-04-23T00:00:00"/>
    <s v="CUST009"/>
    <s v="Robert Thomas"/>
    <s v="P001"/>
    <x v="4"/>
    <s v="Electronics"/>
    <n v="3"/>
    <n v="899.99"/>
    <s v="PayPal"/>
    <x v="4"/>
    <x v="2"/>
    <d v="2024-01-08T00:00:00"/>
    <n v="2699.97"/>
    <s v="Apr"/>
    <n v="2024"/>
    <n v="802"/>
    <x v="0"/>
    <d v="2026-03-20T22:34:02"/>
    <s v="High Sale"/>
    <s v="Karen Hill"/>
    <n v="3509.8999999999996"/>
  </r>
  <r>
    <s v="TRX0185"/>
    <d v="2024-04-26T00:00:00"/>
    <s v="CUST026"/>
    <s v="Karen Hill"/>
    <s v="P005"/>
    <x v="1"/>
    <s v="Appliances"/>
    <n v="3"/>
    <n v="59.99"/>
    <s v="Cash"/>
    <x v="3"/>
    <x v="1"/>
    <d v="2023-10-08T00:00:00"/>
    <n v="179.97"/>
    <s v="Apr"/>
    <n v="2024"/>
    <n v="894"/>
    <x v="0"/>
    <d v="2026-03-20T22:34:02"/>
    <s v="Low Sale"/>
    <s v="Susan Green"/>
    <n v="8009.7699999999995"/>
  </r>
  <r>
    <s v="TRX0138"/>
    <d v="2024-04-26T00:00:00"/>
    <s v="CUST022"/>
    <s v="Susan Green"/>
    <s v="P008"/>
    <x v="2"/>
    <s v="Furniture"/>
    <n v="1"/>
    <n v="149.99"/>
    <s v="Credit Card"/>
    <x v="3"/>
    <x v="2"/>
    <d v="2023-06-26T00:00:00"/>
    <n v="149.99"/>
    <s v="Apr"/>
    <n v="2024"/>
    <n v="998"/>
    <x v="0"/>
    <d v="2026-03-20T22:34:02"/>
    <s v="Low Sale"/>
    <s v="Peter Richardson"/>
    <n v="1979.89"/>
  </r>
  <r>
    <s v="TRX0209"/>
    <d v="2024-04-26T00:00:00"/>
    <s v="CUST046"/>
    <s v="Kathleen Bennett"/>
    <s v="P008"/>
    <x v="2"/>
    <s v="Furniture"/>
    <n v="5"/>
    <n v="149.99"/>
    <s v="Debit Card"/>
    <x v="2"/>
    <x v="0"/>
    <d v="2022-09-26T00:00:00"/>
    <n v="749.95"/>
    <s v="Apr"/>
    <n v="2024"/>
    <n v="1271"/>
    <x v="0"/>
    <d v="2026-03-20T22:34:02"/>
    <s v="Low Sale"/>
    <s v="Dennis Gray"/>
    <n v="4309.8099999999995"/>
  </r>
  <r>
    <s v="TRX0246"/>
    <d v="2024-04-26T00:00:00"/>
    <s v="CUST041"/>
    <s v="Peter Richardson"/>
    <s v="P008"/>
    <x v="2"/>
    <s v="Furniture"/>
    <n v="3"/>
    <n v="149.99"/>
    <s v="Cash"/>
    <x v="2"/>
    <x v="1"/>
    <d v="2022-09-02T00:00:00"/>
    <n v="449.97"/>
    <s v="Apr"/>
    <n v="2024"/>
    <n v="1295"/>
    <x v="0"/>
    <d v="2026-03-20T22:34:02"/>
    <s v="Low Sale"/>
    <s v="Michelle Rogers"/>
    <n v="5949.85"/>
  </r>
  <r>
    <s v="TRX0067"/>
    <d v="2024-04-27T00:00:00"/>
    <s v="CUST043"/>
    <s v="Dennis Gray"/>
    <s v="P005"/>
    <x v="1"/>
    <s v="Appliances"/>
    <n v="3"/>
    <n v="59.99"/>
    <s v="Credit Card"/>
    <x v="2"/>
    <x v="2"/>
    <d v="2024-02-29T00:00:00"/>
    <n v="179.97"/>
    <s v="Apr"/>
    <n v="2024"/>
    <n v="750"/>
    <x v="0"/>
    <d v="2026-03-20T22:34:02"/>
    <s v="Low Sale"/>
    <s v="George Adams"/>
    <n v="479.91999999999996"/>
  </r>
  <r>
    <s v="TRX0191"/>
    <d v="2024-04-27T00:00:00"/>
    <s v="CUST038"/>
    <s v="Michelle Rogers"/>
    <s v="P002"/>
    <x v="5"/>
    <s v="Electronics"/>
    <n v="3"/>
    <n v="699.99"/>
    <s v="Credit Card"/>
    <x v="3"/>
    <x v="0"/>
    <d v="2022-01-16T00:00:00"/>
    <n v="2099.9699999999998"/>
    <s v="Apr"/>
    <n v="2024"/>
    <n v="1524"/>
    <x v="0"/>
    <d v="2026-03-20T22:34:02"/>
    <s v="High Sale"/>
    <s v="Mark Carter"/>
    <n v="4199.9399999999996"/>
  </r>
  <r>
    <s v="TRX0230"/>
    <d v="2024-04-27T00:00:00"/>
    <s v="CUST027"/>
    <s v="George Adams"/>
    <s v="P001"/>
    <x v="4"/>
    <s v="Electronics"/>
    <n v="1"/>
    <n v="899.99"/>
    <s v="Debit Card"/>
    <x v="2"/>
    <x v="2"/>
    <d v="2022-12-25T00:00:00"/>
    <n v="899.99"/>
    <s v="Apr"/>
    <n v="2024"/>
    <n v="1181"/>
    <x v="0"/>
    <d v="2026-03-20T22:34:02"/>
    <s v="Low Sale"/>
    <s v="Maria Garcia"/>
    <n v="3779.93"/>
  </r>
  <r>
    <s v="TRX0049"/>
    <d v="2024-04-28T00:00:00"/>
    <s v="CUST025"/>
    <s v="Mark Carter"/>
    <s v="P008"/>
    <x v="2"/>
    <s v="Furniture"/>
    <n v="4"/>
    <n v="149.99"/>
    <s v="Debit Card"/>
    <x v="2"/>
    <x v="1"/>
    <d v="2024-03-23T00:00:00"/>
    <n v="599.96"/>
    <s v="Apr"/>
    <n v="2024"/>
    <n v="727"/>
    <x v="0"/>
    <d v="2026-03-20T22:34:02"/>
    <s v="Low Sale"/>
    <s v="Virginia Sanders"/>
    <n v="15659.65"/>
  </r>
  <r>
    <s v="TRX0134"/>
    <d v="2024-04-28T00:00:00"/>
    <s v="CUST010"/>
    <s v="Maria Garcia"/>
    <s v="P002"/>
    <x v="5"/>
    <s v="Electronics"/>
    <n v="2"/>
    <n v="699.99"/>
    <s v="Cash"/>
    <x v="2"/>
    <x v="0"/>
    <d v="2022-08-08T00:00:00"/>
    <n v="1399.98"/>
    <s v="Apr"/>
    <n v="2024"/>
    <n v="1320"/>
    <x v="0"/>
    <d v="2026-03-20T22:34:02"/>
    <s v="High Sale"/>
    <s v="Barbara Young"/>
    <n v="1909.93"/>
  </r>
  <r>
    <s v="TRX0122"/>
    <d v="2024-04-28T00:00:00"/>
    <s v="CUST025"/>
    <s v="Mark Carter"/>
    <s v="P001"/>
    <x v="4"/>
    <s v="Electronics"/>
    <n v="4"/>
    <n v="899.99"/>
    <s v="Credit Card"/>
    <x v="3"/>
    <x v="2"/>
    <d v="2024-02-05T00:00:00"/>
    <n v="3599.96"/>
    <s v="Apr"/>
    <n v="2024"/>
    <n v="774"/>
    <x v="0"/>
    <d v="2026-03-20T22:34:02"/>
    <s v="High Sale"/>
    <s v="Patricia Moore"/>
    <n v="15659.65"/>
  </r>
  <r>
    <s v="TRX0222"/>
    <d v="2024-04-28T00:00:00"/>
    <s v="CUST048"/>
    <s v="Virginia Sanders"/>
    <s v="P009"/>
    <x v="0"/>
    <s v="Electronics"/>
    <n v="3"/>
    <n v="249.99"/>
    <s v="Credit Card"/>
    <x v="2"/>
    <x v="1"/>
    <d v="2023-10-25T00:00:00"/>
    <n v="749.97"/>
    <s v="Apr"/>
    <n v="2024"/>
    <n v="877"/>
    <x v="0"/>
    <d v="2026-03-20T22:34:02"/>
    <s v="Low Sale"/>
    <s v="Cynthia Price"/>
    <n v="4789.7900000000009"/>
  </r>
  <r>
    <s v="TRX0231"/>
    <d v="2024-04-30T00:00:00"/>
    <s v="CUST018"/>
    <s v="Barbara Young"/>
    <s v="P002"/>
    <x v="5"/>
    <s v="Electronics"/>
    <n v="5"/>
    <n v="699.99"/>
    <s v="Cash"/>
    <x v="3"/>
    <x v="0"/>
    <d v="2023-08-29T00:00:00"/>
    <n v="3499.95"/>
    <s v="Apr"/>
    <n v="2024"/>
    <n v="934"/>
    <x v="0"/>
    <d v="2026-03-20T22:34:02"/>
    <s v="High Sale"/>
    <s v="Nancy Collins"/>
    <n v="10649.8"/>
  </r>
  <r>
    <s v="TRX0239"/>
    <d v="2024-05-01T00:00:00"/>
    <s v="CUST012"/>
    <s v="Patricia Moore"/>
    <s v="P002"/>
    <x v="5"/>
    <s v="Electronics"/>
    <n v="4"/>
    <n v="699.99"/>
    <s v="Cash"/>
    <x v="4"/>
    <x v="2"/>
    <d v="2021-08-01T00:00:00"/>
    <n v="2799.96"/>
    <s v="May"/>
    <n v="2024"/>
    <n v="1692"/>
    <x v="1"/>
    <d v="2026-03-20T22:34:02"/>
    <s v="High Sale"/>
    <s v="Linda Martin"/>
    <n v="9799.73"/>
  </r>
  <r>
    <s v="TRX0204"/>
    <d v="2024-05-03T00:00:00"/>
    <s v="CUST044"/>
    <s v="Cynthia Price"/>
    <s v="P009"/>
    <x v="0"/>
    <s v="Electronics"/>
    <n v="4"/>
    <n v="249.99"/>
    <s v="PayPal"/>
    <x v="2"/>
    <x v="2"/>
    <d v="2021-09-29T00:00:00"/>
    <n v="999.96"/>
    <s v="May"/>
    <n v="2024"/>
    <n v="1633"/>
    <x v="1"/>
    <d v="2026-03-20T22:34:02"/>
    <s v="Low Sale"/>
    <s v="Helen Roberts"/>
    <n v="3769.8300000000004"/>
  </r>
  <r>
    <s v="TRX0242"/>
    <d v="2024-05-04T00:00:00"/>
    <s v="CUST025"/>
    <s v="Mark Carter"/>
    <s v="P007"/>
    <x v="6"/>
    <s v="Furniture"/>
    <n v="4"/>
    <n v="299.99"/>
    <s v="Cash"/>
    <x v="3"/>
    <x v="1"/>
    <d v="2022-06-04T00:00:00"/>
    <n v="1199.96"/>
    <s v="May"/>
    <n v="2024"/>
    <n v="1385"/>
    <x v="1"/>
    <d v="2026-03-20T22:34:02"/>
    <s v="High Sale"/>
    <s v="Edward Mitchell"/>
    <n v="15659.65"/>
  </r>
  <r>
    <s v="TRX0071"/>
    <d v="2024-05-10T00:00:00"/>
    <s v="CUST036"/>
    <s v="Nancy Collins"/>
    <s v="P009"/>
    <x v="0"/>
    <s v="Electronics"/>
    <n v="5"/>
    <n v="249.99"/>
    <s v="Credit Card"/>
    <x v="3"/>
    <x v="2"/>
    <d v="2021-11-25T00:00:00"/>
    <n v="1249.95"/>
    <s v="May"/>
    <n v="2024"/>
    <n v="1576"/>
    <x v="1"/>
    <d v="2026-03-20T22:34:02"/>
    <s v="High Sale"/>
    <s v="Lisa Anderson"/>
    <n v="4189.7700000000004"/>
  </r>
  <r>
    <s v="TRX0040"/>
    <d v="2024-05-12T00:00:00"/>
    <s v="CUST022"/>
    <s v="Susan Green"/>
    <s v="P007"/>
    <x v="6"/>
    <s v="Furniture"/>
    <n v="5"/>
    <n v="299.99"/>
    <s v="PayPal"/>
    <x v="4"/>
    <x v="0"/>
    <d v="2023-08-30T00:00:00"/>
    <n v="1499.95"/>
    <s v="May"/>
    <n v="2024"/>
    <n v="933"/>
    <x v="1"/>
    <d v="2026-03-20T22:34:02"/>
    <s v="High Sale"/>
    <s v="Emma Wilson"/>
    <n v="1979.89"/>
  </r>
  <r>
    <s v="TRX0235"/>
    <d v="2024-05-12T00:00:00"/>
    <s v="CUST014"/>
    <s v="Linda Martin"/>
    <s v="P004"/>
    <x v="7"/>
    <s v="Appliances"/>
    <n v="3"/>
    <n v="79.989999999999995"/>
    <s v="PayPal"/>
    <x v="4"/>
    <x v="1"/>
    <d v="2023-03-27T00:00:00"/>
    <n v="239.97"/>
    <s v="May"/>
    <n v="2024"/>
    <n v="1089"/>
    <x v="1"/>
    <d v="2026-03-20T22:34:02"/>
    <s v="Low Sale"/>
    <s v="Steven Turner"/>
    <n v="1289.9000000000001"/>
  </r>
  <r>
    <s v="TRX0004"/>
    <d v="2024-05-12T00:00:00"/>
    <s v="CUST012"/>
    <s v="Patricia Moore"/>
    <s v="P010"/>
    <x v="8"/>
    <s v="Electronics"/>
    <n v="5"/>
    <n v="89.99"/>
    <s v="Cash"/>
    <x v="2"/>
    <x v="1"/>
    <d v="2022-12-24T00:00:00"/>
    <n v="449.95"/>
    <s v="May"/>
    <n v="2024"/>
    <n v="1182"/>
    <x v="1"/>
    <d v="2026-03-20T22:34:02"/>
    <s v="Low Sale"/>
    <s v="Jennifer Taylor"/>
    <n v="9799.73"/>
  </r>
  <r>
    <s v="TRX0063"/>
    <d v="2024-05-13T00:00:00"/>
    <s v="CUST030"/>
    <s v="Helen Roberts"/>
    <s v="P005"/>
    <x v="1"/>
    <s v="Appliances"/>
    <n v="2"/>
    <n v="59.99"/>
    <s v="Debit Card"/>
    <x v="0"/>
    <x v="2"/>
    <d v="2023-10-15T00:00:00"/>
    <n v="119.98"/>
    <s v="May"/>
    <n v="2024"/>
    <n v="887"/>
    <x v="1"/>
    <d v="2026-03-20T22:34:02"/>
    <s v="Low Sale"/>
    <s v="Harry Morgan"/>
    <n v="6459.79"/>
  </r>
  <r>
    <s v="TRX0241"/>
    <d v="2024-05-15T00:00:00"/>
    <s v="CUST029"/>
    <s v="Edward Mitchell"/>
    <s v="P005"/>
    <x v="1"/>
    <s v="Appliances"/>
    <n v="4"/>
    <n v="59.99"/>
    <s v="Debit Card"/>
    <x v="4"/>
    <x v="2"/>
    <d v="2022-11-02T00:00:00"/>
    <n v="239.96"/>
    <s v="May"/>
    <n v="2024"/>
    <n v="1234"/>
    <x v="1"/>
    <d v="2026-03-20T22:34:02"/>
    <s v="Low Sale"/>
    <s v="Daniel King"/>
    <n v="11919.769999999999"/>
  </r>
  <r>
    <s v="TRX0029"/>
    <d v="2024-05-15T00:00:00"/>
    <s v="CUST017"/>
    <s v="Charles Allen"/>
    <s v="P006"/>
    <x v="9"/>
    <s v="Furniture"/>
    <n v="5"/>
    <n v="199.99"/>
    <s v="Cash"/>
    <x v="1"/>
    <x v="2"/>
    <d v="2021-08-04T00:00:00"/>
    <n v="999.95"/>
    <s v="May"/>
    <n v="2024"/>
    <n v="1689"/>
    <x v="1"/>
    <d v="2026-03-20T22:34:02"/>
    <s v="Low Sale"/>
    <s v="Sharon Butler"/>
    <n v="5089.7300000000005"/>
  </r>
  <r>
    <s v="TRX0194"/>
    <d v="2024-05-16T00:00:00"/>
    <s v="CUST006"/>
    <s v="Lisa Anderson"/>
    <s v="P008"/>
    <x v="2"/>
    <s v="Furniture"/>
    <n v="2"/>
    <n v="149.99"/>
    <s v="Credit Card"/>
    <x v="3"/>
    <x v="0"/>
    <d v="2022-09-19T00:00:00"/>
    <n v="299.98"/>
    <s v="May"/>
    <n v="2024"/>
    <n v="1278"/>
    <x v="1"/>
    <d v="2026-03-20T22:34:02"/>
    <s v="Low Sale"/>
    <s v="Sarah Davis"/>
    <n v="2039.8000000000002"/>
  </r>
  <r>
    <s v="TRX0130"/>
    <d v="2024-05-18T00:00:00"/>
    <s v="CUST002"/>
    <s v="Emma Wilson"/>
    <s v="P008"/>
    <x v="2"/>
    <s v="Furniture"/>
    <n v="3"/>
    <n v="149.99"/>
    <s v="Credit Card"/>
    <x v="3"/>
    <x v="1"/>
    <d v="2023-05-22T00:00:00"/>
    <n v="449.97"/>
    <s v="May"/>
    <n v="2024"/>
    <n v="1033"/>
    <x v="1"/>
    <d v="2026-03-20T22:34:02"/>
    <s v="Low Sale"/>
    <s v="Betty Campbell"/>
    <n v="1229.8800000000001"/>
  </r>
  <r>
    <s v="TRX0041"/>
    <d v="2024-05-20T00:00:00"/>
    <s v="CUST021"/>
    <s v="Kevin Scott"/>
    <s v="P001"/>
    <x v="4"/>
    <s v="Electronics"/>
    <n v="1"/>
    <n v="899.99"/>
    <s v="Credit Card"/>
    <x v="3"/>
    <x v="1"/>
    <d v="2022-01-17T00:00:00"/>
    <n v="899.99"/>
    <s v="May"/>
    <n v="2024"/>
    <n v="1523"/>
    <x v="1"/>
    <d v="2026-03-20T22:34:02"/>
    <s v="Low Sale"/>
    <s v="Julie Foster"/>
    <n v="3259.87"/>
  </r>
  <r>
    <s v="TRX0232"/>
    <d v="2024-05-22T00:00:00"/>
    <s v="CUST012"/>
    <s v="Patricia Moore"/>
    <s v="P007"/>
    <x v="6"/>
    <s v="Furniture"/>
    <n v="3"/>
    <n v="299.99"/>
    <s v="Credit Card"/>
    <x v="4"/>
    <x v="0"/>
    <d v="2022-09-20T00:00:00"/>
    <n v="899.97"/>
    <s v="May"/>
    <n v="2024"/>
    <n v="1277"/>
    <x v="1"/>
    <d v="2026-03-20T22:34:02"/>
    <s v="Low Sale"/>
    <s v="Raymond Ross"/>
    <n v="9799.73"/>
  </r>
  <r>
    <s v="TRX0021"/>
    <d v="2024-05-23T00:00:00"/>
    <s v="CUST006"/>
    <s v="Lisa Anderson"/>
    <s v="P004"/>
    <x v="7"/>
    <s v="Appliances"/>
    <n v="3"/>
    <n v="79.989999999999995"/>
    <s v="Cash"/>
    <x v="1"/>
    <x v="0"/>
    <d v="2023-04-30T00:00:00"/>
    <n v="239.97"/>
    <s v="May"/>
    <n v="2024"/>
    <n v="1055"/>
    <x v="1"/>
    <d v="2026-03-20T22:34:02"/>
    <s v="Low Sale"/>
    <s v="David Martinez"/>
    <n v="2039.8000000000002"/>
  </r>
  <r>
    <s v="TRX0245"/>
    <d v="2024-05-26T00:00:00"/>
    <s v="CUST031"/>
    <s v="Steven Turner"/>
    <s v="P006"/>
    <x v="9"/>
    <s v="Furniture"/>
    <n v="3"/>
    <n v="199.99"/>
    <s v="Credit Card"/>
    <x v="2"/>
    <x v="1"/>
    <d v="2024-01-01T00:00:00"/>
    <n v="599.97"/>
    <s v="May"/>
    <n v="2024"/>
    <n v="809"/>
    <x v="1"/>
    <d v="2026-03-20T22:34:02"/>
    <s v="Low Sale"/>
    <s v="Margaret Wright"/>
    <n v="2649.83"/>
  </r>
  <r>
    <s v="TRX0015"/>
    <d v="2024-05-28T00:00:00"/>
    <s v="CUST008"/>
    <s v="Jennifer Taylor"/>
    <s v="P002"/>
    <x v="5"/>
    <s v="Electronics"/>
    <n v="5"/>
    <n v="699.99"/>
    <s v="PayPal"/>
    <x v="3"/>
    <x v="2"/>
    <d v="2021-07-30T00:00:00"/>
    <n v="3499.95"/>
    <s v="May"/>
    <n v="2024"/>
    <n v="1694"/>
    <x v="1"/>
    <d v="2026-03-20T22:34:02"/>
    <s v="High Sale"/>
    <s v="Frank Torres"/>
    <n v="4739.8500000000004"/>
  </r>
  <r>
    <s v="TRX0202"/>
    <d v="2024-05-29T00:00:00"/>
    <s v="CUST035"/>
    <s v="Harry Morgan"/>
    <s v="P010"/>
    <x v="8"/>
    <s v="Electronics"/>
    <n v="3"/>
    <n v="89.99"/>
    <s v="PayPal"/>
    <x v="0"/>
    <x v="1"/>
    <d v="2023-07-13T00:00:00"/>
    <n v="269.97000000000003"/>
    <s v="May"/>
    <n v="2024"/>
    <n v="981"/>
    <x v="1"/>
    <d v="2026-03-20T22:34:02"/>
    <s v="Low Sale"/>
    <s v="Gerald Murphy"/>
    <n v="5519.8899999999994"/>
  </r>
  <r>
    <s v="TRX0042"/>
    <d v="2024-05-31T00:00:00"/>
    <s v="CUST019"/>
    <s v="Daniel King"/>
    <s v="P004"/>
    <x v="7"/>
    <s v="Appliances"/>
    <n v="1"/>
    <n v="79.989999999999995"/>
    <s v="Cash"/>
    <x v="2"/>
    <x v="2"/>
    <d v="2022-12-22T00:00:00"/>
    <n v="79.989999999999995"/>
    <s v="May"/>
    <n v="2024"/>
    <n v="1184"/>
    <x v="1"/>
    <d v="2026-03-20T22:34:02"/>
    <s v="Low Sale"/>
    <s v="Elizabeth Hall"/>
    <n v="7309.7999999999993"/>
  </r>
  <r>
    <s v="TRX0128"/>
    <d v="2024-06-01T00:00:00"/>
    <s v="CUST040"/>
    <s v="Sharon Butler"/>
    <s v="P005"/>
    <x v="1"/>
    <s v="Appliances"/>
    <n v="2"/>
    <n v="59.99"/>
    <s v="Cash"/>
    <x v="3"/>
    <x v="0"/>
    <d v="2024-04-08T00:00:00"/>
    <n v="119.98"/>
    <s v="Jun"/>
    <n v="2024"/>
    <n v="711"/>
    <x v="2"/>
    <d v="2026-03-20T22:34:02"/>
    <s v="Low Sale"/>
    <s v="Lawrence Reed"/>
    <n v="5619.869999999999"/>
  </r>
  <r>
    <s v="TRX0117"/>
    <d v="2024-06-01T00:00:00"/>
    <s v="CUST017"/>
    <s v="Charles Allen"/>
    <s v="P010"/>
    <x v="8"/>
    <s v="Electronics"/>
    <n v="1"/>
    <n v="89.99"/>
    <s v="Cash"/>
    <x v="2"/>
    <x v="0"/>
    <d v="2023-08-03T00:00:00"/>
    <n v="89.99"/>
    <s v="Jun"/>
    <n v="2024"/>
    <n v="960"/>
    <x v="2"/>
    <d v="2026-03-20T22:34:02"/>
    <s v="Low Sale"/>
    <s v="Carol Evans"/>
    <n v="5089.7300000000005"/>
  </r>
  <r>
    <s v="TRX0208"/>
    <d v="2024-06-03T00:00:00"/>
    <s v="CUST004"/>
    <s v="Sarah Davis"/>
    <s v="P010"/>
    <x v="8"/>
    <s v="Electronics"/>
    <n v="5"/>
    <n v="89.99"/>
    <s v="Credit Card"/>
    <x v="4"/>
    <x v="2"/>
    <d v="2022-01-26T00:00:00"/>
    <n v="449.95"/>
    <s v="Jun"/>
    <n v="2024"/>
    <n v="1514"/>
    <x v="2"/>
    <d v="2026-03-20T22:34:02"/>
    <s v="Low Sale"/>
    <s v="Sandra Phillips"/>
    <n v="5499.8099999999995"/>
  </r>
  <r>
    <s v="TRX0234"/>
    <d v="2024-06-06T00:00:00"/>
    <s v="CUST013"/>
    <s v="Joseph Jackson"/>
    <s v="P009"/>
    <x v="0"/>
    <s v="Electronics"/>
    <n v="5"/>
    <n v="249.99"/>
    <s v="Credit Card"/>
    <x v="4"/>
    <x v="2"/>
    <d v="2022-05-26T00:00:00"/>
    <n v="1249.95"/>
    <s v="Jun"/>
    <n v="2024"/>
    <n v="1394"/>
    <x v="2"/>
    <d v="2026-03-20T22:34:02"/>
    <s v="High Sale"/>
    <s v="Ruth Brooks"/>
    <n v="6949.84"/>
  </r>
  <r>
    <s v="TRX0121"/>
    <d v="2024-06-06T00:00:00"/>
    <s v="CUST028"/>
    <s v="Betty Campbell"/>
    <s v="P010"/>
    <x v="8"/>
    <s v="Electronics"/>
    <n v="1"/>
    <n v="89.99"/>
    <s v="Credit Card"/>
    <x v="1"/>
    <x v="2"/>
    <d v="2022-01-21T00:00:00"/>
    <n v="89.99"/>
    <s v="Jun"/>
    <n v="2024"/>
    <n v="1519"/>
    <x v="2"/>
    <d v="2026-03-20T22:34:02"/>
    <s v="Low Sale"/>
    <s v="William White"/>
    <n v="5649.84"/>
  </r>
  <r>
    <s v="TRX0220"/>
    <d v="2024-06-07T00:00:00"/>
    <s v="CUST003"/>
    <s v="Michael Brown"/>
    <s v="P008"/>
    <x v="2"/>
    <s v="Furniture"/>
    <n v="2"/>
    <n v="149.99"/>
    <s v="Cash"/>
    <x v="4"/>
    <x v="1"/>
    <d v="2022-03-25T00:00:00"/>
    <n v="299.98"/>
    <s v="Jun"/>
    <n v="2024"/>
    <n v="1456"/>
    <x v="2"/>
    <d v="2026-03-20T22:34:02"/>
    <s v="Low Sale"/>
    <s v="Richard Lee"/>
    <n v="6169.7400000000007"/>
  </r>
  <r>
    <s v="TRX0093"/>
    <d v="2024-06-09T00:00:00"/>
    <s v="CUST050"/>
    <s v="Julie Foster"/>
    <s v="P005"/>
    <x v="1"/>
    <s v="Appliances"/>
    <n v="4"/>
    <n v="59.99"/>
    <s v="Cash"/>
    <x v="4"/>
    <x v="2"/>
    <d v="2021-08-27T00:00:00"/>
    <n v="239.96"/>
    <s v="Jun"/>
    <n v="2024"/>
    <n v="1666"/>
    <x v="2"/>
    <d v="2026-03-20T22:34:02"/>
    <s v="Low Sale"/>
    <s v="Douglas Watson"/>
    <n v="239.96"/>
  </r>
  <r>
    <s v="TRX0088"/>
    <d v="2024-06-13T00:00:00"/>
    <s v="CUST006"/>
    <s v="Lisa Anderson"/>
    <s v="P010"/>
    <x v="8"/>
    <s v="Electronics"/>
    <n v="5"/>
    <n v="89.99"/>
    <s v="Cash"/>
    <x v="0"/>
    <x v="1"/>
    <d v="2022-01-18T00:00:00"/>
    <n v="449.95"/>
    <s v="Jun"/>
    <n v="2024"/>
    <n v="1522"/>
    <x v="2"/>
    <d v="2026-03-20T22:34:02"/>
    <s v="Low Sale"/>
    <s v="James Johnson"/>
    <n v="2039.8000000000002"/>
  </r>
  <r>
    <s v="TRX0115"/>
    <d v="2024-06-16T00:00:00"/>
    <s v="CUST012"/>
    <s v="Patricia Moore"/>
    <s v="P010"/>
    <x v="8"/>
    <s v="Electronics"/>
    <n v="2"/>
    <n v="89.99"/>
    <s v="Credit Card"/>
    <x v="1"/>
    <x v="1"/>
    <d v="2021-10-02T00:00:00"/>
    <n v="179.98"/>
    <s v="Jun"/>
    <n v="2024"/>
    <n v="1630"/>
    <x v="2"/>
    <d v="2026-03-20T22:34:02"/>
    <s v="Low Sale"/>
    <s v="Arthur Edwards"/>
    <n v="9799.73"/>
  </r>
  <r>
    <s v="TRX0154"/>
    <d v="2024-06-16T00:00:00"/>
    <s v="CUST023"/>
    <s v="Paul Baker"/>
    <s v="P001"/>
    <x v="4"/>
    <s v="Electronics"/>
    <n v="5"/>
    <n v="899.99"/>
    <s v="Credit Card"/>
    <x v="1"/>
    <x v="2"/>
    <d v="2023-02-17T00:00:00"/>
    <n v="4499.95"/>
    <s v="Jun"/>
    <n v="2024"/>
    <n v="1127"/>
    <x v="2"/>
    <d v="2026-03-20T22:34:02"/>
    <s v="High Sale"/>
    <s v="John Smith"/>
    <n v="8309.739999999998"/>
  </r>
  <r>
    <s v="TRX0044"/>
    <d v="2024-06-16T00:00:00"/>
    <s v="CUST029"/>
    <s v="Edward Mitchell"/>
    <s v="P001"/>
    <x v="4"/>
    <s v="Electronics"/>
    <n v="5"/>
    <n v="899.99"/>
    <s v="PayPal"/>
    <x v="4"/>
    <x v="1"/>
    <d v="2023-12-18T00:00:00"/>
    <n v="4499.95"/>
    <s v="Jun"/>
    <n v="2024"/>
    <n v="823"/>
    <x v="2"/>
    <d v="2026-03-20T22:34:02"/>
    <s v="High Sale"/>
    <m/>
    <n v="11919.769999999999"/>
  </r>
  <r>
    <s v="TRX0061"/>
    <d v="2024-06-17T00:00:00"/>
    <s v="CUST028"/>
    <s v="Betty Campbell"/>
    <s v="P005"/>
    <x v="1"/>
    <s v="Appliances"/>
    <n v="1"/>
    <n v="59.99"/>
    <s v="Debit Card"/>
    <x v="3"/>
    <x v="1"/>
    <d v="2023-09-21T00:00:00"/>
    <n v="59.99"/>
    <s v="Jun"/>
    <n v="2024"/>
    <n v="911"/>
    <x v="2"/>
    <d v="2026-03-20T22:34:02"/>
    <s v="Low Sale"/>
    <m/>
    <n v="5649.84"/>
  </r>
  <r>
    <s v="TRX0150"/>
    <d v="2024-06-17T00:00:00"/>
    <s v="CUST008"/>
    <s v="Jennifer Taylor"/>
    <s v="P007"/>
    <x v="6"/>
    <s v="Furniture"/>
    <n v="2"/>
    <n v="299.99"/>
    <s v="Debit Card"/>
    <x v="4"/>
    <x v="2"/>
    <d v="2023-11-23T00:00:00"/>
    <n v="599.98"/>
    <s v="Jun"/>
    <n v="2024"/>
    <n v="848"/>
    <x v="2"/>
    <d v="2026-03-20T22:34:02"/>
    <s v="Low Sale"/>
    <m/>
    <n v="4739.8500000000004"/>
  </r>
  <r>
    <s v="TRX0025"/>
    <d v="2024-06-25T00:00:00"/>
    <s v="CUST049"/>
    <s v="Raymond Ross"/>
    <s v="P010"/>
    <x v="8"/>
    <s v="Electronics"/>
    <n v="4"/>
    <n v="89.99"/>
    <s v="Debit Card"/>
    <x v="1"/>
    <x v="0"/>
    <d v="2023-12-21T00:00:00"/>
    <n v="359.96"/>
    <s v="Jun"/>
    <n v="2024"/>
    <n v="820"/>
    <x v="2"/>
    <d v="2026-03-20T22:34:02"/>
    <s v="Low Sale"/>
    <m/>
    <n v="3669.8500000000004"/>
  </r>
  <r>
    <s v="TRX0078"/>
    <d v="2024-06-26T00:00:00"/>
    <s v="CUST021"/>
    <s v="Kevin Scott"/>
    <s v="P004"/>
    <x v="7"/>
    <s v="Appliances"/>
    <n v="1"/>
    <n v="79.989999999999995"/>
    <s v="PayPal"/>
    <x v="0"/>
    <x v="1"/>
    <d v="2024-03-01T00:00:00"/>
    <n v="79.989999999999995"/>
    <s v="Jun"/>
    <n v="2024"/>
    <n v="749"/>
    <x v="2"/>
    <d v="2026-03-20T22:34:02"/>
    <s v="Low Sale"/>
    <m/>
    <n v="3259.87"/>
  </r>
  <r>
    <s v="TRX0007"/>
    <d v="2024-06-26T00:00:00"/>
    <s v="CUST009"/>
    <s v="Robert Thomas"/>
    <s v="P010"/>
    <x v="8"/>
    <s v="Electronics"/>
    <n v="2"/>
    <n v="89.99"/>
    <s v="Cash"/>
    <x v="3"/>
    <x v="0"/>
    <d v="2021-08-30T00:00:00"/>
    <n v="179.98"/>
    <s v="Jun"/>
    <n v="2024"/>
    <n v="1663"/>
    <x v="2"/>
    <d v="2026-03-20T22:34:02"/>
    <s v="Low Sale"/>
    <m/>
    <n v="3509.8999999999996"/>
  </r>
  <r>
    <s v="TRX0184"/>
    <d v="2024-06-28T00:00:00"/>
    <s v="CUST046"/>
    <s v="Kathleen Bennett"/>
    <s v="P002"/>
    <x v="5"/>
    <s v="Electronics"/>
    <n v="3"/>
    <n v="699.99"/>
    <s v="Credit Card"/>
    <x v="4"/>
    <x v="1"/>
    <d v="2023-06-25T00:00:00"/>
    <n v="2099.9699999999998"/>
    <s v="Jun"/>
    <n v="2024"/>
    <n v="999"/>
    <x v="2"/>
    <d v="2026-03-20T22:34:02"/>
    <s v="High Sale"/>
    <m/>
    <n v="4309.8099999999995"/>
  </r>
  <r>
    <s v="TRX0104"/>
    <d v="2024-06-28T00:00:00"/>
    <s v="CUST012"/>
    <s v="Patricia Moore"/>
    <s v="P001"/>
    <x v="4"/>
    <s v="Electronics"/>
    <n v="4"/>
    <n v="899.99"/>
    <s v="Credit Card"/>
    <x v="4"/>
    <x v="1"/>
    <d v="2023-03-08T00:00:00"/>
    <n v="3599.96"/>
    <s v="Jun"/>
    <n v="2024"/>
    <n v="1108"/>
    <x v="2"/>
    <d v="2026-03-20T22:34:02"/>
    <s v="High Sale"/>
    <m/>
    <n v="9799.73"/>
  </r>
  <r>
    <s v="TRX0127"/>
    <d v="2024-06-29T00:00:00"/>
    <s v="CUST030"/>
    <s v="Helen Roberts"/>
    <s v="P008"/>
    <x v="2"/>
    <s v="Furniture"/>
    <n v="1"/>
    <n v="149.99"/>
    <s v="PayPal"/>
    <x v="4"/>
    <x v="0"/>
    <d v="2022-10-17T00:00:00"/>
    <n v="149.99"/>
    <s v="Jun"/>
    <n v="2024"/>
    <n v="1250"/>
    <x v="2"/>
    <d v="2026-03-20T22:34:02"/>
    <s v="Low Sale"/>
    <m/>
    <n v="6459.79"/>
  </r>
  <r>
    <s v="TRX0096"/>
    <d v="2024-07-01T00:00:00"/>
    <s v="CUST002"/>
    <s v="Emma Wilson"/>
    <s v="P010"/>
    <x v="8"/>
    <s v="Electronics"/>
    <n v="2"/>
    <n v="89.99"/>
    <s v="PayPal"/>
    <x v="0"/>
    <x v="1"/>
    <d v="2023-12-15T00:00:00"/>
    <n v="179.98"/>
    <s v="Jul"/>
    <n v="2024"/>
    <n v="826"/>
    <x v="3"/>
    <d v="2026-03-20T22:34:02"/>
    <s v="Low Sale"/>
    <m/>
    <n v="1229.8800000000001"/>
  </r>
  <r>
    <s v="TRX0192"/>
    <d v="2024-07-02T00:00:00"/>
    <s v="CUST017"/>
    <s v="Charles Allen"/>
    <s v="P010"/>
    <x v="8"/>
    <s v="Electronics"/>
    <n v="1"/>
    <n v="89.99"/>
    <s v="PayPal"/>
    <x v="3"/>
    <x v="2"/>
    <d v="2022-08-29T00:00:00"/>
    <n v="89.99"/>
    <s v="Jul"/>
    <n v="2024"/>
    <n v="1299"/>
    <x v="3"/>
    <d v="2026-03-20T22:34:02"/>
    <s v="Low Sale"/>
    <m/>
    <n v="5089.7300000000005"/>
  </r>
  <r>
    <s v="TRX0052"/>
    <d v="2024-07-03T00:00:00"/>
    <s v="CUST022"/>
    <s v="Susan Green"/>
    <s v="P010"/>
    <x v="8"/>
    <s v="Electronics"/>
    <n v="1"/>
    <n v="89.99"/>
    <s v="Cash"/>
    <x v="1"/>
    <x v="2"/>
    <d v="2022-02-19T00:00:00"/>
    <n v="89.99"/>
    <s v="Jul"/>
    <n v="2024"/>
    <n v="1490"/>
    <x v="3"/>
    <d v="2026-03-20T22:34:02"/>
    <s v="Low Sale"/>
    <m/>
    <n v="1979.89"/>
  </r>
  <r>
    <s v="TRX0070"/>
    <d v="2024-07-03T00:00:00"/>
    <s v="CUST007"/>
    <s v="David Martinez"/>
    <s v="P004"/>
    <x v="7"/>
    <s v="Appliances"/>
    <n v="5"/>
    <n v="79.989999999999995"/>
    <s v="Debit Card"/>
    <x v="0"/>
    <x v="0"/>
    <d v="2023-02-24T00:00:00"/>
    <n v="399.95"/>
    <s v="Jul"/>
    <n v="2024"/>
    <n v="1120"/>
    <x v="3"/>
    <d v="2026-03-20T22:34:02"/>
    <s v="Low Sale"/>
    <m/>
    <n v="1809.84"/>
  </r>
  <r>
    <s v="TRX0086"/>
    <d v="2024-07-08T00:00:00"/>
    <s v="CUST020"/>
    <s v="Margaret Wright"/>
    <s v="P008"/>
    <x v="2"/>
    <s v="Furniture"/>
    <n v="1"/>
    <n v="149.99"/>
    <s v="PayPal"/>
    <x v="2"/>
    <x v="0"/>
    <d v="2021-08-13T00:00:00"/>
    <n v="149.99"/>
    <s v="Jul"/>
    <n v="2024"/>
    <n v="1680"/>
    <x v="3"/>
    <d v="2026-03-20T22:34:02"/>
    <s v="Low Sale"/>
    <m/>
    <n v="2099.88"/>
  </r>
  <r>
    <s v="TRX0113"/>
    <d v="2024-07-08T00:00:00"/>
    <s v="CUST003"/>
    <s v="Michael Brown"/>
    <s v="P002"/>
    <x v="5"/>
    <s v="Electronics"/>
    <n v="2"/>
    <n v="699.99"/>
    <s v="PayPal"/>
    <x v="4"/>
    <x v="1"/>
    <d v="2024-04-07T00:00:00"/>
    <n v="1399.98"/>
    <s v="Jul"/>
    <n v="2024"/>
    <n v="712"/>
    <x v="3"/>
    <d v="2026-03-20T22:34:02"/>
    <s v="High Sale"/>
    <m/>
    <n v="6169.7400000000007"/>
  </r>
  <r>
    <s v="TRX0114"/>
    <d v="2024-07-08T00:00:00"/>
    <s v="CUST018"/>
    <s v="Barbara Young"/>
    <s v="P010"/>
    <x v="8"/>
    <s v="Electronics"/>
    <n v="5"/>
    <n v="89.99"/>
    <s v="Debit Card"/>
    <x v="2"/>
    <x v="1"/>
    <d v="2023-08-23T00:00:00"/>
    <n v="449.95"/>
    <s v="Jul"/>
    <n v="2024"/>
    <n v="940"/>
    <x v="3"/>
    <d v="2026-03-20T22:34:02"/>
    <s v="Low Sale"/>
    <m/>
    <n v="10649.8"/>
  </r>
  <r>
    <s v="TRX0136"/>
    <d v="2024-07-09T00:00:00"/>
    <s v="CUST049"/>
    <s v="Raymond Ross"/>
    <s v="P005"/>
    <x v="1"/>
    <s v="Appliances"/>
    <n v="4"/>
    <n v="59.99"/>
    <s v="Cash"/>
    <x v="1"/>
    <x v="2"/>
    <d v="2021-11-09T00:00:00"/>
    <n v="239.96"/>
    <s v="Jul"/>
    <n v="2024"/>
    <n v="1592"/>
    <x v="3"/>
    <d v="2026-03-20T22:34:02"/>
    <s v="Low Sale"/>
    <m/>
    <n v="3669.8500000000004"/>
  </r>
  <r>
    <s v="TRX0018"/>
    <d v="2024-07-11T00:00:00"/>
    <s v="CUST013"/>
    <s v="Joseph Jackson"/>
    <s v="P003"/>
    <x v="3"/>
    <s v="Electronics"/>
    <n v="1"/>
    <n v="149.99"/>
    <s v="Cash"/>
    <x v="0"/>
    <x v="2"/>
    <d v="2022-12-14T00:00:00"/>
    <n v="149.99"/>
    <s v="Jul"/>
    <n v="2024"/>
    <n v="1192"/>
    <x v="3"/>
    <d v="2026-03-20T22:34:02"/>
    <s v="Low Sale"/>
    <m/>
    <n v="6949.84"/>
  </r>
  <r>
    <s v="TRX0141"/>
    <d v="2024-07-11T00:00:00"/>
    <s v="CUST033"/>
    <s v="Frank Torres"/>
    <s v="P007"/>
    <x v="6"/>
    <s v="Furniture"/>
    <n v="1"/>
    <n v="299.99"/>
    <s v="Credit Card"/>
    <x v="2"/>
    <x v="1"/>
    <d v="2022-11-26T00:00:00"/>
    <n v="299.99"/>
    <s v="Jul"/>
    <n v="2024"/>
    <n v="1210"/>
    <x v="3"/>
    <d v="2026-03-20T22:34:02"/>
    <s v="Low Sale"/>
    <m/>
    <n v="1479.91"/>
  </r>
  <r>
    <s v="TRX0097"/>
    <d v="2024-07-14T00:00:00"/>
    <s v="CUST033"/>
    <s v="Frank Torres"/>
    <s v="P006"/>
    <x v="9"/>
    <s v="Furniture"/>
    <n v="2"/>
    <n v="199.99"/>
    <s v="Cash"/>
    <x v="2"/>
    <x v="0"/>
    <d v="2021-12-11T00:00:00"/>
    <n v="399.98"/>
    <s v="Jul"/>
    <n v="2024"/>
    <n v="1560"/>
    <x v="3"/>
    <d v="2026-03-20T22:34:02"/>
    <s v="Low Sale"/>
    <m/>
    <n v="1479.91"/>
  </r>
  <r>
    <s v="TRX0169"/>
    <d v="2024-07-17T00:00:00"/>
    <s v="CUST047"/>
    <s v="Gerald Murphy"/>
    <s v="P005"/>
    <x v="1"/>
    <s v="Appliances"/>
    <n v="3"/>
    <n v="59.99"/>
    <s v="Credit Card"/>
    <x v="3"/>
    <x v="0"/>
    <d v="2023-07-23T00:00:00"/>
    <n v="179.97"/>
    <s v="Jul"/>
    <n v="2024"/>
    <n v="971"/>
    <x v="3"/>
    <d v="2026-03-20T22:34:02"/>
    <s v="Low Sale"/>
    <m/>
    <n v="6379.87"/>
  </r>
  <r>
    <s v="TRX0216"/>
    <d v="2024-07-17T00:00:00"/>
    <s v="CUST041"/>
    <s v="Peter Richardson"/>
    <s v="P008"/>
    <x v="2"/>
    <s v="Furniture"/>
    <n v="3"/>
    <n v="149.99"/>
    <s v="Cash"/>
    <x v="0"/>
    <x v="1"/>
    <d v="2023-09-30T00:00:00"/>
    <n v="449.97"/>
    <s v="Jul"/>
    <n v="2024"/>
    <n v="902"/>
    <x v="3"/>
    <d v="2026-03-20T22:34:02"/>
    <s v="Low Sale"/>
    <m/>
    <n v="5949.85"/>
  </r>
  <r>
    <s v="TRX0131"/>
    <d v="2024-07-18T00:00:00"/>
    <s v="CUST026"/>
    <s v="Karen Hill"/>
    <s v="P006"/>
    <x v="9"/>
    <s v="Furniture"/>
    <n v="3"/>
    <n v="199.99"/>
    <s v="Cash"/>
    <x v="2"/>
    <x v="1"/>
    <d v="2023-11-24T00:00:00"/>
    <n v="599.97"/>
    <s v="Jul"/>
    <n v="2024"/>
    <n v="847"/>
    <x v="3"/>
    <d v="2026-03-20T22:34:02"/>
    <s v="Low Sale"/>
    <m/>
    <n v="8009.7699999999995"/>
  </r>
  <r>
    <s v="TRX0162"/>
    <d v="2024-07-23T00:00:00"/>
    <s v="CUST040"/>
    <s v="Sharon Butler"/>
    <s v="P001"/>
    <x v="4"/>
    <s v="Electronics"/>
    <n v="1"/>
    <n v="899.99"/>
    <s v="Cash"/>
    <x v="0"/>
    <x v="2"/>
    <d v="2023-09-10T00:00:00"/>
    <n v="899.99"/>
    <s v="Jul"/>
    <n v="2024"/>
    <n v="922"/>
    <x v="3"/>
    <d v="2026-03-20T22:34:02"/>
    <s v="Low Sale"/>
    <m/>
    <n v="5619.869999999999"/>
  </r>
  <r>
    <s v="TRX0244"/>
    <d v="2024-07-24T00:00:00"/>
    <s v="CUST013"/>
    <s v="Joseph Jackson"/>
    <s v="P001"/>
    <x v="4"/>
    <s v="Electronics"/>
    <n v="5"/>
    <n v="899.99"/>
    <s v="Debit Card"/>
    <x v="1"/>
    <x v="2"/>
    <d v="2022-12-04T00:00:00"/>
    <n v="4499.95"/>
    <s v="Jul"/>
    <n v="2024"/>
    <n v="1202"/>
    <x v="3"/>
    <d v="2026-03-20T22:34:02"/>
    <s v="High Sale"/>
    <m/>
    <n v="6949.84"/>
  </r>
  <r>
    <s v="TRX0006"/>
    <d v="2024-07-25T00:00:00"/>
    <s v="CUST007"/>
    <s v="David Martinez"/>
    <s v="P005"/>
    <x v="1"/>
    <s v="Appliances"/>
    <n v="2"/>
    <n v="59.99"/>
    <s v="Cash"/>
    <x v="2"/>
    <x v="2"/>
    <d v="2023-08-14T00:00:00"/>
    <n v="119.98"/>
    <s v="Jul"/>
    <n v="2024"/>
    <n v="949"/>
    <x v="3"/>
    <d v="2026-03-20T22:34:02"/>
    <s v="Low Sale"/>
    <m/>
    <n v="1809.84"/>
  </r>
  <r>
    <s v="TRX0215"/>
    <d v="2024-07-25T00:00:00"/>
    <s v="CUST047"/>
    <s v="Gerald Murphy"/>
    <s v="P009"/>
    <x v="0"/>
    <s v="Electronics"/>
    <n v="4"/>
    <n v="249.99"/>
    <s v="Debit Card"/>
    <x v="0"/>
    <x v="2"/>
    <d v="2023-07-20T00:00:00"/>
    <n v="999.96"/>
    <s v="Jul"/>
    <n v="2024"/>
    <n v="974"/>
    <x v="3"/>
    <d v="2026-03-20T22:34:02"/>
    <s v="Low Sale"/>
    <m/>
    <n v="6379.87"/>
  </r>
  <r>
    <s v="TRX0080"/>
    <d v="2024-07-27T00:00:00"/>
    <s v="CUST018"/>
    <s v="Barbara Young"/>
    <s v="P009"/>
    <x v="0"/>
    <s v="Electronics"/>
    <n v="2"/>
    <n v="249.99"/>
    <s v="Cash"/>
    <x v="2"/>
    <x v="1"/>
    <d v="2023-08-26T00:00:00"/>
    <n v="499.98"/>
    <s v="Jul"/>
    <n v="2024"/>
    <n v="937"/>
    <x v="3"/>
    <d v="2026-03-20T22:34:02"/>
    <s v="Low Sale"/>
    <m/>
    <n v="10649.8"/>
  </r>
  <r>
    <s v="TRX0228"/>
    <d v="2024-07-27T00:00:00"/>
    <s v="CUST019"/>
    <s v="Daniel King"/>
    <s v="P007"/>
    <x v="6"/>
    <s v="Furniture"/>
    <n v="1"/>
    <n v="299.99"/>
    <s v="Cash"/>
    <x v="1"/>
    <x v="0"/>
    <d v="2023-02-25T00:00:00"/>
    <n v="299.99"/>
    <s v="Jul"/>
    <n v="2024"/>
    <n v="1119"/>
    <x v="3"/>
    <d v="2026-03-20T22:34:02"/>
    <s v="Low Sale"/>
    <m/>
    <n v="7309.7999999999993"/>
  </r>
  <r>
    <s v="TRX0157"/>
    <d v="2024-07-28T00:00:00"/>
    <s v="CUST025"/>
    <s v="Mark Carter"/>
    <s v="P010"/>
    <x v="8"/>
    <s v="Electronics"/>
    <n v="2"/>
    <n v="89.99"/>
    <s v="PayPal"/>
    <x v="1"/>
    <x v="0"/>
    <d v="2023-02-19T00:00:00"/>
    <n v="179.98"/>
    <s v="Jul"/>
    <n v="2024"/>
    <n v="1125"/>
    <x v="3"/>
    <d v="2026-03-20T22:34:02"/>
    <s v="Low Sale"/>
    <m/>
    <n v="15659.65"/>
  </r>
  <r>
    <s v="TRX0002"/>
    <d v="2024-07-28T00:00:00"/>
    <s v="CUST019"/>
    <s v="Daniel King"/>
    <s v="P007"/>
    <x v="6"/>
    <s v="Furniture"/>
    <n v="3"/>
    <n v="299.99"/>
    <s v="Cash"/>
    <x v="0"/>
    <x v="0"/>
    <d v="2022-06-20T00:00:00"/>
    <n v="899.97"/>
    <s v="Jul"/>
    <n v="2024"/>
    <n v="1369"/>
    <x v="3"/>
    <d v="2026-03-20T22:34:02"/>
    <s v="Low Sale"/>
    <m/>
    <n v="7309.7999999999993"/>
  </r>
  <r>
    <s v="TRX0217"/>
    <d v="2024-07-30T00:00:00"/>
    <s v="CUST025"/>
    <s v="Mark Carter"/>
    <s v="P002"/>
    <x v="5"/>
    <s v="Electronics"/>
    <n v="2"/>
    <n v="699.99"/>
    <s v="Credit Card"/>
    <x v="2"/>
    <x v="1"/>
    <d v="2023-03-14T00:00:00"/>
    <n v="1399.98"/>
    <s v="Jul"/>
    <n v="2024"/>
    <n v="1102"/>
    <x v="3"/>
    <d v="2026-03-20T22:34:02"/>
    <s v="High Sale"/>
    <m/>
    <n v="15659.65"/>
  </r>
  <r>
    <s v="TRX0249"/>
    <d v="2024-07-31T00:00:00"/>
    <s v="CUST030"/>
    <s v="Helen Roberts"/>
    <s v="P001"/>
    <x v="4"/>
    <s v="Electronics"/>
    <n v="4"/>
    <n v="899.99"/>
    <s v="Debit Card"/>
    <x v="1"/>
    <x v="2"/>
    <d v="2021-11-23T00:00:00"/>
    <n v="3599.96"/>
    <s v="Jul"/>
    <n v="2024"/>
    <n v="1578"/>
    <x v="3"/>
    <d v="2026-03-20T22:34:02"/>
    <s v="High Sale"/>
    <m/>
    <n v="6459.79"/>
  </r>
  <r>
    <s v="TRX0065"/>
    <d v="2024-08-05T00:00:00"/>
    <s v="CUST016"/>
    <s v="Elizabeth Hall"/>
    <s v="P008"/>
    <x v="2"/>
    <s v="Furniture"/>
    <n v="2"/>
    <n v="149.99"/>
    <s v="Credit Card"/>
    <x v="3"/>
    <x v="0"/>
    <d v="2021-12-12T00:00:00"/>
    <n v="299.98"/>
    <s v="Aug"/>
    <n v="2024"/>
    <n v="1559"/>
    <x v="4"/>
    <d v="2026-03-20T22:34:02"/>
    <s v="Low Sale"/>
    <m/>
    <n v="3649.8599999999997"/>
  </r>
  <r>
    <s v="TRX0176"/>
    <d v="2024-08-06T00:00:00"/>
    <s v="CUST044"/>
    <s v="Cynthia Price"/>
    <s v="P008"/>
    <x v="2"/>
    <s v="Furniture"/>
    <n v="2"/>
    <n v="149.99"/>
    <s v="Debit Card"/>
    <x v="4"/>
    <x v="2"/>
    <d v="2022-04-16T00:00:00"/>
    <n v="299.98"/>
    <s v="Aug"/>
    <n v="2024"/>
    <n v="1434"/>
    <x v="4"/>
    <d v="2026-03-20T22:34:02"/>
    <s v="Low Sale"/>
    <m/>
    <n v="3769.8300000000004"/>
  </r>
  <r>
    <s v="TRX0101"/>
    <d v="2024-08-09T00:00:00"/>
    <s v="CUST010"/>
    <s v="Maria Garcia"/>
    <s v="P010"/>
    <x v="8"/>
    <s v="Electronics"/>
    <n v="1"/>
    <n v="89.99"/>
    <s v="Credit Card"/>
    <x v="2"/>
    <x v="2"/>
    <d v="2024-04-11T00:00:00"/>
    <n v="89.99"/>
    <s v="Aug"/>
    <n v="2024"/>
    <n v="708"/>
    <x v="4"/>
    <d v="2026-03-20T22:34:02"/>
    <s v="Low Sale"/>
    <m/>
    <n v="1909.93"/>
  </r>
  <r>
    <s v="TRX0205"/>
    <d v="2024-08-11T00:00:00"/>
    <s v="CUST025"/>
    <s v="Mark Carter"/>
    <s v="P007"/>
    <x v="6"/>
    <s v="Furniture"/>
    <n v="5"/>
    <n v="299.99"/>
    <s v="Credit Card"/>
    <x v="2"/>
    <x v="0"/>
    <d v="2023-02-08T00:00:00"/>
    <n v="1499.95"/>
    <s v="Aug"/>
    <n v="2024"/>
    <n v="1136"/>
    <x v="4"/>
    <d v="2026-03-20T22:34:02"/>
    <s v="High Sale"/>
    <m/>
    <n v="15659.65"/>
  </r>
  <r>
    <s v="TRX0020"/>
    <d v="2024-08-13T00:00:00"/>
    <s v="CUST007"/>
    <s v="David Martinez"/>
    <s v="P003"/>
    <x v="3"/>
    <s v="Electronics"/>
    <n v="4"/>
    <n v="149.99"/>
    <s v="Debit Card"/>
    <x v="1"/>
    <x v="1"/>
    <d v="2022-09-16T00:00:00"/>
    <n v="599.96"/>
    <s v="Aug"/>
    <n v="2024"/>
    <n v="1281"/>
    <x v="4"/>
    <d v="2026-03-20T22:34:02"/>
    <s v="Low Sale"/>
    <m/>
    <n v="1809.84"/>
  </r>
  <r>
    <s v="TRX0075"/>
    <d v="2024-08-13T00:00:00"/>
    <s v="CUST020"/>
    <s v="Margaret Wright"/>
    <s v="P009"/>
    <x v="0"/>
    <s v="Electronics"/>
    <n v="5"/>
    <n v="249.99"/>
    <s v="PayPal"/>
    <x v="4"/>
    <x v="1"/>
    <d v="2022-08-09T00:00:00"/>
    <n v="1249.95"/>
    <s v="Aug"/>
    <n v="2024"/>
    <n v="1319"/>
    <x v="4"/>
    <d v="2026-03-20T22:34:02"/>
    <s v="High Sale"/>
    <m/>
    <n v="2099.88"/>
  </r>
  <r>
    <s v="TRX0098"/>
    <d v="2024-08-13T00:00:00"/>
    <s v="CUST026"/>
    <s v="Karen Hill"/>
    <s v="P009"/>
    <x v="0"/>
    <s v="Electronics"/>
    <n v="3"/>
    <n v="249.99"/>
    <s v="PayPal"/>
    <x v="2"/>
    <x v="1"/>
    <d v="2021-09-26T00:00:00"/>
    <n v="749.97"/>
    <s v="Aug"/>
    <n v="2024"/>
    <n v="1636"/>
    <x v="4"/>
    <d v="2026-03-20T22:34:02"/>
    <s v="Low Sale"/>
    <m/>
    <n v="8009.7699999999995"/>
  </r>
  <r>
    <s v="TRX0247"/>
    <d v="2024-08-13T00:00:00"/>
    <s v="CUST046"/>
    <s v="Kathleen Bennett"/>
    <s v="P006"/>
    <x v="9"/>
    <s v="Furniture"/>
    <n v="4"/>
    <n v="199.99"/>
    <s v="Cash"/>
    <x v="2"/>
    <x v="2"/>
    <d v="2021-09-19T00:00:00"/>
    <n v="799.96"/>
    <s v="Aug"/>
    <n v="2024"/>
    <n v="1643"/>
    <x v="4"/>
    <d v="2026-03-20T22:34:02"/>
    <s v="Low Sale"/>
    <m/>
    <n v="4309.8099999999995"/>
  </r>
  <r>
    <s v="TRX0027"/>
    <d v="2024-08-15T00:00:00"/>
    <s v="CUST028"/>
    <s v="Betty Campbell"/>
    <s v="P006"/>
    <x v="9"/>
    <s v="Furniture"/>
    <n v="5"/>
    <n v="199.99"/>
    <s v="Cash"/>
    <x v="2"/>
    <x v="1"/>
    <d v="2023-03-06T00:00:00"/>
    <n v="999.95"/>
    <s v="Aug"/>
    <n v="2024"/>
    <n v="1110"/>
    <x v="4"/>
    <d v="2026-03-20T22:34:02"/>
    <s v="Low Sale"/>
    <m/>
    <n v="5649.84"/>
  </r>
  <r>
    <s v="TRX0140"/>
    <d v="2024-08-18T00:00:00"/>
    <s v="CUST025"/>
    <s v="Mark Carter"/>
    <s v="P010"/>
    <x v="8"/>
    <s v="Electronics"/>
    <n v="2"/>
    <n v="89.99"/>
    <s v="Cash"/>
    <x v="4"/>
    <x v="1"/>
    <d v="2023-02-15T00:00:00"/>
    <n v="179.98"/>
    <s v="Aug"/>
    <n v="2024"/>
    <n v="1129"/>
    <x v="4"/>
    <d v="2026-03-20T22:34:02"/>
    <s v="Low Sale"/>
    <m/>
    <n v="15659.65"/>
  </r>
  <r>
    <s v="TRX0132"/>
    <d v="2024-08-19T00:00:00"/>
    <s v="CUST047"/>
    <s v="Gerald Murphy"/>
    <s v="P001"/>
    <x v="4"/>
    <s v="Electronics"/>
    <n v="5"/>
    <n v="899.99"/>
    <s v="Debit Card"/>
    <x v="4"/>
    <x v="0"/>
    <d v="2021-11-26T00:00:00"/>
    <n v="4499.95"/>
    <s v="Aug"/>
    <n v="2024"/>
    <n v="1575"/>
    <x v="4"/>
    <d v="2026-03-20T22:34:02"/>
    <s v="High Sale"/>
    <m/>
    <n v="6379.87"/>
  </r>
  <r>
    <s v="TRX0031"/>
    <d v="2024-08-19T00:00:00"/>
    <s v="CUST036"/>
    <s v="Nancy Collins"/>
    <s v="P003"/>
    <x v="3"/>
    <s v="Electronics"/>
    <n v="3"/>
    <n v="149.99"/>
    <s v="PayPal"/>
    <x v="4"/>
    <x v="0"/>
    <d v="2022-01-13T00:00:00"/>
    <n v="449.97"/>
    <s v="Aug"/>
    <n v="2024"/>
    <n v="1527"/>
    <x v="4"/>
    <d v="2026-03-20T22:34:02"/>
    <s v="Low Sale"/>
    <m/>
    <n v="4189.7700000000004"/>
  </r>
  <r>
    <s v="TRX0236"/>
    <d v="2024-08-22T00:00:00"/>
    <s v="CUST044"/>
    <s v="Cynthia Price"/>
    <s v="P008"/>
    <x v="2"/>
    <s v="Furniture"/>
    <n v="5"/>
    <n v="149.99"/>
    <s v="Credit Card"/>
    <x v="0"/>
    <x v="0"/>
    <d v="2024-01-19T00:00:00"/>
    <n v="749.95"/>
    <s v="Aug"/>
    <n v="2024"/>
    <n v="791"/>
    <x v="4"/>
    <d v="2026-03-20T22:34:02"/>
    <s v="Low Sale"/>
    <m/>
    <n v="3769.8300000000004"/>
  </r>
  <r>
    <s v="TRX0001"/>
    <d v="2024-08-24T00:00:00"/>
    <s v="CUST039"/>
    <s v="Lawrence Reed"/>
    <s v="P004"/>
    <x v="7"/>
    <s v="Appliances"/>
    <n v="3"/>
    <n v="79.989999999999995"/>
    <s v="Cash"/>
    <x v="0"/>
    <x v="1"/>
    <d v="2022-08-06T00:00:00"/>
    <n v="239.97"/>
    <s v="Aug"/>
    <n v="2024"/>
    <n v="1322"/>
    <x v="4"/>
    <d v="2026-03-20T22:34:02"/>
    <s v="Low Sale"/>
    <m/>
    <n v="6989.7699999999986"/>
  </r>
  <r>
    <s v="TRX0037"/>
    <d v="2024-08-24T00:00:00"/>
    <s v="CUST035"/>
    <s v="Harry Morgan"/>
    <s v="P009"/>
    <x v="0"/>
    <s v="Electronics"/>
    <n v="2"/>
    <n v="249.99"/>
    <s v="Cash"/>
    <x v="1"/>
    <x v="2"/>
    <d v="2022-01-11T00:00:00"/>
    <n v="499.98"/>
    <s v="Aug"/>
    <n v="2024"/>
    <n v="1529"/>
    <x v="4"/>
    <d v="2026-03-20T22:34:02"/>
    <s v="Low Sale"/>
    <m/>
    <n v="5519.8899999999994"/>
  </r>
  <r>
    <s v="TRX0058"/>
    <d v="2024-08-28T00:00:00"/>
    <s v="CUST047"/>
    <s v="Gerald Murphy"/>
    <s v="P002"/>
    <x v="5"/>
    <s v="Electronics"/>
    <n v="1"/>
    <n v="699.99"/>
    <s v="Cash"/>
    <x v="0"/>
    <x v="1"/>
    <d v="2021-10-28T00:00:00"/>
    <n v="699.99"/>
    <s v="Aug"/>
    <n v="2024"/>
    <n v="1604"/>
    <x v="4"/>
    <d v="2026-03-20T22:34:02"/>
    <s v="Low Sale"/>
    <m/>
    <n v="6379.87"/>
  </r>
  <r>
    <s v="TRX0170"/>
    <d v="2024-08-28T00:00:00"/>
    <s v="CUST034"/>
    <s v="Carol Evans"/>
    <s v="P003"/>
    <x v="3"/>
    <s v="Electronics"/>
    <n v="3"/>
    <n v="149.99"/>
    <s v="Cash"/>
    <x v="3"/>
    <x v="1"/>
    <d v="2023-10-13T00:00:00"/>
    <n v="449.97"/>
    <s v="Aug"/>
    <n v="2024"/>
    <n v="889"/>
    <x v="4"/>
    <d v="2026-03-20T22:34:02"/>
    <s v="Low Sale"/>
    <m/>
    <n v="1149.93"/>
  </r>
  <r>
    <s v="TRX0248"/>
    <d v="2024-08-30T00:00:00"/>
    <s v="CUST032"/>
    <s v="Sandra Phillips"/>
    <s v="P002"/>
    <x v="5"/>
    <s v="Electronics"/>
    <n v="2"/>
    <n v="699.99"/>
    <s v="Credit Card"/>
    <x v="2"/>
    <x v="1"/>
    <d v="2021-08-13T00:00:00"/>
    <n v="1399.98"/>
    <s v="Aug"/>
    <n v="2024"/>
    <n v="1680"/>
    <x v="4"/>
    <d v="2026-03-20T22:34:02"/>
    <s v="High Sale"/>
    <m/>
    <n v="6349.83"/>
  </r>
  <r>
    <s v="TRX0099"/>
    <d v="2024-09-02T00:00:00"/>
    <s v="CUST034"/>
    <s v="Carol Evans"/>
    <s v="P009"/>
    <x v="0"/>
    <s v="Electronics"/>
    <n v="1"/>
    <n v="249.99"/>
    <s v="Credit Card"/>
    <x v="3"/>
    <x v="1"/>
    <d v="2022-05-04T00:00:00"/>
    <n v="249.99"/>
    <s v="Sep"/>
    <n v="2024"/>
    <n v="1416"/>
    <x v="5"/>
    <d v="2026-03-20T22:34:02"/>
    <s v="Low Sale"/>
    <m/>
    <n v="1149.93"/>
  </r>
  <r>
    <s v="TRX0074"/>
    <d v="2024-09-02T00:00:00"/>
    <s v="CUST023"/>
    <s v="Paul Baker"/>
    <s v="P009"/>
    <x v="0"/>
    <s v="Electronics"/>
    <n v="1"/>
    <n v="249.99"/>
    <s v="Debit Card"/>
    <x v="2"/>
    <x v="1"/>
    <d v="2024-02-10T00:00:00"/>
    <n v="249.99"/>
    <s v="Sep"/>
    <n v="2024"/>
    <n v="769"/>
    <x v="5"/>
    <d v="2026-03-20T22:34:02"/>
    <s v="Low Sale"/>
    <m/>
    <n v="8309.739999999998"/>
  </r>
  <r>
    <s v="TRX0225"/>
    <d v="2024-09-03T00:00:00"/>
    <s v="CUST039"/>
    <s v="Lawrence Reed"/>
    <s v="P002"/>
    <x v="5"/>
    <s v="Electronics"/>
    <n v="2"/>
    <n v="699.99"/>
    <s v="Debit Card"/>
    <x v="0"/>
    <x v="1"/>
    <d v="2022-11-05T00:00:00"/>
    <n v="1399.98"/>
    <s v="Sep"/>
    <n v="2024"/>
    <n v="1231"/>
    <x v="5"/>
    <d v="2026-03-20T22:34:02"/>
    <s v="High Sale"/>
    <m/>
    <n v="6989.7699999999986"/>
  </r>
  <r>
    <s v="TRX0100"/>
    <d v="2024-09-06T00:00:00"/>
    <s v="CUST031"/>
    <s v="Steven Turner"/>
    <s v="P005"/>
    <x v="1"/>
    <s v="Appliances"/>
    <n v="3"/>
    <n v="59.99"/>
    <s v="Credit Card"/>
    <x v="0"/>
    <x v="1"/>
    <d v="2022-06-05T00:00:00"/>
    <n v="179.97"/>
    <s v="Sep"/>
    <n v="2024"/>
    <n v="1384"/>
    <x v="5"/>
    <d v="2026-03-20T22:34:02"/>
    <s v="Low Sale"/>
    <m/>
    <n v="2649.83"/>
  </r>
  <r>
    <s v="TRX0142"/>
    <d v="2024-09-09T00:00:00"/>
    <s v="CUST002"/>
    <s v="Emma Wilson"/>
    <s v="P005"/>
    <x v="1"/>
    <s v="Appliances"/>
    <n v="3"/>
    <n v="59.99"/>
    <s v="PayPal"/>
    <x v="4"/>
    <x v="2"/>
    <d v="2022-07-06T00:00:00"/>
    <n v="179.97"/>
    <s v="Sep"/>
    <n v="2024"/>
    <n v="1353"/>
    <x v="5"/>
    <d v="2026-03-20T22:34:02"/>
    <s v="Low Sale"/>
    <m/>
    <n v="1229.8800000000001"/>
  </r>
  <r>
    <s v="TRX0112"/>
    <d v="2024-09-09T00:00:00"/>
    <s v="CUST008"/>
    <s v="Jennifer Taylor"/>
    <s v="P004"/>
    <x v="7"/>
    <s v="Appliances"/>
    <n v="4"/>
    <n v="79.989999999999995"/>
    <s v="Cash"/>
    <x v="2"/>
    <x v="0"/>
    <d v="2021-11-30T00:00:00"/>
    <n v="319.95999999999998"/>
    <s v="Sep"/>
    <n v="2024"/>
    <n v="1571"/>
    <x v="5"/>
    <d v="2026-03-20T22:34:02"/>
    <s v="Low Sale"/>
    <m/>
    <n v="4739.8500000000004"/>
  </r>
  <r>
    <s v="TRX0161"/>
    <d v="2024-09-10T00:00:00"/>
    <s v="CUST017"/>
    <s v="Charles Allen"/>
    <s v="P004"/>
    <x v="7"/>
    <s v="Appliances"/>
    <n v="1"/>
    <n v="79.989999999999995"/>
    <s v="Cash"/>
    <x v="3"/>
    <x v="0"/>
    <d v="2022-05-12T00:00:00"/>
    <n v="79.989999999999995"/>
    <s v="Sep"/>
    <n v="2024"/>
    <n v="1408"/>
    <x v="5"/>
    <d v="2026-03-20T22:34:02"/>
    <s v="Low Sale"/>
    <m/>
    <n v="5089.7300000000005"/>
  </r>
  <r>
    <s v="TRX0108"/>
    <d v="2024-09-12T00:00:00"/>
    <s v="CUST024"/>
    <s v="Dorothy Nelson"/>
    <s v="P007"/>
    <x v="6"/>
    <s v="Furniture"/>
    <n v="3"/>
    <n v="299.99"/>
    <s v="Credit Card"/>
    <x v="0"/>
    <x v="1"/>
    <d v="2021-10-25T00:00:00"/>
    <n v="899.97"/>
    <s v="Sep"/>
    <n v="2024"/>
    <n v="1607"/>
    <x v="5"/>
    <d v="2026-03-20T22:34:02"/>
    <s v="Low Sale"/>
    <m/>
    <n v="8269.7900000000009"/>
  </r>
  <r>
    <s v="TRX0211"/>
    <d v="2024-09-13T00:00:00"/>
    <s v="CUST046"/>
    <s v="Kathleen Bennett"/>
    <s v="P010"/>
    <x v="8"/>
    <s v="Electronics"/>
    <n v="2"/>
    <n v="89.99"/>
    <s v="Credit Card"/>
    <x v="1"/>
    <x v="1"/>
    <d v="2022-03-21T00:00:00"/>
    <n v="179.98"/>
    <s v="Sep"/>
    <n v="2024"/>
    <n v="1460"/>
    <x v="5"/>
    <d v="2026-03-20T22:34:02"/>
    <s v="Low Sale"/>
    <m/>
    <n v="4309.8099999999995"/>
  </r>
  <r>
    <s v="TRX0005"/>
    <d v="2024-09-15T00:00:00"/>
    <s v="CUST042"/>
    <s v="Ruth Brooks"/>
    <s v="P003"/>
    <x v="3"/>
    <s v="Electronics"/>
    <n v="4"/>
    <n v="149.99"/>
    <s v="Cash"/>
    <x v="2"/>
    <x v="0"/>
    <d v="2022-12-14T00:00:00"/>
    <n v="599.96"/>
    <s v="Sep"/>
    <n v="2024"/>
    <n v="1192"/>
    <x v="5"/>
    <d v="2026-03-20T22:34:02"/>
    <s v="Low Sale"/>
    <m/>
    <n v="1749.92"/>
  </r>
  <r>
    <s v="TRX0195"/>
    <d v="2024-09-16T00:00:00"/>
    <s v="CUST026"/>
    <s v="Karen Hill"/>
    <s v="P009"/>
    <x v="0"/>
    <s v="Electronics"/>
    <n v="2"/>
    <n v="249.99"/>
    <s v="PayPal"/>
    <x v="1"/>
    <x v="0"/>
    <d v="2023-03-08T00:00:00"/>
    <n v="499.98"/>
    <s v="Sep"/>
    <n v="2024"/>
    <n v="1108"/>
    <x v="5"/>
    <d v="2026-03-20T22:34:02"/>
    <s v="Low Sale"/>
    <m/>
    <n v="8009.7699999999995"/>
  </r>
  <r>
    <s v="TRX0054"/>
    <d v="2024-09-16T00:00:00"/>
    <s v="CUST004"/>
    <s v="Sarah Davis"/>
    <s v="P006"/>
    <x v="9"/>
    <s v="Furniture"/>
    <n v="4"/>
    <n v="199.99"/>
    <s v="Debit Card"/>
    <x v="4"/>
    <x v="0"/>
    <d v="2021-09-19T00:00:00"/>
    <n v="799.96"/>
    <s v="Sep"/>
    <n v="2024"/>
    <n v="1643"/>
    <x v="5"/>
    <d v="2026-03-20T22:34:02"/>
    <s v="Low Sale"/>
    <m/>
    <n v="5499.8099999999995"/>
  </r>
  <r>
    <s v="TRX0077"/>
    <d v="2024-09-19T00:00:00"/>
    <s v="CUST019"/>
    <s v="Daniel King"/>
    <s v="P010"/>
    <x v="8"/>
    <s v="Electronics"/>
    <n v="5"/>
    <n v="89.99"/>
    <s v="Credit Card"/>
    <x v="4"/>
    <x v="1"/>
    <d v="2021-09-07T00:00:00"/>
    <n v="449.95"/>
    <s v="Sep"/>
    <n v="2024"/>
    <n v="1655"/>
    <x v="5"/>
    <d v="2026-03-20T22:34:02"/>
    <s v="Low Sale"/>
    <m/>
    <n v="7309.7999999999993"/>
  </r>
  <r>
    <s v="TRX0111"/>
    <d v="2024-09-19T00:00:00"/>
    <s v="CUST011"/>
    <s v="William White"/>
    <s v="P003"/>
    <x v="3"/>
    <s v="Electronics"/>
    <n v="1"/>
    <n v="149.99"/>
    <s v="PayPal"/>
    <x v="4"/>
    <x v="2"/>
    <d v="2021-10-13T00:00:00"/>
    <n v="149.99"/>
    <s v="Sep"/>
    <n v="2024"/>
    <n v="1619"/>
    <x v="5"/>
    <d v="2026-03-20T22:34:02"/>
    <s v="Low Sale"/>
    <m/>
    <n v="4749.91"/>
  </r>
  <r>
    <s v="TRX0123"/>
    <d v="2024-09-19T00:00:00"/>
    <s v="CUST041"/>
    <s v="Peter Richardson"/>
    <s v="P002"/>
    <x v="5"/>
    <s v="Electronics"/>
    <n v="4"/>
    <n v="699.99"/>
    <s v="PayPal"/>
    <x v="1"/>
    <x v="0"/>
    <d v="2022-02-26T00:00:00"/>
    <n v="2799.96"/>
    <s v="Sep"/>
    <n v="2024"/>
    <n v="1483"/>
    <x v="5"/>
    <d v="2026-03-20T22:34:02"/>
    <s v="High Sale"/>
    <m/>
    <n v="5949.85"/>
  </r>
  <r>
    <s v="TRX0177"/>
    <d v="2024-09-24T00:00:00"/>
    <s v="CUST032"/>
    <s v="Sandra Phillips"/>
    <s v="P001"/>
    <x v="4"/>
    <s v="Electronics"/>
    <n v="3"/>
    <n v="899.99"/>
    <s v="Credit Card"/>
    <x v="2"/>
    <x v="2"/>
    <d v="2023-08-19T00:00:00"/>
    <n v="2699.97"/>
    <s v="Sep"/>
    <n v="2024"/>
    <n v="944"/>
    <x v="5"/>
    <d v="2026-03-20T22:34:02"/>
    <s v="High Sale"/>
    <m/>
    <n v="6349.83"/>
  </r>
  <r>
    <s v="TRX0119"/>
    <d v="2024-09-25T00:00:00"/>
    <s v="CUST014"/>
    <s v="Linda Martin"/>
    <s v="P008"/>
    <x v="2"/>
    <s v="Furniture"/>
    <n v="3"/>
    <n v="149.99"/>
    <s v="PayPal"/>
    <x v="4"/>
    <x v="0"/>
    <d v="2022-11-21T00:00:00"/>
    <n v="449.97"/>
    <s v="Sep"/>
    <n v="2024"/>
    <n v="1215"/>
    <x v="5"/>
    <d v="2026-03-20T22:34:02"/>
    <s v="Low Sale"/>
    <m/>
    <n v="1289.9000000000001"/>
  </r>
  <r>
    <s v="TRX0181"/>
    <d v="2024-09-28T00:00:00"/>
    <s v="CUST012"/>
    <s v="Patricia Moore"/>
    <s v="P007"/>
    <x v="6"/>
    <s v="Furniture"/>
    <n v="2"/>
    <n v="299.99"/>
    <s v="Debit Card"/>
    <x v="0"/>
    <x v="0"/>
    <d v="2022-01-08T00:00:00"/>
    <n v="599.98"/>
    <s v="Sep"/>
    <n v="2024"/>
    <n v="1532"/>
    <x v="5"/>
    <d v="2026-03-20T22:34:02"/>
    <s v="Low Sale"/>
    <m/>
    <n v="9799.73"/>
  </r>
  <r>
    <s v="TRX0129"/>
    <d v="2024-09-29T00:00:00"/>
    <s v="CUST015"/>
    <s v="Richard Lee"/>
    <s v="P006"/>
    <x v="9"/>
    <s v="Furniture"/>
    <n v="1"/>
    <n v="199.99"/>
    <s v="Debit Card"/>
    <x v="4"/>
    <x v="2"/>
    <d v="2023-01-27T00:00:00"/>
    <n v="199.99"/>
    <s v="Sep"/>
    <n v="2024"/>
    <n v="1148"/>
    <x v="5"/>
    <d v="2026-03-20T22:34:02"/>
    <s v="Low Sale"/>
    <m/>
    <n v="739.93000000000006"/>
  </r>
  <r>
    <s v="TRX0174"/>
    <d v="2024-10-01T00:00:00"/>
    <s v="CUST003"/>
    <s v="Michael Brown"/>
    <s v="P007"/>
    <x v="6"/>
    <s v="Furniture"/>
    <n v="4"/>
    <n v="299.99"/>
    <s v="Cash"/>
    <x v="0"/>
    <x v="1"/>
    <d v="2021-09-21T00:00:00"/>
    <n v="1199.96"/>
    <s v="Oct"/>
    <n v="2024"/>
    <n v="1641"/>
    <x v="6"/>
    <d v="2026-03-20T22:34:02"/>
    <s v="High Sale"/>
    <m/>
    <n v="6169.7400000000007"/>
  </r>
  <r>
    <s v="TRX0146"/>
    <d v="2024-10-07T00:00:00"/>
    <s v="CUST010"/>
    <s v="Maria Garcia"/>
    <s v="P005"/>
    <x v="1"/>
    <s v="Appliances"/>
    <n v="2"/>
    <n v="59.99"/>
    <s v="Credit Card"/>
    <x v="0"/>
    <x v="0"/>
    <d v="2022-01-18T00:00:00"/>
    <n v="119.98"/>
    <s v="Oct"/>
    <n v="2024"/>
    <n v="1522"/>
    <x v="6"/>
    <d v="2026-03-20T22:34:02"/>
    <s v="Low Sale"/>
    <m/>
    <n v="1909.93"/>
  </r>
  <r>
    <s v="TRX0203"/>
    <d v="2024-10-07T00:00:00"/>
    <s v="CUST032"/>
    <s v="Sandra Phillips"/>
    <s v="P003"/>
    <x v="3"/>
    <s v="Electronics"/>
    <n v="4"/>
    <n v="149.99"/>
    <s v="Credit Card"/>
    <x v="2"/>
    <x v="1"/>
    <d v="2023-05-30T00:00:00"/>
    <n v="599.96"/>
    <s v="Oct"/>
    <n v="2024"/>
    <n v="1025"/>
    <x v="6"/>
    <d v="2026-03-20T22:34:02"/>
    <s v="Low Sale"/>
    <m/>
    <n v="6349.83"/>
  </r>
  <r>
    <s v="TRX0055"/>
    <d v="2024-10-08T00:00:00"/>
    <s v="CUST016"/>
    <s v="Elizabeth Hall"/>
    <s v="P002"/>
    <x v="5"/>
    <s v="Electronics"/>
    <n v="2"/>
    <n v="699.99"/>
    <s v="Debit Card"/>
    <x v="4"/>
    <x v="1"/>
    <d v="2023-12-14T00:00:00"/>
    <n v="1399.98"/>
    <s v="Oct"/>
    <n v="2024"/>
    <n v="827"/>
    <x v="6"/>
    <d v="2026-03-20T22:34:02"/>
    <s v="High Sale"/>
    <m/>
    <n v="3649.8599999999997"/>
  </r>
  <r>
    <s v="TRX0218"/>
    <d v="2024-10-08T00:00:00"/>
    <s v="CUST034"/>
    <s v="Carol Evans"/>
    <s v="P008"/>
    <x v="2"/>
    <s v="Furniture"/>
    <n v="3"/>
    <n v="149.99"/>
    <s v="Credit Card"/>
    <x v="1"/>
    <x v="2"/>
    <d v="2023-01-14T00:00:00"/>
    <n v="449.97"/>
    <s v="Oct"/>
    <n v="2024"/>
    <n v="1161"/>
    <x v="6"/>
    <d v="2026-03-20T22:34:02"/>
    <s v="Low Sale"/>
    <m/>
    <n v="1149.93"/>
  </r>
  <r>
    <s v="TRX0085"/>
    <d v="2024-10-11T00:00:00"/>
    <s v="CUST019"/>
    <s v="Daniel King"/>
    <s v="P007"/>
    <x v="6"/>
    <s v="Furniture"/>
    <n v="3"/>
    <n v="299.99"/>
    <s v="Credit Card"/>
    <x v="0"/>
    <x v="2"/>
    <d v="2023-09-05T00:00:00"/>
    <n v="899.97"/>
    <s v="Oct"/>
    <n v="2024"/>
    <n v="927"/>
    <x v="6"/>
    <d v="2026-03-20T22:34:02"/>
    <s v="Low Sale"/>
    <m/>
    <n v="7309.7999999999993"/>
  </r>
  <r>
    <s v="TRX0158"/>
    <d v="2024-10-14T00:00:00"/>
    <s v="CUST027"/>
    <s v="George Adams"/>
    <s v="P001"/>
    <x v="4"/>
    <s v="Electronics"/>
    <n v="3"/>
    <n v="899.99"/>
    <s v="PayPal"/>
    <x v="3"/>
    <x v="0"/>
    <d v="2023-10-16T00:00:00"/>
    <n v="2699.97"/>
    <s v="Oct"/>
    <n v="2024"/>
    <n v="886"/>
    <x v="6"/>
    <d v="2026-03-20T22:34:02"/>
    <s v="High Sale"/>
    <m/>
    <n v="3779.93"/>
  </r>
  <r>
    <s v="TRX0173"/>
    <d v="2024-10-16T00:00:00"/>
    <s v="CUST018"/>
    <s v="Barbara Young"/>
    <s v="P002"/>
    <x v="5"/>
    <s v="Electronics"/>
    <n v="5"/>
    <n v="699.99"/>
    <s v="Cash"/>
    <x v="4"/>
    <x v="2"/>
    <d v="2023-03-23T00:00:00"/>
    <n v="3499.95"/>
    <s v="Oct"/>
    <n v="2024"/>
    <n v="1093"/>
    <x v="6"/>
    <d v="2026-03-20T22:34:02"/>
    <s v="High Sale"/>
    <m/>
    <n v="10649.8"/>
  </r>
  <r>
    <s v="TRX0034"/>
    <d v="2024-10-16T00:00:00"/>
    <s v="CUST049"/>
    <s v="Raymond Ross"/>
    <s v="P002"/>
    <x v="5"/>
    <s v="Electronics"/>
    <n v="4"/>
    <n v="699.99"/>
    <s v="Credit Card"/>
    <x v="0"/>
    <x v="0"/>
    <d v="2024-04-03T00:00:00"/>
    <n v="2799.96"/>
    <s v="Oct"/>
    <n v="2024"/>
    <n v="716"/>
    <x v="6"/>
    <d v="2026-03-20T22:34:02"/>
    <s v="High Sale"/>
    <m/>
    <n v="3669.8500000000004"/>
  </r>
  <r>
    <s v="TRX0189"/>
    <d v="2024-10-16T00:00:00"/>
    <s v="CUST040"/>
    <s v="Sharon Butler"/>
    <s v="P001"/>
    <x v="4"/>
    <s v="Electronics"/>
    <n v="1"/>
    <n v="899.99"/>
    <s v="Credit Card"/>
    <x v="4"/>
    <x v="2"/>
    <d v="2024-03-18T00:00:00"/>
    <n v="899.99"/>
    <s v="Oct"/>
    <n v="2024"/>
    <n v="732"/>
    <x v="6"/>
    <d v="2026-03-20T22:34:02"/>
    <s v="Low Sale"/>
    <m/>
    <n v="5619.869999999999"/>
  </r>
  <r>
    <s v="TRX0190"/>
    <d v="2024-10-18T00:00:00"/>
    <s v="CUST039"/>
    <s v="Lawrence Reed"/>
    <s v="P003"/>
    <x v="3"/>
    <s v="Electronics"/>
    <n v="2"/>
    <n v="149.99"/>
    <s v="Credit Card"/>
    <x v="3"/>
    <x v="0"/>
    <d v="2022-12-21T00:00:00"/>
    <n v="299.98"/>
    <s v="Oct"/>
    <n v="2024"/>
    <n v="1185"/>
    <x v="6"/>
    <d v="2026-03-20T22:34:02"/>
    <s v="Low Sale"/>
    <m/>
    <n v="6989.7699999999986"/>
  </r>
  <r>
    <s v="TRX0079"/>
    <d v="2024-10-21T00:00:00"/>
    <s v="CUST039"/>
    <s v="Lawrence Reed"/>
    <s v="P010"/>
    <x v="8"/>
    <s v="Electronics"/>
    <n v="3"/>
    <n v="89.99"/>
    <s v="PayPal"/>
    <x v="0"/>
    <x v="0"/>
    <d v="2021-12-21T00:00:00"/>
    <n v="269.97000000000003"/>
    <s v="Oct"/>
    <n v="2024"/>
    <n v="1550"/>
    <x v="6"/>
    <d v="2026-03-20T22:34:02"/>
    <s v="Low Sale"/>
    <m/>
    <n v="6989.7699999999986"/>
  </r>
  <r>
    <s v="TRX0095"/>
    <d v="2024-10-23T00:00:00"/>
    <s v="CUST046"/>
    <s v="Kathleen Bennett"/>
    <s v="P003"/>
    <x v="3"/>
    <s v="Electronics"/>
    <n v="2"/>
    <n v="149.99"/>
    <s v="PayPal"/>
    <x v="0"/>
    <x v="0"/>
    <d v="2021-10-04T00:00:00"/>
    <n v="299.98"/>
    <s v="Oct"/>
    <n v="2024"/>
    <n v="1628"/>
    <x v="6"/>
    <d v="2026-03-20T22:34:02"/>
    <s v="Low Sale"/>
    <m/>
    <n v="4309.8099999999995"/>
  </r>
  <r>
    <s v="TRX0009"/>
    <d v="2024-10-23T00:00:00"/>
    <s v="CUST004"/>
    <s v="Sarah Davis"/>
    <s v="P002"/>
    <x v="5"/>
    <s v="Electronics"/>
    <n v="2"/>
    <n v="699.99"/>
    <s v="Cash"/>
    <x v="0"/>
    <x v="0"/>
    <d v="2023-03-07T00:00:00"/>
    <n v="1399.98"/>
    <s v="Oct"/>
    <n v="2024"/>
    <n v="1109"/>
    <x v="6"/>
    <d v="2026-03-20T22:34:02"/>
    <s v="High Sale"/>
    <m/>
    <n v="5499.8099999999995"/>
  </r>
  <r>
    <s v="TRX0167"/>
    <d v="2024-10-24T00:00:00"/>
    <s v="CUST028"/>
    <s v="Betty Campbell"/>
    <s v="P002"/>
    <x v="5"/>
    <s v="Electronics"/>
    <n v="5"/>
    <n v="699.99"/>
    <s v="Cash"/>
    <x v="2"/>
    <x v="1"/>
    <d v="2022-03-15T00:00:00"/>
    <n v="3499.95"/>
    <s v="Oct"/>
    <n v="2024"/>
    <n v="1466"/>
    <x v="6"/>
    <d v="2026-03-20T22:34:02"/>
    <s v="High Sale"/>
    <m/>
    <n v="5649.84"/>
  </r>
  <r>
    <s v="TRX0153"/>
    <d v="2024-10-27T00:00:00"/>
    <s v="CUST049"/>
    <s v="Raymond Ross"/>
    <s v="P010"/>
    <x v="8"/>
    <s v="Electronics"/>
    <n v="3"/>
    <n v="89.99"/>
    <s v="Credit Card"/>
    <x v="2"/>
    <x v="2"/>
    <d v="2022-02-23T00:00:00"/>
    <n v="269.97000000000003"/>
    <s v="Oct"/>
    <n v="2024"/>
    <n v="1486"/>
    <x v="6"/>
    <d v="2026-03-20T22:34:02"/>
    <s v="Low Sale"/>
    <m/>
    <n v="3669.8500000000004"/>
  </r>
  <r>
    <s v="TRX0057"/>
    <d v="2024-11-01T00:00:00"/>
    <s v="CUST023"/>
    <s v="Paul Baker"/>
    <s v="P009"/>
    <x v="0"/>
    <s v="Electronics"/>
    <n v="5"/>
    <n v="249.99"/>
    <s v="Credit Card"/>
    <x v="1"/>
    <x v="2"/>
    <d v="2022-11-16T00:00:00"/>
    <n v="1249.95"/>
    <s v="Nov"/>
    <n v="2024"/>
    <n v="1220"/>
    <x v="7"/>
    <d v="2026-03-20T22:34:02"/>
    <s v="High Sale"/>
    <m/>
    <n v="8309.739999999998"/>
  </r>
  <r>
    <s v="TRX0017"/>
    <d v="2024-11-04T00:00:00"/>
    <s v="CUST026"/>
    <s v="Karen Hill"/>
    <s v="P007"/>
    <x v="6"/>
    <s v="Furniture"/>
    <n v="3"/>
    <n v="299.99"/>
    <s v="Credit Card"/>
    <x v="1"/>
    <x v="2"/>
    <d v="2021-11-02T00:00:00"/>
    <n v="899.97"/>
    <s v="Nov"/>
    <n v="2024"/>
    <n v="1599"/>
    <x v="7"/>
    <d v="2026-03-20T22:34:02"/>
    <s v="Low Sale"/>
    <m/>
    <n v="8009.7699999999995"/>
  </r>
  <r>
    <s v="TRX0060"/>
    <d v="2024-11-07T00:00:00"/>
    <s v="CUST012"/>
    <s v="Patricia Moore"/>
    <s v="P010"/>
    <x v="8"/>
    <s v="Electronics"/>
    <n v="3"/>
    <n v="89.99"/>
    <s v="Credit Card"/>
    <x v="2"/>
    <x v="1"/>
    <d v="2021-08-12T00:00:00"/>
    <n v="269.97000000000003"/>
    <s v="Nov"/>
    <n v="2024"/>
    <n v="1681"/>
    <x v="7"/>
    <d v="2026-03-20T22:34:02"/>
    <s v="Low Sale"/>
    <m/>
    <n v="9799.73"/>
  </r>
  <r>
    <s v="TRX0109"/>
    <d v="2024-11-08T00:00:00"/>
    <s v="CUST010"/>
    <s v="Maria Garcia"/>
    <s v="P008"/>
    <x v="2"/>
    <s v="Furniture"/>
    <n v="2"/>
    <n v="149.99"/>
    <s v="Credit Card"/>
    <x v="3"/>
    <x v="1"/>
    <d v="2022-10-14T00:00:00"/>
    <n v="299.98"/>
    <s v="Nov"/>
    <n v="2024"/>
    <n v="1253"/>
    <x v="7"/>
    <d v="2026-03-20T22:34:02"/>
    <s v="Low Sale"/>
    <m/>
    <n v="1909.93"/>
  </r>
  <r>
    <s v="TRX0090"/>
    <d v="2024-11-09T00:00:00"/>
    <s v="CUST020"/>
    <s v="Margaret Wright"/>
    <s v="P009"/>
    <x v="0"/>
    <s v="Electronics"/>
    <n v="1"/>
    <n v="249.99"/>
    <s v="Credit Card"/>
    <x v="2"/>
    <x v="1"/>
    <d v="2022-09-24T00:00:00"/>
    <n v="249.99"/>
    <s v="Nov"/>
    <n v="2024"/>
    <n v="1273"/>
    <x v="7"/>
    <d v="2026-03-20T22:34:02"/>
    <s v="Low Sale"/>
    <m/>
    <n v="2099.88"/>
  </r>
  <r>
    <s v="TRX0035"/>
    <d v="2024-11-11T00:00:00"/>
    <s v="CUST041"/>
    <s v="Peter Richardson"/>
    <s v="P003"/>
    <x v="3"/>
    <s v="Electronics"/>
    <n v="3"/>
    <n v="149.99"/>
    <s v="Cash"/>
    <x v="2"/>
    <x v="0"/>
    <d v="2022-07-27T00:00:00"/>
    <n v="449.97"/>
    <s v="Nov"/>
    <n v="2024"/>
    <n v="1332"/>
    <x v="7"/>
    <d v="2026-03-20T22:34:02"/>
    <s v="Low Sale"/>
    <m/>
    <n v="5949.85"/>
  </r>
  <r>
    <s v="TRX0172"/>
    <d v="2024-11-11T00:00:00"/>
    <s v="CUST023"/>
    <s v="Paul Baker"/>
    <s v="P005"/>
    <x v="1"/>
    <s v="Appliances"/>
    <n v="5"/>
    <n v="59.99"/>
    <s v="PayPal"/>
    <x v="3"/>
    <x v="1"/>
    <d v="2022-05-13T00:00:00"/>
    <n v="299.95"/>
    <s v="Nov"/>
    <n v="2024"/>
    <n v="1407"/>
    <x v="7"/>
    <d v="2026-03-20T22:34:02"/>
    <s v="Low Sale"/>
    <m/>
    <n v="8309.739999999998"/>
  </r>
  <r>
    <s v="TRX0076"/>
    <d v="2024-11-11T00:00:00"/>
    <s v="CUST012"/>
    <s v="Patricia Moore"/>
    <s v="P009"/>
    <x v="0"/>
    <s v="Electronics"/>
    <n v="4"/>
    <n v="249.99"/>
    <s v="Credit Card"/>
    <x v="3"/>
    <x v="2"/>
    <d v="2022-04-08T00:00:00"/>
    <n v="999.96"/>
    <s v="Nov"/>
    <n v="2024"/>
    <n v="1442"/>
    <x v="7"/>
    <d v="2026-03-20T22:34:02"/>
    <s v="Low Sale"/>
    <m/>
    <n v="9799.73"/>
  </r>
  <r>
    <s v="TRX0210"/>
    <d v="2024-11-12T00:00:00"/>
    <s v="CUST004"/>
    <s v="Sarah Davis"/>
    <s v="P008"/>
    <x v="2"/>
    <s v="Furniture"/>
    <n v="5"/>
    <n v="149.99"/>
    <s v="PayPal"/>
    <x v="0"/>
    <x v="0"/>
    <d v="2022-12-06T00:00:00"/>
    <n v="749.95"/>
    <s v="Nov"/>
    <n v="2024"/>
    <n v="1200"/>
    <x v="7"/>
    <d v="2026-03-20T22:34:02"/>
    <s v="Low Sale"/>
    <m/>
    <n v="5499.8099999999995"/>
  </r>
  <r>
    <s v="TRX0149"/>
    <d v="2024-11-12T00:00:00"/>
    <s v="CUST027"/>
    <s v="George Adams"/>
    <s v="P005"/>
    <x v="1"/>
    <s v="Appliances"/>
    <n v="3"/>
    <n v="59.99"/>
    <s v="Debit Card"/>
    <x v="1"/>
    <x v="2"/>
    <d v="2023-11-30T00:00:00"/>
    <n v="179.97"/>
    <s v="Nov"/>
    <n v="2024"/>
    <n v="841"/>
    <x v="7"/>
    <d v="2026-03-20T22:34:02"/>
    <s v="Low Sale"/>
    <m/>
    <n v="3779.93"/>
  </r>
  <r>
    <s v="TRX0073"/>
    <d v="2024-11-17T00:00:00"/>
    <s v="CUST032"/>
    <s v="Sandra Phillips"/>
    <s v="P008"/>
    <x v="2"/>
    <s v="Furniture"/>
    <n v="5"/>
    <n v="149.99"/>
    <s v="Cash"/>
    <x v="2"/>
    <x v="0"/>
    <d v="2022-11-04T00:00:00"/>
    <n v="749.95"/>
    <s v="Nov"/>
    <n v="2024"/>
    <n v="1232"/>
    <x v="7"/>
    <d v="2026-03-20T22:34:02"/>
    <s v="Low Sale"/>
    <m/>
    <n v="6349.83"/>
  </r>
  <r>
    <s v="TRX0033"/>
    <d v="2024-11-17T00:00:00"/>
    <s v="CUST025"/>
    <s v="Mark Carter"/>
    <s v="P002"/>
    <x v="5"/>
    <s v="Electronics"/>
    <n v="2"/>
    <n v="699.99"/>
    <s v="PayPal"/>
    <x v="3"/>
    <x v="2"/>
    <d v="2022-07-28T00:00:00"/>
    <n v="1399.98"/>
    <s v="Nov"/>
    <n v="2024"/>
    <n v="1331"/>
    <x v="7"/>
    <d v="2026-03-20T22:34:02"/>
    <s v="High Sale"/>
    <m/>
    <n v="15659.65"/>
  </r>
  <r>
    <s v="TRX0160"/>
    <d v="2024-11-21T00:00:00"/>
    <s v="CUST029"/>
    <s v="Edward Mitchell"/>
    <s v="P006"/>
    <x v="9"/>
    <s v="Furniture"/>
    <n v="4"/>
    <n v="199.99"/>
    <s v="Debit Card"/>
    <x v="0"/>
    <x v="1"/>
    <d v="2021-08-19T00:00:00"/>
    <n v="799.96"/>
    <s v="Nov"/>
    <n v="2024"/>
    <n v="1674"/>
    <x v="7"/>
    <d v="2026-03-20T22:34:02"/>
    <s v="Low Sale"/>
    <m/>
    <n v="11919.769999999999"/>
  </r>
  <r>
    <s v="TRX0145"/>
    <d v="2024-11-23T00:00:00"/>
    <s v="CUST033"/>
    <s v="Frank Torres"/>
    <s v="P005"/>
    <x v="1"/>
    <s v="Appliances"/>
    <n v="1"/>
    <n v="59.99"/>
    <s v="Debit Card"/>
    <x v="3"/>
    <x v="2"/>
    <d v="2021-12-30T00:00:00"/>
    <n v="59.99"/>
    <s v="Nov"/>
    <n v="2024"/>
    <n v="1541"/>
    <x v="7"/>
    <d v="2026-03-20T22:34:02"/>
    <s v="Low Sale"/>
    <m/>
    <n v="1479.91"/>
  </r>
  <r>
    <s v="TRX0148"/>
    <d v="2024-11-23T00:00:00"/>
    <s v="CUST004"/>
    <s v="Sarah Davis"/>
    <s v="P002"/>
    <x v="5"/>
    <s v="Electronics"/>
    <n v="3"/>
    <n v="699.99"/>
    <s v="PayPal"/>
    <x v="3"/>
    <x v="2"/>
    <d v="2022-01-22T00:00:00"/>
    <n v="2099.9699999999998"/>
    <s v="Nov"/>
    <n v="2024"/>
    <n v="1518"/>
    <x v="7"/>
    <d v="2026-03-20T22:34:02"/>
    <s v="High Sale"/>
    <m/>
    <n v="5499.8099999999995"/>
  </r>
  <r>
    <s v="TRX0012"/>
    <d v="2024-11-26T00:00:00"/>
    <s v="CUST045"/>
    <s v="Douglas Watson"/>
    <s v="P009"/>
    <x v="0"/>
    <s v="Electronics"/>
    <n v="5"/>
    <n v="249.99"/>
    <s v="Credit Card"/>
    <x v="2"/>
    <x v="0"/>
    <d v="2022-11-08T00:00:00"/>
    <n v="1249.95"/>
    <s v="Nov"/>
    <n v="2024"/>
    <n v="1228"/>
    <x v="7"/>
    <d v="2026-03-20T22:34:02"/>
    <s v="High Sale"/>
    <m/>
    <n v="4829.8899999999994"/>
  </r>
  <r>
    <s v="TRX0206"/>
    <d v="2024-11-27T00:00:00"/>
    <s v="CUST014"/>
    <s v="Linda Martin"/>
    <s v="P008"/>
    <x v="2"/>
    <s v="Furniture"/>
    <n v="2"/>
    <n v="149.99"/>
    <s v="Cash"/>
    <x v="1"/>
    <x v="2"/>
    <d v="2023-06-24T00:00:00"/>
    <n v="299.98"/>
    <s v="Nov"/>
    <n v="2024"/>
    <n v="1000"/>
    <x v="7"/>
    <d v="2026-03-20T22:34:02"/>
    <s v="Low Sale"/>
    <m/>
    <n v="1289.9000000000001"/>
  </r>
  <r>
    <s v="TRX0045"/>
    <d v="2024-12-01T00:00:00"/>
    <s v="CUST021"/>
    <s v="Kevin Scott"/>
    <s v="P007"/>
    <x v="6"/>
    <s v="Furniture"/>
    <n v="3"/>
    <n v="299.99"/>
    <s v="Cash"/>
    <x v="1"/>
    <x v="1"/>
    <d v="2022-04-08T00:00:00"/>
    <n v="899.97"/>
    <s v="Dec"/>
    <n v="2024"/>
    <n v="1442"/>
    <x v="8"/>
    <d v="2026-03-20T22:34:02"/>
    <s v="Low Sale"/>
    <m/>
    <n v="3259.87"/>
  </r>
  <r>
    <s v="TRX0094"/>
    <d v="2024-12-01T00:00:00"/>
    <s v="CUST017"/>
    <s v="Charles Allen"/>
    <s v="P009"/>
    <x v="0"/>
    <s v="Electronics"/>
    <n v="5"/>
    <n v="249.99"/>
    <s v="Cash"/>
    <x v="0"/>
    <x v="1"/>
    <d v="2021-10-16T00:00:00"/>
    <n v="1249.95"/>
    <s v="Dec"/>
    <n v="2024"/>
    <n v="1616"/>
    <x v="8"/>
    <d v="2026-03-20T22:34:02"/>
    <s v="High Sale"/>
    <m/>
    <n v="5089.7300000000005"/>
  </r>
  <r>
    <s v="TRX0133"/>
    <d v="2024-12-01T00:00:00"/>
    <s v="CUST013"/>
    <s v="Joseph Jackson"/>
    <s v="P003"/>
    <x v="3"/>
    <s v="Electronics"/>
    <n v="2"/>
    <n v="149.99"/>
    <s v="Cash"/>
    <x v="1"/>
    <x v="1"/>
    <d v="2021-10-06T00:00:00"/>
    <n v="299.98"/>
    <s v="Dec"/>
    <n v="2024"/>
    <n v="1626"/>
    <x v="8"/>
    <d v="2026-03-20T22:34:02"/>
    <s v="Low Sale"/>
    <m/>
    <n v="6949.84"/>
  </r>
  <r>
    <s v="TRX0201"/>
    <d v="2024-12-01T00:00:00"/>
    <s v="CUST025"/>
    <s v="Mark Carter"/>
    <s v="P002"/>
    <x v="5"/>
    <s v="Electronics"/>
    <n v="5"/>
    <n v="699.99"/>
    <s v="Debit Card"/>
    <x v="3"/>
    <x v="2"/>
    <d v="2023-01-18T00:00:00"/>
    <n v="3499.95"/>
    <s v="Dec"/>
    <n v="2024"/>
    <n v="1157"/>
    <x v="8"/>
    <d v="2026-03-20T22:34:02"/>
    <s v="High Sale"/>
    <m/>
    <n v="15659.65"/>
  </r>
  <r>
    <s v="TRX0137"/>
    <d v="2024-12-03T00:00:00"/>
    <s v="CUST011"/>
    <s v="William White"/>
    <s v="P009"/>
    <x v="0"/>
    <s v="Electronics"/>
    <n v="4"/>
    <n v="249.99"/>
    <s v="PayPal"/>
    <x v="4"/>
    <x v="1"/>
    <d v="2023-06-21T00:00:00"/>
    <n v="999.96"/>
    <s v="Dec"/>
    <n v="2024"/>
    <n v="1003"/>
    <x v="8"/>
    <d v="2026-03-20T22:34:02"/>
    <s v="Low Sale"/>
    <m/>
    <n v="4749.91"/>
  </r>
  <r>
    <s v="TRX0066"/>
    <d v="2024-12-04T00:00:00"/>
    <s v="CUST024"/>
    <s v="Dorothy Nelson"/>
    <s v="P002"/>
    <x v="5"/>
    <s v="Electronics"/>
    <n v="4"/>
    <n v="699.99"/>
    <s v="Credit Card"/>
    <x v="2"/>
    <x v="1"/>
    <d v="2022-05-22T00:00:00"/>
    <n v="2799.96"/>
    <s v="Dec"/>
    <n v="2024"/>
    <n v="1398"/>
    <x v="8"/>
    <d v="2026-03-20T22:34:02"/>
    <s v="High Sale"/>
    <m/>
    <n v="8269.7900000000009"/>
  </r>
  <r>
    <s v="TRX0180"/>
    <d v="2024-12-09T00:00:00"/>
    <s v="CUST036"/>
    <s v="Nancy Collins"/>
    <s v="P009"/>
    <x v="0"/>
    <s v="Electronics"/>
    <n v="2"/>
    <n v="249.99"/>
    <s v="Credit Card"/>
    <x v="0"/>
    <x v="1"/>
    <d v="2021-07-19T00:00:00"/>
    <n v="499.98"/>
    <s v="Dec"/>
    <n v="2024"/>
    <n v="1705"/>
    <x v="8"/>
    <d v="2026-03-20T22:34:02"/>
    <s v="Low Sale"/>
    <m/>
    <n v="4189.7700000000004"/>
  </r>
  <r>
    <s v="TRX0082"/>
    <d v="2024-12-09T00:00:00"/>
    <s v="CUST005"/>
    <s v="James Johnson"/>
    <s v="P005"/>
    <x v="1"/>
    <s v="Appliances"/>
    <n v="3"/>
    <n v="59.99"/>
    <s v="Cash"/>
    <x v="0"/>
    <x v="1"/>
    <d v="2023-05-06T00:00:00"/>
    <n v="179.97"/>
    <s v="Dec"/>
    <n v="2024"/>
    <n v="1049"/>
    <x v="8"/>
    <d v="2026-03-20T22:34:02"/>
    <s v="Low Sale"/>
    <m/>
    <n v="179.97"/>
  </r>
  <r>
    <s v="TRX0036"/>
    <d v="2024-12-09T00:00:00"/>
    <s v="CUST008"/>
    <s v="Jennifer Taylor"/>
    <s v="P004"/>
    <x v="7"/>
    <s v="Appliances"/>
    <n v="4"/>
    <n v="79.989999999999995"/>
    <s v="Debit Card"/>
    <x v="4"/>
    <x v="2"/>
    <d v="2022-12-26T00:00:00"/>
    <n v="319.95999999999998"/>
    <s v="Dec"/>
    <n v="2024"/>
    <n v="1180"/>
    <x v="8"/>
    <d v="2026-03-20T22:34:02"/>
    <s v="Low Sale"/>
    <m/>
    <n v="4739.8500000000004"/>
  </r>
  <r>
    <s v="TRX0198"/>
    <d v="2024-12-10T00:00:00"/>
    <s v="CUST030"/>
    <s v="Helen Roberts"/>
    <s v="P004"/>
    <x v="7"/>
    <s v="Appliances"/>
    <n v="3"/>
    <n v="79.989999999999995"/>
    <s v="Debit Card"/>
    <x v="4"/>
    <x v="2"/>
    <d v="2022-08-06T00:00:00"/>
    <n v="239.97"/>
    <s v="Dec"/>
    <n v="2024"/>
    <n v="1322"/>
    <x v="8"/>
    <d v="2026-03-20T22:34:02"/>
    <s v="Low Sale"/>
    <m/>
    <n v="6459.79"/>
  </r>
  <r>
    <s v="TRX0032"/>
    <d v="2024-12-12T00:00:00"/>
    <s v="CUST041"/>
    <s v="Peter Richardson"/>
    <s v="P001"/>
    <x v="4"/>
    <s v="Electronics"/>
    <n v="2"/>
    <n v="899.99"/>
    <s v="Cash"/>
    <x v="2"/>
    <x v="0"/>
    <d v="2021-07-29T00:00:00"/>
    <n v="1799.98"/>
    <s v="Dec"/>
    <n v="2024"/>
    <n v="1695"/>
    <x v="8"/>
    <d v="2026-03-20T22:34:02"/>
    <s v="High Sale"/>
    <m/>
    <n v="5949.85"/>
  </r>
  <r>
    <s v="TRX0081"/>
    <d v="2024-12-15T00:00:00"/>
    <s v="CUST007"/>
    <s v="David Martinez"/>
    <s v="P008"/>
    <x v="2"/>
    <s v="Furniture"/>
    <n v="1"/>
    <n v="149.99"/>
    <s v="Debit Card"/>
    <x v="4"/>
    <x v="2"/>
    <d v="2023-10-01T00:00:00"/>
    <n v="149.99"/>
    <s v="Dec"/>
    <n v="2024"/>
    <n v="901"/>
    <x v="8"/>
    <d v="2026-03-20T22:34:02"/>
    <s v="Low Sale"/>
    <m/>
    <n v="1809.84"/>
  </r>
  <r>
    <s v="TRX0224"/>
    <d v="2024-12-15T00:00:00"/>
    <s v="CUST031"/>
    <s v="Steven Turner"/>
    <s v="P007"/>
    <x v="6"/>
    <s v="Furniture"/>
    <n v="2"/>
    <n v="299.99"/>
    <s v="Cash"/>
    <x v="4"/>
    <x v="1"/>
    <d v="2022-06-12T00:00:00"/>
    <n v="599.98"/>
    <s v="Dec"/>
    <n v="2024"/>
    <n v="1377"/>
    <x v="8"/>
    <d v="2026-03-20T22:34:02"/>
    <s v="Low Sale"/>
    <m/>
    <n v="2649.83"/>
  </r>
  <r>
    <s v="TRX0028"/>
    <d v="2024-12-18T00:00:00"/>
    <s v="CUST002"/>
    <s v="Emma Wilson"/>
    <s v="P005"/>
    <x v="1"/>
    <s v="Appliances"/>
    <n v="2"/>
    <n v="59.99"/>
    <s v="Cash"/>
    <x v="3"/>
    <x v="0"/>
    <d v="2023-09-22T00:00:00"/>
    <n v="119.98"/>
    <s v="Dec"/>
    <n v="2024"/>
    <n v="910"/>
    <x v="8"/>
    <d v="2026-03-20T22:34:02"/>
    <s v="Low Sale"/>
    <m/>
    <n v="1229.8800000000001"/>
  </r>
  <r>
    <s v="TRX0183"/>
    <d v="2024-12-19T00:00:00"/>
    <s v="CUST007"/>
    <s v="David Martinez"/>
    <s v="P010"/>
    <x v="8"/>
    <s v="Electronics"/>
    <n v="1"/>
    <n v="89.99"/>
    <s v="Debit Card"/>
    <x v="0"/>
    <x v="2"/>
    <d v="2022-07-18T00:00:00"/>
    <n v="89.99"/>
    <s v="Dec"/>
    <n v="2024"/>
    <n v="1341"/>
    <x v="8"/>
    <d v="2026-03-20T22:34:02"/>
    <s v="Low Sale"/>
    <m/>
    <n v="1809.84"/>
  </r>
  <r>
    <s v="TRX0163"/>
    <d v="2024-12-19T00:00:00"/>
    <s v="CUST019"/>
    <s v="Daniel King"/>
    <s v="P001"/>
    <x v="4"/>
    <s v="Electronics"/>
    <n v="5"/>
    <n v="899.99"/>
    <s v="Debit Card"/>
    <x v="4"/>
    <x v="2"/>
    <d v="2022-03-05T00:00:00"/>
    <n v="4499.95"/>
    <s v="Dec"/>
    <n v="2024"/>
    <n v="1476"/>
    <x v="8"/>
    <d v="2026-03-20T22:34:02"/>
    <s v="High Sale"/>
    <m/>
    <n v="7309.7999999999993"/>
  </r>
  <r>
    <s v="TRX0046"/>
    <d v="2024-12-20T00:00:00"/>
    <s v="CUST003"/>
    <s v="Michael Brown"/>
    <s v="P008"/>
    <x v="2"/>
    <s v="Furniture"/>
    <n v="2"/>
    <n v="149.99"/>
    <s v="Cash"/>
    <x v="1"/>
    <x v="0"/>
    <d v="2023-11-09T00:00:00"/>
    <n v="299.98"/>
    <s v="Dec"/>
    <n v="2024"/>
    <n v="862"/>
    <x v="8"/>
    <d v="2026-03-20T22:34:02"/>
    <s v="Low Sale"/>
    <m/>
    <n v="6169.7400000000007"/>
  </r>
  <r>
    <s v="TRX0164"/>
    <d v="2024-12-22T00:00:00"/>
    <s v="CUST014"/>
    <s v="Linda Martin"/>
    <s v="P003"/>
    <x v="3"/>
    <s v="Electronics"/>
    <n v="2"/>
    <n v="149.99"/>
    <s v="Debit Card"/>
    <x v="3"/>
    <x v="1"/>
    <d v="2023-12-20T00:00:00"/>
    <n v="299.98"/>
    <s v="Dec"/>
    <n v="2024"/>
    <n v="821"/>
    <x v="8"/>
    <d v="2026-03-20T22:34:02"/>
    <s v="Low Sale"/>
    <m/>
    <n v="1289.9000000000001"/>
  </r>
  <r>
    <s v="TRX0008"/>
    <d v="2024-12-22T00:00:00"/>
    <s v="CUST007"/>
    <s v="David Martinez"/>
    <s v="P008"/>
    <x v="2"/>
    <s v="Furniture"/>
    <n v="3"/>
    <n v="149.99"/>
    <s v="Debit Card"/>
    <x v="2"/>
    <x v="2"/>
    <d v="2021-11-22T00:00:00"/>
    <n v="449.97"/>
    <s v="Dec"/>
    <n v="2024"/>
    <n v="1579"/>
    <x v="8"/>
    <d v="2026-03-20T22:34:02"/>
    <s v="Low Sale"/>
    <m/>
    <n v="1809.84"/>
  </r>
  <r>
    <s v="TRX0171"/>
    <d v="2024-12-23T00:00:00"/>
    <s v="CUST021"/>
    <s v="Kevin Scott"/>
    <s v="P007"/>
    <x v="6"/>
    <s v="Furniture"/>
    <n v="2"/>
    <n v="299.99"/>
    <s v="PayPal"/>
    <x v="1"/>
    <x v="0"/>
    <d v="2022-06-09T00:00:00"/>
    <n v="599.98"/>
    <s v="Dec"/>
    <n v="2024"/>
    <n v="1380"/>
    <x v="8"/>
    <d v="2026-03-20T22:34:02"/>
    <s v="Low Sale"/>
    <m/>
    <n v="3259.87"/>
  </r>
  <r>
    <s v="TRX0143"/>
    <d v="2024-12-28T00:00:00"/>
    <s v="CUST003"/>
    <s v="Michael Brown"/>
    <s v="P007"/>
    <x v="6"/>
    <s v="Furniture"/>
    <n v="2"/>
    <n v="299.99"/>
    <s v="Cash"/>
    <x v="3"/>
    <x v="0"/>
    <d v="2022-07-29T00:00:00"/>
    <n v="599.98"/>
    <s v="Dec"/>
    <n v="2024"/>
    <n v="1330"/>
    <x v="8"/>
    <d v="2026-03-20T22:34:02"/>
    <s v="Low Sale"/>
    <m/>
    <n v="6169.7400000000007"/>
  </r>
  <r>
    <s v="TRX0165"/>
    <d v="2024-12-28T00:00:00"/>
    <s v="CUST030"/>
    <s v="Helen Roberts"/>
    <s v="P006"/>
    <x v="9"/>
    <s v="Furniture"/>
    <n v="4"/>
    <n v="199.99"/>
    <s v="Credit Card"/>
    <x v="0"/>
    <x v="0"/>
    <d v="2021-11-23T00:00:00"/>
    <n v="799.96"/>
    <s v="Dec"/>
    <n v="2024"/>
    <n v="1578"/>
    <x v="8"/>
    <d v="2026-03-20T22:34:02"/>
    <s v="Low Sale"/>
    <m/>
    <n v="6459.79"/>
  </r>
  <r>
    <s v="TRX0156"/>
    <d v="2024-12-29T00:00:00"/>
    <s v="CUST009"/>
    <s v="Robert Thomas"/>
    <s v="P010"/>
    <x v="8"/>
    <s v="Electronics"/>
    <n v="1"/>
    <n v="89.99"/>
    <s v="Credit Card"/>
    <x v="1"/>
    <x v="1"/>
    <d v="2022-01-30T00:00:00"/>
    <n v="89.99"/>
    <s v="Dec"/>
    <n v="2024"/>
    <n v="1510"/>
    <x v="8"/>
    <d v="2026-03-20T22:34:02"/>
    <s v="Low Sale"/>
    <m/>
    <n v="3509.8999999999996"/>
  </r>
  <r>
    <s v="TRX0147"/>
    <d v="2024-12-29T00:00:00"/>
    <s v="CUST036"/>
    <s v="Nancy Collins"/>
    <s v="P008"/>
    <x v="2"/>
    <s v="Furniture"/>
    <n v="5"/>
    <n v="149.99"/>
    <s v="Cash"/>
    <x v="0"/>
    <x v="1"/>
    <d v="2024-02-25T00:00:00"/>
    <n v="749.95"/>
    <s v="Dec"/>
    <n v="2024"/>
    <n v="754"/>
    <x v="8"/>
    <d v="2026-03-20T22:34:02"/>
    <s v="Low Sale"/>
    <m/>
    <n v="4189.7700000000004"/>
  </r>
  <r>
    <s v="TRX0207"/>
    <d v="2024-12-31T00:00:00"/>
    <s v="CUST025"/>
    <s v="Mark Carter"/>
    <s v="P001"/>
    <x v="4"/>
    <s v="Electronics"/>
    <n v="1"/>
    <n v="899.99"/>
    <s v="PayPal"/>
    <x v="2"/>
    <x v="1"/>
    <d v="2023-05-04T00:00:00"/>
    <n v="899.99"/>
    <s v="Dec"/>
    <n v="2024"/>
    <n v="1051"/>
    <x v="8"/>
    <d v="2026-03-20T22:34:02"/>
    <s v="Low Sale"/>
    <m/>
    <n v="15659.65"/>
  </r>
  <r>
    <s v="TRX0056"/>
    <d v="2025-01-03T00:00:00"/>
    <s v="CUST019"/>
    <s v="Daniel King"/>
    <s v="P010"/>
    <x v="8"/>
    <s v="Electronics"/>
    <n v="2"/>
    <n v="89.99"/>
    <s v="Credit Card"/>
    <x v="1"/>
    <x v="1"/>
    <d v="2022-01-03T00:00:00"/>
    <n v="179.98"/>
    <s v="Jan"/>
    <n v="2025"/>
    <n v="1537"/>
    <x v="9"/>
    <d v="2026-03-20T22:34:02"/>
    <s v="Low Sale"/>
    <m/>
    <n v="7309.7999999999993"/>
  </r>
  <r>
    <s v="TRX0026"/>
    <d v="2025-01-04T00:00:00"/>
    <s v="CUST037"/>
    <s v="Arthur Edwards"/>
    <s v="P001"/>
    <x v="4"/>
    <s v="Electronics"/>
    <n v="1"/>
    <n v="899.99"/>
    <s v="PayPal"/>
    <x v="2"/>
    <x v="2"/>
    <d v="2022-07-10T00:00:00"/>
    <n v="899.99"/>
    <s v="Jan"/>
    <n v="2025"/>
    <n v="1349"/>
    <x v="9"/>
    <d v="2026-03-20T22:34:02"/>
    <s v="Low Sale"/>
    <m/>
    <n v="1559.94"/>
  </r>
  <r>
    <s v="TRX0237"/>
    <d v="2025-01-06T00:00:00"/>
    <s v="CUST006"/>
    <s v="Lisa Anderson"/>
    <s v="P003"/>
    <x v="3"/>
    <s v="Electronics"/>
    <n v="5"/>
    <n v="149.99"/>
    <s v="PayPal"/>
    <x v="4"/>
    <x v="1"/>
    <d v="2022-09-20T00:00:00"/>
    <n v="749.95"/>
    <s v="Jan"/>
    <n v="2025"/>
    <n v="1277"/>
    <x v="9"/>
    <d v="2026-03-20T22:34:02"/>
    <s v="Low Sale"/>
    <m/>
    <n v="2039.8000000000002"/>
  </r>
  <r>
    <s v="TRX0091"/>
    <d v="2025-01-06T00:00:00"/>
    <s v="CUST003"/>
    <s v="Michael Brown"/>
    <s v="P007"/>
    <x v="6"/>
    <s v="Furniture"/>
    <n v="3"/>
    <n v="299.99"/>
    <s v="Cash"/>
    <x v="1"/>
    <x v="2"/>
    <d v="2021-08-14T00:00:00"/>
    <n v="899.97"/>
    <s v="Jan"/>
    <n v="2025"/>
    <n v="1679"/>
    <x v="9"/>
    <d v="2026-03-20T22:34:02"/>
    <s v="Low Sale"/>
    <m/>
    <n v="6169.7400000000007"/>
  </r>
  <r>
    <s v="TRX0125"/>
    <d v="2025-01-09T00:00:00"/>
    <s v="CUST026"/>
    <s v="Karen Hill"/>
    <s v="P002"/>
    <x v="5"/>
    <s v="Electronics"/>
    <n v="3"/>
    <n v="699.99"/>
    <s v="Credit Card"/>
    <x v="0"/>
    <x v="1"/>
    <d v="2023-06-28T00:00:00"/>
    <n v="2099.9699999999998"/>
    <s v="Jan"/>
    <n v="2025"/>
    <n v="996"/>
    <x v="9"/>
    <d v="2026-03-20T22:34:02"/>
    <s v="High Sale"/>
    <m/>
    <n v="8009.7699999999995"/>
  </r>
  <r>
    <s v="TRX0223"/>
    <d v="2025-01-10T00:00:00"/>
    <s v="CUST036"/>
    <s v="Nancy Collins"/>
    <s v="P006"/>
    <x v="9"/>
    <s v="Furniture"/>
    <n v="5"/>
    <n v="199.99"/>
    <s v="PayPal"/>
    <x v="0"/>
    <x v="2"/>
    <d v="2022-03-13T00:00:00"/>
    <n v="999.95"/>
    <s v="Jan"/>
    <n v="2025"/>
    <n v="1468"/>
    <x v="9"/>
    <d v="2026-03-20T22:34:02"/>
    <s v="Low Sale"/>
    <m/>
    <n v="4189.7700000000004"/>
  </r>
  <r>
    <s v="TRX0243"/>
    <d v="2025-01-10T00:00:00"/>
    <s v="CUST048"/>
    <s v="Virginia Sanders"/>
    <s v="P009"/>
    <x v="0"/>
    <s v="Electronics"/>
    <n v="5"/>
    <n v="249.99"/>
    <s v="Credit Card"/>
    <x v="1"/>
    <x v="0"/>
    <d v="2024-02-08T00:00:00"/>
    <n v="1249.95"/>
    <s v="Jan"/>
    <n v="2025"/>
    <n v="771"/>
    <x v="9"/>
    <d v="2026-03-20T22:34:02"/>
    <s v="High Sale"/>
    <m/>
    <n v="4789.7900000000009"/>
  </r>
  <r>
    <s v="TRX0084"/>
    <d v="2025-01-11T00:00:00"/>
    <s v="CUST031"/>
    <s v="Steven Turner"/>
    <s v="P003"/>
    <x v="3"/>
    <s v="Electronics"/>
    <n v="4"/>
    <n v="149.99"/>
    <s v="Debit Card"/>
    <x v="4"/>
    <x v="2"/>
    <d v="2021-12-06T00:00:00"/>
    <n v="599.96"/>
    <s v="Jan"/>
    <n v="2025"/>
    <n v="1565"/>
    <x v="9"/>
    <d v="2026-03-20T22:34:02"/>
    <s v="Low Sale"/>
    <m/>
    <n v="2649.83"/>
  </r>
  <r>
    <s v="TRX0238"/>
    <d v="2025-01-11T00:00:00"/>
    <s v="CUST038"/>
    <s v="Michelle Rogers"/>
    <s v="P002"/>
    <x v="5"/>
    <s v="Electronics"/>
    <n v="3"/>
    <n v="699.99"/>
    <s v="Cash"/>
    <x v="2"/>
    <x v="1"/>
    <d v="2022-02-10T00:00:00"/>
    <n v="2099.9699999999998"/>
    <s v="Jan"/>
    <n v="2025"/>
    <n v="1499"/>
    <x v="9"/>
    <d v="2026-03-20T22:34:02"/>
    <s v="High Sale"/>
    <m/>
    <n v="4199.9399999999996"/>
  </r>
  <r>
    <s v="TRX0102"/>
    <d v="2025-01-13T00:00:00"/>
    <s v="CUST045"/>
    <s v="Douglas Watson"/>
    <s v="P004"/>
    <x v="7"/>
    <s v="Appliances"/>
    <n v="1"/>
    <n v="79.989999999999995"/>
    <s v="Credit Card"/>
    <x v="1"/>
    <x v="0"/>
    <d v="2024-01-31T00:00:00"/>
    <n v="79.989999999999995"/>
    <s v="Jan"/>
    <n v="2025"/>
    <n v="779"/>
    <x v="9"/>
    <d v="2026-03-20T22:34:02"/>
    <s v="Low Sale"/>
    <m/>
    <n v="4829.8899999999994"/>
  </r>
  <r>
    <s v="TRX0022"/>
    <d v="2025-01-13T00:00:00"/>
    <s v="CUST025"/>
    <s v="Mark Carter"/>
    <s v="P007"/>
    <x v="6"/>
    <s v="Furniture"/>
    <n v="1"/>
    <n v="299.99"/>
    <s v="Credit Card"/>
    <x v="2"/>
    <x v="0"/>
    <d v="2021-08-28T00:00:00"/>
    <n v="299.99"/>
    <s v="Jan"/>
    <n v="2025"/>
    <n v="1665"/>
    <x v="9"/>
    <d v="2026-03-20T22:34:02"/>
    <s v="Low Sale"/>
    <m/>
    <n v="15659.65"/>
  </r>
  <r>
    <s v="TRX0087"/>
    <d v="2025-01-14T00:00:00"/>
    <s v="CUST028"/>
    <s v="Betty Campbell"/>
    <s v="P009"/>
    <x v="0"/>
    <s v="Electronics"/>
    <n v="4"/>
    <n v="249.99"/>
    <s v="Credit Card"/>
    <x v="2"/>
    <x v="1"/>
    <d v="2021-09-21T00:00:00"/>
    <n v="999.96"/>
    <s v="Jan"/>
    <n v="2025"/>
    <n v="1641"/>
    <x v="9"/>
    <d v="2026-03-20T22:34:02"/>
    <s v="Low Sale"/>
    <m/>
    <n v="5649.84"/>
  </r>
  <r>
    <s v="TRX0107"/>
    <d v="2025-01-14T00:00:00"/>
    <s v="CUST030"/>
    <s v="Helen Roberts"/>
    <s v="P003"/>
    <x v="3"/>
    <s v="Electronics"/>
    <n v="2"/>
    <n v="149.99"/>
    <s v="Cash"/>
    <x v="2"/>
    <x v="2"/>
    <d v="2022-12-18T00:00:00"/>
    <n v="299.98"/>
    <s v="Jan"/>
    <n v="2025"/>
    <n v="1188"/>
    <x v="9"/>
    <d v="2026-03-20T22:34:02"/>
    <s v="Low Sale"/>
    <m/>
    <n v="6459.79"/>
  </r>
  <r>
    <s v="TRX0051"/>
    <d v="2025-01-14T00:00:00"/>
    <s v="CUST032"/>
    <s v="Sandra Phillips"/>
    <s v="P007"/>
    <x v="6"/>
    <s v="Furniture"/>
    <n v="3"/>
    <n v="299.99"/>
    <s v="Credit Card"/>
    <x v="1"/>
    <x v="0"/>
    <d v="2023-10-05T00:00:00"/>
    <n v="899.97"/>
    <s v="Jan"/>
    <n v="2025"/>
    <n v="897"/>
    <x v="9"/>
    <d v="2026-03-20T22:34:02"/>
    <s v="Low Sale"/>
    <m/>
    <n v="6349.83"/>
  </r>
  <r>
    <s v="TRX0106"/>
    <d v="2025-01-16T00:00:00"/>
    <s v="CUST039"/>
    <s v="Lawrence Reed"/>
    <s v="P006"/>
    <x v="9"/>
    <s v="Furniture"/>
    <n v="4"/>
    <n v="199.99"/>
    <s v="Debit Card"/>
    <x v="1"/>
    <x v="2"/>
    <d v="2021-12-14T00:00:00"/>
    <n v="799.96"/>
    <s v="Jan"/>
    <n v="2025"/>
    <n v="1557"/>
    <x v="9"/>
    <d v="2026-03-20T22:34:02"/>
    <s v="Low Sale"/>
    <m/>
    <n v="6989.7699999999986"/>
  </r>
  <r>
    <s v="TRX0059"/>
    <d v="2025-01-16T00:00:00"/>
    <s v="CUST016"/>
    <s v="Elizabeth Hall"/>
    <s v="P007"/>
    <x v="6"/>
    <s v="Furniture"/>
    <n v="5"/>
    <n v="299.99"/>
    <s v="Debit Card"/>
    <x v="0"/>
    <x v="0"/>
    <d v="2021-08-23T00:00:00"/>
    <n v="1499.95"/>
    <s v="Jan"/>
    <n v="2025"/>
    <n v="1670"/>
    <x v="9"/>
    <d v="2026-03-20T22:34:02"/>
    <s v="High Sale"/>
    <m/>
    <n v="3649.8599999999997"/>
  </r>
  <r>
    <s v="TRX0072"/>
    <d v="2025-01-16T00:00:00"/>
    <s v="CUST009"/>
    <s v="Robert Thomas"/>
    <s v="P008"/>
    <x v="2"/>
    <s v="Furniture"/>
    <n v="3"/>
    <n v="149.99"/>
    <s v="Credit Card"/>
    <x v="4"/>
    <x v="2"/>
    <d v="2021-07-18T00:00:00"/>
    <n v="449.97"/>
    <s v="Jan"/>
    <n v="2025"/>
    <n v="1706"/>
    <x v="9"/>
    <d v="2026-03-20T22:34:02"/>
    <s v="Low Sale"/>
    <m/>
    <n v="3509.8999999999996"/>
  </r>
  <r>
    <s v="TRX0110"/>
    <d v="2025-01-19T00:00:00"/>
    <s v="CUST006"/>
    <s v="Lisa Anderson"/>
    <s v="P005"/>
    <x v="1"/>
    <s v="Appliances"/>
    <n v="5"/>
    <n v="59.99"/>
    <s v="Debit Card"/>
    <x v="4"/>
    <x v="0"/>
    <d v="2022-03-22T00:00:00"/>
    <n v="299.95"/>
    <s v="Jan"/>
    <n v="2025"/>
    <n v="1459"/>
    <x v="9"/>
    <d v="2026-03-20T22:34:02"/>
    <s v="Low Sale"/>
    <m/>
    <n v="2039.8000000000002"/>
  </r>
  <r>
    <s v="TRX0126"/>
    <d v="2025-01-25T00:00:00"/>
    <s v="CUST022"/>
    <s v="Susan Green"/>
    <s v="P005"/>
    <x v="1"/>
    <s v="Appliances"/>
    <n v="4"/>
    <n v="59.99"/>
    <s v="Debit Card"/>
    <x v="4"/>
    <x v="2"/>
    <d v="2022-01-03T00:00:00"/>
    <n v="239.96"/>
    <s v="Jan"/>
    <n v="2025"/>
    <n v="1537"/>
    <x v="9"/>
    <d v="2026-03-20T22:34:02"/>
    <s v="Low Sale"/>
    <m/>
    <n v="1979.89"/>
  </r>
  <r>
    <s v="TRX0159"/>
    <d v="2025-01-26T00:00:00"/>
    <s v="CUST024"/>
    <s v="Dorothy Nelson"/>
    <s v="P009"/>
    <x v="0"/>
    <s v="Electronics"/>
    <n v="4"/>
    <n v="249.99"/>
    <s v="Debit Card"/>
    <x v="0"/>
    <x v="1"/>
    <d v="2023-10-18T00:00:00"/>
    <n v="999.96"/>
    <s v="Jan"/>
    <n v="2025"/>
    <n v="884"/>
    <x v="9"/>
    <d v="2026-03-20T22:34:02"/>
    <s v="Low Sale"/>
    <m/>
    <n v="8269.7900000000009"/>
  </r>
  <r>
    <s v="TRX0030"/>
    <d v="2025-01-29T00:00:00"/>
    <s v="CUST011"/>
    <s v="William White"/>
    <s v="P001"/>
    <x v="4"/>
    <s v="Electronics"/>
    <n v="4"/>
    <n v="899.99"/>
    <s v="PayPal"/>
    <x v="0"/>
    <x v="0"/>
    <d v="2022-06-22T00:00:00"/>
    <n v="3599.96"/>
    <s v="Jan"/>
    <n v="2025"/>
    <n v="1367"/>
    <x v="9"/>
    <d v="2026-03-20T22:34:02"/>
    <s v="High Sale"/>
    <m/>
    <n v="4749.91"/>
  </r>
  <r>
    <s v="TRX0178"/>
    <d v="2025-01-29T00:00:00"/>
    <s v="CUST025"/>
    <s v="Mark Carter"/>
    <s v="P007"/>
    <x v="6"/>
    <s v="Furniture"/>
    <n v="3"/>
    <n v="299.99"/>
    <s v="Debit Card"/>
    <x v="3"/>
    <x v="2"/>
    <d v="2023-01-26T00:00:00"/>
    <n v="899.97"/>
    <s v="Jan"/>
    <n v="2025"/>
    <n v="1149"/>
    <x v="9"/>
    <d v="2026-03-20T22:34:02"/>
    <s v="Low Sale"/>
    <m/>
    <n v="15659.65"/>
  </r>
  <r>
    <s v="TRX0188"/>
    <d v="2025-01-29T00:00:00"/>
    <s v="CUST045"/>
    <s v="Douglas Watson"/>
    <s v="P002"/>
    <x v="5"/>
    <s v="Electronics"/>
    <n v="2"/>
    <n v="699.99"/>
    <s v="Debit Card"/>
    <x v="0"/>
    <x v="1"/>
    <d v="2022-04-30T00:00:00"/>
    <n v="1399.98"/>
    <s v="Jan"/>
    <n v="2025"/>
    <n v="1420"/>
    <x v="9"/>
    <d v="2026-03-20T22:34:02"/>
    <s v="High Sale"/>
    <m/>
    <n v="4829.8899999999994"/>
  </r>
  <r>
    <s v="TRX0010"/>
    <d v="2025-01-31T00:00:00"/>
    <s v="CUST026"/>
    <s v="Karen Hill"/>
    <s v="P002"/>
    <x v="5"/>
    <s v="Electronics"/>
    <n v="4"/>
    <n v="699.99"/>
    <s v="Debit Card"/>
    <x v="3"/>
    <x v="1"/>
    <d v="2022-05-11T00:00:00"/>
    <n v="2799.96"/>
    <s v="Jan"/>
    <n v="2025"/>
    <n v="1409"/>
    <x v="9"/>
    <d v="2026-03-20T22:34:02"/>
    <s v="High Sale"/>
    <m/>
    <n v="8009.7699999999995"/>
  </r>
  <r>
    <s v="TRX0069"/>
    <d v="2025-01-31T00:00:00"/>
    <s v="CUST029"/>
    <s v="Edward Mitchell"/>
    <s v="P010"/>
    <x v="8"/>
    <s v="Electronics"/>
    <n v="2"/>
    <n v="89.99"/>
    <s v="Debit Card"/>
    <x v="1"/>
    <x v="0"/>
    <d v="2022-08-04T00:00:00"/>
    <n v="179.98"/>
    <s v="Jan"/>
    <n v="2025"/>
    <n v="1324"/>
    <x v="9"/>
    <d v="2026-03-20T22:34:02"/>
    <s v="Low Sale"/>
    <m/>
    <n v="11919.769999999999"/>
  </r>
  <r>
    <s v="TRX0166"/>
    <d v="2025-01-31T00:00:00"/>
    <s v="CUST003"/>
    <s v="Michael Brown"/>
    <s v="P010"/>
    <x v="8"/>
    <s v="Electronics"/>
    <n v="3"/>
    <n v="89.99"/>
    <s v="Debit Card"/>
    <x v="1"/>
    <x v="1"/>
    <d v="2024-01-16T00:00:00"/>
    <n v="269.97000000000003"/>
    <s v="Jan"/>
    <n v="2025"/>
    <n v="794"/>
    <x v="9"/>
    <d v="2026-03-20T22:34:02"/>
    <s v="Low Sale"/>
    <m/>
    <n v="6169.7400000000007"/>
  </r>
  <r>
    <s v="TRX0219"/>
    <d v="2025-02-04T00:00:00"/>
    <s v="CUST037"/>
    <s v="Arthur Edwards"/>
    <s v="P005"/>
    <x v="1"/>
    <s v="Appliances"/>
    <n v="1"/>
    <n v="59.99"/>
    <s v="Debit Card"/>
    <x v="0"/>
    <x v="2"/>
    <d v="2023-04-29T00:00:00"/>
    <n v="59.99"/>
    <s v="Feb"/>
    <n v="2025"/>
    <n v="1056"/>
    <x v="10"/>
    <d v="2026-03-20T22:34:02"/>
    <s v="Low Sale"/>
    <m/>
    <n v="1559.94"/>
  </r>
  <r>
    <s v="TRX0024"/>
    <d v="2025-02-07T00:00:00"/>
    <s v="CUST042"/>
    <s v="Ruth Brooks"/>
    <s v="P008"/>
    <x v="2"/>
    <s v="Furniture"/>
    <n v="3"/>
    <n v="149.99"/>
    <s v="Debit Card"/>
    <x v="2"/>
    <x v="1"/>
    <d v="2022-01-03T00:00:00"/>
    <n v="449.97"/>
    <s v="Feb"/>
    <n v="2025"/>
    <n v="1537"/>
    <x v="10"/>
    <d v="2026-03-20T22:34:02"/>
    <s v="Low Sale"/>
    <m/>
    <n v="1749.92"/>
  </r>
  <r>
    <s v="TRX0105"/>
    <d v="2025-02-07T00:00:00"/>
    <s v="CUST048"/>
    <s v="Virginia Sanders"/>
    <s v="P007"/>
    <x v="6"/>
    <s v="Furniture"/>
    <n v="5"/>
    <n v="299.99"/>
    <s v="Credit Card"/>
    <x v="1"/>
    <x v="0"/>
    <d v="2023-02-02T00:00:00"/>
    <n v="1499.95"/>
    <s v="Feb"/>
    <n v="2025"/>
    <n v="1142"/>
    <x v="10"/>
    <d v="2026-03-20T22:34:02"/>
    <s v="High Sale"/>
    <m/>
    <n v="4789.7900000000009"/>
  </r>
  <r>
    <s v="TRX0011"/>
    <d v="2025-02-08T00:00:00"/>
    <s v="CUST040"/>
    <s v="Sharon Butler"/>
    <s v="P005"/>
    <x v="1"/>
    <s v="Appliances"/>
    <n v="5"/>
    <n v="59.99"/>
    <s v="Debit Card"/>
    <x v="0"/>
    <x v="2"/>
    <d v="2023-09-08T00:00:00"/>
    <n v="299.95"/>
    <s v="Feb"/>
    <n v="2025"/>
    <n v="924"/>
    <x v="10"/>
    <d v="2026-03-20T22:34:02"/>
    <s v="Low Sale"/>
    <m/>
    <n v="5619.869999999999"/>
  </r>
  <r>
    <s v="TRX0187"/>
    <d v="2025-02-13T00:00:00"/>
    <s v="CUST036"/>
    <s v="Nancy Collins"/>
    <s v="P004"/>
    <x v="7"/>
    <s v="Appliances"/>
    <n v="3"/>
    <n v="79.989999999999995"/>
    <s v="Cash"/>
    <x v="4"/>
    <x v="1"/>
    <d v="2021-08-28T00:00:00"/>
    <n v="239.97"/>
    <s v="Feb"/>
    <n v="2025"/>
    <n v="1665"/>
    <x v="10"/>
    <d v="2026-03-20T22:34:02"/>
    <s v="Low Sale"/>
    <m/>
    <n v="4189.7700000000004"/>
  </r>
  <r>
    <s v="TRX0089"/>
    <d v="2025-02-16T00:00:00"/>
    <s v="CUST021"/>
    <s v="Kevin Scott"/>
    <s v="P006"/>
    <x v="9"/>
    <s v="Furniture"/>
    <n v="3"/>
    <n v="199.99"/>
    <s v="Cash"/>
    <x v="0"/>
    <x v="0"/>
    <d v="2022-06-23T00:00:00"/>
    <n v="599.97"/>
    <s v="Feb"/>
    <n v="2025"/>
    <n v="1366"/>
    <x v="10"/>
    <d v="2026-03-20T22:34:02"/>
    <s v="Low Sale"/>
    <m/>
    <n v="3259.87"/>
  </r>
  <r>
    <s v="TRX0196"/>
    <d v="2025-02-16T00:00:00"/>
    <s v="CUST023"/>
    <s v="Paul Baker"/>
    <s v="P010"/>
    <x v="8"/>
    <s v="Electronics"/>
    <n v="2"/>
    <n v="89.99"/>
    <s v="PayPal"/>
    <x v="0"/>
    <x v="0"/>
    <d v="2023-11-27T00:00:00"/>
    <n v="179.98"/>
    <s v="Feb"/>
    <n v="2025"/>
    <n v="844"/>
    <x v="10"/>
    <d v="2026-03-20T22:34:02"/>
    <s v="Low Sale"/>
    <m/>
    <n v="8309.739999999998"/>
  </r>
  <r>
    <s v="TRX0118"/>
    <d v="2025-02-17T00:00:00"/>
    <s v="CUST015"/>
    <s v="Richard Lee"/>
    <s v="P008"/>
    <x v="2"/>
    <s v="Furniture"/>
    <n v="2"/>
    <n v="149.99"/>
    <s v="Cash"/>
    <x v="1"/>
    <x v="1"/>
    <d v="2022-06-16T00:00:00"/>
    <n v="299.98"/>
    <s v="Feb"/>
    <n v="2025"/>
    <n v="1373"/>
    <x v="10"/>
    <d v="2026-03-20T22:34:02"/>
    <s v="Low Sale"/>
    <m/>
    <n v="739.93000000000006"/>
  </r>
  <r>
    <s v="TRX0179"/>
    <d v="2025-02-19T00:00:00"/>
    <s v="CUST029"/>
    <s v="Edward Mitchell"/>
    <s v="P002"/>
    <x v="5"/>
    <s v="Electronics"/>
    <n v="5"/>
    <n v="699.99"/>
    <s v="PayPal"/>
    <x v="1"/>
    <x v="1"/>
    <d v="2024-03-01T00:00:00"/>
    <n v="3499.95"/>
    <s v="Feb"/>
    <n v="2025"/>
    <n v="749"/>
    <x v="10"/>
    <d v="2026-03-20T22:34:02"/>
    <s v="High Sale"/>
    <m/>
    <n v="11919.769999999999"/>
  </r>
  <r>
    <s v="TRX0168"/>
    <d v="2025-02-19T00:00:00"/>
    <s v="CUST003"/>
    <s v="Michael Brown"/>
    <s v="P008"/>
    <x v="2"/>
    <s v="Furniture"/>
    <n v="3"/>
    <n v="149.99"/>
    <s v="PayPal"/>
    <x v="0"/>
    <x v="2"/>
    <d v="2022-03-13T00:00:00"/>
    <n v="449.97"/>
    <s v="Feb"/>
    <n v="2025"/>
    <n v="1468"/>
    <x v="10"/>
    <d v="2026-03-20T22:34:02"/>
    <s v="Low Sale"/>
    <m/>
    <n v="6169.7400000000007"/>
  </r>
  <r>
    <s v="TRX0214"/>
    <d v="2025-02-20T00:00:00"/>
    <s v="CUST018"/>
    <s v="Barbara Young"/>
    <s v="P001"/>
    <x v="4"/>
    <s v="Electronics"/>
    <n v="3"/>
    <n v="899.99"/>
    <s v="Cash"/>
    <x v="4"/>
    <x v="2"/>
    <d v="2022-02-21T00:00:00"/>
    <n v="2699.97"/>
    <s v="Feb"/>
    <n v="2025"/>
    <n v="1488"/>
    <x v="10"/>
    <d v="2026-03-20T22:34:02"/>
    <s v="High Sale"/>
    <m/>
    <n v="10649.8"/>
  </r>
  <r>
    <s v="TRX0221"/>
    <d v="2025-02-20T00:00:00"/>
    <s v="CUST033"/>
    <s v="Frank Torres"/>
    <s v="P006"/>
    <x v="9"/>
    <s v="Furniture"/>
    <n v="3"/>
    <n v="199.99"/>
    <s v="Cash"/>
    <x v="3"/>
    <x v="1"/>
    <d v="2022-09-19T00:00:00"/>
    <n v="599.97"/>
    <s v="Feb"/>
    <n v="2025"/>
    <n v="1278"/>
    <x v="10"/>
    <d v="2026-03-20T22:34:02"/>
    <s v="Low Sale"/>
    <m/>
    <n v="1479.91"/>
  </r>
  <r>
    <s v="TRX0083"/>
    <d v="2025-02-22T00:00:00"/>
    <s v="CUST017"/>
    <s v="Charles Allen"/>
    <s v="P007"/>
    <x v="6"/>
    <s v="Furniture"/>
    <n v="5"/>
    <n v="299.99"/>
    <s v="Cash"/>
    <x v="3"/>
    <x v="2"/>
    <d v="2023-08-04T00:00:00"/>
    <n v="1499.95"/>
    <s v="Feb"/>
    <n v="2025"/>
    <n v="959"/>
    <x v="10"/>
    <d v="2026-03-20T22:34:02"/>
    <s v="High Sale"/>
    <m/>
    <n v="5089.7300000000005"/>
  </r>
  <r>
    <s v="TRX0151"/>
    <d v="2025-02-22T00:00:00"/>
    <s v="CUST040"/>
    <s v="Sharon Butler"/>
    <s v="P002"/>
    <x v="5"/>
    <s v="Electronics"/>
    <n v="1"/>
    <n v="699.99"/>
    <s v="PayPal"/>
    <x v="3"/>
    <x v="0"/>
    <d v="2023-01-08T00:00:00"/>
    <n v="699.99"/>
    <s v="Feb"/>
    <n v="2025"/>
    <n v="1167"/>
    <x v="10"/>
    <d v="2026-03-20T22:34:02"/>
    <s v="Low Sale"/>
    <m/>
    <n v="5619.869999999999"/>
  </r>
  <r>
    <s v="TRX0047"/>
    <d v="2025-02-23T00:00:00"/>
    <s v="CUST042"/>
    <s v="Ruth Brooks"/>
    <s v="P002"/>
    <x v="5"/>
    <s v="Electronics"/>
    <n v="1"/>
    <n v="699.99"/>
    <s v="Cash"/>
    <x v="2"/>
    <x v="1"/>
    <d v="2022-01-22T00:00:00"/>
    <n v="699.99"/>
    <s v="Feb"/>
    <n v="2025"/>
    <n v="1518"/>
    <x v="10"/>
    <d v="2026-03-20T22:34:02"/>
    <s v="Low Sale"/>
    <m/>
    <n v="1749.92"/>
  </r>
  <r>
    <s v="TRX0200"/>
    <d v="2025-02-23T00:00:00"/>
    <s v="CUST037"/>
    <s v="Arthur Edwards"/>
    <s v="P008"/>
    <x v="2"/>
    <s v="Furniture"/>
    <n v="4"/>
    <n v="149.99"/>
    <s v="PayPal"/>
    <x v="2"/>
    <x v="1"/>
    <d v="2021-08-04T00:00:00"/>
    <n v="599.96"/>
    <s v="Feb"/>
    <n v="2025"/>
    <n v="1689"/>
    <x v="10"/>
    <d v="2026-03-20T22:34:02"/>
    <s v="Low Sale"/>
    <m/>
    <n v="1559.94"/>
  </r>
  <r>
    <s v="TRX0062"/>
    <d v="2025-02-23T00:00:00"/>
    <s v="CUST016"/>
    <s v="Elizabeth Hall"/>
    <s v="P010"/>
    <x v="8"/>
    <s v="Electronics"/>
    <n v="5"/>
    <n v="89.99"/>
    <s v="PayPal"/>
    <x v="3"/>
    <x v="1"/>
    <d v="2023-08-02T00:00:00"/>
    <n v="449.95"/>
    <s v="Feb"/>
    <n v="2025"/>
    <n v="961"/>
    <x v="10"/>
    <d v="2026-03-20T22:34:02"/>
    <s v="Low Sale"/>
    <m/>
    <n v="3649.8599999999997"/>
  </r>
  <r>
    <s v="TRX0182"/>
    <d v="2025-02-24T00:00:00"/>
    <s v="CUST031"/>
    <s v="Steven Turner"/>
    <s v="P006"/>
    <x v="9"/>
    <s v="Furniture"/>
    <n v="2"/>
    <n v="199.99"/>
    <s v="Cash"/>
    <x v="0"/>
    <x v="1"/>
    <d v="2022-01-12T00:00:00"/>
    <n v="399.98"/>
    <s v="Feb"/>
    <n v="2025"/>
    <n v="1528"/>
    <x v="10"/>
    <d v="2026-03-20T22:34:02"/>
    <s v="Low Sale"/>
    <m/>
    <n v="2649.83"/>
  </r>
  <r>
    <s v="TRX0229"/>
    <d v="2025-02-27T00:00:00"/>
    <s v="CUST015"/>
    <s v="Richard Lee"/>
    <s v="P005"/>
    <x v="1"/>
    <s v="Appliances"/>
    <n v="4"/>
    <n v="59.99"/>
    <s v="Cash"/>
    <x v="3"/>
    <x v="2"/>
    <d v="2023-05-24T00:00:00"/>
    <n v="239.96"/>
    <s v="Feb"/>
    <n v="2025"/>
    <n v="1031"/>
    <x v="10"/>
    <d v="2026-03-20T22:34:02"/>
    <s v="Low Sale"/>
    <m/>
    <n v="739.93000000000006"/>
  </r>
  <r>
    <s v="TRX0048"/>
    <d v="2025-02-27T00:00:00"/>
    <s v="CUST048"/>
    <s v="Virginia Sanders"/>
    <s v="P007"/>
    <x v="6"/>
    <s v="Furniture"/>
    <n v="2"/>
    <n v="299.99"/>
    <s v="PayPal"/>
    <x v="1"/>
    <x v="0"/>
    <d v="2022-01-15T00:00:00"/>
    <n v="599.98"/>
    <s v="Feb"/>
    <n v="2025"/>
    <n v="1525"/>
    <x v="10"/>
    <d v="2026-03-20T22:34:02"/>
    <s v="Low Sale"/>
    <m/>
    <n v="4789.7900000000009"/>
  </r>
  <r>
    <s v="TRX0227"/>
    <d v="2025-03-02T00:00:00"/>
    <s v="CUST017"/>
    <s v="Charles Allen"/>
    <s v="P008"/>
    <x v="2"/>
    <s v="Furniture"/>
    <n v="2"/>
    <n v="149.99"/>
    <s v="Cash"/>
    <x v="0"/>
    <x v="0"/>
    <d v="2023-05-22T00:00:00"/>
    <n v="299.98"/>
    <s v="Mar"/>
    <n v="2025"/>
    <n v="1033"/>
    <x v="11"/>
    <d v="2026-03-20T22:34:02"/>
    <s v="Low Sale"/>
    <m/>
    <n v="5089.7300000000005"/>
  </r>
  <r>
    <s v="TRX0226"/>
    <d v="2025-03-04T00:00:00"/>
    <s v="CUST039"/>
    <s v="Lawrence Reed"/>
    <s v="P002"/>
    <x v="5"/>
    <s v="Electronics"/>
    <n v="5"/>
    <n v="699.99"/>
    <s v="Debit Card"/>
    <x v="4"/>
    <x v="1"/>
    <d v="2023-08-23T00:00:00"/>
    <n v="3499.95"/>
    <s v="Mar"/>
    <n v="2025"/>
    <n v="940"/>
    <x v="11"/>
    <d v="2026-03-20T22:34:02"/>
    <s v="High Sale"/>
    <m/>
    <n v="6989.7699999999986"/>
  </r>
  <r>
    <s v="TRX0053"/>
    <d v="2025-03-05T00:00:00"/>
    <s v="CUST043"/>
    <s v="Dennis Gray"/>
    <s v="P005"/>
    <x v="1"/>
    <s v="Appliances"/>
    <n v="5"/>
    <n v="59.99"/>
    <s v="Cash"/>
    <x v="3"/>
    <x v="1"/>
    <d v="2023-12-31T00:00:00"/>
    <n v="299.95"/>
    <s v="Mar"/>
    <n v="2025"/>
    <n v="810"/>
    <x v="11"/>
    <d v="2026-03-20T22:34:02"/>
    <s v="Low Sale"/>
    <m/>
    <n v="479.91999999999996"/>
  </r>
  <r>
    <s v="TRX0233"/>
    <d v="2025-03-07T00:00:00"/>
    <s v="CUST023"/>
    <s v="Paul Baker"/>
    <s v="P010"/>
    <x v="8"/>
    <s v="Electronics"/>
    <n v="2"/>
    <n v="89.99"/>
    <s v="Credit Card"/>
    <x v="3"/>
    <x v="1"/>
    <d v="2024-01-04T00:00:00"/>
    <n v="179.98"/>
    <s v="Mar"/>
    <n v="2025"/>
    <n v="806"/>
    <x v="11"/>
    <d v="2026-03-20T22:34:02"/>
    <s v="Low Sale"/>
    <m/>
    <n v="8309.739999999998"/>
  </r>
  <r>
    <s v="TRX0175"/>
    <d v="2025-03-07T00:00:00"/>
    <s v="CUST030"/>
    <s v="Helen Roberts"/>
    <s v="P009"/>
    <x v="0"/>
    <s v="Electronics"/>
    <n v="5"/>
    <n v="249.99"/>
    <s v="Cash"/>
    <x v="4"/>
    <x v="2"/>
    <d v="2021-12-10T00:00:00"/>
    <n v="1249.95"/>
    <s v="Mar"/>
    <n v="2025"/>
    <n v="1561"/>
    <x v="11"/>
    <d v="2026-03-20T22:34:02"/>
    <s v="High Sale"/>
    <m/>
    <n v="6459.79"/>
  </r>
  <r>
    <s v="TRX0186"/>
    <d v="2025-03-08T00:00:00"/>
    <s v="CUST039"/>
    <s v="Lawrence Reed"/>
    <s v="P008"/>
    <x v="2"/>
    <s v="Furniture"/>
    <n v="2"/>
    <n v="149.99"/>
    <s v="PayPal"/>
    <x v="0"/>
    <x v="1"/>
    <d v="2022-03-12T00:00:00"/>
    <n v="299.98"/>
    <s v="Mar"/>
    <n v="2025"/>
    <n v="1469"/>
    <x v="11"/>
    <d v="2026-03-20T22:34:02"/>
    <s v="Low Sale"/>
    <m/>
    <n v="6989.7699999999986"/>
  </r>
  <r>
    <s v="TRX0016"/>
    <d v="2025-03-08T00:00:00"/>
    <s v="CUST035"/>
    <s v="Harry Morgan"/>
    <s v="P001"/>
    <x v="4"/>
    <s v="Electronics"/>
    <n v="5"/>
    <n v="899.99"/>
    <s v="PayPal"/>
    <x v="4"/>
    <x v="1"/>
    <d v="2024-04-07T00:00:00"/>
    <n v="4499.95"/>
    <s v="Mar"/>
    <n v="2025"/>
    <n v="712"/>
    <x v="11"/>
    <d v="2026-03-20T22:34:02"/>
    <s v="High Sale"/>
    <m/>
    <n v="5519.8899999999994"/>
  </r>
  <r>
    <s v="TRX0199"/>
    <d v="2025-03-08T00:00:00"/>
    <s v="CUST017"/>
    <s v="Charles Allen"/>
    <s v="P008"/>
    <x v="2"/>
    <s v="Furniture"/>
    <n v="4"/>
    <n v="149.99"/>
    <s v="Cash"/>
    <x v="0"/>
    <x v="2"/>
    <d v="2023-12-03T00:00:00"/>
    <n v="599.96"/>
    <s v="Mar"/>
    <n v="2025"/>
    <n v="838"/>
    <x v="11"/>
    <d v="2026-03-20T22:34:02"/>
    <s v="Low Sale"/>
    <m/>
    <n v="5089.7300000000005"/>
  </r>
  <r>
    <s v="TRX0038"/>
    <d v="2025-03-10T00:00:00"/>
    <s v="CUST035"/>
    <s v="Harry Morgan"/>
    <s v="P009"/>
    <x v="0"/>
    <s v="Electronics"/>
    <n v="1"/>
    <n v="249.99"/>
    <s v="Cash"/>
    <x v="2"/>
    <x v="2"/>
    <d v="2023-07-10T00:00:00"/>
    <n v="249.99"/>
    <s v="Mar"/>
    <n v="2025"/>
    <n v="984"/>
    <x v="11"/>
    <d v="2026-03-20T22:34:02"/>
    <s v="Low Sale"/>
    <m/>
    <n v="5519.8899999999994"/>
  </r>
  <r>
    <s v="TRX0014"/>
    <d v="2025-03-18T00:00:00"/>
    <s v="CUST033"/>
    <s v="Frank Torres"/>
    <s v="P005"/>
    <x v="1"/>
    <s v="Appliances"/>
    <n v="2"/>
    <n v="59.99"/>
    <s v="Credit Card"/>
    <x v="3"/>
    <x v="0"/>
    <d v="2023-09-24T00:00:00"/>
    <n v="119.98"/>
    <s v="Mar"/>
    <n v="2025"/>
    <n v="908"/>
    <x v="11"/>
    <d v="2026-03-20T22:34:02"/>
    <s v="Low Sale"/>
    <m/>
    <n v="1479.91"/>
  </r>
  <r>
    <s v="TRX0003"/>
    <d v="2025-03-21T00:00:00"/>
    <s v="CUST002"/>
    <s v="Emma Wilson"/>
    <s v="P008"/>
    <x v="2"/>
    <s v="Furniture"/>
    <n v="2"/>
    <n v="149.99"/>
    <s v="Cash"/>
    <x v="3"/>
    <x v="1"/>
    <d v="2023-11-03T00:00:00"/>
    <n v="299.98"/>
    <s v="Mar"/>
    <n v="2025"/>
    <n v="868"/>
    <x v="11"/>
    <d v="2026-03-20T22:34:02"/>
    <s v="Low Sale"/>
    <m/>
    <n v="1229.8800000000001"/>
  </r>
  <r>
    <s v="TRX0124"/>
    <d v="2025-03-21T00:00:00"/>
    <s v="CUST040"/>
    <s v="Sharon Butler"/>
    <s v="P001"/>
    <x v="4"/>
    <s v="Electronics"/>
    <n v="3"/>
    <n v="899.99"/>
    <s v="Debit Card"/>
    <x v="2"/>
    <x v="1"/>
    <d v="2022-11-11T00:00:00"/>
    <n v="2699.97"/>
    <s v="Mar"/>
    <n v="2025"/>
    <n v="1225"/>
    <x v="11"/>
    <d v="2026-03-20T22:34:02"/>
    <s v="High Sale"/>
    <m/>
    <n v="5619.869999999999"/>
  </r>
  <r>
    <s v="TRX0013"/>
    <d v="2025-03-21T00:00:00"/>
    <s v="CUST024"/>
    <s v="Dorothy Nelson"/>
    <s v="P001"/>
    <x v="4"/>
    <s v="Electronics"/>
    <n v="3"/>
    <n v="899.99"/>
    <s v="PayPal"/>
    <x v="2"/>
    <x v="0"/>
    <d v="2023-02-18T00:00:00"/>
    <n v="2699.97"/>
    <s v="Mar"/>
    <n v="2025"/>
    <n v="1126"/>
    <x v="11"/>
    <d v="2026-03-20T22:34:02"/>
    <s v="High Sale"/>
    <m/>
    <n v="8269.7900000000009"/>
  </r>
  <r>
    <s v="TRX0019"/>
    <d v="2025-03-23T00:00:00"/>
    <s v="CUST023"/>
    <s v="Paul Baker"/>
    <s v="P007"/>
    <x v="6"/>
    <s v="Furniture"/>
    <n v="3"/>
    <n v="299.99"/>
    <s v="Credit Card"/>
    <x v="3"/>
    <x v="1"/>
    <d v="2023-11-04T00:00:00"/>
    <n v="899.97"/>
    <s v="Mar"/>
    <n v="2025"/>
    <n v="867"/>
    <x v="11"/>
    <d v="2026-03-20T22:34:02"/>
    <s v="Low Sale"/>
    <m/>
    <n v="8309.739999999998"/>
  </r>
  <r>
    <s v="TRX0050"/>
    <d v="2025-03-24T00:00:00"/>
    <s v="CUST001"/>
    <s v="John Smith"/>
    <s v="P008"/>
    <x v="2"/>
    <s v="Furniture"/>
    <n v="4"/>
    <n v="149.99"/>
    <s v="PayPal"/>
    <x v="3"/>
    <x v="2"/>
    <d v="2021-12-30T00:00:00"/>
    <n v="599.96"/>
    <s v="Mar"/>
    <n v="2025"/>
    <n v="1541"/>
    <x v="11"/>
    <d v="2026-03-20T22:34:02"/>
    <s v="Low Sale"/>
    <m/>
    <n v="599.96"/>
  </r>
  <r>
    <s v="TRX0152"/>
    <d v="2025-03-27T00:00:00"/>
    <s v="CUST044"/>
    <s v="Cynthia Price"/>
    <s v="P004"/>
    <x v="7"/>
    <s v="Appliances"/>
    <n v="4"/>
    <n v="79.989999999999995"/>
    <s v="Credit Card"/>
    <x v="0"/>
    <x v="0"/>
    <d v="2023-12-28T00:00:00"/>
    <n v="319.95999999999998"/>
    <s v="Mar"/>
    <n v="2025"/>
    <n v="813"/>
    <x v="11"/>
    <d v="2026-03-20T22:34:02"/>
    <s v="Low Sale"/>
    <m/>
    <n v="3769.8300000000004"/>
  </r>
  <r>
    <s v="TRX0213"/>
    <d v="2025-03-29T00:00:00"/>
    <s v="CUST020"/>
    <s v="Margaret Wright"/>
    <s v="P010"/>
    <x v="8"/>
    <s v="Electronics"/>
    <n v="5"/>
    <n v="89.99"/>
    <s v="PayPal"/>
    <x v="1"/>
    <x v="0"/>
    <d v="2022-05-23T00:00:00"/>
    <n v="449.95"/>
    <s v="Mar"/>
    <n v="2025"/>
    <n v="1397"/>
    <x v="11"/>
    <d v="2026-03-20T22:34:02"/>
    <s v="Low Sale"/>
    <m/>
    <n v="2099.88"/>
  </r>
  <r>
    <s v="TRX0197"/>
    <d v="2025-03-30T00:00:00"/>
    <s v="CUST048"/>
    <s v="Virginia Sanders"/>
    <s v="P008"/>
    <x v="2"/>
    <s v="Furniture"/>
    <n v="3"/>
    <n v="149.99"/>
    <s v="PayPal"/>
    <x v="0"/>
    <x v="2"/>
    <d v="2023-09-02T00:00:00"/>
    <n v="449.97"/>
    <s v="Mar"/>
    <n v="2025"/>
    <n v="930"/>
    <x v="11"/>
    <d v="2026-03-20T22:34:02"/>
    <s v="Low Sale"/>
    <m/>
    <n v="4789.7900000000009"/>
  </r>
  <r>
    <s v="TRX0250"/>
    <d v="2025-03-30T00:00:00"/>
    <s v="CUST026"/>
    <s v="Karen Hill"/>
    <s v="P010"/>
    <x v="8"/>
    <s v="Electronics"/>
    <n v="2"/>
    <n v="89.99"/>
    <s v="Debit Card"/>
    <x v="3"/>
    <x v="1"/>
    <d v="2021-11-22T00:00:00"/>
    <n v="179.98"/>
    <s v="Mar"/>
    <n v="2025"/>
    <n v="1579"/>
    <x v="11"/>
    <d v="2026-03-20T22:34:02"/>
    <s v="Low Sale"/>
    <m/>
    <n v="8009.7699999999995"/>
  </r>
  <r>
    <s v="TRX0068"/>
    <d v="2025-04-01T00:00:00"/>
    <s v="CUST044"/>
    <s v="Cynthia Price"/>
    <s v="P002"/>
    <x v="5"/>
    <s v="Electronics"/>
    <n v="2"/>
    <n v="699.99"/>
    <s v="PayPal"/>
    <x v="2"/>
    <x v="2"/>
    <d v="2022-02-26T00:00:00"/>
    <n v="1399.98"/>
    <s v="Apr"/>
    <n v="2025"/>
    <n v="1483"/>
    <x v="12"/>
    <d v="2026-03-20T22:34:02"/>
    <s v="High Sale"/>
    <m/>
    <n v="3769.8300000000004"/>
  </r>
  <r>
    <s v="TRX0144"/>
    <d v="2025-04-02T00:00:00"/>
    <s v="CUST029"/>
    <s v="Edward Mitchell"/>
    <s v="P001"/>
    <x v="4"/>
    <s v="Electronics"/>
    <n v="3"/>
    <n v="899.99"/>
    <s v="Cash"/>
    <x v="0"/>
    <x v="2"/>
    <d v="2023-01-27T00:00:00"/>
    <n v="2699.97"/>
    <s v="Apr"/>
    <n v="2025"/>
    <n v="1148"/>
    <x v="12"/>
    <d v="2026-03-20T22:34:02"/>
    <s v="High Sale"/>
    <m/>
    <n v="11919.769999999999"/>
  </r>
  <r>
    <s v="TRX0039"/>
    <d v="2025-04-08T00:00:00"/>
    <s v="CUST048"/>
    <s v="Virginia Sanders"/>
    <s v="P004"/>
    <x v="7"/>
    <s v="Appliances"/>
    <n v="3"/>
    <n v="79.989999999999995"/>
    <s v="Credit Card"/>
    <x v="2"/>
    <x v="0"/>
    <d v="2021-11-11T00:00:00"/>
    <n v="239.97"/>
    <s v="Apr"/>
    <n v="2025"/>
    <n v="1590"/>
    <x v="12"/>
    <d v="2026-03-20T22:34:02"/>
    <s v="Low Sale"/>
    <m/>
    <n v="4789.7900000000009"/>
  </r>
  <r>
    <s v="TRX0116"/>
    <d v="2025-04-09T00:00:00"/>
    <s v="CUST009"/>
    <s v="Robert Thomas"/>
    <s v="P010"/>
    <x v="8"/>
    <s v="Electronics"/>
    <n v="1"/>
    <n v="89.99"/>
    <s v="Debit Card"/>
    <x v="4"/>
    <x v="0"/>
    <d v="2024-02-24T00:00:00"/>
    <n v="89.99"/>
    <s v="Apr"/>
    <n v="2025"/>
    <n v="755"/>
    <x v="12"/>
    <d v="2026-03-20T22:34:02"/>
    <s v="Low Sale"/>
    <m/>
    <n v="3509.8999999999996"/>
  </r>
  <r>
    <s v="TRX0120"/>
    <d v="2025-04-11T00:00:00"/>
    <s v="CUST045"/>
    <s v="Douglas Watson"/>
    <s v="P002"/>
    <x v="5"/>
    <s v="Electronics"/>
    <n v="3"/>
    <n v="699.99"/>
    <s v="PayPal"/>
    <x v="2"/>
    <x v="0"/>
    <d v="2022-12-14T00:00:00"/>
    <n v="2099.9699999999998"/>
    <s v="Apr"/>
    <n v="2025"/>
    <n v="1192"/>
    <x v="12"/>
    <d v="2026-03-20T22:34:02"/>
    <s v="High Sale"/>
    <m/>
    <n v="4829.8899999999994"/>
  </r>
  <r>
    <s v="TRX0103"/>
    <d v="2025-04-11T00:00:00"/>
    <s v="CUST039"/>
    <s v="Lawrence Reed"/>
    <s v="P010"/>
    <x v="8"/>
    <s v="Electronics"/>
    <n v="2"/>
    <n v="89.99"/>
    <s v="Debit Card"/>
    <x v="4"/>
    <x v="0"/>
    <d v="2023-06-11T00:00:00"/>
    <n v="179.98"/>
    <s v="Apr"/>
    <n v="2025"/>
    <n v="1013"/>
    <x v="12"/>
    <d v="2026-03-20T22:34:02"/>
    <s v="Low Sale"/>
    <m/>
    <n v="6989.7699999999986"/>
  </r>
  <r>
    <s v="TRX0064"/>
    <d v="2025-04-11T00:00:00"/>
    <s v="CUST031"/>
    <s v="Steven Turner"/>
    <s v="P010"/>
    <x v="8"/>
    <s v="Electronics"/>
    <n v="3"/>
    <n v="89.99"/>
    <s v="Debit Card"/>
    <x v="2"/>
    <x v="1"/>
    <d v="2022-11-13T00:00:00"/>
    <n v="269.97000000000003"/>
    <s v="Apr"/>
    <n v="2025"/>
    <n v="1223"/>
    <x v="12"/>
    <d v="2026-03-20T22:34:02"/>
    <s v="Low Sale"/>
    <m/>
    <n v="2649.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AECA7-8545-4B89-B66F-97693613FD28}"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G40" firstHeaderRow="1" firstDataRow="2" firstDataCol="1"/>
  <pivotFields count="22">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axis="axisRow" showAll="0">
      <items count="52">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x="5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Col" showAll="0">
      <items count="4">
        <item x="1"/>
        <item h="1" x="0"/>
        <item h="1" x="2"/>
        <item t="default"/>
      </items>
    </pivotField>
    <pivotField showAll="0"/>
    <pivotField showAll="0"/>
  </pivotFields>
  <rowFields count="1">
    <field x="3"/>
  </rowFields>
  <rowItems count="36">
    <i>
      <x v="1"/>
    </i>
    <i>
      <x v="2"/>
    </i>
    <i>
      <x v="4"/>
    </i>
    <i>
      <x v="5"/>
    </i>
    <i>
      <x v="6"/>
    </i>
    <i>
      <x v="9"/>
    </i>
    <i>
      <x v="10"/>
    </i>
    <i>
      <x v="11"/>
    </i>
    <i>
      <x v="12"/>
    </i>
    <i>
      <x v="15"/>
    </i>
    <i>
      <x v="16"/>
    </i>
    <i>
      <x v="17"/>
    </i>
    <i>
      <x v="18"/>
    </i>
    <i>
      <x v="20"/>
    </i>
    <i>
      <x v="22"/>
    </i>
    <i>
      <x v="24"/>
    </i>
    <i>
      <x v="25"/>
    </i>
    <i>
      <x v="27"/>
    </i>
    <i>
      <x v="30"/>
    </i>
    <i>
      <x v="31"/>
    </i>
    <i>
      <x v="32"/>
    </i>
    <i>
      <x v="33"/>
    </i>
    <i>
      <x v="34"/>
    </i>
    <i>
      <x v="35"/>
    </i>
    <i>
      <x v="36"/>
    </i>
    <i>
      <x v="37"/>
    </i>
    <i>
      <x v="38"/>
    </i>
    <i>
      <x v="39"/>
    </i>
    <i>
      <x v="41"/>
    </i>
    <i>
      <x v="43"/>
    </i>
    <i>
      <x v="44"/>
    </i>
    <i>
      <x v="45"/>
    </i>
    <i>
      <x v="47"/>
    </i>
    <i>
      <x v="48"/>
    </i>
    <i>
      <x v="49"/>
    </i>
    <i t="grand">
      <x/>
    </i>
  </rowItems>
  <colFields count="1">
    <field x="19"/>
  </colFields>
  <colItems count="2">
    <i>
      <x/>
    </i>
    <i t="grand">
      <x/>
    </i>
  </colItems>
  <dataFields count="1">
    <dataField name="Sum of Total_Amount" fld="13" baseField="0" baseItem="0"/>
  </dataFields>
  <formats count="12">
    <format dxfId="37">
      <pivotArea type="all" dataOnly="0" outline="0" fieldPosition="0"/>
    </format>
    <format dxfId="36">
      <pivotArea outline="0" collapsedLevelsAreSubtotals="1" fieldPosition="0"/>
    </format>
    <format dxfId="35">
      <pivotArea type="origin" dataOnly="0" labelOnly="1" outline="0" fieldPosition="0"/>
    </format>
    <format dxfId="34">
      <pivotArea field="19" type="button" dataOnly="0" labelOnly="1" outline="0" axis="axisCol" fieldPosition="0"/>
    </format>
    <format dxfId="33">
      <pivotArea type="topRight" dataOnly="0" labelOnly="1" outline="0" fieldPosition="0"/>
    </format>
    <format dxfId="32">
      <pivotArea field="3" type="button" dataOnly="0" labelOnly="1" outline="0" axis="axisRow" fieldPosition="0"/>
    </format>
    <format dxfId="31">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
      <pivotArea dataOnly="0" labelOnly="1" fieldPosition="0">
        <references count="1">
          <reference field="3" count="1">
            <x v="50"/>
          </reference>
        </references>
      </pivotArea>
    </format>
    <format dxfId="29">
      <pivotArea dataOnly="0" labelOnly="1" grandRow="1" outline="0" fieldPosition="0"/>
    </format>
    <format dxfId="28">
      <pivotArea dataOnly="0" labelOnly="1" fieldPosition="0">
        <references count="1">
          <reference field="19" count="0"/>
        </references>
      </pivotArea>
    </format>
    <format dxfId="27">
      <pivotArea dataOnly="0" labelOnly="1" grandCol="1" outline="0" fieldPosition="0"/>
    </format>
    <format dxfId="26">
      <pivotArea type="all" dataOnly="0" outline="0"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B5EEE9-5C75-43FF-A69A-A2D85BDFC4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9">
    <pivotField showAll="0"/>
    <pivotField numFmtId="14" showAll="0"/>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pivotField showAll="0"/>
    <pivotField showAll="0"/>
    <pivotField showAll="0"/>
    <pivotField numFmtId="22" showAll="0"/>
  </pivotFields>
  <rowFields count="1">
    <field x="3"/>
  </rowFields>
  <rowItems count="6">
    <i>
      <x v="1"/>
    </i>
    <i>
      <x v="11"/>
    </i>
    <i>
      <x v="32"/>
    </i>
    <i>
      <x v="36"/>
    </i>
    <i>
      <x v="37"/>
    </i>
    <i t="grand">
      <x/>
    </i>
  </rowItems>
  <colItems count="1">
    <i/>
  </colItems>
  <dataFields count="1">
    <dataField name="Sum of Total_Amount" fld="13" baseField="0" baseItem="0"/>
  </dataFields>
  <formats count="12">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5">
            <x v="1"/>
            <x v="11"/>
            <x v="32"/>
            <x v="36"/>
            <x v="37"/>
          </reference>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5">
            <x v="1"/>
            <x v="11"/>
            <x v="32"/>
            <x v="36"/>
            <x v="37"/>
          </reference>
        </references>
      </pivotArea>
    </format>
    <format dxfId="39">
      <pivotArea dataOnly="0" labelOnly="1" grandRow="1" outline="0" fieldPosition="0"/>
    </format>
    <format dxfId="38">
      <pivotArea dataOnly="0" labelOnly="1" outline="0" axis="axisValues" fieldPosition="0"/>
    </format>
  </formats>
  <pivotTableStyleInfo name="PivotStyleMedium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2CEF5-56DA-4297-8551-25D438F7A7C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W3:X7"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11"/>
  </rowFields>
  <rowItems count="4">
    <i>
      <x/>
    </i>
    <i>
      <x v="1"/>
    </i>
    <i>
      <x v="2"/>
    </i>
    <i t="grand">
      <x/>
    </i>
  </rowItems>
  <colItems count="1">
    <i/>
  </colItems>
  <dataFields count="1">
    <dataField name="Sum of Total_Amount" fld="13" baseField="0" baseItem="0" numFmtId="164"/>
  </dataFields>
  <formats count="12">
    <format dxfId="61">
      <pivotArea type="all" dataOnly="0" outline="0" fieldPosition="0"/>
    </format>
    <format dxfId="60">
      <pivotArea outline="0" collapsedLevelsAreSubtotals="1" fieldPosition="0"/>
    </format>
    <format dxfId="59">
      <pivotArea field="11" type="button" dataOnly="0" labelOnly="1" outline="0" axis="axisRow" fieldPosition="0"/>
    </format>
    <format dxfId="58">
      <pivotArea dataOnly="0" labelOnly="1" fieldPosition="0">
        <references count="1">
          <reference field="11"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1" type="button" dataOnly="0" labelOnly="1" outline="0" axis="axisRow" fieldPosition="0"/>
    </format>
    <format dxfId="52">
      <pivotArea dataOnly="0" labelOnly="1" fieldPosition="0">
        <references count="1">
          <reference field="11" count="0"/>
        </references>
      </pivotArea>
    </format>
    <format dxfId="51">
      <pivotArea dataOnly="0" labelOnly="1" grandRow="1" outline="0" fieldPosition="0"/>
    </format>
    <format dxfId="50">
      <pivotArea dataOnly="0" labelOnly="1" outline="0" axis="axisValues" fieldPosition="0"/>
    </format>
  </format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1" count="1" selected="0">
            <x v="0"/>
          </reference>
        </references>
      </pivotArea>
    </chartFormat>
    <chartFormat chart="10" format="15">
      <pivotArea type="data" outline="0" fieldPosition="0">
        <references count="2">
          <reference field="4294967294" count="1" selected="0">
            <x v="0"/>
          </reference>
          <reference field="11" count="1" selected="0">
            <x v="1"/>
          </reference>
        </references>
      </pivotArea>
    </chartFormat>
    <chartFormat chart="10" format="16">
      <pivotArea type="data" outline="0" fieldPosition="0">
        <references count="2">
          <reference field="4294967294" count="1" selected="0">
            <x v="0"/>
          </reference>
          <reference field="11" count="1" selected="0">
            <x v="2"/>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FF1B04-0F59-492C-8F98-88000C1564C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3:T17"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dataField="1" numFmtId="164" showAll="0"/>
    <pivotField showAll="0"/>
    <pivotField showAll="0"/>
    <pivotField showAll="0"/>
    <pivotField axis="axisRow" showAll="0">
      <items count="14">
        <item x="0"/>
        <item x="1"/>
        <item x="2"/>
        <item x="3"/>
        <item x="4"/>
        <item x="5"/>
        <item x="6"/>
        <item x="7"/>
        <item x="8"/>
        <item x="9"/>
        <item x="10"/>
        <item x="11"/>
        <item x="12"/>
        <item t="default"/>
      </items>
    </pivotField>
    <pivotField numFmtId="22" showAll="0"/>
    <pivotField showAll="0"/>
    <pivotField showAll="0"/>
    <pivotField showAll="0"/>
  </pivotFields>
  <rowFields count="1">
    <field x="17"/>
  </rowFields>
  <rowItems count="14">
    <i>
      <x/>
    </i>
    <i>
      <x v="1"/>
    </i>
    <i>
      <x v="2"/>
    </i>
    <i>
      <x v="3"/>
    </i>
    <i>
      <x v="4"/>
    </i>
    <i>
      <x v="5"/>
    </i>
    <i>
      <x v="6"/>
    </i>
    <i>
      <x v="7"/>
    </i>
    <i>
      <x v="8"/>
    </i>
    <i>
      <x v="9"/>
    </i>
    <i>
      <x v="10"/>
    </i>
    <i>
      <x v="11"/>
    </i>
    <i>
      <x v="12"/>
    </i>
    <i t="grand">
      <x/>
    </i>
  </rowItems>
  <colItems count="1">
    <i/>
  </colItems>
  <dataFields count="1">
    <dataField name="Sum of Total_Amount" fld="13" baseField="0" baseItem="0" numFmtId="164"/>
  </dataFields>
  <formats count="12">
    <format dxfId="73">
      <pivotArea type="all" dataOnly="0" outline="0" fieldPosition="0"/>
    </format>
    <format dxfId="72">
      <pivotArea outline="0" collapsedLevelsAreSubtotals="1" fieldPosition="0"/>
    </format>
    <format dxfId="71">
      <pivotArea field="17" type="button" dataOnly="0" labelOnly="1" outline="0" axis="axisRow" fieldPosition="0"/>
    </format>
    <format dxfId="70">
      <pivotArea dataOnly="0" labelOnly="1" fieldPosition="0">
        <references count="1">
          <reference field="17"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17" type="button" dataOnly="0" labelOnly="1" outline="0" axis="axisRow" fieldPosition="0"/>
    </format>
    <format dxfId="64">
      <pivotArea dataOnly="0" labelOnly="1" fieldPosition="0">
        <references count="1">
          <reference field="17" count="0"/>
        </references>
      </pivotArea>
    </format>
    <format dxfId="63">
      <pivotArea dataOnly="0" labelOnly="1" grandRow="1" outline="0" fieldPosition="0"/>
    </format>
    <format dxfId="62">
      <pivotArea dataOnly="0" labelOnly="1" outline="0" axis="axisValues" fieldPosition="0"/>
    </format>
  </formats>
  <chartFormats count="2">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586637-E251-4CF2-9BF1-5DEACE11775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3:P9"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numFmtId="164"/>
  </dataFields>
  <formats count="12">
    <format dxfId="85">
      <pivotArea type="all" dataOnly="0" outline="0" fieldPosition="0"/>
    </format>
    <format dxfId="84">
      <pivotArea outline="0" collapsedLevelsAreSubtotals="1" fieldPosition="0"/>
    </format>
    <format dxfId="83">
      <pivotArea field="10" type="button" dataOnly="0" labelOnly="1" outline="0" axis="axisRow" fieldPosition="0"/>
    </format>
    <format dxfId="82">
      <pivotArea dataOnly="0" labelOnly="1" fieldPosition="0">
        <references count="1">
          <reference field="10"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10" type="button" dataOnly="0" labelOnly="1" outline="0" axis="axisRow" fieldPosition="0"/>
    </format>
    <format dxfId="76">
      <pivotArea dataOnly="0" labelOnly="1" fieldPosition="0">
        <references count="1">
          <reference field="10" count="0"/>
        </references>
      </pivotArea>
    </format>
    <format dxfId="75">
      <pivotArea dataOnly="0" labelOnly="1" grandRow="1" outline="0" fieldPosition="0"/>
    </format>
    <format dxfId="74">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778A1-42CB-4916-A97F-503FB6FEEE2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K3:L14" firstHeaderRow="1" firstDataRow="1" firstDataCol="1"/>
  <pivotFields count="22">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items count="4">
        <item x="0"/>
        <item x="1"/>
        <item x="2"/>
        <item t="default"/>
      </items>
    </pivotField>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numFmtId="164"/>
  </dataFields>
  <formats count="12">
    <format dxfId="97">
      <pivotArea type="all" dataOnly="0" outline="0" fieldPosition="0"/>
    </format>
    <format dxfId="96">
      <pivotArea outline="0" collapsedLevelsAreSubtotals="1" fieldPosition="0"/>
    </format>
    <format dxfId="95">
      <pivotArea field="5" type="button" dataOnly="0" labelOnly="1" outline="0" axis="axisRow" fieldPosition="0"/>
    </format>
    <format dxfId="94">
      <pivotArea dataOnly="0" labelOnly="1" fieldPosition="0">
        <references count="1">
          <reference field="5"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5" type="button" dataOnly="0" labelOnly="1" outline="0" axis="axisRow" fieldPosition="0"/>
    </format>
    <format dxfId="88">
      <pivotArea dataOnly="0" labelOnly="1" fieldPosition="0">
        <references count="1">
          <reference field="5" count="0"/>
        </references>
      </pivotArea>
    </format>
    <format dxfId="87">
      <pivotArea dataOnly="0" labelOnly="1" grandRow="1" outline="0" fieldPosition="0"/>
    </format>
    <format dxfId="86">
      <pivotArea dataOnly="0" labelOnly="1" outline="0" axis="axisValues" fieldPosition="0"/>
    </format>
  </formats>
  <chartFormats count="2">
    <chartFormat chart="38"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3665376-A025-47F5-A585-00033FF3ED64}" sourceName="Product_Name">
  <pivotTables>
    <pivotTable tabId="9" name="PivotTable5"/>
  </pivotTables>
  <data>
    <tabular pivotCacheId="195236099">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AA8865-7056-4767-A95A-2BCDEBDD94B7}" sourceName="Region">
  <pivotTables>
    <pivotTable tabId="9" name="PivotTable5"/>
  </pivotTables>
  <data>
    <tabular pivotCacheId="1952360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F5CED72-D6B6-4328-A39A-8B498184FBC5}" sourceName="Customer_Segment">
  <pivotTables>
    <pivotTable tabId="9" name="PivotTable5"/>
  </pivotTables>
  <data>
    <tabular pivotCacheId="19523609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99FC3925-9454-4A3A-A2F5-15A85A6B09E8}" sourceName="Total_Amount">
  <pivotTables>
    <pivotTable tabId="9" name="PivotTable2"/>
  </pivotTables>
  <data>
    <tabular pivotCacheId="153661340">
      <items count="44">
        <i x="30" s="1"/>
        <i x="26" s="1"/>
        <i x="27" s="1"/>
        <i x="3" s="1"/>
        <i x="5" s="1"/>
        <i x="1" s="1"/>
        <i x="28" s="1"/>
        <i x="41" s="1"/>
        <i x="20" s="1"/>
        <i x="18" s="1"/>
        <i x="39" s="1"/>
        <i x="25" s="1"/>
        <i x="42" s="1"/>
        <i x="22" s="1"/>
        <i x="34" s="1"/>
        <i x="40" s="1"/>
        <i x="32" s="1"/>
        <i x="33" s="1"/>
        <i x="35" s="1"/>
        <i x="19" s="1"/>
        <i x="6" s="1"/>
        <i x="36" s="1"/>
        <i x="9" s="1"/>
        <i x="24" s="1"/>
        <i x="31" s="1"/>
        <i x="38" s="1"/>
        <i x="2" s="1"/>
        <i x="0" s="1"/>
        <i x="37" s="1"/>
        <i x="23" s="1"/>
        <i x="8" s="1"/>
        <i x="21" s="1"/>
        <i x="14" s="1"/>
        <i x="15" s="1"/>
        <i x="16" s="1"/>
        <i x="10" s="1"/>
        <i x="17" s="1"/>
        <i x="43" s="1"/>
        <i x="7" s="1"/>
        <i x="4" s="1"/>
        <i x="13" s="1"/>
        <i x="12" s="1"/>
        <i x="11"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Amount" xr10:uid="{FC7CC0AF-03A2-4CEA-A3DF-9C510D9BD2D2}" cache="Slicer_Total_Amount" caption="Total_Amount"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B32C5D88-5D19-405C-9E6B-09669F9300BB}" cache="Slicer_Product_Name" caption="Product_Name" startItem="1" style="SlicerStyleLight5" rowHeight="247650"/>
  <slicer name="Region 1" xr10:uid="{3BD94EBF-201A-46B8-84CB-0C0E830076B6}" cache="Slicer_Region" caption="Region" style="SlicerStyleLight5" rowHeight="247650"/>
  <slicer name="Customer_Segment 1" xr10:uid="{DDE29578-A278-4699-AED1-453FF575C4CA}" cache="Slicer_Customer_Segment" caption="Customer_Segment" style="SlicerStyleLight5"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2" xr10:uid="{0EFCF578-21A2-4A77-86A8-456030861C71}" cache="Slicer_Product_Name" caption="Product_Name" startItem="1" style="SlicerStyleLight5" rowHeight="247650"/>
  <slicer name="Region 2" xr10:uid="{FD39ACF3-9475-4CB7-BAAF-B61B8DE81889}" cache="Slicer_Region" caption="Region" style="SlicerStyleLight5" rowHeight="247650"/>
  <slicer name="Customer_Segment 2" xr10:uid="{6D4E1CD7-E774-41ED-92C7-C5E564B40166}" cache="Slicer_Customer_Segment" caption="Customer_Segment" style="SlicerStyleLight5" rowHeight="247650"/>
  <slicer name="Total_Amount 1" xr10:uid="{0B65A2C2-4213-48AD-B712-3D258222691B}" cache="Slicer_Total_Amount" caption="Total_Amount"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8C11CC-BC27-4484-9C59-F13B579E5B3B}" name="Table2" displayName="Table2" ref="A1:U251" totalsRowShown="0" headerRowDxfId="25" dataDxfId="23" headerRowBorderDxfId="24" tableBorderDxfId="22" totalsRowBorderDxfId="21">
  <autoFilter ref="A1:U251" xr:uid="{008C11CC-BC27-4484-9C59-F13B579E5B3B}"/>
  <tableColumns count="21">
    <tableColumn id="1" xr3:uid="{2A87D96C-D27C-437A-8779-9D7EA76C215F}" name="Transaction_ID" dataDxfId="20"/>
    <tableColumn id="2" xr3:uid="{E786DA84-3BB9-484E-8DB5-1AAA0240240C}" name="Date" dataDxfId="19"/>
    <tableColumn id="3" xr3:uid="{91D3F596-205F-43AE-8159-EF5E65C77FBE}" name="Customer_ID" dataDxfId="18"/>
    <tableColumn id="4" xr3:uid="{29259B5A-B366-4C77-B976-81D13A693A24}" name="Customer_Name" dataDxfId="17"/>
    <tableColumn id="5" xr3:uid="{C238932F-6462-4612-9E4F-DB38C23FD69C}" name="Product_ID" dataDxfId="16"/>
    <tableColumn id="6" xr3:uid="{72C75C73-602B-480C-BFE3-5C257EFB6412}" name="Product_Name" dataDxfId="15"/>
    <tableColumn id="7" xr3:uid="{B79774D6-9F54-47DB-945B-D3C85E5AE435}" name="Category" dataDxfId="14"/>
    <tableColumn id="8" xr3:uid="{E1BE7395-DED7-471E-B774-3259CBDB0FF3}" name="Quantity" dataDxfId="13"/>
    <tableColumn id="9" xr3:uid="{D89CFB08-3CF3-4F18-8947-915C55728C2A}" name="Unit_Price" dataDxfId="12"/>
    <tableColumn id="10" xr3:uid="{9A41ACF0-5393-4D76-B35E-FCBEC7F3707B}" name="Payment_Method" dataDxfId="11"/>
    <tableColumn id="11" xr3:uid="{C537FF21-A092-43B4-8C48-DA2897C67768}" name="Region" dataDxfId="10"/>
    <tableColumn id="12" xr3:uid="{F89527C7-F53E-4048-8C24-6E6CB2972AB5}" name="Customer_Segment" dataDxfId="9"/>
    <tableColumn id="13" xr3:uid="{DC2A5698-53A1-405C-81F4-BF314D5A5F4A}" name="Customer_Since" dataDxfId="8"/>
    <tableColumn id="14" xr3:uid="{B239B655-1C12-4BF4-A3E4-5162F12F0EC6}" name="Total_Amount" dataDxfId="7"/>
    <tableColumn id="15" xr3:uid="{7F64C1F7-DD27-4F35-8F5A-FFAD284EAF4F}" name="Month Extract" dataDxfId="6">
      <calculatedColumnFormula>TEXT(B2,"mmm")</calculatedColumnFormula>
    </tableColumn>
    <tableColumn id="16" xr3:uid="{94299685-96C4-464D-B769-88DB5CA92CAC}" name="Year" dataDxfId="5">
      <calculatedColumnFormula>YEAR(B2)</calculatedColumnFormula>
    </tableColumn>
    <tableColumn id="17" xr3:uid="{9C627D49-680E-4A0E-AC2B-1A27832614C4}" name="Customer Age" dataDxfId="4">
      <calculatedColumnFormula>DATEDIF(M2,TODAY(),"D")</calculatedColumnFormula>
    </tableColumn>
    <tableColumn id="18" xr3:uid="{A7EF42D7-8B81-4E91-A5EA-AE23D04B7D36}" name="Month End" dataDxfId="3">
      <calculatedColumnFormula>EOMONTH(B2,0)</calculatedColumnFormula>
    </tableColumn>
    <tableColumn id="19" xr3:uid="{3ED6B67E-B439-41F7-8E92-FA02C73747FC}" name="Timestamp" dataDxfId="2">
      <calculatedColumnFormula>NOW()</calculatedColumnFormula>
    </tableColumn>
    <tableColumn id="20" xr3:uid="{6E9CD971-30FC-4D20-917C-CB5D3A467971}" name="Sale Amount" dataDxfId="1">
      <calculatedColumnFormula>IF(N2&gt;1000,"High Sale","Low Sale")</calculatedColumnFormula>
    </tableColumn>
    <tableColumn id="21" xr3:uid="{C6983501-D628-4644-A97E-1445ABE3494D}" name="Total Spend" dataDxfId="0">
      <calculatedColumnFormula>SUMIFS($N:$N, $D:$D, D2)</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1A5AF03-E553-4E3C-94AD-D8DBA3C28EB3}" sourceName="Date">
  <pivotTables>
    <pivotTable tabId="9" name="PivotTable3"/>
  </pivotTables>
  <state minimalRefreshVersion="6" lastRefreshVersion="6" pivotCacheId="141560086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8A4E4CA-BCEF-4915-9684-0035B9C67010}" cache="NativeTimeline_Date" caption="Date" level="2" selectionLevel="2" scrollPosition="2024-01-01T00:00:00" style="TimeSlicerStyleDark5"/>
</timeline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B4A2-F682-4F0C-8ECC-0BB3F577D55E}">
  <dimension ref="A1:N251"/>
  <sheetViews>
    <sheetView workbookViewId="0">
      <selection activeCell="P1" sqref="P1"/>
    </sheetView>
  </sheetViews>
  <sheetFormatPr defaultRowHeight="14.4" x14ac:dyDescent="0.3"/>
  <cols>
    <col min="2" max="2" width="13.33203125" customWidth="1"/>
  </cols>
  <sheetData>
    <row r="1" spans="1:14" ht="43.8"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9.4" thickBot="1" x14ac:dyDescent="0.35">
      <c r="A2" s="2" t="s">
        <v>14</v>
      </c>
      <c r="B2" s="3">
        <v>45393</v>
      </c>
      <c r="C2" s="2" t="s">
        <v>15</v>
      </c>
      <c r="D2" s="2" t="s">
        <v>16</v>
      </c>
      <c r="E2" s="2" t="s">
        <v>17</v>
      </c>
      <c r="F2" s="2" t="s">
        <v>18</v>
      </c>
      <c r="G2" s="2" t="s">
        <v>19</v>
      </c>
      <c r="H2" s="4">
        <v>3</v>
      </c>
      <c r="I2" s="4">
        <v>249.99</v>
      </c>
      <c r="J2" s="2" t="s">
        <v>20</v>
      </c>
      <c r="K2" s="2" t="s">
        <v>21</v>
      </c>
      <c r="L2" s="2" t="s">
        <v>22</v>
      </c>
      <c r="M2" s="3">
        <v>44425</v>
      </c>
      <c r="N2" s="4">
        <v>749.97</v>
      </c>
    </row>
    <row r="3" spans="1:14" ht="29.4" thickBot="1" x14ac:dyDescent="0.35">
      <c r="A3" s="2" t="s">
        <v>23</v>
      </c>
      <c r="B3" s="3">
        <v>45396</v>
      </c>
      <c r="C3" s="2" t="s">
        <v>24</v>
      </c>
      <c r="D3" s="2" t="s">
        <v>25</v>
      </c>
      <c r="E3" s="2" t="s">
        <v>17</v>
      </c>
      <c r="F3" s="2" t="s">
        <v>18</v>
      </c>
      <c r="G3" s="2" t="s">
        <v>19</v>
      </c>
      <c r="H3" s="4">
        <v>3</v>
      </c>
      <c r="I3" s="4">
        <v>249.99</v>
      </c>
      <c r="J3" s="2" t="s">
        <v>26</v>
      </c>
      <c r="K3" s="2" t="s">
        <v>21</v>
      </c>
      <c r="L3" s="2" t="s">
        <v>27</v>
      </c>
      <c r="M3" s="3">
        <v>44575</v>
      </c>
      <c r="N3" s="4">
        <v>749.97</v>
      </c>
    </row>
    <row r="4" spans="1:14" ht="29.4" thickBot="1" x14ac:dyDescent="0.35">
      <c r="A4" s="2" t="s">
        <v>28</v>
      </c>
      <c r="B4" s="3">
        <v>45399</v>
      </c>
      <c r="C4" s="2" t="s">
        <v>29</v>
      </c>
      <c r="D4" s="2" t="s">
        <v>30</v>
      </c>
      <c r="E4" s="2" t="s">
        <v>31</v>
      </c>
      <c r="F4" s="2" t="s">
        <v>32</v>
      </c>
      <c r="G4" s="2" t="s">
        <v>33</v>
      </c>
      <c r="H4" s="4">
        <v>3</v>
      </c>
      <c r="I4" s="4">
        <v>59.99</v>
      </c>
      <c r="J4" s="2" t="s">
        <v>34</v>
      </c>
      <c r="K4" s="2" t="s">
        <v>35</v>
      </c>
      <c r="L4" s="2" t="s">
        <v>36</v>
      </c>
      <c r="M4" s="3">
        <v>45262</v>
      </c>
      <c r="N4" s="4">
        <v>179.97</v>
      </c>
    </row>
    <row r="5" spans="1:14" ht="29.4" thickBot="1" x14ac:dyDescent="0.35">
      <c r="A5" s="2" t="s">
        <v>37</v>
      </c>
      <c r="B5" s="3">
        <v>45400</v>
      </c>
      <c r="C5" s="2" t="s">
        <v>38</v>
      </c>
      <c r="D5" s="2" t="s">
        <v>39</v>
      </c>
      <c r="E5" s="2" t="s">
        <v>31</v>
      </c>
      <c r="F5" s="2" t="s">
        <v>32</v>
      </c>
      <c r="G5" s="2" t="s">
        <v>33</v>
      </c>
      <c r="H5" s="4">
        <v>3</v>
      </c>
      <c r="I5" s="4">
        <v>59.99</v>
      </c>
      <c r="J5" s="2" t="s">
        <v>20</v>
      </c>
      <c r="K5" s="2" t="s">
        <v>40</v>
      </c>
      <c r="L5" s="2" t="s">
        <v>27</v>
      </c>
      <c r="M5" s="3">
        <v>45114</v>
      </c>
      <c r="N5" s="4">
        <v>179.97</v>
      </c>
    </row>
    <row r="6" spans="1:14" ht="29.4" thickBot="1" x14ac:dyDescent="0.35">
      <c r="A6" s="2" t="s">
        <v>41</v>
      </c>
      <c r="B6" s="3">
        <v>45400</v>
      </c>
      <c r="C6" s="2" t="s">
        <v>42</v>
      </c>
      <c r="D6" s="2" t="s">
        <v>43</v>
      </c>
      <c r="E6" s="2" t="s">
        <v>44</v>
      </c>
      <c r="F6" s="2" t="s">
        <v>45</v>
      </c>
      <c r="G6" s="2" t="s">
        <v>46</v>
      </c>
      <c r="H6" s="4">
        <v>5</v>
      </c>
      <c r="I6" s="4">
        <v>149.99</v>
      </c>
      <c r="J6" s="2" t="s">
        <v>26</v>
      </c>
      <c r="K6" s="2" t="s">
        <v>40</v>
      </c>
      <c r="L6" s="2" t="s">
        <v>27</v>
      </c>
      <c r="M6" s="3">
        <v>45295</v>
      </c>
      <c r="N6" s="4">
        <v>749.95</v>
      </c>
    </row>
    <row r="7" spans="1:14" ht="29.4" thickBot="1" x14ac:dyDescent="0.35">
      <c r="A7" s="2" t="s">
        <v>47</v>
      </c>
      <c r="B7" s="3">
        <v>45403</v>
      </c>
      <c r="C7" s="2" t="s">
        <v>48</v>
      </c>
      <c r="D7" s="2" t="s">
        <v>49</v>
      </c>
      <c r="E7" s="2" t="s">
        <v>31</v>
      </c>
      <c r="F7" s="2" t="s">
        <v>32</v>
      </c>
      <c r="G7" s="2" t="s">
        <v>33</v>
      </c>
      <c r="H7" s="4">
        <v>2</v>
      </c>
      <c r="I7" s="4">
        <v>59.99</v>
      </c>
      <c r="J7" s="2" t="s">
        <v>20</v>
      </c>
      <c r="K7" s="2" t="s">
        <v>50</v>
      </c>
      <c r="L7" s="2" t="s">
        <v>36</v>
      </c>
      <c r="M7" s="3">
        <v>44746</v>
      </c>
      <c r="N7" s="4">
        <v>119.98</v>
      </c>
    </row>
    <row r="8" spans="1:14" ht="29.4" thickBot="1" x14ac:dyDescent="0.35">
      <c r="A8" s="2" t="s">
        <v>51</v>
      </c>
      <c r="B8" s="3">
        <v>45403</v>
      </c>
      <c r="C8" s="2" t="s">
        <v>48</v>
      </c>
      <c r="D8" s="2" t="s">
        <v>49</v>
      </c>
      <c r="E8" s="2" t="s">
        <v>52</v>
      </c>
      <c r="F8" s="2" t="s">
        <v>53</v>
      </c>
      <c r="G8" s="2" t="s">
        <v>19</v>
      </c>
      <c r="H8" s="4">
        <v>5</v>
      </c>
      <c r="I8" s="4">
        <v>149.99</v>
      </c>
      <c r="J8" s="2" t="s">
        <v>26</v>
      </c>
      <c r="K8" s="2" t="s">
        <v>21</v>
      </c>
      <c r="L8" s="2" t="s">
        <v>36</v>
      </c>
      <c r="M8" s="3">
        <v>44418</v>
      </c>
      <c r="N8" s="4">
        <v>749.95</v>
      </c>
    </row>
    <row r="9" spans="1:14" ht="29.4" thickBot="1" x14ac:dyDescent="0.35">
      <c r="A9" s="2" t="s">
        <v>54</v>
      </c>
      <c r="B9" s="3">
        <v>45403</v>
      </c>
      <c r="C9" s="2" t="s">
        <v>55</v>
      </c>
      <c r="D9" s="2" t="s">
        <v>56</v>
      </c>
      <c r="E9" s="2" t="s">
        <v>31</v>
      </c>
      <c r="F9" s="2" t="s">
        <v>32</v>
      </c>
      <c r="G9" s="2" t="s">
        <v>33</v>
      </c>
      <c r="H9" s="4">
        <v>3</v>
      </c>
      <c r="I9" s="4">
        <v>59.99</v>
      </c>
      <c r="J9" s="2" t="s">
        <v>57</v>
      </c>
      <c r="K9" s="2" t="s">
        <v>35</v>
      </c>
      <c r="L9" s="2" t="s">
        <v>22</v>
      </c>
      <c r="M9" s="3">
        <v>45007</v>
      </c>
      <c r="N9" s="4">
        <v>179.97</v>
      </c>
    </row>
    <row r="10" spans="1:14" ht="29.4" thickBot="1" x14ac:dyDescent="0.35">
      <c r="A10" s="2" t="s">
        <v>58</v>
      </c>
      <c r="B10" s="3">
        <v>45405</v>
      </c>
      <c r="C10" s="2" t="s">
        <v>59</v>
      </c>
      <c r="D10" s="2" t="s">
        <v>60</v>
      </c>
      <c r="E10" s="2" t="s">
        <v>61</v>
      </c>
      <c r="F10" s="2" t="s">
        <v>62</v>
      </c>
      <c r="G10" s="2" t="s">
        <v>19</v>
      </c>
      <c r="H10" s="4">
        <v>3</v>
      </c>
      <c r="I10" s="4">
        <v>899.99</v>
      </c>
      <c r="J10" s="2" t="s">
        <v>34</v>
      </c>
      <c r="K10" s="2" t="s">
        <v>63</v>
      </c>
      <c r="L10" s="2" t="s">
        <v>36</v>
      </c>
      <c r="M10" s="3">
        <v>45299</v>
      </c>
      <c r="N10" s="4">
        <v>2699.97</v>
      </c>
    </row>
    <row r="11" spans="1:14" ht="29.4" thickBot="1" x14ac:dyDescent="0.35">
      <c r="A11" s="2" t="s">
        <v>64</v>
      </c>
      <c r="B11" s="3">
        <v>45408</v>
      </c>
      <c r="C11" s="2" t="s">
        <v>65</v>
      </c>
      <c r="D11" s="2" t="s">
        <v>66</v>
      </c>
      <c r="E11" s="2" t="s">
        <v>31</v>
      </c>
      <c r="F11" s="2" t="s">
        <v>32</v>
      </c>
      <c r="G11" s="2" t="s">
        <v>33</v>
      </c>
      <c r="H11" s="4">
        <v>3</v>
      </c>
      <c r="I11" s="4">
        <v>59.99</v>
      </c>
      <c r="J11" s="2" t="s">
        <v>20</v>
      </c>
      <c r="K11" s="2" t="s">
        <v>50</v>
      </c>
      <c r="L11" s="2" t="s">
        <v>27</v>
      </c>
      <c r="M11" s="3">
        <v>45207</v>
      </c>
      <c r="N11" s="4">
        <v>179.97</v>
      </c>
    </row>
    <row r="12" spans="1:14" ht="29.4" thickBot="1" x14ac:dyDescent="0.35">
      <c r="A12" s="2" t="s">
        <v>67</v>
      </c>
      <c r="B12" s="3">
        <v>45408</v>
      </c>
      <c r="C12" s="2" t="s">
        <v>68</v>
      </c>
      <c r="D12" s="2" t="s">
        <v>69</v>
      </c>
      <c r="E12" s="2" t="s">
        <v>44</v>
      </c>
      <c r="F12" s="2" t="s">
        <v>45</v>
      </c>
      <c r="G12" s="2" t="s">
        <v>46</v>
      </c>
      <c r="H12" s="4">
        <v>1</v>
      </c>
      <c r="I12" s="4">
        <v>149.99</v>
      </c>
      <c r="J12" s="2" t="s">
        <v>26</v>
      </c>
      <c r="K12" s="2" t="s">
        <v>50</v>
      </c>
      <c r="L12" s="2" t="s">
        <v>36</v>
      </c>
      <c r="M12" s="3">
        <v>45103</v>
      </c>
      <c r="N12" s="4">
        <v>149.99</v>
      </c>
    </row>
    <row r="13" spans="1:14" ht="29.4" thickBot="1" x14ac:dyDescent="0.35">
      <c r="A13" s="2" t="s">
        <v>70</v>
      </c>
      <c r="B13" s="3">
        <v>45408</v>
      </c>
      <c r="C13" s="2" t="s">
        <v>38</v>
      </c>
      <c r="D13" s="2" t="s">
        <v>39</v>
      </c>
      <c r="E13" s="2" t="s">
        <v>44</v>
      </c>
      <c r="F13" s="2" t="s">
        <v>45</v>
      </c>
      <c r="G13" s="2" t="s">
        <v>46</v>
      </c>
      <c r="H13" s="4">
        <v>5</v>
      </c>
      <c r="I13" s="4">
        <v>149.99</v>
      </c>
      <c r="J13" s="2" t="s">
        <v>57</v>
      </c>
      <c r="K13" s="2" t="s">
        <v>40</v>
      </c>
      <c r="L13" s="2" t="s">
        <v>22</v>
      </c>
      <c r="M13" s="3">
        <v>44830</v>
      </c>
      <c r="N13" s="4">
        <v>749.95</v>
      </c>
    </row>
    <row r="14" spans="1:14" ht="43.8" thickBot="1" x14ac:dyDescent="0.35">
      <c r="A14" s="2" t="s">
        <v>71</v>
      </c>
      <c r="B14" s="3">
        <v>45408</v>
      </c>
      <c r="C14" s="2" t="s">
        <v>72</v>
      </c>
      <c r="D14" s="2" t="s">
        <v>73</v>
      </c>
      <c r="E14" s="2" t="s">
        <v>44</v>
      </c>
      <c r="F14" s="2" t="s">
        <v>45</v>
      </c>
      <c r="G14" s="2" t="s">
        <v>46</v>
      </c>
      <c r="H14" s="4">
        <v>3</v>
      </c>
      <c r="I14" s="4">
        <v>149.99</v>
      </c>
      <c r="J14" s="2" t="s">
        <v>20</v>
      </c>
      <c r="K14" s="2" t="s">
        <v>40</v>
      </c>
      <c r="L14" s="2" t="s">
        <v>27</v>
      </c>
      <c r="M14" s="3">
        <v>44806</v>
      </c>
      <c r="N14" s="4">
        <v>449.97</v>
      </c>
    </row>
    <row r="15" spans="1:14" ht="29.4" thickBot="1" x14ac:dyDescent="0.35">
      <c r="A15" s="2" t="s">
        <v>74</v>
      </c>
      <c r="B15" s="3">
        <v>45409</v>
      </c>
      <c r="C15" s="2" t="s">
        <v>75</v>
      </c>
      <c r="D15" s="2" t="s">
        <v>76</v>
      </c>
      <c r="E15" s="2" t="s">
        <v>31</v>
      </c>
      <c r="F15" s="2" t="s">
        <v>32</v>
      </c>
      <c r="G15" s="2" t="s">
        <v>33</v>
      </c>
      <c r="H15" s="4">
        <v>3</v>
      </c>
      <c r="I15" s="4">
        <v>59.99</v>
      </c>
      <c r="J15" s="2" t="s">
        <v>26</v>
      </c>
      <c r="K15" s="2" t="s">
        <v>40</v>
      </c>
      <c r="L15" s="2" t="s">
        <v>36</v>
      </c>
      <c r="M15" s="3">
        <v>45351</v>
      </c>
      <c r="N15" s="4">
        <v>179.97</v>
      </c>
    </row>
    <row r="16" spans="1:14" ht="29.4" thickBot="1" x14ac:dyDescent="0.35">
      <c r="A16" s="2" t="s">
        <v>77</v>
      </c>
      <c r="B16" s="3">
        <v>45409</v>
      </c>
      <c r="C16" s="2" t="s">
        <v>78</v>
      </c>
      <c r="D16" s="2" t="s">
        <v>79</v>
      </c>
      <c r="E16" s="2" t="s">
        <v>80</v>
      </c>
      <c r="F16" s="2" t="s">
        <v>81</v>
      </c>
      <c r="G16" s="2" t="s">
        <v>19</v>
      </c>
      <c r="H16" s="4">
        <v>3</v>
      </c>
      <c r="I16" s="4">
        <v>699.99</v>
      </c>
      <c r="J16" s="2" t="s">
        <v>26</v>
      </c>
      <c r="K16" s="2" t="s">
        <v>50</v>
      </c>
      <c r="L16" s="2" t="s">
        <v>22</v>
      </c>
      <c r="M16" s="3">
        <v>44577</v>
      </c>
      <c r="N16" s="4">
        <v>2099.9699999999998</v>
      </c>
    </row>
    <row r="17" spans="1:14" ht="29.4" thickBot="1" x14ac:dyDescent="0.35">
      <c r="A17" s="2" t="s">
        <v>82</v>
      </c>
      <c r="B17" s="3">
        <v>45409</v>
      </c>
      <c r="C17" s="2" t="s">
        <v>83</v>
      </c>
      <c r="D17" s="2" t="s">
        <v>84</v>
      </c>
      <c r="E17" s="2" t="s">
        <v>61</v>
      </c>
      <c r="F17" s="2" t="s">
        <v>62</v>
      </c>
      <c r="G17" s="2" t="s">
        <v>19</v>
      </c>
      <c r="H17" s="4">
        <v>1</v>
      </c>
      <c r="I17" s="4">
        <v>899.99</v>
      </c>
      <c r="J17" s="2" t="s">
        <v>57</v>
      </c>
      <c r="K17" s="2" t="s">
        <v>40</v>
      </c>
      <c r="L17" s="2" t="s">
        <v>36</v>
      </c>
      <c r="M17" s="3">
        <v>44920</v>
      </c>
      <c r="N17" s="4">
        <v>899.99</v>
      </c>
    </row>
    <row r="18" spans="1:14" ht="29.4" thickBot="1" x14ac:dyDescent="0.35">
      <c r="A18" s="2" t="s">
        <v>85</v>
      </c>
      <c r="B18" s="3">
        <v>45410</v>
      </c>
      <c r="C18" s="2" t="s">
        <v>86</v>
      </c>
      <c r="D18" s="2" t="s">
        <v>87</v>
      </c>
      <c r="E18" s="2" t="s">
        <v>44</v>
      </c>
      <c r="F18" s="2" t="s">
        <v>45</v>
      </c>
      <c r="G18" s="2" t="s">
        <v>46</v>
      </c>
      <c r="H18" s="4">
        <v>4</v>
      </c>
      <c r="I18" s="4">
        <v>149.99</v>
      </c>
      <c r="J18" s="2" t="s">
        <v>57</v>
      </c>
      <c r="K18" s="2" t="s">
        <v>40</v>
      </c>
      <c r="L18" s="2" t="s">
        <v>27</v>
      </c>
      <c r="M18" s="3">
        <v>45374</v>
      </c>
      <c r="N18" s="4">
        <v>599.96</v>
      </c>
    </row>
    <row r="19" spans="1:14" ht="29.4" thickBot="1" x14ac:dyDescent="0.35">
      <c r="A19" s="2" t="s">
        <v>88</v>
      </c>
      <c r="B19" s="3">
        <v>45410</v>
      </c>
      <c r="C19" s="2" t="s">
        <v>89</v>
      </c>
      <c r="D19" s="2" t="s">
        <v>90</v>
      </c>
      <c r="E19" s="2" t="s">
        <v>80</v>
      </c>
      <c r="F19" s="2" t="s">
        <v>81</v>
      </c>
      <c r="G19" s="2" t="s">
        <v>19</v>
      </c>
      <c r="H19" s="4">
        <v>2</v>
      </c>
      <c r="I19" s="4">
        <v>699.99</v>
      </c>
      <c r="J19" s="2" t="s">
        <v>20</v>
      </c>
      <c r="K19" s="2" t="s">
        <v>40</v>
      </c>
      <c r="L19" s="2" t="s">
        <v>22</v>
      </c>
      <c r="M19" s="3">
        <v>44781</v>
      </c>
      <c r="N19" s="4">
        <v>1399.98</v>
      </c>
    </row>
    <row r="20" spans="1:14" ht="29.4" thickBot="1" x14ac:dyDescent="0.35">
      <c r="A20" s="2" t="s">
        <v>91</v>
      </c>
      <c r="B20" s="3">
        <v>45410</v>
      </c>
      <c r="C20" s="2" t="s">
        <v>86</v>
      </c>
      <c r="D20" s="2" t="s">
        <v>87</v>
      </c>
      <c r="E20" s="2" t="s">
        <v>61</v>
      </c>
      <c r="F20" s="2" t="s">
        <v>62</v>
      </c>
      <c r="G20" s="2" t="s">
        <v>19</v>
      </c>
      <c r="H20" s="4">
        <v>4</v>
      </c>
      <c r="I20" s="4">
        <v>899.99</v>
      </c>
      <c r="J20" s="2" t="s">
        <v>26</v>
      </c>
      <c r="K20" s="2" t="s">
        <v>50</v>
      </c>
      <c r="L20" s="2" t="s">
        <v>36</v>
      </c>
      <c r="M20" s="3">
        <v>45327</v>
      </c>
      <c r="N20" s="4">
        <v>3599.96</v>
      </c>
    </row>
    <row r="21" spans="1:14" ht="29.4" thickBot="1" x14ac:dyDescent="0.35">
      <c r="A21" s="2" t="s">
        <v>92</v>
      </c>
      <c r="B21" s="3">
        <v>45410</v>
      </c>
      <c r="C21" s="2" t="s">
        <v>93</v>
      </c>
      <c r="D21" s="2" t="s">
        <v>94</v>
      </c>
      <c r="E21" s="2" t="s">
        <v>17</v>
      </c>
      <c r="F21" s="2" t="s">
        <v>18</v>
      </c>
      <c r="G21" s="2" t="s">
        <v>19</v>
      </c>
      <c r="H21" s="4">
        <v>3</v>
      </c>
      <c r="I21" s="4">
        <v>249.99</v>
      </c>
      <c r="J21" s="2" t="s">
        <v>26</v>
      </c>
      <c r="K21" s="2" t="s">
        <v>40</v>
      </c>
      <c r="L21" s="2" t="s">
        <v>27</v>
      </c>
      <c r="M21" s="3">
        <v>45224</v>
      </c>
      <c r="N21" s="4">
        <v>749.97</v>
      </c>
    </row>
    <row r="22" spans="1:14" ht="29.4" thickBot="1" x14ac:dyDescent="0.35">
      <c r="A22" s="2" t="s">
        <v>95</v>
      </c>
      <c r="B22" s="3">
        <v>45412</v>
      </c>
      <c r="C22" s="2" t="s">
        <v>96</v>
      </c>
      <c r="D22" s="2" t="s">
        <v>97</v>
      </c>
      <c r="E22" s="2" t="s">
        <v>80</v>
      </c>
      <c r="F22" s="2" t="s">
        <v>81</v>
      </c>
      <c r="G22" s="2" t="s">
        <v>19</v>
      </c>
      <c r="H22" s="4">
        <v>5</v>
      </c>
      <c r="I22" s="4">
        <v>699.99</v>
      </c>
      <c r="J22" s="2" t="s">
        <v>20</v>
      </c>
      <c r="K22" s="2" t="s">
        <v>50</v>
      </c>
      <c r="L22" s="2" t="s">
        <v>22</v>
      </c>
      <c r="M22" s="3">
        <v>45167</v>
      </c>
      <c r="N22" s="4">
        <v>3499.95</v>
      </c>
    </row>
    <row r="23" spans="1:14" ht="29.4" thickBot="1" x14ac:dyDescent="0.35">
      <c r="A23" s="2" t="s">
        <v>98</v>
      </c>
      <c r="B23" s="3">
        <v>45413</v>
      </c>
      <c r="C23" s="2" t="s">
        <v>99</v>
      </c>
      <c r="D23" s="2" t="s">
        <v>100</v>
      </c>
      <c r="E23" s="2" t="s">
        <v>80</v>
      </c>
      <c r="F23" s="2" t="s">
        <v>81</v>
      </c>
      <c r="G23" s="2" t="s">
        <v>19</v>
      </c>
      <c r="H23" s="4">
        <v>4</v>
      </c>
      <c r="I23" s="4">
        <v>699.99</v>
      </c>
      <c r="J23" s="2" t="s">
        <v>20</v>
      </c>
      <c r="K23" s="2" t="s">
        <v>63</v>
      </c>
      <c r="L23" s="2" t="s">
        <v>36</v>
      </c>
      <c r="M23" s="3">
        <v>44409</v>
      </c>
      <c r="N23" s="4">
        <v>2799.96</v>
      </c>
    </row>
    <row r="24" spans="1:14" ht="29.4" thickBot="1" x14ac:dyDescent="0.35">
      <c r="A24" s="2" t="s">
        <v>101</v>
      </c>
      <c r="B24" s="3">
        <v>45415</v>
      </c>
      <c r="C24" s="2" t="s">
        <v>102</v>
      </c>
      <c r="D24" s="2" t="s">
        <v>103</v>
      </c>
      <c r="E24" s="2" t="s">
        <v>17</v>
      </c>
      <c r="F24" s="2" t="s">
        <v>18</v>
      </c>
      <c r="G24" s="2" t="s">
        <v>19</v>
      </c>
      <c r="H24" s="4">
        <v>4</v>
      </c>
      <c r="I24" s="4">
        <v>249.99</v>
      </c>
      <c r="J24" s="2" t="s">
        <v>34</v>
      </c>
      <c r="K24" s="2" t="s">
        <v>40</v>
      </c>
      <c r="L24" s="2" t="s">
        <v>36</v>
      </c>
      <c r="M24" s="3">
        <v>44468</v>
      </c>
      <c r="N24" s="4">
        <v>999.96</v>
      </c>
    </row>
    <row r="25" spans="1:14" ht="29.4" thickBot="1" x14ac:dyDescent="0.35">
      <c r="A25" s="2" t="s">
        <v>104</v>
      </c>
      <c r="B25" s="3">
        <v>45416</v>
      </c>
      <c r="C25" s="2" t="s">
        <v>86</v>
      </c>
      <c r="D25" s="2" t="s">
        <v>87</v>
      </c>
      <c r="E25" s="2" t="s">
        <v>105</v>
      </c>
      <c r="F25" s="2" t="s">
        <v>106</v>
      </c>
      <c r="G25" s="2" t="s">
        <v>46</v>
      </c>
      <c r="H25" s="4">
        <v>4</v>
      </c>
      <c r="I25" s="4">
        <v>299.99</v>
      </c>
      <c r="J25" s="2" t="s">
        <v>20</v>
      </c>
      <c r="K25" s="2" t="s">
        <v>50</v>
      </c>
      <c r="L25" s="2" t="s">
        <v>27</v>
      </c>
      <c r="M25" s="3">
        <v>44716</v>
      </c>
      <c r="N25" s="4">
        <v>1199.96</v>
      </c>
    </row>
    <row r="26" spans="1:14" ht="29.4" thickBot="1" x14ac:dyDescent="0.35">
      <c r="A26" s="2" t="s">
        <v>107</v>
      </c>
      <c r="B26" s="3">
        <v>45422</v>
      </c>
      <c r="C26" s="2" t="s">
        <v>108</v>
      </c>
      <c r="D26" s="2" t="s">
        <v>109</v>
      </c>
      <c r="E26" s="2" t="s">
        <v>17</v>
      </c>
      <c r="F26" s="2" t="s">
        <v>18</v>
      </c>
      <c r="G26" s="2" t="s">
        <v>19</v>
      </c>
      <c r="H26" s="4">
        <v>5</v>
      </c>
      <c r="I26" s="4">
        <v>249.99</v>
      </c>
      <c r="J26" s="2" t="s">
        <v>26</v>
      </c>
      <c r="K26" s="2" t="s">
        <v>50</v>
      </c>
      <c r="L26" s="2" t="s">
        <v>36</v>
      </c>
      <c r="M26" s="3">
        <v>44525</v>
      </c>
      <c r="N26" s="4">
        <v>1249.95</v>
      </c>
    </row>
    <row r="27" spans="1:14" ht="29.4" thickBot="1" x14ac:dyDescent="0.35">
      <c r="A27" s="2" t="s">
        <v>110</v>
      </c>
      <c r="B27" s="3">
        <v>45424</v>
      </c>
      <c r="C27" s="2" t="s">
        <v>68</v>
      </c>
      <c r="D27" s="2" t="s">
        <v>69</v>
      </c>
      <c r="E27" s="2" t="s">
        <v>105</v>
      </c>
      <c r="F27" s="2" t="s">
        <v>106</v>
      </c>
      <c r="G27" s="2" t="s">
        <v>46</v>
      </c>
      <c r="H27" s="4">
        <v>5</v>
      </c>
      <c r="I27" s="4">
        <v>299.99</v>
      </c>
      <c r="J27" s="2" t="s">
        <v>34</v>
      </c>
      <c r="K27" s="2" t="s">
        <v>63</v>
      </c>
      <c r="L27" s="2" t="s">
        <v>22</v>
      </c>
      <c r="M27" s="3">
        <v>45168</v>
      </c>
      <c r="N27" s="4">
        <v>1499.95</v>
      </c>
    </row>
    <row r="28" spans="1:14" ht="29.4" thickBot="1" x14ac:dyDescent="0.35">
      <c r="A28" s="2" t="s">
        <v>111</v>
      </c>
      <c r="B28" s="3">
        <v>45424</v>
      </c>
      <c r="C28" s="2" t="s">
        <v>112</v>
      </c>
      <c r="D28" s="2" t="s">
        <v>113</v>
      </c>
      <c r="E28" s="2" t="s">
        <v>114</v>
      </c>
      <c r="F28" s="2" t="s">
        <v>115</v>
      </c>
      <c r="G28" s="2" t="s">
        <v>33</v>
      </c>
      <c r="H28" s="4">
        <v>3</v>
      </c>
      <c r="I28" s="4">
        <v>79.989999999999995</v>
      </c>
      <c r="J28" s="2" t="s">
        <v>34</v>
      </c>
      <c r="K28" s="2" t="s">
        <v>63</v>
      </c>
      <c r="L28" s="2" t="s">
        <v>27</v>
      </c>
      <c r="M28" s="3">
        <v>45012</v>
      </c>
      <c r="N28" s="4">
        <v>239.97</v>
      </c>
    </row>
    <row r="29" spans="1:14" ht="29.4" thickBot="1" x14ac:dyDescent="0.35">
      <c r="A29" s="2" t="s">
        <v>116</v>
      </c>
      <c r="B29" s="3">
        <v>45424</v>
      </c>
      <c r="C29" s="2" t="s">
        <v>99</v>
      </c>
      <c r="D29" s="2" t="s">
        <v>100</v>
      </c>
      <c r="E29" s="2" t="s">
        <v>117</v>
      </c>
      <c r="F29" s="2" t="s">
        <v>118</v>
      </c>
      <c r="G29" s="2" t="s">
        <v>19</v>
      </c>
      <c r="H29" s="4">
        <v>5</v>
      </c>
      <c r="I29" s="4">
        <v>89.99</v>
      </c>
      <c r="J29" s="2" t="s">
        <v>20</v>
      </c>
      <c r="K29" s="2" t="s">
        <v>40</v>
      </c>
      <c r="L29" s="2" t="s">
        <v>27</v>
      </c>
      <c r="M29" s="3">
        <v>44919</v>
      </c>
      <c r="N29" s="4">
        <v>449.95</v>
      </c>
    </row>
    <row r="30" spans="1:14" ht="29.4" thickBot="1" x14ac:dyDescent="0.35">
      <c r="A30" s="2" t="s">
        <v>119</v>
      </c>
      <c r="B30" s="3">
        <v>45425</v>
      </c>
      <c r="C30" s="2" t="s">
        <v>120</v>
      </c>
      <c r="D30" s="2" t="s">
        <v>121</v>
      </c>
      <c r="E30" s="2" t="s">
        <v>31</v>
      </c>
      <c r="F30" s="2" t="s">
        <v>32</v>
      </c>
      <c r="G30" s="2" t="s">
        <v>33</v>
      </c>
      <c r="H30" s="4">
        <v>2</v>
      </c>
      <c r="I30" s="4">
        <v>59.99</v>
      </c>
      <c r="J30" s="2" t="s">
        <v>57</v>
      </c>
      <c r="K30" s="2" t="s">
        <v>21</v>
      </c>
      <c r="L30" s="2" t="s">
        <v>36</v>
      </c>
      <c r="M30" s="3">
        <v>45214</v>
      </c>
      <c r="N30" s="4">
        <v>119.98</v>
      </c>
    </row>
    <row r="31" spans="1:14" ht="29.4" thickBot="1" x14ac:dyDescent="0.35">
      <c r="A31" s="2" t="s">
        <v>122</v>
      </c>
      <c r="B31" s="3">
        <v>45427</v>
      </c>
      <c r="C31" s="2" t="s">
        <v>123</v>
      </c>
      <c r="D31" s="2" t="s">
        <v>124</v>
      </c>
      <c r="E31" s="2" t="s">
        <v>31</v>
      </c>
      <c r="F31" s="2" t="s">
        <v>32</v>
      </c>
      <c r="G31" s="2" t="s">
        <v>33</v>
      </c>
      <c r="H31" s="4">
        <v>4</v>
      </c>
      <c r="I31" s="4">
        <v>59.99</v>
      </c>
      <c r="J31" s="2" t="s">
        <v>57</v>
      </c>
      <c r="K31" s="2" t="s">
        <v>63</v>
      </c>
      <c r="L31" s="2" t="s">
        <v>36</v>
      </c>
      <c r="M31" s="3">
        <v>44867</v>
      </c>
      <c r="N31" s="4">
        <v>239.96</v>
      </c>
    </row>
    <row r="32" spans="1:14" ht="29.4" thickBot="1" x14ac:dyDescent="0.35">
      <c r="A32" s="2" t="s">
        <v>125</v>
      </c>
      <c r="B32" s="3">
        <v>45427</v>
      </c>
      <c r="C32" s="2" t="s">
        <v>55</v>
      </c>
      <c r="D32" s="2" t="s">
        <v>56</v>
      </c>
      <c r="E32" s="2" t="s">
        <v>126</v>
      </c>
      <c r="F32" s="2" t="s">
        <v>127</v>
      </c>
      <c r="G32" s="2" t="s">
        <v>46</v>
      </c>
      <c r="H32" s="4">
        <v>5</v>
      </c>
      <c r="I32" s="4">
        <v>199.99</v>
      </c>
      <c r="J32" s="2" t="s">
        <v>20</v>
      </c>
      <c r="K32" s="2" t="s">
        <v>35</v>
      </c>
      <c r="L32" s="2" t="s">
        <v>36</v>
      </c>
      <c r="M32" s="3">
        <v>44412</v>
      </c>
      <c r="N32" s="4">
        <v>999.95</v>
      </c>
    </row>
    <row r="33" spans="1:14" ht="29.4" thickBot="1" x14ac:dyDescent="0.35">
      <c r="A33" s="2" t="s">
        <v>128</v>
      </c>
      <c r="B33" s="3">
        <v>45428</v>
      </c>
      <c r="C33" s="2" t="s">
        <v>129</v>
      </c>
      <c r="D33" s="2" t="s">
        <v>130</v>
      </c>
      <c r="E33" s="2" t="s">
        <v>44</v>
      </c>
      <c r="F33" s="2" t="s">
        <v>45</v>
      </c>
      <c r="G33" s="2" t="s">
        <v>46</v>
      </c>
      <c r="H33" s="4">
        <v>2</v>
      </c>
      <c r="I33" s="4">
        <v>149.99</v>
      </c>
      <c r="J33" s="2" t="s">
        <v>26</v>
      </c>
      <c r="K33" s="2" t="s">
        <v>50</v>
      </c>
      <c r="L33" s="2" t="s">
        <v>22</v>
      </c>
      <c r="M33" s="3">
        <v>44823</v>
      </c>
      <c r="N33" s="4">
        <v>299.98</v>
      </c>
    </row>
    <row r="34" spans="1:14" ht="29.4" thickBot="1" x14ac:dyDescent="0.35">
      <c r="A34" s="2" t="s">
        <v>131</v>
      </c>
      <c r="B34" s="3">
        <v>45430</v>
      </c>
      <c r="C34" s="2" t="s">
        <v>132</v>
      </c>
      <c r="D34" s="2" t="s">
        <v>133</v>
      </c>
      <c r="E34" s="2" t="s">
        <v>44</v>
      </c>
      <c r="F34" s="2" t="s">
        <v>45</v>
      </c>
      <c r="G34" s="2" t="s">
        <v>46</v>
      </c>
      <c r="H34" s="4">
        <v>3</v>
      </c>
      <c r="I34" s="4">
        <v>149.99</v>
      </c>
      <c r="J34" s="2" t="s">
        <v>26</v>
      </c>
      <c r="K34" s="2" t="s">
        <v>50</v>
      </c>
      <c r="L34" s="2" t="s">
        <v>27</v>
      </c>
      <c r="M34" s="3">
        <v>45068</v>
      </c>
      <c r="N34" s="4">
        <v>449.97</v>
      </c>
    </row>
    <row r="35" spans="1:14" ht="29.4" thickBot="1" x14ac:dyDescent="0.35">
      <c r="A35" s="2" t="s">
        <v>134</v>
      </c>
      <c r="B35" s="3">
        <v>45432</v>
      </c>
      <c r="C35" s="2" t="s">
        <v>29</v>
      </c>
      <c r="D35" s="2" t="s">
        <v>30</v>
      </c>
      <c r="E35" s="2" t="s">
        <v>61</v>
      </c>
      <c r="F35" s="2" t="s">
        <v>62</v>
      </c>
      <c r="G35" s="2" t="s">
        <v>19</v>
      </c>
      <c r="H35" s="4">
        <v>1</v>
      </c>
      <c r="I35" s="4">
        <v>899.99</v>
      </c>
      <c r="J35" s="2" t="s">
        <v>26</v>
      </c>
      <c r="K35" s="2" t="s">
        <v>50</v>
      </c>
      <c r="L35" s="2" t="s">
        <v>27</v>
      </c>
      <c r="M35" s="3">
        <v>44578</v>
      </c>
      <c r="N35" s="4">
        <v>899.99</v>
      </c>
    </row>
    <row r="36" spans="1:14" ht="29.4" thickBot="1" x14ac:dyDescent="0.35">
      <c r="A36" s="2" t="s">
        <v>135</v>
      </c>
      <c r="B36" s="3">
        <v>45434</v>
      </c>
      <c r="C36" s="2" t="s">
        <v>99</v>
      </c>
      <c r="D36" s="2" t="s">
        <v>100</v>
      </c>
      <c r="E36" s="2" t="s">
        <v>105</v>
      </c>
      <c r="F36" s="2" t="s">
        <v>106</v>
      </c>
      <c r="G36" s="2" t="s">
        <v>46</v>
      </c>
      <c r="H36" s="4">
        <v>3</v>
      </c>
      <c r="I36" s="4">
        <v>299.99</v>
      </c>
      <c r="J36" s="2" t="s">
        <v>26</v>
      </c>
      <c r="K36" s="2" t="s">
        <v>63</v>
      </c>
      <c r="L36" s="2" t="s">
        <v>22</v>
      </c>
      <c r="M36" s="3">
        <v>44824</v>
      </c>
      <c r="N36" s="4">
        <v>899.97</v>
      </c>
    </row>
    <row r="37" spans="1:14" ht="29.4" thickBot="1" x14ac:dyDescent="0.35">
      <c r="A37" s="2" t="s">
        <v>136</v>
      </c>
      <c r="B37" s="3">
        <v>45435</v>
      </c>
      <c r="C37" s="2" t="s">
        <v>129</v>
      </c>
      <c r="D37" s="2" t="s">
        <v>130</v>
      </c>
      <c r="E37" s="2" t="s">
        <v>114</v>
      </c>
      <c r="F37" s="2" t="s">
        <v>115</v>
      </c>
      <c r="G37" s="2" t="s">
        <v>33</v>
      </c>
      <c r="H37" s="4">
        <v>3</v>
      </c>
      <c r="I37" s="4">
        <v>79.989999999999995</v>
      </c>
      <c r="J37" s="2" t="s">
        <v>20</v>
      </c>
      <c r="K37" s="2" t="s">
        <v>35</v>
      </c>
      <c r="L37" s="2" t="s">
        <v>22</v>
      </c>
      <c r="M37" s="3">
        <v>45046</v>
      </c>
      <c r="N37" s="4">
        <v>239.97</v>
      </c>
    </row>
    <row r="38" spans="1:14" ht="29.4" thickBot="1" x14ac:dyDescent="0.35">
      <c r="A38" s="2" t="s">
        <v>137</v>
      </c>
      <c r="B38" s="3">
        <v>45438</v>
      </c>
      <c r="C38" s="2" t="s">
        <v>138</v>
      </c>
      <c r="D38" s="2" t="s">
        <v>139</v>
      </c>
      <c r="E38" s="2" t="s">
        <v>126</v>
      </c>
      <c r="F38" s="2" t="s">
        <v>127</v>
      </c>
      <c r="G38" s="2" t="s">
        <v>46</v>
      </c>
      <c r="H38" s="4">
        <v>3</v>
      </c>
      <c r="I38" s="4">
        <v>199.99</v>
      </c>
      <c r="J38" s="2" t="s">
        <v>26</v>
      </c>
      <c r="K38" s="2" t="s">
        <v>40</v>
      </c>
      <c r="L38" s="2" t="s">
        <v>27</v>
      </c>
      <c r="M38" s="3">
        <v>45292</v>
      </c>
      <c r="N38" s="4">
        <v>599.97</v>
      </c>
    </row>
    <row r="39" spans="1:14" ht="29.4" thickBot="1" x14ac:dyDescent="0.35">
      <c r="A39" s="2" t="s">
        <v>140</v>
      </c>
      <c r="B39" s="3">
        <v>45440</v>
      </c>
      <c r="C39" s="2" t="s">
        <v>141</v>
      </c>
      <c r="D39" s="2" t="s">
        <v>142</v>
      </c>
      <c r="E39" s="2" t="s">
        <v>80</v>
      </c>
      <c r="F39" s="2" t="s">
        <v>81</v>
      </c>
      <c r="G39" s="2" t="s">
        <v>19</v>
      </c>
      <c r="H39" s="4">
        <v>5</v>
      </c>
      <c r="I39" s="4">
        <v>699.99</v>
      </c>
      <c r="J39" s="2" t="s">
        <v>34</v>
      </c>
      <c r="K39" s="2" t="s">
        <v>50</v>
      </c>
      <c r="L39" s="2" t="s">
        <v>36</v>
      </c>
      <c r="M39" s="3">
        <v>44407</v>
      </c>
      <c r="N39" s="4">
        <v>3499.95</v>
      </c>
    </row>
    <row r="40" spans="1:14" ht="29.4" thickBot="1" x14ac:dyDescent="0.35">
      <c r="A40" s="2" t="s">
        <v>143</v>
      </c>
      <c r="B40" s="3">
        <v>45441</v>
      </c>
      <c r="C40" s="2" t="s">
        <v>144</v>
      </c>
      <c r="D40" s="2" t="s">
        <v>145</v>
      </c>
      <c r="E40" s="2" t="s">
        <v>117</v>
      </c>
      <c r="F40" s="2" t="s">
        <v>118</v>
      </c>
      <c r="G40" s="2" t="s">
        <v>19</v>
      </c>
      <c r="H40" s="4">
        <v>3</v>
      </c>
      <c r="I40" s="4">
        <v>89.99</v>
      </c>
      <c r="J40" s="2" t="s">
        <v>34</v>
      </c>
      <c r="K40" s="2" t="s">
        <v>21</v>
      </c>
      <c r="L40" s="2" t="s">
        <v>27</v>
      </c>
      <c r="M40" s="3">
        <v>45120</v>
      </c>
      <c r="N40" s="4">
        <v>269.97000000000003</v>
      </c>
    </row>
    <row r="41" spans="1:14" ht="29.4" thickBot="1" x14ac:dyDescent="0.35">
      <c r="A41" s="2" t="s">
        <v>146</v>
      </c>
      <c r="B41" s="3">
        <v>45443</v>
      </c>
      <c r="C41" s="2" t="s">
        <v>147</v>
      </c>
      <c r="D41" s="2" t="s">
        <v>148</v>
      </c>
      <c r="E41" s="2" t="s">
        <v>114</v>
      </c>
      <c r="F41" s="2" t="s">
        <v>115</v>
      </c>
      <c r="G41" s="2" t="s">
        <v>33</v>
      </c>
      <c r="H41" s="4">
        <v>1</v>
      </c>
      <c r="I41" s="4">
        <v>79.989999999999995</v>
      </c>
      <c r="J41" s="2" t="s">
        <v>20</v>
      </c>
      <c r="K41" s="2" t="s">
        <v>40</v>
      </c>
      <c r="L41" s="2" t="s">
        <v>36</v>
      </c>
      <c r="M41" s="3">
        <v>44917</v>
      </c>
      <c r="N41" s="4">
        <v>79.989999999999995</v>
      </c>
    </row>
    <row r="42" spans="1:14" ht="29.4" thickBot="1" x14ac:dyDescent="0.35">
      <c r="A42" s="2" t="s">
        <v>149</v>
      </c>
      <c r="B42" s="3">
        <v>45444</v>
      </c>
      <c r="C42" s="2" t="s">
        <v>150</v>
      </c>
      <c r="D42" s="2" t="s">
        <v>151</v>
      </c>
      <c r="E42" s="2" t="s">
        <v>31</v>
      </c>
      <c r="F42" s="2" t="s">
        <v>32</v>
      </c>
      <c r="G42" s="2" t="s">
        <v>33</v>
      </c>
      <c r="H42" s="4">
        <v>2</v>
      </c>
      <c r="I42" s="4">
        <v>59.99</v>
      </c>
      <c r="J42" s="2" t="s">
        <v>20</v>
      </c>
      <c r="K42" s="2" t="s">
        <v>50</v>
      </c>
      <c r="L42" s="2" t="s">
        <v>22</v>
      </c>
      <c r="M42" s="3">
        <v>45390</v>
      </c>
      <c r="N42" s="4">
        <v>119.98</v>
      </c>
    </row>
    <row r="43" spans="1:14" ht="29.4" thickBot="1" x14ac:dyDescent="0.35">
      <c r="A43" s="2" t="s">
        <v>152</v>
      </c>
      <c r="B43" s="3">
        <v>45444</v>
      </c>
      <c r="C43" s="2" t="s">
        <v>55</v>
      </c>
      <c r="D43" s="2" t="s">
        <v>56</v>
      </c>
      <c r="E43" s="2" t="s">
        <v>117</v>
      </c>
      <c r="F43" s="2" t="s">
        <v>118</v>
      </c>
      <c r="G43" s="2" t="s">
        <v>19</v>
      </c>
      <c r="H43" s="4">
        <v>1</v>
      </c>
      <c r="I43" s="4">
        <v>89.99</v>
      </c>
      <c r="J43" s="2" t="s">
        <v>20</v>
      </c>
      <c r="K43" s="2" t="s">
        <v>40</v>
      </c>
      <c r="L43" s="2" t="s">
        <v>22</v>
      </c>
      <c r="M43" s="3">
        <v>45141</v>
      </c>
      <c r="N43" s="4">
        <v>89.99</v>
      </c>
    </row>
    <row r="44" spans="1:14" ht="29.4" thickBot="1" x14ac:dyDescent="0.35">
      <c r="A44" s="2" t="s">
        <v>153</v>
      </c>
      <c r="B44" s="3">
        <v>45446</v>
      </c>
      <c r="C44" s="2" t="s">
        <v>154</v>
      </c>
      <c r="D44" s="2" t="s">
        <v>155</v>
      </c>
      <c r="E44" s="2" t="s">
        <v>117</v>
      </c>
      <c r="F44" s="2" t="s">
        <v>118</v>
      </c>
      <c r="G44" s="2" t="s">
        <v>19</v>
      </c>
      <c r="H44" s="4">
        <v>5</v>
      </c>
      <c r="I44" s="4">
        <v>89.99</v>
      </c>
      <c r="J44" s="2" t="s">
        <v>26</v>
      </c>
      <c r="K44" s="2" t="s">
        <v>63</v>
      </c>
      <c r="L44" s="2" t="s">
        <v>36</v>
      </c>
      <c r="M44" s="3">
        <v>44587</v>
      </c>
      <c r="N44" s="4">
        <v>449.95</v>
      </c>
    </row>
    <row r="45" spans="1:14" ht="29.4" thickBot="1" x14ac:dyDescent="0.35">
      <c r="A45" s="2" t="s">
        <v>156</v>
      </c>
      <c r="B45" s="3">
        <v>45449</v>
      </c>
      <c r="C45" s="2" t="s">
        <v>24</v>
      </c>
      <c r="D45" s="2" t="s">
        <v>25</v>
      </c>
      <c r="E45" s="2" t="s">
        <v>17</v>
      </c>
      <c r="F45" s="2" t="s">
        <v>18</v>
      </c>
      <c r="G45" s="2" t="s">
        <v>19</v>
      </c>
      <c r="H45" s="4">
        <v>5</v>
      </c>
      <c r="I45" s="4">
        <v>249.99</v>
      </c>
      <c r="J45" s="2" t="s">
        <v>26</v>
      </c>
      <c r="K45" s="2" t="s">
        <v>63</v>
      </c>
      <c r="L45" s="2" t="s">
        <v>36</v>
      </c>
      <c r="M45" s="3">
        <v>44707</v>
      </c>
      <c r="N45" s="4">
        <v>1249.95</v>
      </c>
    </row>
    <row r="46" spans="1:14" ht="29.4" thickBot="1" x14ac:dyDescent="0.35">
      <c r="A46" s="2" t="s">
        <v>157</v>
      </c>
      <c r="B46" s="3">
        <v>45449</v>
      </c>
      <c r="C46" s="2" t="s">
        <v>158</v>
      </c>
      <c r="D46" s="2" t="s">
        <v>159</v>
      </c>
      <c r="E46" s="2" t="s">
        <v>117</v>
      </c>
      <c r="F46" s="2" t="s">
        <v>118</v>
      </c>
      <c r="G46" s="2" t="s">
        <v>19</v>
      </c>
      <c r="H46" s="4">
        <v>1</v>
      </c>
      <c r="I46" s="4">
        <v>89.99</v>
      </c>
      <c r="J46" s="2" t="s">
        <v>26</v>
      </c>
      <c r="K46" s="2" t="s">
        <v>35</v>
      </c>
      <c r="L46" s="2" t="s">
        <v>36</v>
      </c>
      <c r="M46" s="3">
        <v>44582</v>
      </c>
      <c r="N46" s="4">
        <v>89.99</v>
      </c>
    </row>
    <row r="47" spans="1:14" ht="29.4" thickBot="1" x14ac:dyDescent="0.35">
      <c r="A47" s="2" t="s">
        <v>160</v>
      </c>
      <c r="B47" s="3">
        <v>45450</v>
      </c>
      <c r="C47" s="2" t="s">
        <v>42</v>
      </c>
      <c r="D47" s="2" t="s">
        <v>43</v>
      </c>
      <c r="E47" s="2" t="s">
        <v>44</v>
      </c>
      <c r="F47" s="2" t="s">
        <v>45</v>
      </c>
      <c r="G47" s="2" t="s">
        <v>46</v>
      </c>
      <c r="H47" s="4">
        <v>2</v>
      </c>
      <c r="I47" s="4">
        <v>149.99</v>
      </c>
      <c r="J47" s="2" t="s">
        <v>20</v>
      </c>
      <c r="K47" s="2" t="s">
        <v>63</v>
      </c>
      <c r="L47" s="2" t="s">
        <v>27</v>
      </c>
      <c r="M47" s="3">
        <v>44645</v>
      </c>
      <c r="N47" s="4">
        <v>299.98</v>
      </c>
    </row>
    <row r="48" spans="1:14" ht="29.4" thickBot="1" x14ac:dyDescent="0.35">
      <c r="A48" s="2" t="s">
        <v>161</v>
      </c>
      <c r="B48" s="3">
        <v>45452</v>
      </c>
      <c r="C48" s="2" t="s">
        <v>162</v>
      </c>
      <c r="D48" s="2" t="s">
        <v>163</v>
      </c>
      <c r="E48" s="2" t="s">
        <v>31</v>
      </c>
      <c r="F48" s="2" t="s">
        <v>32</v>
      </c>
      <c r="G48" s="2" t="s">
        <v>33</v>
      </c>
      <c r="H48" s="4">
        <v>4</v>
      </c>
      <c r="I48" s="4">
        <v>59.99</v>
      </c>
      <c r="J48" s="2" t="s">
        <v>20</v>
      </c>
      <c r="K48" s="2" t="s">
        <v>63</v>
      </c>
      <c r="L48" s="2" t="s">
        <v>36</v>
      </c>
      <c r="M48" s="3">
        <v>44435</v>
      </c>
      <c r="N48" s="4">
        <v>239.96</v>
      </c>
    </row>
    <row r="49" spans="1:14" ht="29.4" thickBot="1" x14ac:dyDescent="0.35">
      <c r="A49" s="2" t="s">
        <v>164</v>
      </c>
      <c r="B49" s="3">
        <v>45456</v>
      </c>
      <c r="C49" s="2" t="s">
        <v>129</v>
      </c>
      <c r="D49" s="2" t="s">
        <v>130</v>
      </c>
      <c r="E49" s="2" t="s">
        <v>117</v>
      </c>
      <c r="F49" s="2" t="s">
        <v>118</v>
      </c>
      <c r="G49" s="2" t="s">
        <v>19</v>
      </c>
      <c r="H49" s="4">
        <v>5</v>
      </c>
      <c r="I49" s="4">
        <v>89.99</v>
      </c>
      <c r="J49" s="2" t="s">
        <v>20</v>
      </c>
      <c r="K49" s="2" t="s">
        <v>21</v>
      </c>
      <c r="L49" s="2" t="s">
        <v>27</v>
      </c>
      <c r="M49" s="3">
        <v>44579</v>
      </c>
      <c r="N49" s="4">
        <v>449.95</v>
      </c>
    </row>
    <row r="50" spans="1:14" ht="29.4" thickBot="1" x14ac:dyDescent="0.35">
      <c r="A50" s="2" t="s">
        <v>165</v>
      </c>
      <c r="B50" s="3">
        <v>45459</v>
      </c>
      <c r="C50" s="2" t="s">
        <v>99</v>
      </c>
      <c r="D50" s="2" t="s">
        <v>100</v>
      </c>
      <c r="E50" s="2" t="s">
        <v>117</v>
      </c>
      <c r="F50" s="2" t="s">
        <v>118</v>
      </c>
      <c r="G50" s="2" t="s">
        <v>19</v>
      </c>
      <c r="H50" s="4">
        <v>2</v>
      </c>
      <c r="I50" s="4">
        <v>89.99</v>
      </c>
      <c r="J50" s="2" t="s">
        <v>26</v>
      </c>
      <c r="K50" s="2" t="s">
        <v>35</v>
      </c>
      <c r="L50" s="2" t="s">
        <v>27</v>
      </c>
      <c r="M50" s="3">
        <v>44471</v>
      </c>
      <c r="N50" s="4">
        <v>179.98</v>
      </c>
    </row>
    <row r="51" spans="1:14" ht="29.4" thickBot="1" x14ac:dyDescent="0.35">
      <c r="A51" s="2" t="s">
        <v>166</v>
      </c>
      <c r="B51" s="3">
        <v>45459</v>
      </c>
      <c r="C51" s="2" t="s">
        <v>15</v>
      </c>
      <c r="D51" s="2" t="s">
        <v>16</v>
      </c>
      <c r="E51" s="2" t="s">
        <v>61</v>
      </c>
      <c r="F51" s="2" t="s">
        <v>62</v>
      </c>
      <c r="G51" s="2" t="s">
        <v>19</v>
      </c>
      <c r="H51" s="4">
        <v>5</v>
      </c>
      <c r="I51" s="4">
        <v>899.99</v>
      </c>
      <c r="J51" s="2" t="s">
        <v>26</v>
      </c>
      <c r="K51" s="2" t="s">
        <v>35</v>
      </c>
      <c r="L51" s="2" t="s">
        <v>36</v>
      </c>
      <c r="M51" s="3">
        <v>44974</v>
      </c>
      <c r="N51" s="4">
        <v>4499.95</v>
      </c>
    </row>
    <row r="52" spans="1:14" ht="29.4" thickBot="1" x14ac:dyDescent="0.35">
      <c r="A52" s="2" t="s">
        <v>167</v>
      </c>
      <c r="B52" s="3">
        <v>45459</v>
      </c>
      <c r="C52" s="2" t="s">
        <v>123</v>
      </c>
      <c r="D52" s="2" t="s">
        <v>124</v>
      </c>
      <c r="E52" s="2" t="s">
        <v>61</v>
      </c>
      <c r="F52" s="2" t="s">
        <v>62</v>
      </c>
      <c r="G52" s="2" t="s">
        <v>19</v>
      </c>
      <c r="H52" s="4">
        <v>5</v>
      </c>
      <c r="I52" s="4">
        <v>899.99</v>
      </c>
      <c r="J52" s="2" t="s">
        <v>34</v>
      </c>
      <c r="K52" s="2" t="s">
        <v>63</v>
      </c>
      <c r="L52" s="2" t="s">
        <v>27</v>
      </c>
      <c r="M52" s="3">
        <v>45278</v>
      </c>
      <c r="N52" s="4">
        <v>4499.95</v>
      </c>
    </row>
    <row r="53" spans="1:14" ht="29.4" thickBot="1" x14ac:dyDescent="0.35">
      <c r="A53" s="2" t="s">
        <v>168</v>
      </c>
      <c r="B53" s="3">
        <v>45460</v>
      </c>
      <c r="C53" s="2" t="s">
        <v>158</v>
      </c>
      <c r="D53" s="2" t="s">
        <v>159</v>
      </c>
      <c r="E53" s="2" t="s">
        <v>31</v>
      </c>
      <c r="F53" s="2" t="s">
        <v>32</v>
      </c>
      <c r="G53" s="2" t="s">
        <v>33</v>
      </c>
      <c r="H53" s="4">
        <v>1</v>
      </c>
      <c r="I53" s="4">
        <v>59.99</v>
      </c>
      <c r="J53" s="2" t="s">
        <v>57</v>
      </c>
      <c r="K53" s="2" t="s">
        <v>50</v>
      </c>
      <c r="L53" s="2" t="s">
        <v>27</v>
      </c>
      <c r="M53" s="3">
        <v>45190</v>
      </c>
      <c r="N53" s="4">
        <v>59.99</v>
      </c>
    </row>
    <row r="54" spans="1:14" ht="29.4" thickBot="1" x14ac:dyDescent="0.35">
      <c r="A54" s="2" t="s">
        <v>169</v>
      </c>
      <c r="B54" s="3">
        <v>45460</v>
      </c>
      <c r="C54" s="2" t="s">
        <v>141</v>
      </c>
      <c r="D54" s="2" t="s">
        <v>142</v>
      </c>
      <c r="E54" s="2" t="s">
        <v>105</v>
      </c>
      <c r="F54" s="2" t="s">
        <v>106</v>
      </c>
      <c r="G54" s="2" t="s">
        <v>46</v>
      </c>
      <c r="H54" s="4">
        <v>2</v>
      </c>
      <c r="I54" s="4">
        <v>299.99</v>
      </c>
      <c r="J54" s="2" t="s">
        <v>57</v>
      </c>
      <c r="K54" s="2" t="s">
        <v>63</v>
      </c>
      <c r="L54" s="2" t="s">
        <v>36</v>
      </c>
      <c r="M54" s="3">
        <v>45253</v>
      </c>
      <c r="N54" s="4">
        <v>599.98</v>
      </c>
    </row>
    <row r="55" spans="1:14" ht="29.4" thickBot="1" x14ac:dyDescent="0.35">
      <c r="A55" s="2" t="s">
        <v>170</v>
      </c>
      <c r="B55" s="3">
        <v>45468</v>
      </c>
      <c r="C55" s="2" t="s">
        <v>171</v>
      </c>
      <c r="D55" s="2" t="s">
        <v>172</v>
      </c>
      <c r="E55" s="2" t="s">
        <v>117</v>
      </c>
      <c r="F55" s="2" t="s">
        <v>118</v>
      </c>
      <c r="G55" s="2" t="s">
        <v>19</v>
      </c>
      <c r="H55" s="4">
        <v>4</v>
      </c>
      <c r="I55" s="4">
        <v>89.99</v>
      </c>
      <c r="J55" s="2" t="s">
        <v>57</v>
      </c>
      <c r="K55" s="2" t="s">
        <v>35</v>
      </c>
      <c r="L55" s="2" t="s">
        <v>22</v>
      </c>
      <c r="M55" s="3">
        <v>45281</v>
      </c>
      <c r="N55" s="4">
        <v>359.96</v>
      </c>
    </row>
    <row r="56" spans="1:14" ht="29.4" thickBot="1" x14ac:dyDescent="0.35">
      <c r="A56" s="2" t="s">
        <v>173</v>
      </c>
      <c r="B56" s="3">
        <v>45469</v>
      </c>
      <c r="C56" s="2" t="s">
        <v>29</v>
      </c>
      <c r="D56" s="2" t="s">
        <v>30</v>
      </c>
      <c r="E56" s="2" t="s">
        <v>114</v>
      </c>
      <c r="F56" s="2" t="s">
        <v>115</v>
      </c>
      <c r="G56" s="2" t="s">
        <v>33</v>
      </c>
      <c r="H56" s="4">
        <v>1</v>
      </c>
      <c r="I56" s="4">
        <v>79.989999999999995</v>
      </c>
      <c r="J56" s="2" t="s">
        <v>34</v>
      </c>
      <c r="K56" s="2" t="s">
        <v>21</v>
      </c>
      <c r="L56" s="2" t="s">
        <v>27</v>
      </c>
      <c r="M56" s="3">
        <v>45352</v>
      </c>
      <c r="N56" s="4">
        <v>79.989999999999995</v>
      </c>
    </row>
    <row r="57" spans="1:14" ht="29.4" thickBot="1" x14ac:dyDescent="0.35">
      <c r="A57" s="2" t="s">
        <v>174</v>
      </c>
      <c r="B57" s="3">
        <v>45469</v>
      </c>
      <c r="C57" s="2" t="s">
        <v>59</v>
      </c>
      <c r="D57" s="2" t="s">
        <v>60</v>
      </c>
      <c r="E57" s="2" t="s">
        <v>117</v>
      </c>
      <c r="F57" s="2" t="s">
        <v>118</v>
      </c>
      <c r="G57" s="2" t="s">
        <v>19</v>
      </c>
      <c r="H57" s="4">
        <v>2</v>
      </c>
      <c r="I57" s="4">
        <v>89.99</v>
      </c>
      <c r="J57" s="2" t="s">
        <v>20</v>
      </c>
      <c r="K57" s="2" t="s">
        <v>50</v>
      </c>
      <c r="L57" s="2" t="s">
        <v>22</v>
      </c>
      <c r="M57" s="3">
        <v>44438</v>
      </c>
      <c r="N57" s="4">
        <v>179.98</v>
      </c>
    </row>
    <row r="58" spans="1:14" ht="29.4" thickBot="1" x14ac:dyDescent="0.35">
      <c r="A58" s="2" t="s">
        <v>175</v>
      </c>
      <c r="B58" s="3">
        <v>45471</v>
      </c>
      <c r="C58" s="2" t="s">
        <v>38</v>
      </c>
      <c r="D58" s="2" t="s">
        <v>39</v>
      </c>
      <c r="E58" s="2" t="s">
        <v>80</v>
      </c>
      <c r="F58" s="2" t="s">
        <v>81</v>
      </c>
      <c r="G58" s="2" t="s">
        <v>19</v>
      </c>
      <c r="H58" s="4">
        <v>3</v>
      </c>
      <c r="I58" s="4">
        <v>699.99</v>
      </c>
      <c r="J58" s="2" t="s">
        <v>26</v>
      </c>
      <c r="K58" s="2" t="s">
        <v>63</v>
      </c>
      <c r="L58" s="2" t="s">
        <v>27</v>
      </c>
      <c r="M58" s="3">
        <v>45102</v>
      </c>
      <c r="N58" s="4">
        <v>2099.9699999999998</v>
      </c>
    </row>
    <row r="59" spans="1:14" ht="29.4" thickBot="1" x14ac:dyDescent="0.35">
      <c r="A59" s="2" t="s">
        <v>176</v>
      </c>
      <c r="B59" s="3">
        <v>45471</v>
      </c>
      <c r="C59" s="2" t="s">
        <v>99</v>
      </c>
      <c r="D59" s="2" t="s">
        <v>100</v>
      </c>
      <c r="E59" s="2" t="s">
        <v>61</v>
      </c>
      <c r="F59" s="2" t="s">
        <v>62</v>
      </c>
      <c r="G59" s="2" t="s">
        <v>19</v>
      </c>
      <c r="H59" s="4">
        <v>4</v>
      </c>
      <c r="I59" s="4">
        <v>899.99</v>
      </c>
      <c r="J59" s="2" t="s">
        <v>26</v>
      </c>
      <c r="K59" s="2" t="s">
        <v>63</v>
      </c>
      <c r="L59" s="2" t="s">
        <v>27</v>
      </c>
      <c r="M59" s="3">
        <v>44993</v>
      </c>
      <c r="N59" s="4">
        <v>3599.96</v>
      </c>
    </row>
    <row r="60" spans="1:14" ht="29.4" thickBot="1" x14ac:dyDescent="0.35">
      <c r="A60" s="2" t="s">
        <v>177</v>
      </c>
      <c r="B60" s="3">
        <v>45472</v>
      </c>
      <c r="C60" s="2" t="s">
        <v>120</v>
      </c>
      <c r="D60" s="2" t="s">
        <v>121</v>
      </c>
      <c r="E60" s="2" t="s">
        <v>44</v>
      </c>
      <c r="F60" s="2" t="s">
        <v>45</v>
      </c>
      <c r="G60" s="2" t="s">
        <v>46</v>
      </c>
      <c r="H60" s="4">
        <v>1</v>
      </c>
      <c r="I60" s="4">
        <v>149.99</v>
      </c>
      <c r="J60" s="2" t="s">
        <v>34</v>
      </c>
      <c r="K60" s="2" t="s">
        <v>63</v>
      </c>
      <c r="L60" s="2" t="s">
        <v>22</v>
      </c>
      <c r="M60" s="3">
        <v>44851</v>
      </c>
      <c r="N60" s="4">
        <v>149.99</v>
      </c>
    </row>
    <row r="61" spans="1:14" ht="29.4" thickBot="1" x14ac:dyDescent="0.35">
      <c r="A61" s="2" t="s">
        <v>178</v>
      </c>
      <c r="B61" s="3">
        <v>45474</v>
      </c>
      <c r="C61" s="2" t="s">
        <v>132</v>
      </c>
      <c r="D61" s="2" t="s">
        <v>133</v>
      </c>
      <c r="E61" s="2" t="s">
        <v>117</v>
      </c>
      <c r="F61" s="2" t="s">
        <v>118</v>
      </c>
      <c r="G61" s="2" t="s">
        <v>19</v>
      </c>
      <c r="H61" s="4">
        <v>2</v>
      </c>
      <c r="I61" s="4">
        <v>89.99</v>
      </c>
      <c r="J61" s="2" t="s">
        <v>34</v>
      </c>
      <c r="K61" s="2" t="s">
        <v>21</v>
      </c>
      <c r="L61" s="2" t="s">
        <v>27</v>
      </c>
      <c r="M61" s="3">
        <v>45275</v>
      </c>
      <c r="N61" s="4">
        <v>179.98</v>
      </c>
    </row>
    <row r="62" spans="1:14" ht="29.4" thickBot="1" x14ac:dyDescent="0.35">
      <c r="A62" s="2" t="s">
        <v>179</v>
      </c>
      <c r="B62" s="3">
        <v>45475</v>
      </c>
      <c r="C62" s="2" t="s">
        <v>55</v>
      </c>
      <c r="D62" s="2" t="s">
        <v>56</v>
      </c>
      <c r="E62" s="2" t="s">
        <v>117</v>
      </c>
      <c r="F62" s="2" t="s">
        <v>118</v>
      </c>
      <c r="G62" s="2" t="s">
        <v>19</v>
      </c>
      <c r="H62" s="4">
        <v>1</v>
      </c>
      <c r="I62" s="4">
        <v>89.99</v>
      </c>
      <c r="J62" s="2" t="s">
        <v>34</v>
      </c>
      <c r="K62" s="2" t="s">
        <v>50</v>
      </c>
      <c r="L62" s="2" t="s">
        <v>36</v>
      </c>
      <c r="M62" s="3">
        <v>44802</v>
      </c>
      <c r="N62" s="4">
        <v>89.99</v>
      </c>
    </row>
    <row r="63" spans="1:14" ht="29.4" thickBot="1" x14ac:dyDescent="0.35">
      <c r="A63" s="2" t="s">
        <v>180</v>
      </c>
      <c r="B63" s="3">
        <v>45476</v>
      </c>
      <c r="C63" s="2" t="s">
        <v>68</v>
      </c>
      <c r="D63" s="2" t="s">
        <v>69</v>
      </c>
      <c r="E63" s="2" t="s">
        <v>117</v>
      </c>
      <c r="F63" s="2" t="s">
        <v>118</v>
      </c>
      <c r="G63" s="2" t="s">
        <v>19</v>
      </c>
      <c r="H63" s="4">
        <v>1</v>
      </c>
      <c r="I63" s="4">
        <v>89.99</v>
      </c>
      <c r="J63" s="2" t="s">
        <v>20</v>
      </c>
      <c r="K63" s="2" t="s">
        <v>35</v>
      </c>
      <c r="L63" s="2" t="s">
        <v>36</v>
      </c>
      <c r="M63" s="3">
        <v>44611</v>
      </c>
      <c r="N63" s="4">
        <v>89.99</v>
      </c>
    </row>
    <row r="64" spans="1:14" ht="29.4" thickBot="1" x14ac:dyDescent="0.35">
      <c r="A64" s="2" t="s">
        <v>181</v>
      </c>
      <c r="B64" s="3">
        <v>45476</v>
      </c>
      <c r="C64" s="2" t="s">
        <v>182</v>
      </c>
      <c r="D64" s="2" t="s">
        <v>183</v>
      </c>
      <c r="E64" s="2" t="s">
        <v>114</v>
      </c>
      <c r="F64" s="2" t="s">
        <v>115</v>
      </c>
      <c r="G64" s="2" t="s">
        <v>33</v>
      </c>
      <c r="H64" s="4">
        <v>5</v>
      </c>
      <c r="I64" s="4">
        <v>79.989999999999995</v>
      </c>
      <c r="J64" s="2" t="s">
        <v>57</v>
      </c>
      <c r="K64" s="2" t="s">
        <v>21</v>
      </c>
      <c r="L64" s="2" t="s">
        <v>22</v>
      </c>
      <c r="M64" s="3">
        <v>44981</v>
      </c>
      <c r="N64" s="4">
        <v>399.95</v>
      </c>
    </row>
    <row r="65" spans="1:14" ht="29.4" thickBot="1" x14ac:dyDescent="0.35">
      <c r="A65" s="2" t="s">
        <v>184</v>
      </c>
      <c r="B65" s="3">
        <v>45481</v>
      </c>
      <c r="C65" s="2" t="s">
        <v>185</v>
      </c>
      <c r="D65" s="2" t="s">
        <v>186</v>
      </c>
      <c r="E65" s="2" t="s">
        <v>44</v>
      </c>
      <c r="F65" s="2" t="s">
        <v>45</v>
      </c>
      <c r="G65" s="2" t="s">
        <v>46</v>
      </c>
      <c r="H65" s="4">
        <v>1</v>
      </c>
      <c r="I65" s="4">
        <v>149.99</v>
      </c>
      <c r="J65" s="2" t="s">
        <v>34</v>
      </c>
      <c r="K65" s="2" t="s">
        <v>40</v>
      </c>
      <c r="L65" s="2" t="s">
        <v>22</v>
      </c>
      <c r="M65" s="3">
        <v>44421</v>
      </c>
      <c r="N65" s="4">
        <v>149.99</v>
      </c>
    </row>
    <row r="66" spans="1:14" ht="29.4" thickBot="1" x14ac:dyDescent="0.35">
      <c r="A66" s="2" t="s">
        <v>187</v>
      </c>
      <c r="B66" s="3">
        <v>45481</v>
      </c>
      <c r="C66" s="2" t="s">
        <v>42</v>
      </c>
      <c r="D66" s="2" t="s">
        <v>43</v>
      </c>
      <c r="E66" s="2" t="s">
        <v>80</v>
      </c>
      <c r="F66" s="2" t="s">
        <v>81</v>
      </c>
      <c r="G66" s="2" t="s">
        <v>19</v>
      </c>
      <c r="H66" s="4">
        <v>2</v>
      </c>
      <c r="I66" s="4">
        <v>699.99</v>
      </c>
      <c r="J66" s="2" t="s">
        <v>34</v>
      </c>
      <c r="K66" s="2" t="s">
        <v>63</v>
      </c>
      <c r="L66" s="2" t="s">
        <v>27</v>
      </c>
      <c r="M66" s="3">
        <v>45389</v>
      </c>
      <c r="N66" s="4">
        <v>1399.98</v>
      </c>
    </row>
    <row r="67" spans="1:14" ht="29.4" thickBot="1" x14ac:dyDescent="0.35">
      <c r="A67" s="2" t="s">
        <v>188</v>
      </c>
      <c r="B67" s="3">
        <v>45481</v>
      </c>
      <c r="C67" s="2" t="s">
        <v>96</v>
      </c>
      <c r="D67" s="2" t="s">
        <v>97</v>
      </c>
      <c r="E67" s="2" t="s">
        <v>117</v>
      </c>
      <c r="F67" s="2" t="s">
        <v>118</v>
      </c>
      <c r="G67" s="2" t="s">
        <v>19</v>
      </c>
      <c r="H67" s="4">
        <v>5</v>
      </c>
      <c r="I67" s="4">
        <v>89.99</v>
      </c>
      <c r="J67" s="2" t="s">
        <v>57</v>
      </c>
      <c r="K67" s="2" t="s">
        <v>40</v>
      </c>
      <c r="L67" s="2" t="s">
        <v>27</v>
      </c>
      <c r="M67" s="3">
        <v>45161</v>
      </c>
      <c r="N67" s="4">
        <v>449.95</v>
      </c>
    </row>
    <row r="68" spans="1:14" ht="29.4" thickBot="1" x14ac:dyDescent="0.35">
      <c r="A68" s="2" t="s">
        <v>189</v>
      </c>
      <c r="B68" s="3">
        <v>45482</v>
      </c>
      <c r="C68" s="2" t="s">
        <v>171</v>
      </c>
      <c r="D68" s="2" t="s">
        <v>172</v>
      </c>
      <c r="E68" s="2" t="s">
        <v>31</v>
      </c>
      <c r="F68" s="2" t="s">
        <v>32</v>
      </c>
      <c r="G68" s="2" t="s">
        <v>33</v>
      </c>
      <c r="H68" s="4">
        <v>4</v>
      </c>
      <c r="I68" s="4">
        <v>59.99</v>
      </c>
      <c r="J68" s="2" t="s">
        <v>20</v>
      </c>
      <c r="K68" s="2" t="s">
        <v>35</v>
      </c>
      <c r="L68" s="2" t="s">
        <v>36</v>
      </c>
      <c r="M68" s="3">
        <v>44509</v>
      </c>
      <c r="N68" s="4">
        <v>239.96</v>
      </c>
    </row>
    <row r="69" spans="1:14" ht="29.4" thickBot="1" x14ac:dyDescent="0.35">
      <c r="A69" s="2" t="s">
        <v>190</v>
      </c>
      <c r="B69" s="3">
        <v>45484</v>
      </c>
      <c r="C69" s="2" t="s">
        <v>24</v>
      </c>
      <c r="D69" s="2" t="s">
        <v>25</v>
      </c>
      <c r="E69" s="2" t="s">
        <v>52</v>
      </c>
      <c r="F69" s="2" t="s">
        <v>53</v>
      </c>
      <c r="G69" s="2" t="s">
        <v>19</v>
      </c>
      <c r="H69" s="4">
        <v>1</v>
      </c>
      <c r="I69" s="4">
        <v>149.99</v>
      </c>
      <c r="J69" s="2" t="s">
        <v>20</v>
      </c>
      <c r="K69" s="2" t="s">
        <v>21</v>
      </c>
      <c r="L69" s="2" t="s">
        <v>36</v>
      </c>
      <c r="M69" s="3">
        <v>44909</v>
      </c>
      <c r="N69" s="4">
        <v>149.99</v>
      </c>
    </row>
    <row r="70" spans="1:14" ht="29.4" thickBot="1" x14ac:dyDescent="0.35">
      <c r="A70" s="2" t="s">
        <v>191</v>
      </c>
      <c r="B70" s="3">
        <v>45484</v>
      </c>
      <c r="C70" s="2" t="s">
        <v>192</v>
      </c>
      <c r="D70" s="2" t="s">
        <v>193</v>
      </c>
      <c r="E70" s="2" t="s">
        <v>105</v>
      </c>
      <c r="F70" s="2" t="s">
        <v>106</v>
      </c>
      <c r="G70" s="2" t="s">
        <v>46</v>
      </c>
      <c r="H70" s="4">
        <v>1</v>
      </c>
      <c r="I70" s="4">
        <v>299.99</v>
      </c>
      <c r="J70" s="2" t="s">
        <v>26</v>
      </c>
      <c r="K70" s="2" t="s">
        <v>40</v>
      </c>
      <c r="L70" s="2" t="s">
        <v>27</v>
      </c>
      <c r="M70" s="3">
        <v>44891</v>
      </c>
      <c r="N70" s="4">
        <v>299.99</v>
      </c>
    </row>
    <row r="71" spans="1:14" ht="29.4" thickBot="1" x14ac:dyDescent="0.35">
      <c r="A71" s="2" t="s">
        <v>194</v>
      </c>
      <c r="B71" s="3">
        <v>45487</v>
      </c>
      <c r="C71" s="2" t="s">
        <v>192</v>
      </c>
      <c r="D71" s="2" t="s">
        <v>193</v>
      </c>
      <c r="E71" s="2" t="s">
        <v>126</v>
      </c>
      <c r="F71" s="2" t="s">
        <v>127</v>
      </c>
      <c r="G71" s="2" t="s">
        <v>46</v>
      </c>
      <c r="H71" s="4">
        <v>2</v>
      </c>
      <c r="I71" s="4">
        <v>199.99</v>
      </c>
      <c r="J71" s="2" t="s">
        <v>20</v>
      </c>
      <c r="K71" s="2" t="s">
        <v>40</v>
      </c>
      <c r="L71" s="2" t="s">
        <v>22</v>
      </c>
      <c r="M71" s="3">
        <v>44541</v>
      </c>
      <c r="N71" s="4">
        <v>399.98</v>
      </c>
    </row>
    <row r="72" spans="1:14" ht="29.4" thickBot="1" x14ac:dyDescent="0.35">
      <c r="A72" s="2" t="s">
        <v>195</v>
      </c>
      <c r="B72" s="3">
        <v>45490</v>
      </c>
      <c r="C72" s="2" t="s">
        <v>196</v>
      </c>
      <c r="D72" s="2" t="s">
        <v>197</v>
      </c>
      <c r="E72" s="2" t="s">
        <v>31</v>
      </c>
      <c r="F72" s="2" t="s">
        <v>32</v>
      </c>
      <c r="G72" s="2" t="s">
        <v>33</v>
      </c>
      <c r="H72" s="4">
        <v>3</v>
      </c>
      <c r="I72" s="4">
        <v>59.99</v>
      </c>
      <c r="J72" s="2" t="s">
        <v>26</v>
      </c>
      <c r="K72" s="2" t="s">
        <v>50</v>
      </c>
      <c r="L72" s="2" t="s">
        <v>22</v>
      </c>
      <c r="M72" s="3">
        <v>45130</v>
      </c>
      <c r="N72" s="4">
        <v>179.97</v>
      </c>
    </row>
    <row r="73" spans="1:14" ht="43.8" thickBot="1" x14ac:dyDescent="0.35">
      <c r="A73" s="2" t="s">
        <v>198</v>
      </c>
      <c r="B73" s="3">
        <v>45490</v>
      </c>
      <c r="C73" s="2" t="s">
        <v>72</v>
      </c>
      <c r="D73" s="2" t="s">
        <v>73</v>
      </c>
      <c r="E73" s="2" t="s">
        <v>44</v>
      </c>
      <c r="F73" s="2" t="s">
        <v>45</v>
      </c>
      <c r="G73" s="2" t="s">
        <v>46</v>
      </c>
      <c r="H73" s="4">
        <v>3</v>
      </c>
      <c r="I73" s="4">
        <v>149.99</v>
      </c>
      <c r="J73" s="2" t="s">
        <v>20</v>
      </c>
      <c r="K73" s="2" t="s">
        <v>21</v>
      </c>
      <c r="L73" s="2" t="s">
        <v>27</v>
      </c>
      <c r="M73" s="3">
        <v>45199</v>
      </c>
      <c r="N73" s="4">
        <v>449.97</v>
      </c>
    </row>
    <row r="74" spans="1:14" ht="29.4" thickBot="1" x14ac:dyDescent="0.35">
      <c r="A74" s="2" t="s">
        <v>199</v>
      </c>
      <c r="B74" s="3">
        <v>45491</v>
      </c>
      <c r="C74" s="2" t="s">
        <v>65</v>
      </c>
      <c r="D74" s="2" t="s">
        <v>66</v>
      </c>
      <c r="E74" s="2" t="s">
        <v>126</v>
      </c>
      <c r="F74" s="2" t="s">
        <v>127</v>
      </c>
      <c r="G74" s="2" t="s">
        <v>46</v>
      </c>
      <c r="H74" s="4">
        <v>3</v>
      </c>
      <c r="I74" s="4">
        <v>199.99</v>
      </c>
      <c r="J74" s="2" t="s">
        <v>20</v>
      </c>
      <c r="K74" s="2" t="s">
        <v>40</v>
      </c>
      <c r="L74" s="2" t="s">
        <v>27</v>
      </c>
      <c r="M74" s="3">
        <v>45254</v>
      </c>
      <c r="N74" s="4">
        <v>599.97</v>
      </c>
    </row>
    <row r="75" spans="1:14" ht="29.4" thickBot="1" x14ac:dyDescent="0.35">
      <c r="A75" s="2" t="s">
        <v>200</v>
      </c>
      <c r="B75" s="3">
        <v>45496</v>
      </c>
      <c r="C75" s="2" t="s">
        <v>150</v>
      </c>
      <c r="D75" s="2" t="s">
        <v>151</v>
      </c>
      <c r="E75" s="2" t="s">
        <v>61</v>
      </c>
      <c r="F75" s="2" t="s">
        <v>62</v>
      </c>
      <c r="G75" s="2" t="s">
        <v>19</v>
      </c>
      <c r="H75" s="4">
        <v>1</v>
      </c>
      <c r="I75" s="4">
        <v>899.99</v>
      </c>
      <c r="J75" s="2" t="s">
        <v>20</v>
      </c>
      <c r="K75" s="2" t="s">
        <v>21</v>
      </c>
      <c r="L75" s="2" t="s">
        <v>36</v>
      </c>
      <c r="M75" s="3">
        <v>45179</v>
      </c>
      <c r="N75" s="4">
        <v>899.99</v>
      </c>
    </row>
    <row r="76" spans="1:14" ht="29.4" thickBot="1" x14ac:dyDescent="0.35">
      <c r="A76" s="2" t="s">
        <v>201</v>
      </c>
      <c r="B76" s="3">
        <v>45497</v>
      </c>
      <c r="C76" s="2" t="s">
        <v>24</v>
      </c>
      <c r="D76" s="2" t="s">
        <v>25</v>
      </c>
      <c r="E76" s="2" t="s">
        <v>61</v>
      </c>
      <c r="F76" s="2" t="s">
        <v>62</v>
      </c>
      <c r="G76" s="2" t="s">
        <v>19</v>
      </c>
      <c r="H76" s="4">
        <v>5</v>
      </c>
      <c r="I76" s="4">
        <v>899.99</v>
      </c>
      <c r="J76" s="2" t="s">
        <v>57</v>
      </c>
      <c r="K76" s="2" t="s">
        <v>35</v>
      </c>
      <c r="L76" s="2" t="s">
        <v>36</v>
      </c>
      <c r="M76" s="3">
        <v>44899</v>
      </c>
      <c r="N76" s="4">
        <v>4499.95</v>
      </c>
    </row>
    <row r="77" spans="1:14" ht="29.4" thickBot="1" x14ac:dyDescent="0.35">
      <c r="A77" s="2" t="s">
        <v>202</v>
      </c>
      <c r="B77" s="3">
        <v>45498</v>
      </c>
      <c r="C77" s="2" t="s">
        <v>182</v>
      </c>
      <c r="D77" s="2" t="s">
        <v>183</v>
      </c>
      <c r="E77" s="2" t="s">
        <v>31</v>
      </c>
      <c r="F77" s="2" t="s">
        <v>32</v>
      </c>
      <c r="G77" s="2" t="s">
        <v>33</v>
      </c>
      <c r="H77" s="4">
        <v>2</v>
      </c>
      <c r="I77" s="4">
        <v>59.99</v>
      </c>
      <c r="J77" s="2" t="s">
        <v>20</v>
      </c>
      <c r="K77" s="2" t="s">
        <v>40</v>
      </c>
      <c r="L77" s="2" t="s">
        <v>36</v>
      </c>
      <c r="M77" s="3">
        <v>45152</v>
      </c>
      <c r="N77" s="4">
        <v>119.98</v>
      </c>
    </row>
    <row r="78" spans="1:14" ht="29.4" thickBot="1" x14ac:dyDescent="0.35">
      <c r="A78" s="2" t="s">
        <v>203</v>
      </c>
      <c r="B78" s="3">
        <v>45498</v>
      </c>
      <c r="C78" s="2" t="s">
        <v>196</v>
      </c>
      <c r="D78" s="2" t="s">
        <v>197</v>
      </c>
      <c r="E78" s="2" t="s">
        <v>17</v>
      </c>
      <c r="F78" s="2" t="s">
        <v>18</v>
      </c>
      <c r="G78" s="2" t="s">
        <v>19</v>
      </c>
      <c r="H78" s="4">
        <v>4</v>
      </c>
      <c r="I78" s="4">
        <v>249.99</v>
      </c>
      <c r="J78" s="2" t="s">
        <v>57</v>
      </c>
      <c r="K78" s="2" t="s">
        <v>21</v>
      </c>
      <c r="L78" s="2" t="s">
        <v>36</v>
      </c>
      <c r="M78" s="3">
        <v>45127</v>
      </c>
      <c r="N78" s="4">
        <v>999.96</v>
      </c>
    </row>
    <row r="79" spans="1:14" ht="29.4" thickBot="1" x14ac:dyDescent="0.35">
      <c r="A79" s="2" t="s">
        <v>204</v>
      </c>
      <c r="B79" s="3">
        <v>45500</v>
      </c>
      <c r="C79" s="2" t="s">
        <v>96</v>
      </c>
      <c r="D79" s="2" t="s">
        <v>97</v>
      </c>
      <c r="E79" s="2" t="s">
        <v>17</v>
      </c>
      <c r="F79" s="2" t="s">
        <v>18</v>
      </c>
      <c r="G79" s="2" t="s">
        <v>19</v>
      </c>
      <c r="H79" s="4">
        <v>2</v>
      </c>
      <c r="I79" s="4">
        <v>249.99</v>
      </c>
      <c r="J79" s="2" t="s">
        <v>20</v>
      </c>
      <c r="K79" s="2" t="s">
        <v>40</v>
      </c>
      <c r="L79" s="2" t="s">
        <v>27</v>
      </c>
      <c r="M79" s="3">
        <v>45164</v>
      </c>
      <c r="N79" s="4">
        <v>499.98</v>
      </c>
    </row>
    <row r="80" spans="1:14" ht="29.4" thickBot="1" x14ac:dyDescent="0.35">
      <c r="A80" s="2" t="s">
        <v>205</v>
      </c>
      <c r="B80" s="3">
        <v>45500</v>
      </c>
      <c r="C80" s="2" t="s">
        <v>147</v>
      </c>
      <c r="D80" s="2" t="s">
        <v>148</v>
      </c>
      <c r="E80" s="2" t="s">
        <v>105</v>
      </c>
      <c r="F80" s="2" t="s">
        <v>106</v>
      </c>
      <c r="G80" s="2" t="s">
        <v>46</v>
      </c>
      <c r="H80" s="4">
        <v>1</v>
      </c>
      <c r="I80" s="4">
        <v>299.99</v>
      </c>
      <c r="J80" s="2" t="s">
        <v>20</v>
      </c>
      <c r="K80" s="2" t="s">
        <v>35</v>
      </c>
      <c r="L80" s="2" t="s">
        <v>22</v>
      </c>
      <c r="M80" s="3">
        <v>44982</v>
      </c>
      <c r="N80" s="4">
        <v>299.99</v>
      </c>
    </row>
    <row r="81" spans="1:14" ht="29.4" thickBot="1" x14ac:dyDescent="0.35">
      <c r="A81" s="2" t="s">
        <v>206</v>
      </c>
      <c r="B81" s="3">
        <v>45501</v>
      </c>
      <c r="C81" s="2" t="s">
        <v>86</v>
      </c>
      <c r="D81" s="2" t="s">
        <v>87</v>
      </c>
      <c r="E81" s="2" t="s">
        <v>117</v>
      </c>
      <c r="F81" s="2" t="s">
        <v>118</v>
      </c>
      <c r="G81" s="2" t="s">
        <v>19</v>
      </c>
      <c r="H81" s="4">
        <v>2</v>
      </c>
      <c r="I81" s="4">
        <v>89.99</v>
      </c>
      <c r="J81" s="2" t="s">
        <v>34</v>
      </c>
      <c r="K81" s="2" t="s">
        <v>35</v>
      </c>
      <c r="L81" s="2" t="s">
        <v>22</v>
      </c>
      <c r="M81" s="3">
        <v>44976</v>
      </c>
      <c r="N81" s="4">
        <v>179.98</v>
      </c>
    </row>
    <row r="82" spans="1:14" ht="29.4" thickBot="1" x14ac:dyDescent="0.35">
      <c r="A82" s="2" t="s">
        <v>207</v>
      </c>
      <c r="B82" s="3">
        <v>45501</v>
      </c>
      <c r="C82" s="2" t="s">
        <v>147</v>
      </c>
      <c r="D82" s="2" t="s">
        <v>148</v>
      </c>
      <c r="E82" s="2" t="s">
        <v>105</v>
      </c>
      <c r="F82" s="2" t="s">
        <v>106</v>
      </c>
      <c r="G82" s="2" t="s">
        <v>46</v>
      </c>
      <c r="H82" s="4">
        <v>3</v>
      </c>
      <c r="I82" s="4">
        <v>299.99</v>
      </c>
      <c r="J82" s="2" t="s">
        <v>20</v>
      </c>
      <c r="K82" s="2" t="s">
        <v>21</v>
      </c>
      <c r="L82" s="2" t="s">
        <v>22</v>
      </c>
      <c r="M82" s="3">
        <v>44732</v>
      </c>
      <c r="N82" s="4">
        <v>899.97</v>
      </c>
    </row>
    <row r="83" spans="1:14" ht="29.4" thickBot="1" x14ac:dyDescent="0.35">
      <c r="A83" s="2" t="s">
        <v>208</v>
      </c>
      <c r="B83" s="3">
        <v>45503</v>
      </c>
      <c r="C83" s="2" t="s">
        <v>86</v>
      </c>
      <c r="D83" s="2" t="s">
        <v>87</v>
      </c>
      <c r="E83" s="2" t="s">
        <v>80</v>
      </c>
      <c r="F83" s="2" t="s">
        <v>81</v>
      </c>
      <c r="G83" s="2" t="s">
        <v>19</v>
      </c>
      <c r="H83" s="4">
        <v>2</v>
      </c>
      <c r="I83" s="4">
        <v>699.99</v>
      </c>
      <c r="J83" s="2" t="s">
        <v>26</v>
      </c>
      <c r="K83" s="2" t="s">
        <v>40</v>
      </c>
      <c r="L83" s="2" t="s">
        <v>27</v>
      </c>
      <c r="M83" s="3">
        <v>44999</v>
      </c>
      <c r="N83" s="4">
        <v>1399.98</v>
      </c>
    </row>
    <row r="84" spans="1:14" ht="29.4" thickBot="1" x14ac:dyDescent="0.35">
      <c r="A84" s="2" t="s">
        <v>209</v>
      </c>
      <c r="B84" s="3">
        <v>45504</v>
      </c>
      <c r="C84" s="2" t="s">
        <v>120</v>
      </c>
      <c r="D84" s="2" t="s">
        <v>121</v>
      </c>
      <c r="E84" s="2" t="s">
        <v>61</v>
      </c>
      <c r="F84" s="2" t="s">
        <v>62</v>
      </c>
      <c r="G84" s="2" t="s">
        <v>19</v>
      </c>
      <c r="H84" s="4">
        <v>4</v>
      </c>
      <c r="I84" s="4">
        <v>899.99</v>
      </c>
      <c r="J84" s="2" t="s">
        <v>57</v>
      </c>
      <c r="K84" s="2" t="s">
        <v>35</v>
      </c>
      <c r="L84" s="2" t="s">
        <v>36</v>
      </c>
      <c r="M84" s="3">
        <v>44523</v>
      </c>
      <c r="N84" s="4">
        <v>3599.96</v>
      </c>
    </row>
    <row r="85" spans="1:14" ht="29.4" thickBot="1" x14ac:dyDescent="0.35">
      <c r="A85" s="2" t="s">
        <v>210</v>
      </c>
      <c r="B85" s="3">
        <v>45509</v>
      </c>
      <c r="C85" s="2" t="s">
        <v>211</v>
      </c>
      <c r="D85" s="2" t="s">
        <v>212</v>
      </c>
      <c r="E85" s="2" t="s">
        <v>44</v>
      </c>
      <c r="F85" s="2" t="s">
        <v>45</v>
      </c>
      <c r="G85" s="2" t="s">
        <v>46</v>
      </c>
      <c r="H85" s="4">
        <v>2</v>
      </c>
      <c r="I85" s="4">
        <v>149.99</v>
      </c>
      <c r="J85" s="2" t="s">
        <v>26</v>
      </c>
      <c r="K85" s="2" t="s">
        <v>50</v>
      </c>
      <c r="L85" s="2" t="s">
        <v>22</v>
      </c>
      <c r="M85" s="3">
        <v>44542</v>
      </c>
      <c r="N85" s="4">
        <v>299.98</v>
      </c>
    </row>
    <row r="86" spans="1:14" ht="29.4" thickBot="1" x14ac:dyDescent="0.35">
      <c r="A86" s="2" t="s">
        <v>213</v>
      </c>
      <c r="B86" s="3">
        <v>45510</v>
      </c>
      <c r="C86" s="2" t="s">
        <v>102</v>
      </c>
      <c r="D86" s="2" t="s">
        <v>103</v>
      </c>
      <c r="E86" s="2" t="s">
        <v>44</v>
      </c>
      <c r="F86" s="2" t="s">
        <v>45</v>
      </c>
      <c r="G86" s="2" t="s">
        <v>46</v>
      </c>
      <c r="H86" s="4">
        <v>2</v>
      </c>
      <c r="I86" s="4">
        <v>149.99</v>
      </c>
      <c r="J86" s="2" t="s">
        <v>57</v>
      </c>
      <c r="K86" s="2" t="s">
        <v>63</v>
      </c>
      <c r="L86" s="2" t="s">
        <v>36</v>
      </c>
      <c r="M86" s="3">
        <v>44667</v>
      </c>
      <c r="N86" s="4">
        <v>299.98</v>
      </c>
    </row>
    <row r="87" spans="1:14" ht="29.4" thickBot="1" x14ac:dyDescent="0.35">
      <c r="A87" s="2" t="s">
        <v>214</v>
      </c>
      <c r="B87" s="3">
        <v>45513</v>
      </c>
      <c r="C87" s="2" t="s">
        <v>89</v>
      </c>
      <c r="D87" s="2" t="s">
        <v>90</v>
      </c>
      <c r="E87" s="2" t="s">
        <v>117</v>
      </c>
      <c r="F87" s="2" t="s">
        <v>118</v>
      </c>
      <c r="G87" s="2" t="s">
        <v>19</v>
      </c>
      <c r="H87" s="4">
        <v>1</v>
      </c>
      <c r="I87" s="4">
        <v>89.99</v>
      </c>
      <c r="J87" s="2" t="s">
        <v>26</v>
      </c>
      <c r="K87" s="2" t="s">
        <v>40</v>
      </c>
      <c r="L87" s="2" t="s">
        <v>36</v>
      </c>
      <c r="M87" s="3">
        <v>45393</v>
      </c>
      <c r="N87" s="4">
        <v>89.99</v>
      </c>
    </row>
    <row r="88" spans="1:14" ht="29.4" thickBot="1" x14ac:dyDescent="0.35">
      <c r="A88" s="2" t="s">
        <v>215</v>
      </c>
      <c r="B88" s="3">
        <v>45515</v>
      </c>
      <c r="C88" s="2" t="s">
        <v>86</v>
      </c>
      <c r="D88" s="2" t="s">
        <v>87</v>
      </c>
      <c r="E88" s="2" t="s">
        <v>105</v>
      </c>
      <c r="F88" s="2" t="s">
        <v>106</v>
      </c>
      <c r="G88" s="2" t="s">
        <v>46</v>
      </c>
      <c r="H88" s="4">
        <v>5</v>
      </c>
      <c r="I88" s="4">
        <v>299.99</v>
      </c>
      <c r="J88" s="2" t="s">
        <v>26</v>
      </c>
      <c r="K88" s="2" t="s">
        <v>40</v>
      </c>
      <c r="L88" s="2" t="s">
        <v>22</v>
      </c>
      <c r="M88" s="3">
        <v>44965</v>
      </c>
      <c r="N88" s="4">
        <v>1499.95</v>
      </c>
    </row>
    <row r="89" spans="1:14" ht="29.4" thickBot="1" x14ac:dyDescent="0.35">
      <c r="A89" s="2" t="s">
        <v>216</v>
      </c>
      <c r="B89" s="3">
        <v>45517</v>
      </c>
      <c r="C89" s="2" t="s">
        <v>182</v>
      </c>
      <c r="D89" s="2" t="s">
        <v>183</v>
      </c>
      <c r="E89" s="2" t="s">
        <v>52</v>
      </c>
      <c r="F89" s="2" t="s">
        <v>53</v>
      </c>
      <c r="G89" s="2" t="s">
        <v>19</v>
      </c>
      <c r="H89" s="4">
        <v>4</v>
      </c>
      <c r="I89" s="4">
        <v>149.99</v>
      </c>
      <c r="J89" s="2" t="s">
        <v>57</v>
      </c>
      <c r="K89" s="2" t="s">
        <v>35</v>
      </c>
      <c r="L89" s="2" t="s">
        <v>27</v>
      </c>
      <c r="M89" s="3">
        <v>44820</v>
      </c>
      <c r="N89" s="4">
        <v>599.96</v>
      </c>
    </row>
    <row r="90" spans="1:14" ht="29.4" thickBot="1" x14ac:dyDescent="0.35">
      <c r="A90" s="2" t="s">
        <v>217</v>
      </c>
      <c r="B90" s="3">
        <v>45517</v>
      </c>
      <c r="C90" s="2" t="s">
        <v>185</v>
      </c>
      <c r="D90" s="2" t="s">
        <v>186</v>
      </c>
      <c r="E90" s="2" t="s">
        <v>17</v>
      </c>
      <c r="F90" s="2" t="s">
        <v>18</v>
      </c>
      <c r="G90" s="2" t="s">
        <v>19</v>
      </c>
      <c r="H90" s="4">
        <v>5</v>
      </c>
      <c r="I90" s="4">
        <v>249.99</v>
      </c>
      <c r="J90" s="2" t="s">
        <v>34</v>
      </c>
      <c r="K90" s="2" t="s">
        <v>63</v>
      </c>
      <c r="L90" s="2" t="s">
        <v>27</v>
      </c>
      <c r="M90" s="3">
        <v>44782</v>
      </c>
      <c r="N90" s="4">
        <v>1249.95</v>
      </c>
    </row>
    <row r="91" spans="1:14" ht="29.4" thickBot="1" x14ac:dyDescent="0.35">
      <c r="A91" s="2" t="s">
        <v>218</v>
      </c>
      <c r="B91" s="3">
        <v>45517</v>
      </c>
      <c r="C91" s="2" t="s">
        <v>65</v>
      </c>
      <c r="D91" s="2" t="s">
        <v>66</v>
      </c>
      <c r="E91" s="2" t="s">
        <v>17</v>
      </c>
      <c r="F91" s="2" t="s">
        <v>18</v>
      </c>
      <c r="G91" s="2" t="s">
        <v>19</v>
      </c>
      <c r="H91" s="4">
        <v>3</v>
      </c>
      <c r="I91" s="4">
        <v>249.99</v>
      </c>
      <c r="J91" s="2" t="s">
        <v>34</v>
      </c>
      <c r="K91" s="2" t="s">
        <v>40</v>
      </c>
      <c r="L91" s="2" t="s">
        <v>27</v>
      </c>
      <c r="M91" s="3">
        <v>44465</v>
      </c>
      <c r="N91" s="4">
        <v>749.97</v>
      </c>
    </row>
    <row r="92" spans="1:14" ht="29.4" thickBot="1" x14ac:dyDescent="0.35">
      <c r="A92" s="2" t="s">
        <v>219</v>
      </c>
      <c r="B92" s="3">
        <v>45517</v>
      </c>
      <c r="C92" s="2" t="s">
        <v>38</v>
      </c>
      <c r="D92" s="2" t="s">
        <v>39</v>
      </c>
      <c r="E92" s="2" t="s">
        <v>126</v>
      </c>
      <c r="F92" s="2" t="s">
        <v>127</v>
      </c>
      <c r="G92" s="2" t="s">
        <v>46</v>
      </c>
      <c r="H92" s="4">
        <v>4</v>
      </c>
      <c r="I92" s="4">
        <v>199.99</v>
      </c>
      <c r="J92" s="2" t="s">
        <v>20</v>
      </c>
      <c r="K92" s="2" t="s">
        <v>40</v>
      </c>
      <c r="L92" s="2" t="s">
        <v>36</v>
      </c>
      <c r="M92" s="3">
        <v>44458</v>
      </c>
      <c r="N92" s="4">
        <v>799.96</v>
      </c>
    </row>
    <row r="93" spans="1:14" ht="29.4" thickBot="1" x14ac:dyDescent="0.35">
      <c r="A93" s="2" t="s">
        <v>220</v>
      </c>
      <c r="B93" s="3">
        <v>45519</v>
      </c>
      <c r="C93" s="2" t="s">
        <v>158</v>
      </c>
      <c r="D93" s="2" t="s">
        <v>159</v>
      </c>
      <c r="E93" s="2" t="s">
        <v>126</v>
      </c>
      <c r="F93" s="2" t="s">
        <v>127</v>
      </c>
      <c r="G93" s="2" t="s">
        <v>46</v>
      </c>
      <c r="H93" s="4">
        <v>5</v>
      </c>
      <c r="I93" s="4">
        <v>199.99</v>
      </c>
      <c r="J93" s="2" t="s">
        <v>20</v>
      </c>
      <c r="K93" s="2" t="s">
        <v>40</v>
      </c>
      <c r="L93" s="2" t="s">
        <v>27</v>
      </c>
      <c r="M93" s="3">
        <v>44991</v>
      </c>
      <c r="N93" s="4">
        <v>999.95</v>
      </c>
    </row>
    <row r="94" spans="1:14" ht="29.4" thickBot="1" x14ac:dyDescent="0.35">
      <c r="A94" s="2" t="s">
        <v>221</v>
      </c>
      <c r="B94" s="3">
        <v>45522</v>
      </c>
      <c r="C94" s="2" t="s">
        <v>86</v>
      </c>
      <c r="D94" s="2" t="s">
        <v>87</v>
      </c>
      <c r="E94" s="2" t="s">
        <v>117</v>
      </c>
      <c r="F94" s="2" t="s">
        <v>118</v>
      </c>
      <c r="G94" s="2" t="s">
        <v>19</v>
      </c>
      <c r="H94" s="4">
        <v>2</v>
      </c>
      <c r="I94" s="4">
        <v>89.99</v>
      </c>
      <c r="J94" s="2" t="s">
        <v>20</v>
      </c>
      <c r="K94" s="2" t="s">
        <v>63</v>
      </c>
      <c r="L94" s="2" t="s">
        <v>27</v>
      </c>
      <c r="M94" s="3">
        <v>44972</v>
      </c>
      <c r="N94" s="4">
        <v>179.98</v>
      </c>
    </row>
    <row r="95" spans="1:14" ht="29.4" thickBot="1" x14ac:dyDescent="0.35">
      <c r="A95" s="2" t="s">
        <v>222</v>
      </c>
      <c r="B95" s="3">
        <v>45523</v>
      </c>
      <c r="C95" s="2" t="s">
        <v>196</v>
      </c>
      <c r="D95" s="2" t="s">
        <v>197</v>
      </c>
      <c r="E95" s="2" t="s">
        <v>61</v>
      </c>
      <c r="F95" s="2" t="s">
        <v>62</v>
      </c>
      <c r="G95" s="2" t="s">
        <v>19</v>
      </c>
      <c r="H95" s="4">
        <v>5</v>
      </c>
      <c r="I95" s="4">
        <v>899.99</v>
      </c>
      <c r="J95" s="2" t="s">
        <v>57</v>
      </c>
      <c r="K95" s="2" t="s">
        <v>63</v>
      </c>
      <c r="L95" s="2" t="s">
        <v>22</v>
      </c>
      <c r="M95" s="3">
        <v>44526</v>
      </c>
      <c r="N95" s="4">
        <v>4499.95</v>
      </c>
    </row>
    <row r="96" spans="1:14" ht="29.4" thickBot="1" x14ac:dyDescent="0.35">
      <c r="A96" s="2" t="s">
        <v>223</v>
      </c>
      <c r="B96" s="3">
        <v>45523</v>
      </c>
      <c r="C96" s="2" t="s">
        <v>108</v>
      </c>
      <c r="D96" s="2" t="s">
        <v>109</v>
      </c>
      <c r="E96" s="2" t="s">
        <v>52</v>
      </c>
      <c r="F96" s="2" t="s">
        <v>53</v>
      </c>
      <c r="G96" s="2" t="s">
        <v>19</v>
      </c>
      <c r="H96" s="4">
        <v>3</v>
      </c>
      <c r="I96" s="4">
        <v>149.99</v>
      </c>
      <c r="J96" s="2" t="s">
        <v>34</v>
      </c>
      <c r="K96" s="2" t="s">
        <v>63</v>
      </c>
      <c r="L96" s="2" t="s">
        <v>22</v>
      </c>
      <c r="M96" s="3">
        <v>44574</v>
      </c>
      <c r="N96" s="4">
        <v>449.97</v>
      </c>
    </row>
    <row r="97" spans="1:14" ht="29.4" thickBot="1" x14ac:dyDescent="0.35">
      <c r="A97" s="2" t="s">
        <v>224</v>
      </c>
      <c r="B97" s="3">
        <v>45526</v>
      </c>
      <c r="C97" s="2" t="s">
        <v>102</v>
      </c>
      <c r="D97" s="2" t="s">
        <v>103</v>
      </c>
      <c r="E97" s="2" t="s">
        <v>44</v>
      </c>
      <c r="F97" s="2" t="s">
        <v>45</v>
      </c>
      <c r="G97" s="2" t="s">
        <v>46</v>
      </c>
      <c r="H97" s="4">
        <v>5</v>
      </c>
      <c r="I97" s="4">
        <v>149.99</v>
      </c>
      <c r="J97" s="2" t="s">
        <v>26</v>
      </c>
      <c r="K97" s="2" t="s">
        <v>21</v>
      </c>
      <c r="L97" s="2" t="s">
        <v>22</v>
      </c>
      <c r="M97" s="3">
        <v>45310</v>
      </c>
      <c r="N97" s="4">
        <v>749.95</v>
      </c>
    </row>
    <row r="98" spans="1:14" ht="29.4" thickBot="1" x14ac:dyDescent="0.35">
      <c r="A98" s="2" t="s">
        <v>225</v>
      </c>
      <c r="B98" s="3">
        <v>45528</v>
      </c>
      <c r="C98" s="2" t="s">
        <v>226</v>
      </c>
      <c r="D98" s="2" t="s">
        <v>227</v>
      </c>
      <c r="E98" s="2" t="s">
        <v>114</v>
      </c>
      <c r="F98" s="2" t="s">
        <v>115</v>
      </c>
      <c r="G98" s="2" t="s">
        <v>33</v>
      </c>
      <c r="H98" s="4">
        <v>3</v>
      </c>
      <c r="I98" s="4">
        <v>79.989999999999995</v>
      </c>
      <c r="J98" s="2" t="s">
        <v>20</v>
      </c>
      <c r="K98" s="2" t="s">
        <v>21</v>
      </c>
      <c r="L98" s="2" t="s">
        <v>27</v>
      </c>
      <c r="M98" s="3">
        <v>44779</v>
      </c>
      <c r="N98" s="4">
        <v>239.97</v>
      </c>
    </row>
    <row r="99" spans="1:14" ht="29.4" thickBot="1" x14ac:dyDescent="0.35">
      <c r="A99" s="2" t="s">
        <v>228</v>
      </c>
      <c r="B99" s="3">
        <v>45528</v>
      </c>
      <c r="C99" s="2" t="s">
        <v>144</v>
      </c>
      <c r="D99" s="2" t="s">
        <v>145</v>
      </c>
      <c r="E99" s="2" t="s">
        <v>17</v>
      </c>
      <c r="F99" s="2" t="s">
        <v>18</v>
      </c>
      <c r="G99" s="2" t="s">
        <v>19</v>
      </c>
      <c r="H99" s="4">
        <v>2</v>
      </c>
      <c r="I99" s="4">
        <v>249.99</v>
      </c>
      <c r="J99" s="2" t="s">
        <v>20</v>
      </c>
      <c r="K99" s="2" t="s">
        <v>35</v>
      </c>
      <c r="L99" s="2" t="s">
        <v>36</v>
      </c>
      <c r="M99" s="3">
        <v>44572</v>
      </c>
      <c r="N99" s="4">
        <v>499.98</v>
      </c>
    </row>
    <row r="100" spans="1:14" ht="29.4" thickBot="1" x14ac:dyDescent="0.35">
      <c r="A100" s="2" t="s">
        <v>229</v>
      </c>
      <c r="B100" s="3">
        <v>45532</v>
      </c>
      <c r="C100" s="2" t="s">
        <v>196</v>
      </c>
      <c r="D100" s="2" t="s">
        <v>197</v>
      </c>
      <c r="E100" s="2" t="s">
        <v>80</v>
      </c>
      <c r="F100" s="2" t="s">
        <v>81</v>
      </c>
      <c r="G100" s="2" t="s">
        <v>19</v>
      </c>
      <c r="H100" s="4">
        <v>1</v>
      </c>
      <c r="I100" s="4">
        <v>699.99</v>
      </c>
      <c r="J100" s="2" t="s">
        <v>20</v>
      </c>
      <c r="K100" s="2" t="s">
        <v>21</v>
      </c>
      <c r="L100" s="2" t="s">
        <v>27</v>
      </c>
      <c r="M100" s="3">
        <v>44497</v>
      </c>
      <c r="N100" s="4">
        <v>699.99</v>
      </c>
    </row>
    <row r="101" spans="1:14" ht="29.4" thickBot="1" x14ac:dyDescent="0.35">
      <c r="A101" s="2" t="s">
        <v>230</v>
      </c>
      <c r="B101" s="3">
        <v>45532</v>
      </c>
      <c r="C101" s="2" t="s">
        <v>231</v>
      </c>
      <c r="D101" s="2" t="s">
        <v>232</v>
      </c>
      <c r="E101" s="2" t="s">
        <v>52</v>
      </c>
      <c r="F101" s="2" t="s">
        <v>53</v>
      </c>
      <c r="G101" s="2" t="s">
        <v>19</v>
      </c>
      <c r="H101" s="4">
        <v>3</v>
      </c>
      <c r="I101" s="4">
        <v>149.99</v>
      </c>
      <c r="J101" s="2" t="s">
        <v>20</v>
      </c>
      <c r="K101" s="2" t="s">
        <v>50</v>
      </c>
      <c r="L101" s="2" t="s">
        <v>27</v>
      </c>
      <c r="M101" s="3">
        <v>45212</v>
      </c>
      <c r="N101" s="4">
        <v>449.97</v>
      </c>
    </row>
    <row r="102" spans="1:14" ht="29.4" thickBot="1" x14ac:dyDescent="0.35">
      <c r="A102" s="2" t="s">
        <v>233</v>
      </c>
      <c r="B102" s="3">
        <v>45534</v>
      </c>
      <c r="C102" s="2" t="s">
        <v>234</v>
      </c>
      <c r="D102" s="2" t="s">
        <v>235</v>
      </c>
      <c r="E102" s="2" t="s">
        <v>80</v>
      </c>
      <c r="F102" s="2" t="s">
        <v>81</v>
      </c>
      <c r="G102" s="2" t="s">
        <v>19</v>
      </c>
      <c r="H102" s="4">
        <v>2</v>
      </c>
      <c r="I102" s="4">
        <v>699.99</v>
      </c>
      <c r="J102" s="2" t="s">
        <v>26</v>
      </c>
      <c r="K102" s="2" t="s">
        <v>40</v>
      </c>
      <c r="L102" s="2" t="s">
        <v>27</v>
      </c>
      <c r="M102" s="3">
        <v>44421</v>
      </c>
      <c r="N102" s="4">
        <v>1399.98</v>
      </c>
    </row>
    <row r="103" spans="1:14" ht="29.4" thickBot="1" x14ac:dyDescent="0.35">
      <c r="A103" s="2" t="s">
        <v>236</v>
      </c>
      <c r="B103" s="3">
        <v>45537</v>
      </c>
      <c r="C103" s="2" t="s">
        <v>231</v>
      </c>
      <c r="D103" s="2" t="s">
        <v>232</v>
      </c>
      <c r="E103" s="2" t="s">
        <v>17</v>
      </c>
      <c r="F103" s="2" t="s">
        <v>18</v>
      </c>
      <c r="G103" s="2" t="s">
        <v>19</v>
      </c>
      <c r="H103" s="4">
        <v>1</v>
      </c>
      <c r="I103" s="4">
        <v>249.99</v>
      </c>
      <c r="J103" s="2" t="s">
        <v>26</v>
      </c>
      <c r="K103" s="2" t="s">
        <v>50</v>
      </c>
      <c r="L103" s="2" t="s">
        <v>27</v>
      </c>
      <c r="M103" s="3">
        <v>44685</v>
      </c>
      <c r="N103" s="4">
        <v>249.99</v>
      </c>
    </row>
    <row r="104" spans="1:14" ht="29.4" thickBot="1" x14ac:dyDescent="0.35">
      <c r="A104" s="2" t="s">
        <v>237</v>
      </c>
      <c r="B104" s="3">
        <v>45537</v>
      </c>
      <c r="C104" s="2" t="s">
        <v>15</v>
      </c>
      <c r="D104" s="2" t="s">
        <v>16</v>
      </c>
      <c r="E104" s="2" t="s">
        <v>17</v>
      </c>
      <c r="F104" s="2" t="s">
        <v>18</v>
      </c>
      <c r="G104" s="2" t="s">
        <v>19</v>
      </c>
      <c r="H104" s="4">
        <v>1</v>
      </c>
      <c r="I104" s="4">
        <v>249.99</v>
      </c>
      <c r="J104" s="2" t="s">
        <v>57</v>
      </c>
      <c r="K104" s="2" t="s">
        <v>40</v>
      </c>
      <c r="L104" s="2" t="s">
        <v>27</v>
      </c>
      <c r="M104" s="3">
        <v>45332</v>
      </c>
      <c r="N104" s="4">
        <v>249.99</v>
      </c>
    </row>
    <row r="105" spans="1:14" ht="29.4" thickBot="1" x14ac:dyDescent="0.35">
      <c r="A105" s="2" t="s">
        <v>238</v>
      </c>
      <c r="B105" s="3">
        <v>45538</v>
      </c>
      <c r="C105" s="2" t="s">
        <v>226</v>
      </c>
      <c r="D105" s="2" t="s">
        <v>227</v>
      </c>
      <c r="E105" s="2" t="s">
        <v>80</v>
      </c>
      <c r="F105" s="2" t="s">
        <v>81</v>
      </c>
      <c r="G105" s="2" t="s">
        <v>19</v>
      </c>
      <c r="H105" s="4">
        <v>2</v>
      </c>
      <c r="I105" s="4">
        <v>699.99</v>
      </c>
      <c r="J105" s="2" t="s">
        <v>57</v>
      </c>
      <c r="K105" s="2" t="s">
        <v>21</v>
      </c>
      <c r="L105" s="2" t="s">
        <v>27</v>
      </c>
      <c r="M105" s="3">
        <v>44870</v>
      </c>
      <c r="N105" s="4">
        <v>1399.98</v>
      </c>
    </row>
    <row r="106" spans="1:14" ht="29.4" thickBot="1" x14ac:dyDescent="0.35">
      <c r="A106" s="2" t="s">
        <v>239</v>
      </c>
      <c r="B106" s="3">
        <v>45541</v>
      </c>
      <c r="C106" s="2" t="s">
        <v>138</v>
      </c>
      <c r="D106" s="2" t="s">
        <v>139</v>
      </c>
      <c r="E106" s="2" t="s">
        <v>31</v>
      </c>
      <c r="F106" s="2" t="s">
        <v>32</v>
      </c>
      <c r="G106" s="2" t="s">
        <v>33</v>
      </c>
      <c r="H106" s="4">
        <v>3</v>
      </c>
      <c r="I106" s="4">
        <v>59.99</v>
      </c>
      <c r="J106" s="2" t="s">
        <v>26</v>
      </c>
      <c r="K106" s="2" t="s">
        <v>21</v>
      </c>
      <c r="L106" s="2" t="s">
        <v>27</v>
      </c>
      <c r="M106" s="3">
        <v>44717</v>
      </c>
      <c r="N106" s="4">
        <v>179.97</v>
      </c>
    </row>
    <row r="107" spans="1:14" ht="29.4" thickBot="1" x14ac:dyDescent="0.35">
      <c r="A107" s="2" t="s">
        <v>240</v>
      </c>
      <c r="B107" s="3">
        <v>45544</v>
      </c>
      <c r="C107" s="2" t="s">
        <v>132</v>
      </c>
      <c r="D107" s="2" t="s">
        <v>133</v>
      </c>
      <c r="E107" s="2" t="s">
        <v>31</v>
      </c>
      <c r="F107" s="2" t="s">
        <v>32</v>
      </c>
      <c r="G107" s="2" t="s">
        <v>33</v>
      </c>
      <c r="H107" s="4">
        <v>3</v>
      </c>
      <c r="I107" s="4">
        <v>59.99</v>
      </c>
      <c r="J107" s="2" t="s">
        <v>34</v>
      </c>
      <c r="K107" s="2" t="s">
        <v>63</v>
      </c>
      <c r="L107" s="2" t="s">
        <v>36</v>
      </c>
      <c r="M107" s="3">
        <v>44748</v>
      </c>
      <c r="N107" s="4">
        <v>179.97</v>
      </c>
    </row>
    <row r="108" spans="1:14" ht="29.4" thickBot="1" x14ac:dyDescent="0.35">
      <c r="A108" s="2" t="s">
        <v>241</v>
      </c>
      <c r="B108" s="3">
        <v>45544</v>
      </c>
      <c r="C108" s="2" t="s">
        <v>141</v>
      </c>
      <c r="D108" s="2" t="s">
        <v>142</v>
      </c>
      <c r="E108" s="2" t="s">
        <v>114</v>
      </c>
      <c r="F108" s="2" t="s">
        <v>115</v>
      </c>
      <c r="G108" s="2" t="s">
        <v>33</v>
      </c>
      <c r="H108" s="4">
        <v>4</v>
      </c>
      <c r="I108" s="4">
        <v>79.989999999999995</v>
      </c>
      <c r="J108" s="2" t="s">
        <v>20</v>
      </c>
      <c r="K108" s="2" t="s">
        <v>40</v>
      </c>
      <c r="L108" s="2" t="s">
        <v>22</v>
      </c>
      <c r="M108" s="3">
        <v>44530</v>
      </c>
      <c r="N108" s="4">
        <v>319.95999999999998</v>
      </c>
    </row>
    <row r="109" spans="1:14" ht="29.4" thickBot="1" x14ac:dyDescent="0.35">
      <c r="A109" s="2" t="s">
        <v>242</v>
      </c>
      <c r="B109" s="3">
        <v>45545</v>
      </c>
      <c r="C109" s="2" t="s">
        <v>55</v>
      </c>
      <c r="D109" s="2" t="s">
        <v>56</v>
      </c>
      <c r="E109" s="2" t="s">
        <v>114</v>
      </c>
      <c r="F109" s="2" t="s">
        <v>115</v>
      </c>
      <c r="G109" s="2" t="s">
        <v>33</v>
      </c>
      <c r="H109" s="4">
        <v>1</v>
      </c>
      <c r="I109" s="4">
        <v>79.989999999999995</v>
      </c>
      <c r="J109" s="2" t="s">
        <v>20</v>
      </c>
      <c r="K109" s="2" t="s">
        <v>50</v>
      </c>
      <c r="L109" s="2" t="s">
        <v>22</v>
      </c>
      <c r="M109" s="3">
        <v>44693</v>
      </c>
      <c r="N109" s="4">
        <v>79.989999999999995</v>
      </c>
    </row>
    <row r="110" spans="1:14" ht="29.4" thickBot="1" x14ac:dyDescent="0.35">
      <c r="A110" s="2" t="s">
        <v>243</v>
      </c>
      <c r="B110" s="3">
        <v>45547</v>
      </c>
      <c r="C110" s="2" t="s">
        <v>48</v>
      </c>
      <c r="D110" s="2" t="s">
        <v>49</v>
      </c>
      <c r="E110" s="2" t="s">
        <v>105</v>
      </c>
      <c r="F110" s="2" t="s">
        <v>106</v>
      </c>
      <c r="G110" s="2" t="s">
        <v>46</v>
      </c>
      <c r="H110" s="4">
        <v>3</v>
      </c>
      <c r="I110" s="4">
        <v>299.99</v>
      </c>
      <c r="J110" s="2" t="s">
        <v>26</v>
      </c>
      <c r="K110" s="2" t="s">
        <v>21</v>
      </c>
      <c r="L110" s="2" t="s">
        <v>27</v>
      </c>
      <c r="M110" s="3">
        <v>44494</v>
      </c>
      <c r="N110" s="4">
        <v>899.97</v>
      </c>
    </row>
    <row r="111" spans="1:14" ht="29.4" thickBot="1" x14ac:dyDescent="0.35">
      <c r="A111" s="2" t="s">
        <v>244</v>
      </c>
      <c r="B111" s="3">
        <v>45548</v>
      </c>
      <c r="C111" s="2" t="s">
        <v>38</v>
      </c>
      <c r="D111" s="2" t="s">
        <v>39</v>
      </c>
      <c r="E111" s="2" t="s">
        <v>117</v>
      </c>
      <c r="F111" s="2" t="s">
        <v>118</v>
      </c>
      <c r="G111" s="2" t="s">
        <v>19</v>
      </c>
      <c r="H111" s="4">
        <v>2</v>
      </c>
      <c r="I111" s="4">
        <v>89.99</v>
      </c>
      <c r="J111" s="2" t="s">
        <v>26</v>
      </c>
      <c r="K111" s="2" t="s">
        <v>35</v>
      </c>
      <c r="L111" s="2" t="s">
        <v>27</v>
      </c>
      <c r="M111" s="3">
        <v>44641</v>
      </c>
      <c r="N111" s="4">
        <v>179.98</v>
      </c>
    </row>
    <row r="112" spans="1:14" ht="29.4" thickBot="1" x14ac:dyDescent="0.35">
      <c r="A112" s="2" t="s">
        <v>245</v>
      </c>
      <c r="B112" s="3">
        <v>45550</v>
      </c>
      <c r="C112" s="2" t="s">
        <v>246</v>
      </c>
      <c r="D112" s="2" t="s">
        <v>247</v>
      </c>
      <c r="E112" s="2" t="s">
        <v>52</v>
      </c>
      <c r="F112" s="2" t="s">
        <v>53</v>
      </c>
      <c r="G112" s="2" t="s">
        <v>19</v>
      </c>
      <c r="H112" s="4">
        <v>4</v>
      </c>
      <c r="I112" s="4">
        <v>149.99</v>
      </c>
      <c r="J112" s="2" t="s">
        <v>20</v>
      </c>
      <c r="K112" s="2" t="s">
        <v>40</v>
      </c>
      <c r="L112" s="2" t="s">
        <v>22</v>
      </c>
      <c r="M112" s="3">
        <v>44909</v>
      </c>
      <c r="N112" s="4">
        <v>599.96</v>
      </c>
    </row>
    <row r="113" spans="1:14" ht="29.4" thickBot="1" x14ac:dyDescent="0.35">
      <c r="A113" s="2" t="s">
        <v>248</v>
      </c>
      <c r="B113" s="3">
        <v>45551</v>
      </c>
      <c r="C113" s="2" t="s">
        <v>65</v>
      </c>
      <c r="D113" s="2" t="s">
        <v>66</v>
      </c>
      <c r="E113" s="2" t="s">
        <v>17</v>
      </c>
      <c r="F113" s="2" t="s">
        <v>18</v>
      </c>
      <c r="G113" s="2" t="s">
        <v>19</v>
      </c>
      <c r="H113" s="4">
        <v>2</v>
      </c>
      <c r="I113" s="4">
        <v>249.99</v>
      </c>
      <c r="J113" s="2" t="s">
        <v>34</v>
      </c>
      <c r="K113" s="2" t="s">
        <v>35</v>
      </c>
      <c r="L113" s="2" t="s">
        <v>22</v>
      </c>
      <c r="M113" s="3">
        <v>44993</v>
      </c>
      <c r="N113" s="4">
        <v>499.98</v>
      </c>
    </row>
    <row r="114" spans="1:14" ht="29.4" thickBot="1" x14ac:dyDescent="0.35">
      <c r="A114" s="2" t="s">
        <v>249</v>
      </c>
      <c r="B114" s="3">
        <v>45551</v>
      </c>
      <c r="C114" s="2" t="s">
        <v>154</v>
      </c>
      <c r="D114" s="2" t="s">
        <v>155</v>
      </c>
      <c r="E114" s="2" t="s">
        <v>126</v>
      </c>
      <c r="F114" s="2" t="s">
        <v>127</v>
      </c>
      <c r="G114" s="2" t="s">
        <v>46</v>
      </c>
      <c r="H114" s="4">
        <v>4</v>
      </c>
      <c r="I114" s="4">
        <v>199.99</v>
      </c>
      <c r="J114" s="2" t="s">
        <v>57</v>
      </c>
      <c r="K114" s="2" t="s">
        <v>63</v>
      </c>
      <c r="L114" s="2" t="s">
        <v>22</v>
      </c>
      <c r="M114" s="3">
        <v>44458</v>
      </c>
      <c r="N114" s="4">
        <v>799.96</v>
      </c>
    </row>
    <row r="115" spans="1:14" ht="29.4" thickBot="1" x14ac:dyDescent="0.35">
      <c r="A115" s="2" t="s">
        <v>250</v>
      </c>
      <c r="B115" s="3">
        <v>45554</v>
      </c>
      <c r="C115" s="2" t="s">
        <v>147</v>
      </c>
      <c r="D115" s="2" t="s">
        <v>148</v>
      </c>
      <c r="E115" s="2" t="s">
        <v>117</v>
      </c>
      <c r="F115" s="2" t="s">
        <v>118</v>
      </c>
      <c r="G115" s="2" t="s">
        <v>19</v>
      </c>
      <c r="H115" s="4">
        <v>5</v>
      </c>
      <c r="I115" s="4">
        <v>89.99</v>
      </c>
      <c r="J115" s="2" t="s">
        <v>26</v>
      </c>
      <c r="K115" s="2" t="s">
        <v>63</v>
      </c>
      <c r="L115" s="2" t="s">
        <v>27</v>
      </c>
      <c r="M115" s="3">
        <v>44446</v>
      </c>
      <c r="N115" s="4">
        <v>449.95</v>
      </c>
    </row>
    <row r="116" spans="1:14" ht="29.4" thickBot="1" x14ac:dyDescent="0.35">
      <c r="A116" s="2" t="s">
        <v>251</v>
      </c>
      <c r="B116" s="3">
        <v>45554</v>
      </c>
      <c r="C116" s="2" t="s">
        <v>252</v>
      </c>
      <c r="D116" s="2" t="s">
        <v>253</v>
      </c>
      <c r="E116" s="2" t="s">
        <v>52</v>
      </c>
      <c r="F116" s="2" t="s">
        <v>53</v>
      </c>
      <c r="G116" s="2" t="s">
        <v>19</v>
      </c>
      <c r="H116" s="4">
        <v>1</v>
      </c>
      <c r="I116" s="4">
        <v>149.99</v>
      </c>
      <c r="J116" s="2" t="s">
        <v>34</v>
      </c>
      <c r="K116" s="2" t="s">
        <v>63</v>
      </c>
      <c r="L116" s="2" t="s">
        <v>36</v>
      </c>
      <c r="M116" s="3">
        <v>44482</v>
      </c>
      <c r="N116" s="4">
        <v>149.99</v>
      </c>
    </row>
    <row r="117" spans="1:14" ht="43.8" thickBot="1" x14ac:dyDescent="0.35">
      <c r="A117" s="2" t="s">
        <v>254</v>
      </c>
      <c r="B117" s="3">
        <v>45554</v>
      </c>
      <c r="C117" s="2" t="s">
        <v>72</v>
      </c>
      <c r="D117" s="2" t="s">
        <v>73</v>
      </c>
      <c r="E117" s="2" t="s">
        <v>80</v>
      </c>
      <c r="F117" s="2" t="s">
        <v>81</v>
      </c>
      <c r="G117" s="2" t="s">
        <v>19</v>
      </c>
      <c r="H117" s="4">
        <v>4</v>
      </c>
      <c r="I117" s="4">
        <v>699.99</v>
      </c>
      <c r="J117" s="2" t="s">
        <v>34</v>
      </c>
      <c r="K117" s="2" t="s">
        <v>35</v>
      </c>
      <c r="L117" s="2" t="s">
        <v>22</v>
      </c>
      <c r="M117" s="3">
        <v>44618</v>
      </c>
      <c r="N117" s="4">
        <v>2799.96</v>
      </c>
    </row>
    <row r="118" spans="1:14" ht="29.4" thickBot="1" x14ac:dyDescent="0.35">
      <c r="A118" s="2" t="s">
        <v>255</v>
      </c>
      <c r="B118" s="3">
        <v>45559</v>
      </c>
      <c r="C118" s="2" t="s">
        <v>234</v>
      </c>
      <c r="D118" s="2" t="s">
        <v>235</v>
      </c>
      <c r="E118" s="2" t="s">
        <v>61</v>
      </c>
      <c r="F118" s="2" t="s">
        <v>62</v>
      </c>
      <c r="G118" s="2" t="s">
        <v>19</v>
      </c>
      <c r="H118" s="4">
        <v>3</v>
      </c>
      <c r="I118" s="4">
        <v>899.99</v>
      </c>
      <c r="J118" s="2" t="s">
        <v>26</v>
      </c>
      <c r="K118" s="2" t="s">
        <v>40</v>
      </c>
      <c r="L118" s="2" t="s">
        <v>36</v>
      </c>
      <c r="M118" s="3">
        <v>45157</v>
      </c>
      <c r="N118" s="4">
        <v>2699.97</v>
      </c>
    </row>
    <row r="119" spans="1:14" ht="29.4" thickBot="1" x14ac:dyDescent="0.35">
      <c r="A119" s="2" t="s">
        <v>256</v>
      </c>
      <c r="B119" s="3">
        <v>45560</v>
      </c>
      <c r="C119" s="2" t="s">
        <v>112</v>
      </c>
      <c r="D119" s="2" t="s">
        <v>113</v>
      </c>
      <c r="E119" s="2" t="s">
        <v>44</v>
      </c>
      <c r="F119" s="2" t="s">
        <v>45</v>
      </c>
      <c r="G119" s="2" t="s">
        <v>46</v>
      </c>
      <c r="H119" s="4">
        <v>3</v>
      </c>
      <c r="I119" s="4">
        <v>149.99</v>
      </c>
      <c r="J119" s="2" t="s">
        <v>34</v>
      </c>
      <c r="K119" s="2" t="s">
        <v>63</v>
      </c>
      <c r="L119" s="2" t="s">
        <v>22</v>
      </c>
      <c r="M119" s="3">
        <v>44886</v>
      </c>
      <c r="N119" s="4">
        <v>449.97</v>
      </c>
    </row>
    <row r="120" spans="1:14" ht="29.4" thickBot="1" x14ac:dyDescent="0.35">
      <c r="A120" s="2" t="s">
        <v>257</v>
      </c>
      <c r="B120" s="3">
        <v>45563</v>
      </c>
      <c r="C120" s="2" t="s">
        <v>99</v>
      </c>
      <c r="D120" s="2" t="s">
        <v>100</v>
      </c>
      <c r="E120" s="2" t="s">
        <v>105</v>
      </c>
      <c r="F120" s="2" t="s">
        <v>106</v>
      </c>
      <c r="G120" s="2" t="s">
        <v>46</v>
      </c>
      <c r="H120" s="4">
        <v>2</v>
      </c>
      <c r="I120" s="4">
        <v>299.99</v>
      </c>
      <c r="J120" s="2" t="s">
        <v>57</v>
      </c>
      <c r="K120" s="2" t="s">
        <v>21</v>
      </c>
      <c r="L120" s="2" t="s">
        <v>22</v>
      </c>
      <c r="M120" s="3">
        <v>44569</v>
      </c>
      <c r="N120" s="4">
        <v>599.98</v>
      </c>
    </row>
    <row r="121" spans="1:14" ht="29.4" thickBot="1" x14ac:dyDescent="0.35">
      <c r="A121" s="2" t="s">
        <v>258</v>
      </c>
      <c r="B121" s="3">
        <v>45564</v>
      </c>
      <c r="C121" s="2" t="s">
        <v>259</v>
      </c>
      <c r="D121" s="2" t="s">
        <v>260</v>
      </c>
      <c r="E121" s="2" t="s">
        <v>126</v>
      </c>
      <c r="F121" s="2" t="s">
        <v>127</v>
      </c>
      <c r="G121" s="2" t="s">
        <v>46</v>
      </c>
      <c r="H121" s="4">
        <v>1</v>
      </c>
      <c r="I121" s="4">
        <v>199.99</v>
      </c>
      <c r="J121" s="2" t="s">
        <v>57</v>
      </c>
      <c r="K121" s="2" t="s">
        <v>63</v>
      </c>
      <c r="L121" s="2" t="s">
        <v>36</v>
      </c>
      <c r="M121" s="3">
        <v>44953</v>
      </c>
      <c r="N121" s="4">
        <v>199.99</v>
      </c>
    </row>
    <row r="122" spans="1:14" ht="29.4" thickBot="1" x14ac:dyDescent="0.35">
      <c r="A122" s="2" t="s">
        <v>261</v>
      </c>
      <c r="B122" s="3">
        <v>45566</v>
      </c>
      <c r="C122" s="2" t="s">
        <v>42</v>
      </c>
      <c r="D122" s="2" t="s">
        <v>43</v>
      </c>
      <c r="E122" s="2" t="s">
        <v>105</v>
      </c>
      <c r="F122" s="2" t="s">
        <v>106</v>
      </c>
      <c r="G122" s="2" t="s">
        <v>46</v>
      </c>
      <c r="H122" s="4">
        <v>4</v>
      </c>
      <c r="I122" s="4">
        <v>299.99</v>
      </c>
      <c r="J122" s="2" t="s">
        <v>20</v>
      </c>
      <c r="K122" s="2" t="s">
        <v>21</v>
      </c>
      <c r="L122" s="2" t="s">
        <v>27</v>
      </c>
      <c r="M122" s="3">
        <v>44460</v>
      </c>
      <c r="N122" s="4">
        <v>1199.96</v>
      </c>
    </row>
    <row r="123" spans="1:14" ht="29.4" thickBot="1" x14ac:dyDescent="0.35">
      <c r="A123" s="2" t="s">
        <v>262</v>
      </c>
      <c r="B123" s="3">
        <v>45572</v>
      </c>
      <c r="C123" s="2" t="s">
        <v>89</v>
      </c>
      <c r="D123" s="2" t="s">
        <v>90</v>
      </c>
      <c r="E123" s="2" t="s">
        <v>31</v>
      </c>
      <c r="F123" s="2" t="s">
        <v>32</v>
      </c>
      <c r="G123" s="2" t="s">
        <v>33</v>
      </c>
      <c r="H123" s="4">
        <v>2</v>
      </c>
      <c r="I123" s="4">
        <v>59.99</v>
      </c>
      <c r="J123" s="2" t="s">
        <v>26</v>
      </c>
      <c r="K123" s="2" t="s">
        <v>21</v>
      </c>
      <c r="L123" s="2" t="s">
        <v>22</v>
      </c>
      <c r="M123" s="3">
        <v>44579</v>
      </c>
      <c r="N123" s="4">
        <v>119.98</v>
      </c>
    </row>
    <row r="124" spans="1:14" ht="29.4" thickBot="1" x14ac:dyDescent="0.35">
      <c r="A124" s="2" t="s">
        <v>263</v>
      </c>
      <c r="B124" s="3">
        <v>45572</v>
      </c>
      <c r="C124" s="2" t="s">
        <v>234</v>
      </c>
      <c r="D124" s="2" t="s">
        <v>235</v>
      </c>
      <c r="E124" s="2" t="s">
        <v>52</v>
      </c>
      <c r="F124" s="2" t="s">
        <v>53</v>
      </c>
      <c r="G124" s="2" t="s">
        <v>19</v>
      </c>
      <c r="H124" s="4">
        <v>4</v>
      </c>
      <c r="I124" s="4">
        <v>149.99</v>
      </c>
      <c r="J124" s="2" t="s">
        <v>26</v>
      </c>
      <c r="K124" s="2" t="s">
        <v>40</v>
      </c>
      <c r="L124" s="2" t="s">
        <v>27</v>
      </c>
      <c r="M124" s="3">
        <v>45076</v>
      </c>
      <c r="N124" s="4">
        <v>599.96</v>
      </c>
    </row>
    <row r="125" spans="1:14" ht="29.4" thickBot="1" x14ac:dyDescent="0.35">
      <c r="A125" s="2" t="s">
        <v>264</v>
      </c>
      <c r="B125" s="3">
        <v>45573</v>
      </c>
      <c r="C125" s="2" t="s">
        <v>211</v>
      </c>
      <c r="D125" s="2" t="s">
        <v>212</v>
      </c>
      <c r="E125" s="2" t="s">
        <v>80</v>
      </c>
      <c r="F125" s="2" t="s">
        <v>81</v>
      </c>
      <c r="G125" s="2" t="s">
        <v>19</v>
      </c>
      <c r="H125" s="4">
        <v>2</v>
      </c>
      <c r="I125" s="4">
        <v>699.99</v>
      </c>
      <c r="J125" s="2" t="s">
        <v>57</v>
      </c>
      <c r="K125" s="2" t="s">
        <v>63</v>
      </c>
      <c r="L125" s="2" t="s">
        <v>27</v>
      </c>
      <c r="M125" s="3">
        <v>45274</v>
      </c>
      <c r="N125" s="4">
        <v>1399.98</v>
      </c>
    </row>
    <row r="126" spans="1:14" ht="29.4" thickBot="1" x14ac:dyDescent="0.35">
      <c r="A126" s="2" t="s">
        <v>265</v>
      </c>
      <c r="B126" s="3">
        <v>45573</v>
      </c>
      <c r="C126" s="2" t="s">
        <v>231</v>
      </c>
      <c r="D126" s="2" t="s">
        <v>232</v>
      </c>
      <c r="E126" s="2" t="s">
        <v>44</v>
      </c>
      <c r="F126" s="2" t="s">
        <v>45</v>
      </c>
      <c r="G126" s="2" t="s">
        <v>46</v>
      </c>
      <c r="H126" s="4">
        <v>3</v>
      </c>
      <c r="I126" s="4">
        <v>149.99</v>
      </c>
      <c r="J126" s="2" t="s">
        <v>26</v>
      </c>
      <c r="K126" s="2" t="s">
        <v>35</v>
      </c>
      <c r="L126" s="2" t="s">
        <v>36</v>
      </c>
      <c r="M126" s="3">
        <v>44940</v>
      </c>
      <c r="N126" s="4">
        <v>449.97</v>
      </c>
    </row>
    <row r="127" spans="1:14" ht="29.4" thickBot="1" x14ac:dyDescent="0.35">
      <c r="A127" s="2" t="s">
        <v>266</v>
      </c>
      <c r="B127" s="3">
        <v>45576</v>
      </c>
      <c r="C127" s="2" t="s">
        <v>147</v>
      </c>
      <c r="D127" s="2" t="s">
        <v>148</v>
      </c>
      <c r="E127" s="2" t="s">
        <v>105</v>
      </c>
      <c r="F127" s="2" t="s">
        <v>106</v>
      </c>
      <c r="G127" s="2" t="s">
        <v>46</v>
      </c>
      <c r="H127" s="4">
        <v>3</v>
      </c>
      <c r="I127" s="4">
        <v>299.99</v>
      </c>
      <c r="J127" s="2" t="s">
        <v>26</v>
      </c>
      <c r="K127" s="2" t="s">
        <v>21</v>
      </c>
      <c r="L127" s="2" t="s">
        <v>36</v>
      </c>
      <c r="M127" s="3">
        <v>45174</v>
      </c>
      <c r="N127" s="4">
        <v>899.97</v>
      </c>
    </row>
    <row r="128" spans="1:14" ht="29.4" thickBot="1" x14ac:dyDescent="0.35">
      <c r="A128" s="2" t="s">
        <v>267</v>
      </c>
      <c r="B128" s="3">
        <v>45579</v>
      </c>
      <c r="C128" s="2" t="s">
        <v>83</v>
      </c>
      <c r="D128" s="2" t="s">
        <v>84</v>
      </c>
      <c r="E128" s="2" t="s">
        <v>61</v>
      </c>
      <c r="F128" s="2" t="s">
        <v>62</v>
      </c>
      <c r="G128" s="2" t="s">
        <v>19</v>
      </c>
      <c r="H128" s="4">
        <v>3</v>
      </c>
      <c r="I128" s="4">
        <v>899.99</v>
      </c>
      <c r="J128" s="2" t="s">
        <v>34</v>
      </c>
      <c r="K128" s="2" t="s">
        <v>50</v>
      </c>
      <c r="L128" s="2" t="s">
        <v>22</v>
      </c>
      <c r="M128" s="3">
        <v>45215</v>
      </c>
      <c r="N128" s="4">
        <v>2699.97</v>
      </c>
    </row>
    <row r="129" spans="1:14" ht="29.4" thickBot="1" x14ac:dyDescent="0.35">
      <c r="A129" s="2" t="s">
        <v>268</v>
      </c>
      <c r="B129" s="3">
        <v>45581</v>
      </c>
      <c r="C129" s="2" t="s">
        <v>96</v>
      </c>
      <c r="D129" s="2" t="s">
        <v>97</v>
      </c>
      <c r="E129" s="2" t="s">
        <v>80</v>
      </c>
      <c r="F129" s="2" t="s">
        <v>81</v>
      </c>
      <c r="G129" s="2" t="s">
        <v>19</v>
      </c>
      <c r="H129" s="4">
        <v>5</v>
      </c>
      <c r="I129" s="4">
        <v>699.99</v>
      </c>
      <c r="J129" s="2" t="s">
        <v>20</v>
      </c>
      <c r="K129" s="2" t="s">
        <v>63</v>
      </c>
      <c r="L129" s="2" t="s">
        <v>36</v>
      </c>
      <c r="M129" s="3">
        <v>45008</v>
      </c>
      <c r="N129" s="4">
        <v>3499.95</v>
      </c>
    </row>
    <row r="130" spans="1:14" ht="29.4" thickBot="1" x14ac:dyDescent="0.35">
      <c r="A130" s="2" t="s">
        <v>269</v>
      </c>
      <c r="B130" s="3">
        <v>45581</v>
      </c>
      <c r="C130" s="2" t="s">
        <v>171</v>
      </c>
      <c r="D130" s="2" t="s">
        <v>172</v>
      </c>
      <c r="E130" s="2" t="s">
        <v>80</v>
      </c>
      <c r="F130" s="2" t="s">
        <v>81</v>
      </c>
      <c r="G130" s="2" t="s">
        <v>19</v>
      </c>
      <c r="H130" s="4">
        <v>4</v>
      </c>
      <c r="I130" s="4">
        <v>699.99</v>
      </c>
      <c r="J130" s="2" t="s">
        <v>26</v>
      </c>
      <c r="K130" s="2" t="s">
        <v>21</v>
      </c>
      <c r="L130" s="2" t="s">
        <v>22</v>
      </c>
      <c r="M130" s="3">
        <v>45385</v>
      </c>
      <c r="N130" s="4">
        <v>2799.96</v>
      </c>
    </row>
    <row r="131" spans="1:14" ht="29.4" thickBot="1" x14ac:dyDescent="0.35">
      <c r="A131" s="2" t="s">
        <v>270</v>
      </c>
      <c r="B131" s="3">
        <v>45581</v>
      </c>
      <c r="C131" s="2" t="s">
        <v>150</v>
      </c>
      <c r="D131" s="2" t="s">
        <v>151</v>
      </c>
      <c r="E131" s="2" t="s">
        <v>61</v>
      </c>
      <c r="F131" s="2" t="s">
        <v>62</v>
      </c>
      <c r="G131" s="2" t="s">
        <v>19</v>
      </c>
      <c r="H131" s="4">
        <v>1</v>
      </c>
      <c r="I131" s="4">
        <v>899.99</v>
      </c>
      <c r="J131" s="2" t="s">
        <v>26</v>
      </c>
      <c r="K131" s="2" t="s">
        <v>63</v>
      </c>
      <c r="L131" s="2" t="s">
        <v>36</v>
      </c>
      <c r="M131" s="3">
        <v>45369</v>
      </c>
      <c r="N131" s="4">
        <v>899.99</v>
      </c>
    </row>
    <row r="132" spans="1:14" ht="29.4" thickBot="1" x14ac:dyDescent="0.35">
      <c r="A132" s="2" t="s">
        <v>271</v>
      </c>
      <c r="B132" s="3">
        <v>45583</v>
      </c>
      <c r="C132" s="2" t="s">
        <v>226</v>
      </c>
      <c r="D132" s="2" t="s">
        <v>227</v>
      </c>
      <c r="E132" s="2" t="s">
        <v>52</v>
      </c>
      <c r="F132" s="2" t="s">
        <v>53</v>
      </c>
      <c r="G132" s="2" t="s">
        <v>19</v>
      </c>
      <c r="H132" s="4">
        <v>2</v>
      </c>
      <c r="I132" s="4">
        <v>149.99</v>
      </c>
      <c r="J132" s="2" t="s">
        <v>26</v>
      </c>
      <c r="K132" s="2" t="s">
        <v>50</v>
      </c>
      <c r="L132" s="2" t="s">
        <v>22</v>
      </c>
      <c r="M132" s="3">
        <v>44916</v>
      </c>
      <c r="N132" s="4">
        <v>299.98</v>
      </c>
    </row>
    <row r="133" spans="1:14" ht="29.4" thickBot="1" x14ac:dyDescent="0.35">
      <c r="A133" s="2" t="s">
        <v>272</v>
      </c>
      <c r="B133" s="3">
        <v>45586</v>
      </c>
      <c r="C133" s="2" t="s">
        <v>226</v>
      </c>
      <c r="D133" s="2" t="s">
        <v>227</v>
      </c>
      <c r="E133" s="2" t="s">
        <v>117</v>
      </c>
      <c r="F133" s="2" t="s">
        <v>118</v>
      </c>
      <c r="G133" s="2" t="s">
        <v>19</v>
      </c>
      <c r="H133" s="4">
        <v>3</v>
      </c>
      <c r="I133" s="4">
        <v>89.99</v>
      </c>
      <c r="J133" s="2" t="s">
        <v>34</v>
      </c>
      <c r="K133" s="2" t="s">
        <v>21</v>
      </c>
      <c r="L133" s="2" t="s">
        <v>22</v>
      </c>
      <c r="M133" s="3">
        <v>44551</v>
      </c>
      <c r="N133" s="4">
        <v>269.97000000000003</v>
      </c>
    </row>
    <row r="134" spans="1:14" ht="29.4" thickBot="1" x14ac:dyDescent="0.35">
      <c r="A134" s="2" t="s">
        <v>273</v>
      </c>
      <c r="B134" s="3">
        <v>45588</v>
      </c>
      <c r="C134" s="2" t="s">
        <v>38</v>
      </c>
      <c r="D134" s="2" t="s">
        <v>39</v>
      </c>
      <c r="E134" s="2" t="s">
        <v>52</v>
      </c>
      <c r="F134" s="2" t="s">
        <v>53</v>
      </c>
      <c r="G134" s="2" t="s">
        <v>19</v>
      </c>
      <c r="H134" s="4">
        <v>2</v>
      </c>
      <c r="I134" s="4">
        <v>149.99</v>
      </c>
      <c r="J134" s="2" t="s">
        <v>34</v>
      </c>
      <c r="K134" s="2" t="s">
        <v>21</v>
      </c>
      <c r="L134" s="2" t="s">
        <v>22</v>
      </c>
      <c r="M134" s="3">
        <v>44473</v>
      </c>
      <c r="N134" s="4">
        <v>299.98</v>
      </c>
    </row>
    <row r="135" spans="1:14" ht="29.4" thickBot="1" x14ac:dyDescent="0.35">
      <c r="A135" s="2" t="s">
        <v>274</v>
      </c>
      <c r="B135" s="3">
        <v>45588</v>
      </c>
      <c r="C135" s="2" t="s">
        <v>154</v>
      </c>
      <c r="D135" s="2" t="s">
        <v>155</v>
      </c>
      <c r="E135" s="2" t="s">
        <v>80</v>
      </c>
      <c r="F135" s="2" t="s">
        <v>81</v>
      </c>
      <c r="G135" s="2" t="s">
        <v>19</v>
      </c>
      <c r="H135" s="4">
        <v>2</v>
      </c>
      <c r="I135" s="4">
        <v>699.99</v>
      </c>
      <c r="J135" s="2" t="s">
        <v>20</v>
      </c>
      <c r="K135" s="2" t="s">
        <v>21</v>
      </c>
      <c r="L135" s="2" t="s">
        <v>22</v>
      </c>
      <c r="M135" s="3">
        <v>44992</v>
      </c>
      <c r="N135" s="4">
        <v>1399.98</v>
      </c>
    </row>
    <row r="136" spans="1:14" ht="29.4" thickBot="1" x14ac:dyDescent="0.35">
      <c r="A136" s="2" t="s">
        <v>275</v>
      </c>
      <c r="B136" s="3">
        <v>45589</v>
      </c>
      <c r="C136" s="2" t="s">
        <v>158</v>
      </c>
      <c r="D136" s="2" t="s">
        <v>159</v>
      </c>
      <c r="E136" s="2" t="s">
        <v>80</v>
      </c>
      <c r="F136" s="2" t="s">
        <v>81</v>
      </c>
      <c r="G136" s="2" t="s">
        <v>19</v>
      </c>
      <c r="H136" s="4">
        <v>5</v>
      </c>
      <c r="I136" s="4">
        <v>699.99</v>
      </c>
      <c r="J136" s="2" t="s">
        <v>20</v>
      </c>
      <c r="K136" s="2" t="s">
        <v>40</v>
      </c>
      <c r="L136" s="2" t="s">
        <v>27</v>
      </c>
      <c r="M136" s="3">
        <v>44635</v>
      </c>
      <c r="N136" s="4">
        <v>3499.95</v>
      </c>
    </row>
    <row r="137" spans="1:14" ht="29.4" thickBot="1" x14ac:dyDescent="0.35">
      <c r="A137" s="2" t="s">
        <v>276</v>
      </c>
      <c r="B137" s="3">
        <v>45592</v>
      </c>
      <c r="C137" s="2" t="s">
        <v>171</v>
      </c>
      <c r="D137" s="2" t="s">
        <v>172</v>
      </c>
      <c r="E137" s="2" t="s">
        <v>117</v>
      </c>
      <c r="F137" s="2" t="s">
        <v>118</v>
      </c>
      <c r="G137" s="2" t="s">
        <v>19</v>
      </c>
      <c r="H137" s="4">
        <v>3</v>
      </c>
      <c r="I137" s="4">
        <v>89.99</v>
      </c>
      <c r="J137" s="2" t="s">
        <v>26</v>
      </c>
      <c r="K137" s="2" t="s">
        <v>40</v>
      </c>
      <c r="L137" s="2" t="s">
        <v>36</v>
      </c>
      <c r="M137" s="3">
        <v>44615</v>
      </c>
      <c r="N137" s="4">
        <v>269.97000000000003</v>
      </c>
    </row>
    <row r="138" spans="1:14" ht="29.4" thickBot="1" x14ac:dyDescent="0.35">
      <c r="A138" s="2" t="s">
        <v>277</v>
      </c>
      <c r="B138" s="3">
        <v>45597</v>
      </c>
      <c r="C138" s="2" t="s">
        <v>15</v>
      </c>
      <c r="D138" s="2" t="s">
        <v>16</v>
      </c>
      <c r="E138" s="2" t="s">
        <v>17</v>
      </c>
      <c r="F138" s="2" t="s">
        <v>18</v>
      </c>
      <c r="G138" s="2" t="s">
        <v>19</v>
      </c>
      <c r="H138" s="4">
        <v>5</v>
      </c>
      <c r="I138" s="4">
        <v>249.99</v>
      </c>
      <c r="J138" s="2" t="s">
        <v>26</v>
      </c>
      <c r="K138" s="2" t="s">
        <v>35</v>
      </c>
      <c r="L138" s="2" t="s">
        <v>36</v>
      </c>
      <c r="M138" s="3">
        <v>44881</v>
      </c>
      <c r="N138" s="4">
        <v>1249.95</v>
      </c>
    </row>
    <row r="139" spans="1:14" ht="29.4" thickBot="1" x14ac:dyDescent="0.35">
      <c r="A139" s="2" t="s">
        <v>278</v>
      </c>
      <c r="B139" s="3">
        <v>45600</v>
      </c>
      <c r="C139" s="2" t="s">
        <v>65</v>
      </c>
      <c r="D139" s="2" t="s">
        <v>66</v>
      </c>
      <c r="E139" s="2" t="s">
        <v>105</v>
      </c>
      <c r="F139" s="2" t="s">
        <v>106</v>
      </c>
      <c r="G139" s="2" t="s">
        <v>46</v>
      </c>
      <c r="H139" s="4">
        <v>3</v>
      </c>
      <c r="I139" s="4">
        <v>299.99</v>
      </c>
      <c r="J139" s="2" t="s">
        <v>26</v>
      </c>
      <c r="K139" s="2" t="s">
        <v>35</v>
      </c>
      <c r="L139" s="2" t="s">
        <v>36</v>
      </c>
      <c r="M139" s="3">
        <v>44502</v>
      </c>
      <c r="N139" s="4">
        <v>899.97</v>
      </c>
    </row>
    <row r="140" spans="1:14" ht="29.4" thickBot="1" x14ac:dyDescent="0.35">
      <c r="A140" s="2" t="s">
        <v>279</v>
      </c>
      <c r="B140" s="3">
        <v>45603</v>
      </c>
      <c r="C140" s="2" t="s">
        <v>99</v>
      </c>
      <c r="D140" s="2" t="s">
        <v>100</v>
      </c>
      <c r="E140" s="2" t="s">
        <v>117</v>
      </c>
      <c r="F140" s="2" t="s">
        <v>118</v>
      </c>
      <c r="G140" s="2" t="s">
        <v>19</v>
      </c>
      <c r="H140" s="4">
        <v>3</v>
      </c>
      <c r="I140" s="4">
        <v>89.99</v>
      </c>
      <c r="J140" s="2" t="s">
        <v>26</v>
      </c>
      <c r="K140" s="2" t="s">
        <v>40</v>
      </c>
      <c r="L140" s="2" t="s">
        <v>27</v>
      </c>
      <c r="M140" s="3">
        <v>44420</v>
      </c>
      <c r="N140" s="4">
        <v>269.97000000000003</v>
      </c>
    </row>
    <row r="141" spans="1:14" ht="29.4" thickBot="1" x14ac:dyDescent="0.35">
      <c r="A141" s="2" t="s">
        <v>280</v>
      </c>
      <c r="B141" s="3">
        <v>45604</v>
      </c>
      <c r="C141" s="2" t="s">
        <v>89</v>
      </c>
      <c r="D141" s="2" t="s">
        <v>90</v>
      </c>
      <c r="E141" s="2" t="s">
        <v>44</v>
      </c>
      <c r="F141" s="2" t="s">
        <v>45</v>
      </c>
      <c r="G141" s="2" t="s">
        <v>46</v>
      </c>
      <c r="H141" s="4">
        <v>2</v>
      </c>
      <c r="I141" s="4">
        <v>149.99</v>
      </c>
      <c r="J141" s="2" t="s">
        <v>26</v>
      </c>
      <c r="K141" s="2" t="s">
        <v>50</v>
      </c>
      <c r="L141" s="2" t="s">
        <v>27</v>
      </c>
      <c r="M141" s="3">
        <v>44848</v>
      </c>
      <c r="N141" s="4">
        <v>299.98</v>
      </c>
    </row>
    <row r="142" spans="1:14" ht="29.4" thickBot="1" x14ac:dyDescent="0.35">
      <c r="A142" s="2" t="s">
        <v>281</v>
      </c>
      <c r="B142" s="3">
        <v>45605</v>
      </c>
      <c r="C142" s="2" t="s">
        <v>185</v>
      </c>
      <c r="D142" s="2" t="s">
        <v>186</v>
      </c>
      <c r="E142" s="2" t="s">
        <v>17</v>
      </c>
      <c r="F142" s="2" t="s">
        <v>18</v>
      </c>
      <c r="G142" s="2" t="s">
        <v>19</v>
      </c>
      <c r="H142" s="4">
        <v>1</v>
      </c>
      <c r="I142" s="4">
        <v>249.99</v>
      </c>
      <c r="J142" s="2" t="s">
        <v>26</v>
      </c>
      <c r="K142" s="2" t="s">
        <v>40</v>
      </c>
      <c r="L142" s="2" t="s">
        <v>27</v>
      </c>
      <c r="M142" s="3">
        <v>44828</v>
      </c>
      <c r="N142" s="4">
        <v>249.99</v>
      </c>
    </row>
    <row r="143" spans="1:14" ht="43.8" thickBot="1" x14ac:dyDescent="0.35">
      <c r="A143" s="2" t="s">
        <v>282</v>
      </c>
      <c r="B143" s="3">
        <v>45607</v>
      </c>
      <c r="C143" s="2" t="s">
        <v>72</v>
      </c>
      <c r="D143" s="2" t="s">
        <v>73</v>
      </c>
      <c r="E143" s="2" t="s">
        <v>52</v>
      </c>
      <c r="F143" s="2" t="s">
        <v>53</v>
      </c>
      <c r="G143" s="2" t="s">
        <v>19</v>
      </c>
      <c r="H143" s="4">
        <v>3</v>
      </c>
      <c r="I143" s="4">
        <v>149.99</v>
      </c>
      <c r="J143" s="2" t="s">
        <v>20</v>
      </c>
      <c r="K143" s="2" t="s">
        <v>40</v>
      </c>
      <c r="L143" s="2" t="s">
        <v>22</v>
      </c>
      <c r="M143" s="3">
        <v>44769</v>
      </c>
      <c r="N143" s="4">
        <v>449.97</v>
      </c>
    </row>
    <row r="144" spans="1:14" ht="29.4" thickBot="1" x14ac:dyDescent="0.35">
      <c r="A144" s="2" t="s">
        <v>283</v>
      </c>
      <c r="B144" s="3">
        <v>45607</v>
      </c>
      <c r="C144" s="2" t="s">
        <v>15</v>
      </c>
      <c r="D144" s="2" t="s">
        <v>16</v>
      </c>
      <c r="E144" s="2" t="s">
        <v>31</v>
      </c>
      <c r="F144" s="2" t="s">
        <v>32</v>
      </c>
      <c r="G144" s="2" t="s">
        <v>33</v>
      </c>
      <c r="H144" s="4">
        <v>5</v>
      </c>
      <c r="I144" s="4">
        <v>59.99</v>
      </c>
      <c r="J144" s="2" t="s">
        <v>34</v>
      </c>
      <c r="K144" s="2" t="s">
        <v>50</v>
      </c>
      <c r="L144" s="2" t="s">
        <v>27</v>
      </c>
      <c r="M144" s="3">
        <v>44694</v>
      </c>
      <c r="N144" s="4">
        <v>299.95</v>
      </c>
    </row>
    <row r="145" spans="1:14" ht="29.4" thickBot="1" x14ac:dyDescent="0.35">
      <c r="A145" s="2" t="s">
        <v>284</v>
      </c>
      <c r="B145" s="3">
        <v>45607</v>
      </c>
      <c r="C145" s="2" t="s">
        <v>99</v>
      </c>
      <c r="D145" s="2" t="s">
        <v>100</v>
      </c>
      <c r="E145" s="2" t="s">
        <v>17</v>
      </c>
      <c r="F145" s="2" t="s">
        <v>18</v>
      </c>
      <c r="G145" s="2" t="s">
        <v>19</v>
      </c>
      <c r="H145" s="4">
        <v>4</v>
      </c>
      <c r="I145" s="4">
        <v>249.99</v>
      </c>
      <c r="J145" s="2" t="s">
        <v>26</v>
      </c>
      <c r="K145" s="2" t="s">
        <v>50</v>
      </c>
      <c r="L145" s="2" t="s">
        <v>36</v>
      </c>
      <c r="M145" s="3">
        <v>44659</v>
      </c>
      <c r="N145" s="4">
        <v>999.96</v>
      </c>
    </row>
    <row r="146" spans="1:14" ht="29.4" thickBot="1" x14ac:dyDescent="0.35">
      <c r="A146" s="2" t="s">
        <v>285</v>
      </c>
      <c r="B146" s="3">
        <v>45608</v>
      </c>
      <c r="C146" s="2" t="s">
        <v>154</v>
      </c>
      <c r="D146" s="2" t="s">
        <v>155</v>
      </c>
      <c r="E146" s="2" t="s">
        <v>44</v>
      </c>
      <c r="F146" s="2" t="s">
        <v>45</v>
      </c>
      <c r="G146" s="2" t="s">
        <v>46</v>
      </c>
      <c r="H146" s="4">
        <v>5</v>
      </c>
      <c r="I146" s="4">
        <v>149.99</v>
      </c>
      <c r="J146" s="2" t="s">
        <v>34</v>
      </c>
      <c r="K146" s="2" t="s">
        <v>21</v>
      </c>
      <c r="L146" s="2" t="s">
        <v>22</v>
      </c>
      <c r="M146" s="3">
        <v>44901</v>
      </c>
      <c r="N146" s="4">
        <v>749.95</v>
      </c>
    </row>
    <row r="147" spans="1:14" ht="29.4" thickBot="1" x14ac:dyDescent="0.35">
      <c r="A147" s="2" t="s">
        <v>286</v>
      </c>
      <c r="B147" s="3">
        <v>45608</v>
      </c>
      <c r="C147" s="2" t="s">
        <v>83</v>
      </c>
      <c r="D147" s="2" t="s">
        <v>84</v>
      </c>
      <c r="E147" s="2" t="s">
        <v>31</v>
      </c>
      <c r="F147" s="2" t="s">
        <v>32</v>
      </c>
      <c r="G147" s="2" t="s">
        <v>33</v>
      </c>
      <c r="H147" s="4">
        <v>3</v>
      </c>
      <c r="I147" s="4">
        <v>59.99</v>
      </c>
      <c r="J147" s="2" t="s">
        <v>57</v>
      </c>
      <c r="K147" s="2" t="s">
        <v>35</v>
      </c>
      <c r="L147" s="2" t="s">
        <v>36</v>
      </c>
      <c r="M147" s="3">
        <v>45260</v>
      </c>
      <c r="N147" s="4">
        <v>179.97</v>
      </c>
    </row>
    <row r="148" spans="1:14" ht="29.4" thickBot="1" x14ac:dyDescent="0.35">
      <c r="A148" s="2" t="s">
        <v>287</v>
      </c>
      <c r="B148" s="3">
        <v>45613</v>
      </c>
      <c r="C148" s="2" t="s">
        <v>234</v>
      </c>
      <c r="D148" s="2" t="s">
        <v>235</v>
      </c>
      <c r="E148" s="2" t="s">
        <v>44</v>
      </c>
      <c r="F148" s="2" t="s">
        <v>45</v>
      </c>
      <c r="G148" s="2" t="s">
        <v>46</v>
      </c>
      <c r="H148" s="4">
        <v>5</v>
      </c>
      <c r="I148" s="4">
        <v>149.99</v>
      </c>
      <c r="J148" s="2" t="s">
        <v>20</v>
      </c>
      <c r="K148" s="2" t="s">
        <v>40</v>
      </c>
      <c r="L148" s="2" t="s">
        <v>22</v>
      </c>
      <c r="M148" s="3">
        <v>44869</v>
      </c>
      <c r="N148" s="4">
        <v>749.95</v>
      </c>
    </row>
    <row r="149" spans="1:14" ht="29.4" thickBot="1" x14ac:dyDescent="0.35">
      <c r="A149" s="2" t="s">
        <v>288</v>
      </c>
      <c r="B149" s="3">
        <v>45613</v>
      </c>
      <c r="C149" s="2" t="s">
        <v>86</v>
      </c>
      <c r="D149" s="2" t="s">
        <v>87</v>
      </c>
      <c r="E149" s="2" t="s">
        <v>80</v>
      </c>
      <c r="F149" s="2" t="s">
        <v>81</v>
      </c>
      <c r="G149" s="2" t="s">
        <v>19</v>
      </c>
      <c r="H149" s="4">
        <v>2</v>
      </c>
      <c r="I149" s="4">
        <v>699.99</v>
      </c>
      <c r="J149" s="2" t="s">
        <v>34</v>
      </c>
      <c r="K149" s="2" t="s">
        <v>50</v>
      </c>
      <c r="L149" s="2" t="s">
        <v>36</v>
      </c>
      <c r="M149" s="3">
        <v>44770</v>
      </c>
      <c r="N149" s="4">
        <v>1399.98</v>
      </c>
    </row>
    <row r="150" spans="1:14" ht="29.4" thickBot="1" x14ac:dyDescent="0.35">
      <c r="A150" s="2" t="s">
        <v>289</v>
      </c>
      <c r="B150" s="3">
        <v>45617</v>
      </c>
      <c r="C150" s="2" t="s">
        <v>123</v>
      </c>
      <c r="D150" s="2" t="s">
        <v>124</v>
      </c>
      <c r="E150" s="2" t="s">
        <v>126</v>
      </c>
      <c r="F150" s="2" t="s">
        <v>127</v>
      </c>
      <c r="G150" s="2" t="s">
        <v>46</v>
      </c>
      <c r="H150" s="4">
        <v>4</v>
      </c>
      <c r="I150" s="4">
        <v>199.99</v>
      </c>
      <c r="J150" s="2" t="s">
        <v>57</v>
      </c>
      <c r="K150" s="2" t="s">
        <v>21</v>
      </c>
      <c r="L150" s="2" t="s">
        <v>27</v>
      </c>
      <c r="M150" s="3">
        <v>44427</v>
      </c>
      <c r="N150" s="4">
        <v>799.96</v>
      </c>
    </row>
    <row r="151" spans="1:14" ht="29.4" thickBot="1" x14ac:dyDescent="0.35">
      <c r="A151" s="2" t="s">
        <v>290</v>
      </c>
      <c r="B151" s="3">
        <v>45619</v>
      </c>
      <c r="C151" s="2" t="s">
        <v>192</v>
      </c>
      <c r="D151" s="2" t="s">
        <v>193</v>
      </c>
      <c r="E151" s="2" t="s">
        <v>31</v>
      </c>
      <c r="F151" s="2" t="s">
        <v>32</v>
      </c>
      <c r="G151" s="2" t="s">
        <v>33</v>
      </c>
      <c r="H151" s="4">
        <v>1</v>
      </c>
      <c r="I151" s="4">
        <v>59.99</v>
      </c>
      <c r="J151" s="2" t="s">
        <v>57</v>
      </c>
      <c r="K151" s="2" t="s">
        <v>50</v>
      </c>
      <c r="L151" s="2" t="s">
        <v>36</v>
      </c>
      <c r="M151" s="3">
        <v>44560</v>
      </c>
      <c r="N151" s="4">
        <v>59.99</v>
      </c>
    </row>
    <row r="152" spans="1:14" ht="29.4" thickBot="1" x14ac:dyDescent="0.35">
      <c r="A152" s="2" t="s">
        <v>291</v>
      </c>
      <c r="B152" s="3">
        <v>45619</v>
      </c>
      <c r="C152" s="2" t="s">
        <v>154</v>
      </c>
      <c r="D152" s="2" t="s">
        <v>155</v>
      </c>
      <c r="E152" s="2" t="s">
        <v>80</v>
      </c>
      <c r="F152" s="2" t="s">
        <v>81</v>
      </c>
      <c r="G152" s="2" t="s">
        <v>19</v>
      </c>
      <c r="H152" s="4">
        <v>3</v>
      </c>
      <c r="I152" s="4">
        <v>699.99</v>
      </c>
      <c r="J152" s="2" t="s">
        <v>34</v>
      </c>
      <c r="K152" s="2" t="s">
        <v>50</v>
      </c>
      <c r="L152" s="2" t="s">
        <v>36</v>
      </c>
      <c r="M152" s="3">
        <v>44583</v>
      </c>
      <c r="N152" s="4">
        <v>2099.9699999999998</v>
      </c>
    </row>
    <row r="153" spans="1:14" ht="29.4" thickBot="1" x14ac:dyDescent="0.35">
      <c r="A153" s="2" t="s">
        <v>292</v>
      </c>
      <c r="B153" s="3">
        <v>45622</v>
      </c>
      <c r="C153" s="2" t="s">
        <v>293</v>
      </c>
      <c r="D153" s="2" t="s">
        <v>294</v>
      </c>
      <c r="E153" s="2" t="s">
        <v>17</v>
      </c>
      <c r="F153" s="2" t="s">
        <v>18</v>
      </c>
      <c r="G153" s="2" t="s">
        <v>19</v>
      </c>
      <c r="H153" s="4">
        <v>5</v>
      </c>
      <c r="I153" s="4">
        <v>249.99</v>
      </c>
      <c r="J153" s="2" t="s">
        <v>26</v>
      </c>
      <c r="K153" s="2" t="s">
        <v>40</v>
      </c>
      <c r="L153" s="2" t="s">
        <v>22</v>
      </c>
      <c r="M153" s="3">
        <v>44873</v>
      </c>
      <c r="N153" s="4">
        <v>1249.95</v>
      </c>
    </row>
    <row r="154" spans="1:14" ht="29.4" thickBot="1" x14ac:dyDescent="0.35">
      <c r="A154" s="2" t="s">
        <v>295</v>
      </c>
      <c r="B154" s="3">
        <v>45623</v>
      </c>
      <c r="C154" s="2" t="s">
        <v>112</v>
      </c>
      <c r="D154" s="2" t="s">
        <v>113</v>
      </c>
      <c r="E154" s="2" t="s">
        <v>44</v>
      </c>
      <c r="F154" s="2" t="s">
        <v>45</v>
      </c>
      <c r="G154" s="2" t="s">
        <v>46</v>
      </c>
      <c r="H154" s="4">
        <v>2</v>
      </c>
      <c r="I154" s="4">
        <v>149.99</v>
      </c>
      <c r="J154" s="2" t="s">
        <v>20</v>
      </c>
      <c r="K154" s="2" t="s">
        <v>35</v>
      </c>
      <c r="L154" s="2" t="s">
        <v>36</v>
      </c>
      <c r="M154" s="3">
        <v>45101</v>
      </c>
      <c r="N154" s="4">
        <v>299.98</v>
      </c>
    </row>
    <row r="155" spans="1:14" ht="29.4" thickBot="1" x14ac:dyDescent="0.35">
      <c r="A155" s="2" t="s">
        <v>296</v>
      </c>
      <c r="B155" s="3">
        <v>45627</v>
      </c>
      <c r="C155" s="2" t="s">
        <v>29</v>
      </c>
      <c r="D155" s="2" t="s">
        <v>30</v>
      </c>
      <c r="E155" s="2" t="s">
        <v>105</v>
      </c>
      <c r="F155" s="2" t="s">
        <v>106</v>
      </c>
      <c r="G155" s="2" t="s">
        <v>46</v>
      </c>
      <c r="H155" s="4">
        <v>3</v>
      </c>
      <c r="I155" s="4">
        <v>299.99</v>
      </c>
      <c r="J155" s="2" t="s">
        <v>20</v>
      </c>
      <c r="K155" s="2" t="s">
        <v>35</v>
      </c>
      <c r="L155" s="2" t="s">
        <v>27</v>
      </c>
      <c r="M155" s="3">
        <v>44659</v>
      </c>
      <c r="N155" s="4">
        <v>899.97</v>
      </c>
    </row>
    <row r="156" spans="1:14" ht="29.4" thickBot="1" x14ac:dyDescent="0.35">
      <c r="A156" s="2" t="s">
        <v>297</v>
      </c>
      <c r="B156" s="3">
        <v>45627</v>
      </c>
      <c r="C156" s="2" t="s">
        <v>55</v>
      </c>
      <c r="D156" s="2" t="s">
        <v>56</v>
      </c>
      <c r="E156" s="2" t="s">
        <v>17</v>
      </c>
      <c r="F156" s="2" t="s">
        <v>18</v>
      </c>
      <c r="G156" s="2" t="s">
        <v>19</v>
      </c>
      <c r="H156" s="4">
        <v>5</v>
      </c>
      <c r="I156" s="4">
        <v>249.99</v>
      </c>
      <c r="J156" s="2" t="s">
        <v>20</v>
      </c>
      <c r="K156" s="2" t="s">
        <v>21</v>
      </c>
      <c r="L156" s="2" t="s">
        <v>27</v>
      </c>
      <c r="M156" s="3">
        <v>44485</v>
      </c>
      <c r="N156" s="4">
        <v>1249.95</v>
      </c>
    </row>
    <row r="157" spans="1:14" ht="29.4" thickBot="1" x14ac:dyDescent="0.35">
      <c r="A157" s="2" t="s">
        <v>298</v>
      </c>
      <c r="B157" s="3">
        <v>45627</v>
      </c>
      <c r="C157" s="2" t="s">
        <v>24</v>
      </c>
      <c r="D157" s="2" t="s">
        <v>25</v>
      </c>
      <c r="E157" s="2" t="s">
        <v>52</v>
      </c>
      <c r="F157" s="2" t="s">
        <v>53</v>
      </c>
      <c r="G157" s="2" t="s">
        <v>19</v>
      </c>
      <c r="H157" s="4">
        <v>2</v>
      </c>
      <c r="I157" s="4">
        <v>149.99</v>
      </c>
      <c r="J157" s="2" t="s">
        <v>20</v>
      </c>
      <c r="K157" s="2" t="s">
        <v>35</v>
      </c>
      <c r="L157" s="2" t="s">
        <v>27</v>
      </c>
      <c r="M157" s="3">
        <v>44475</v>
      </c>
      <c r="N157" s="4">
        <v>299.98</v>
      </c>
    </row>
    <row r="158" spans="1:14" ht="29.4" thickBot="1" x14ac:dyDescent="0.35">
      <c r="A158" s="2" t="s">
        <v>299</v>
      </c>
      <c r="B158" s="3">
        <v>45627</v>
      </c>
      <c r="C158" s="2" t="s">
        <v>86</v>
      </c>
      <c r="D158" s="2" t="s">
        <v>87</v>
      </c>
      <c r="E158" s="2" t="s">
        <v>80</v>
      </c>
      <c r="F158" s="2" t="s">
        <v>81</v>
      </c>
      <c r="G158" s="2" t="s">
        <v>19</v>
      </c>
      <c r="H158" s="4">
        <v>5</v>
      </c>
      <c r="I158" s="4">
        <v>699.99</v>
      </c>
      <c r="J158" s="2" t="s">
        <v>57</v>
      </c>
      <c r="K158" s="2" t="s">
        <v>50</v>
      </c>
      <c r="L158" s="2" t="s">
        <v>36</v>
      </c>
      <c r="M158" s="3">
        <v>44944</v>
      </c>
      <c r="N158" s="4">
        <v>3499.95</v>
      </c>
    </row>
    <row r="159" spans="1:14" ht="29.4" thickBot="1" x14ac:dyDescent="0.35">
      <c r="A159" s="2" t="s">
        <v>300</v>
      </c>
      <c r="B159" s="3">
        <v>45629</v>
      </c>
      <c r="C159" s="2" t="s">
        <v>252</v>
      </c>
      <c r="D159" s="2" t="s">
        <v>253</v>
      </c>
      <c r="E159" s="2" t="s">
        <v>17</v>
      </c>
      <c r="F159" s="2" t="s">
        <v>18</v>
      </c>
      <c r="G159" s="2" t="s">
        <v>19</v>
      </c>
      <c r="H159" s="4">
        <v>4</v>
      </c>
      <c r="I159" s="4">
        <v>249.99</v>
      </c>
      <c r="J159" s="2" t="s">
        <v>34</v>
      </c>
      <c r="K159" s="2" t="s">
        <v>63</v>
      </c>
      <c r="L159" s="2" t="s">
        <v>27</v>
      </c>
      <c r="M159" s="3">
        <v>45098</v>
      </c>
      <c r="N159" s="4">
        <v>999.96</v>
      </c>
    </row>
    <row r="160" spans="1:14" ht="29.4" thickBot="1" x14ac:dyDescent="0.35">
      <c r="A160" s="2" t="s">
        <v>301</v>
      </c>
      <c r="B160" s="3">
        <v>45630</v>
      </c>
      <c r="C160" s="2" t="s">
        <v>48</v>
      </c>
      <c r="D160" s="2" t="s">
        <v>49</v>
      </c>
      <c r="E160" s="2" t="s">
        <v>80</v>
      </c>
      <c r="F160" s="2" t="s">
        <v>81</v>
      </c>
      <c r="G160" s="2" t="s">
        <v>19</v>
      </c>
      <c r="H160" s="4">
        <v>4</v>
      </c>
      <c r="I160" s="4">
        <v>699.99</v>
      </c>
      <c r="J160" s="2" t="s">
        <v>26</v>
      </c>
      <c r="K160" s="2" t="s">
        <v>40</v>
      </c>
      <c r="L160" s="2" t="s">
        <v>27</v>
      </c>
      <c r="M160" s="3">
        <v>44703</v>
      </c>
      <c r="N160" s="4">
        <v>2799.96</v>
      </c>
    </row>
    <row r="161" spans="1:14" ht="29.4" thickBot="1" x14ac:dyDescent="0.35">
      <c r="A161" s="2" t="s">
        <v>302</v>
      </c>
      <c r="B161" s="3">
        <v>45635</v>
      </c>
      <c r="C161" s="2" t="s">
        <v>108</v>
      </c>
      <c r="D161" s="2" t="s">
        <v>109</v>
      </c>
      <c r="E161" s="2" t="s">
        <v>17</v>
      </c>
      <c r="F161" s="2" t="s">
        <v>18</v>
      </c>
      <c r="G161" s="2" t="s">
        <v>19</v>
      </c>
      <c r="H161" s="4">
        <v>2</v>
      </c>
      <c r="I161" s="4">
        <v>249.99</v>
      </c>
      <c r="J161" s="2" t="s">
        <v>26</v>
      </c>
      <c r="K161" s="2" t="s">
        <v>21</v>
      </c>
      <c r="L161" s="2" t="s">
        <v>27</v>
      </c>
      <c r="M161" s="3">
        <v>44396</v>
      </c>
      <c r="N161" s="4">
        <v>499.98</v>
      </c>
    </row>
    <row r="162" spans="1:14" ht="29.4" thickBot="1" x14ac:dyDescent="0.35">
      <c r="A162" s="2" t="s">
        <v>303</v>
      </c>
      <c r="B162" s="3">
        <v>45635</v>
      </c>
      <c r="C162" s="2" t="s">
        <v>304</v>
      </c>
      <c r="D162" s="2" t="s">
        <v>305</v>
      </c>
      <c r="E162" s="2" t="s">
        <v>31</v>
      </c>
      <c r="F162" s="2" t="s">
        <v>32</v>
      </c>
      <c r="G162" s="2" t="s">
        <v>33</v>
      </c>
      <c r="H162" s="4">
        <v>3</v>
      </c>
      <c r="I162" s="4">
        <v>59.99</v>
      </c>
      <c r="J162" s="2" t="s">
        <v>20</v>
      </c>
      <c r="K162" s="2" t="s">
        <v>21</v>
      </c>
      <c r="L162" s="2" t="s">
        <v>27</v>
      </c>
      <c r="M162" s="3">
        <v>45052</v>
      </c>
      <c r="N162" s="4">
        <v>179.97</v>
      </c>
    </row>
    <row r="163" spans="1:14" ht="29.4" thickBot="1" x14ac:dyDescent="0.35">
      <c r="A163" s="2" t="s">
        <v>306</v>
      </c>
      <c r="B163" s="3">
        <v>45635</v>
      </c>
      <c r="C163" s="2" t="s">
        <v>141</v>
      </c>
      <c r="D163" s="2" t="s">
        <v>142</v>
      </c>
      <c r="E163" s="2" t="s">
        <v>114</v>
      </c>
      <c r="F163" s="2" t="s">
        <v>115</v>
      </c>
      <c r="G163" s="2" t="s">
        <v>33</v>
      </c>
      <c r="H163" s="4">
        <v>4</v>
      </c>
      <c r="I163" s="4">
        <v>79.989999999999995</v>
      </c>
      <c r="J163" s="2" t="s">
        <v>57</v>
      </c>
      <c r="K163" s="2" t="s">
        <v>63</v>
      </c>
      <c r="L163" s="2" t="s">
        <v>36</v>
      </c>
      <c r="M163" s="3">
        <v>44921</v>
      </c>
      <c r="N163" s="4">
        <v>319.95999999999998</v>
      </c>
    </row>
    <row r="164" spans="1:14" ht="29.4" thickBot="1" x14ac:dyDescent="0.35">
      <c r="A164" s="2" t="s">
        <v>307</v>
      </c>
      <c r="B164" s="3">
        <v>45636</v>
      </c>
      <c r="C164" s="2" t="s">
        <v>120</v>
      </c>
      <c r="D164" s="2" t="s">
        <v>121</v>
      </c>
      <c r="E164" s="2" t="s">
        <v>114</v>
      </c>
      <c r="F164" s="2" t="s">
        <v>115</v>
      </c>
      <c r="G164" s="2" t="s">
        <v>33</v>
      </c>
      <c r="H164" s="4">
        <v>3</v>
      </c>
      <c r="I164" s="4">
        <v>79.989999999999995</v>
      </c>
      <c r="J164" s="2" t="s">
        <v>57</v>
      </c>
      <c r="K164" s="2" t="s">
        <v>63</v>
      </c>
      <c r="L164" s="2" t="s">
        <v>36</v>
      </c>
      <c r="M164" s="3">
        <v>44779</v>
      </c>
      <c r="N164" s="4">
        <v>239.97</v>
      </c>
    </row>
    <row r="165" spans="1:14" ht="43.8" thickBot="1" x14ac:dyDescent="0.35">
      <c r="A165" s="2" t="s">
        <v>308</v>
      </c>
      <c r="B165" s="3">
        <v>45638</v>
      </c>
      <c r="C165" s="2" t="s">
        <v>72</v>
      </c>
      <c r="D165" s="2" t="s">
        <v>73</v>
      </c>
      <c r="E165" s="2" t="s">
        <v>61</v>
      </c>
      <c r="F165" s="2" t="s">
        <v>62</v>
      </c>
      <c r="G165" s="2" t="s">
        <v>19</v>
      </c>
      <c r="H165" s="4">
        <v>2</v>
      </c>
      <c r="I165" s="4">
        <v>899.99</v>
      </c>
      <c r="J165" s="2" t="s">
        <v>20</v>
      </c>
      <c r="K165" s="2" t="s">
        <v>40</v>
      </c>
      <c r="L165" s="2" t="s">
        <v>22</v>
      </c>
      <c r="M165" s="3">
        <v>44406</v>
      </c>
      <c r="N165" s="4">
        <v>1799.98</v>
      </c>
    </row>
    <row r="166" spans="1:14" ht="29.4" thickBot="1" x14ac:dyDescent="0.35">
      <c r="A166" s="2" t="s">
        <v>309</v>
      </c>
      <c r="B166" s="3">
        <v>45641</v>
      </c>
      <c r="C166" s="2" t="s">
        <v>182</v>
      </c>
      <c r="D166" s="2" t="s">
        <v>183</v>
      </c>
      <c r="E166" s="2" t="s">
        <v>44</v>
      </c>
      <c r="F166" s="2" t="s">
        <v>45</v>
      </c>
      <c r="G166" s="2" t="s">
        <v>46</v>
      </c>
      <c r="H166" s="4">
        <v>1</v>
      </c>
      <c r="I166" s="4">
        <v>149.99</v>
      </c>
      <c r="J166" s="2" t="s">
        <v>57</v>
      </c>
      <c r="K166" s="2" t="s">
        <v>63</v>
      </c>
      <c r="L166" s="2" t="s">
        <v>36</v>
      </c>
      <c r="M166" s="3">
        <v>45200</v>
      </c>
      <c r="N166" s="4">
        <v>149.99</v>
      </c>
    </row>
    <row r="167" spans="1:14" ht="29.4" thickBot="1" x14ac:dyDescent="0.35">
      <c r="A167" s="2" t="s">
        <v>310</v>
      </c>
      <c r="B167" s="3">
        <v>45641</v>
      </c>
      <c r="C167" s="2" t="s">
        <v>138</v>
      </c>
      <c r="D167" s="2" t="s">
        <v>139</v>
      </c>
      <c r="E167" s="2" t="s">
        <v>105</v>
      </c>
      <c r="F167" s="2" t="s">
        <v>106</v>
      </c>
      <c r="G167" s="2" t="s">
        <v>46</v>
      </c>
      <c r="H167" s="4">
        <v>2</v>
      </c>
      <c r="I167" s="4">
        <v>299.99</v>
      </c>
      <c r="J167" s="2" t="s">
        <v>20</v>
      </c>
      <c r="K167" s="2" t="s">
        <v>63</v>
      </c>
      <c r="L167" s="2" t="s">
        <v>27</v>
      </c>
      <c r="M167" s="3">
        <v>44724</v>
      </c>
      <c r="N167" s="4">
        <v>599.98</v>
      </c>
    </row>
    <row r="168" spans="1:14" ht="29.4" thickBot="1" x14ac:dyDescent="0.35">
      <c r="A168" s="2" t="s">
        <v>311</v>
      </c>
      <c r="B168" s="3">
        <v>45644</v>
      </c>
      <c r="C168" s="2" t="s">
        <v>132</v>
      </c>
      <c r="D168" s="2" t="s">
        <v>133</v>
      </c>
      <c r="E168" s="2" t="s">
        <v>31</v>
      </c>
      <c r="F168" s="2" t="s">
        <v>32</v>
      </c>
      <c r="G168" s="2" t="s">
        <v>33</v>
      </c>
      <c r="H168" s="4">
        <v>2</v>
      </c>
      <c r="I168" s="4">
        <v>59.99</v>
      </c>
      <c r="J168" s="2" t="s">
        <v>20</v>
      </c>
      <c r="K168" s="2" t="s">
        <v>50</v>
      </c>
      <c r="L168" s="2" t="s">
        <v>22</v>
      </c>
      <c r="M168" s="3">
        <v>45191</v>
      </c>
      <c r="N168" s="4">
        <v>119.98</v>
      </c>
    </row>
    <row r="169" spans="1:14" ht="29.4" thickBot="1" x14ac:dyDescent="0.35">
      <c r="A169" s="2" t="s">
        <v>312</v>
      </c>
      <c r="B169" s="3">
        <v>45645</v>
      </c>
      <c r="C169" s="2" t="s">
        <v>182</v>
      </c>
      <c r="D169" s="2" t="s">
        <v>183</v>
      </c>
      <c r="E169" s="2" t="s">
        <v>117</v>
      </c>
      <c r="F169" s="2" t="s">
        <v>118</v>
      </c>
      <c r="G169" s="2" t="s">
        <v>19</v>
      </c>
      <c r="H169" s="4">
        <v>1</v>
      </c>
      <c r="I169" s="4">
        <v>89.99</v>
      </c>
      <c r="J169" s="2" t="s">
        <v>57</v>
      </c>
      <c r="K169" s="2" t="s">
        <v>21</v>
      </c>
      <c r="L169" s="2" t="s">
        <v>36</v>
      </c>
      <c r="M169" s="3">
        <v>44760</v>
      </c>
      <c r="N169" s="4">
        <v>89.99</v>
      </c>
    </row>
    <row r="170" spans="1:14" ht="29.4" thickBot="1" x14ac:dyDescent="0.35">
      <c r="A170" s="2" t="s">
        <v>313</v>
      </c>
      <c r="B170" s="3">
        <v>45645</v>
      </c>
      <c r="C170" s="2" t="s">
        <v>147</v>
      </c>
      <c r="D170" s="2" t="s">
        <v>148</v>
      </c>
      <c r="E170" s="2" t="s">
        <v>61</v>
      </c>
      <c r="F170" s="2" t="s">
        <v>62</v>
      </c>
      <c r="G170" s="2" t="s">
        <v>19</v>
      </c>
      <c r="H170" s="4">
        <v>5</v>
      </c>
      <c r="I170" s="4">
        <v>899.99</v>
      </c>
      <c r="J170" s="2" t="s">
        <v>57</v>
      </c>
      <c r="K170" s="2" t="s">
        <v>63</v>
      </c>
      <c r="L170" s="2" t="s">
        <v>36</v>
      </c>
      <c r="M170" s="3">
        <v>44625</v>
      </c>
      <c r="N170" s="4">
        <v>4499.95</v>
      </c>
    </row>
    <row r="171" spans="1:14" ht="29.4" thickBot="1" x14ac:dyDescent="0.35">
      <c r="A171" s="2" t="s">
        <v>314</v>
      </c>
      <c r="B171" s="3">
        <v>45646</v>
      </c>
      <c r="C171" s="2" t="s">
        <v>42</v>
      </c>
      <c r="D171" s="2" t="s">
        <v>43</v>
      </c>
      <c r="E171" s="2" t="s">
        <v>44</v>
      </c>
      <c r="F171" s="2" t="s">
        <v>45</v>
      </c>
      <c r="G171" s="2" t="s">
        <v>46</v>
      </c>
      <c r="H171" s="4">
        <v>2</v>
      </c>
      <c r="I171" s="4">
        <v>149.99</v>
      </c>
      <c r="J171" s="2" t="s">
        <v>20</v>
      </c>
      <c r="K171" s="2" t="s">
        <v>35</v>
      </c>
      <c r="L171" s="2" t="s">
        <v>22</v>
      </c>
      <c r="M171" s="3">
        <v>45239</v>
      </c>
      <c r="N171" s="4">
        <v>299.98</v>
      </c>
    </row>
    <row r="172" spans="1:14" ht="29.4" thickBot="1" x14ac:dyDescent="0.35">
      <c r="A172" s="2" t="s">
        <v>315</v>
      </c>
      <c r="B172" s="3">
        <v>45648</v>
      </c>
      <c r="C172" s="2" t="s">
        <v>112</v>
      </c>
      <c r="D172" s="2" t="s">
        <v>113</v>
      </c>
      <c r="E172" s="2" t="s">
        <v>52</v>
      </c>
      <c r="F172" s="2" t="s">
        <v>53</v>
      </c>
      <c r="G172" s="2" t="s">
        <v>19</v>
      </c>
      <c r="H172" s="4">
        <v>2</v>
      </c>
      <c r="I172" s="4">
        <v>149.99</v>
      </c>
      <c r="J172" s="2" t="s">
        <v>57</v>
      </c>
      <c r="K172" s="2" t="s">
        <v>50</v>
      </c>
      <c r="L172" s="2" t="s">
        <v>27</v>
      </c>
      <c r="M172" s="3">
        <v>45280</v>
      </c>
      <c r="N172" s="4">
        <v>299.98</v>
      </c>
    </row>
    <row r="173" spans="1:14" ht="29.4" thickBot="1" x14ac:dyDescent="0.35">
      <c r="A173" s="2" t="s">
        <v>316</v>
      </c>
      <c r="B173" s="3">
        <v>45648</v>
      </c>
      <c r="C173" s="2" t="s">
        <v>182</v>
      </c>
      <c r="D173" s="2" t="s">
        <v>183</v>
      </c>
      <c r="E173" s="2" t="s">
        <v>44</v>
      </c>
      <c r="F173" s="2" t="s">
        <v>45</v>
      </c>
      <c r="G173" s="2" t="s">
        <v>46</v>
      </c>
      <c r="H173" s="4">
        <v>3</v>
      </c>
      <c r="I173" s="4">
        <v>149.99</v>
      </c>
      <c r="J173" s="2" t="s">
        <v>57</v>
      </c>
      <c r="K173" s="2" t="s">
        <v>40</v>
      </c>
      <c r="L173" s="2" t="s">
        <v>36</v>
      </c>
      <c r="M173" s="3">
        <v>44522</v>
      </c>
      <c r="N173" s="4">
        <v>449.97</v>
      </c>
    </row>
    <row r="174" spans="1:14" ht="29.4" thickBot="1" x14ac:dyDescent="0.35">
      <c r="A174" s="2" t="s">
        <v>317</v>
      </c>
      <c r="B174" s="3">
        <v>45649</v>
      </c>
      <c r="C174" s="2" t="s">
        <v>29</v>
      </c>
      <c r="D174" s="2" t="s">
        <v>30</v>
      </c>
      <c r="E174" s="2" t="s">
        <v>105</v>
      </c>
      <c r="F174" s="2" t="s">
        <v>106</v>
      </c>
      <c r="G174" s="2" t="s">
        <v>46</v>
      </c>
      <c r="H174" s="4">
        <v>2</v>
      </c>
      <c r="I174" s="4">
        <v>299.99</v>
      </c>
      <c r="J174" s="2" t="s">
        <v>34</v>
      </c>
      <c r="K174" s="2" t="s">
        <v>35</v>
      </c>
      <c r="L174" s="2" t="s">
        <v>22</v>
      </c>
      <c r="M174" s="3">
        <v>44721</v>
      </c>
      <c r="N174" s="4">
        <v>599.98</v>
      </c>
    </row>
    <row r="175" spans="1:14" ht="29.4" thickBot="1" x14ac:dyDescent="0.35">
      <c r="A175" s="2" t="s">
        <v>318</v>
      </c>
      <c r="B175" s="3">
        <v>45654</v>
      </c>
      <c r="C175" s="2" t="s">
        <v>42</v>
      </c>
      <c r="D175" s="2" t="s">
        <v>43</v>
      </c>
      <c r="E175" s="2" t="s">
        <v>105</v>
      </c>
      <c r="F175" s="2" t="s">
        <v>106</v>
      </c>
      <c r="G175" s="2" t="s">
        <v>46</v>
      </c>
      <c r="H175" s="4">
        <v>2</v>
      </c>
      <c r="I175" s="4">
        <v>299.99</v>
      </c>
      <c r="J175" s="2" t="s">
        <v>20</v>
      </c>
      <c r="K175" s="2" t="s">
        <v>50</v>
      </c>
      <c r="L175" s="2" t="s">
        <v>22</v>
      </c>
      <c r="M175" s="3">
        <v>44771</v>
      </c>
      <c r="N175" s="4">
        <v>599.98</v>
      </c>
    </row>
    <row r="176" spans="1:14" ht="29.4" thickBot="1" x14ac:dyDescent="0.35">
      <c r="A176" s="2" t="s">
        <v>319</v>
      </c>
      <c r="B176" s="3">
        <v>45654</v>
      </c>
      <c r="C176" s="2" t="s">
        <v>120</v>
      </c>
      <c r="D176" s="2" t="s">
        <v>121</v>
      </c>
      <c r="E176" s="2" t="s">
        <v>126</v>
      </c>
      <c r="F176" s="2" t="s">
        <v>127</v>
      </c>
      <c r="G176" s="2" t="s">
        <v>46</v>
      </c>
      <c r="H176" s="4">
        <v>4</v>
      </c>
      <c r="I176" s="4">
        <v>199.99</v>
      </c>
      <c r="J176" s="2" t="s">
        <v>26</v>
      </c>
      <c r="K176" s="2" t="s">
        <v>21</v>
      </c>
      <c r="L176" s="2" t="s">
        <v>22</v>
      </c>
      <c r="M176" s="3">
        <v>44523</v>
      </c>
      <c r="N176" s="4">
        <v>799.96</v>
      </c>
    </row>
    <row r="177" spans="1:14" ht="29.4" thickBot="1" x14ac:dyDescent="0.35">
      <c r="A177" s="2" t="s">
        <v>320</v>
      </c>
      <c r="B177" s="3">
        <v>45655</v>
      </c>
      <c r="C177" s="2" t="s">
        <v>59</v>
      </c>
      <c r="D177" s="2" t="s">
        <v>60</v>
      </c>
      <c r="E177" s="2" t="s">
        <v>117</v>
      </c>
      <c r="F177" s="2" t="s">
        <v>118</v>
      </c>
      <c r="G177" s="2" t="s">
        <v>19</v>
      </c>
      <c r="H177" s="4">
        <v>1</v>
      </c>
      <c r="I177" s="4">
        <v>89.99</v>
      </c>
      <c r="J177" s="2" t="s">
        <v>26</v>
      </c>
      <c r="K177" s="2" t="s">
        <v>35</v>
      </c>
      <c r="L177" s="2" t="s">
        <v>27</v>
      </c>
      <c r="M177" s="3">
        <v>44591</v>
      </c>
      <c r="N177" s="4">
        <v>89.99</v>
      </c>
    </row>
    <row r="178" spans="1:14" ht="29.4" thickBot="1" x14ac:dyDescent="0.35">
      <c r="A178" s="2" t="s">
        <v>321</v>
      </c>
      <c r="B178" s="3">
        <v>45655</v>
      </c>
      <c r="C178" s="2" t="s">
        <v>108</v>
      </c>
      <c r="D178" s="2" t="s">
        <v>109</v>
      </c>
      <c r="E178" s="2" t="s">
        <v>44</v>
      </c>
      <c r="F178" s="2" t="s">
        <v>45</v>
      </c>
      <c r="G178" s="2" t="s">
        <v>46</v>
      </c>
      <c r="H178" s="4">
        <v>5</v>
      </c>
      <c r="I178" s="4">
        <v>149.99</v>
      </c>
      <c r="J178" s="2" t="s">
        <v>20</v>
      </c>
      <c r="K178" s="2" t="s">
        <v>21</v>
      </c>
      <c r="L178" s="2" t="s">
        <v>27</v>
      </c>
      <c r="M178" s="3">
        <v>45347</v>
      </c>
      <c r="N178" s="4">
        <v>749.95</v>
      </c>
    </row>
    <row r="179" spans="1:14" ht="29.4" thickBot="1" x14ac:dyDescent="0.35">
      <c r="A179" s="2" t="s">
        <v>322</v>
      </c>
      <c r="B179" s="3">
        <v>45657</v>
      </c>
      <c r="C179" s="2" t="s">
        <v>86</v>
      </c>
      <c r="D179" s="2" t="s">
        <v>87</v>
      </c>
      <c r="E179" s="2" t="s">
        <v>61</v>
      </c>
      <c r="F179" s="2" t="s">
        <v>62</v>
      </c>
      <c r="G179" s="2" t="s">
        <v>19</v>
      </c>
      <c r="H179" s="4">
        <v>1</v>
      </c>
      <c r="I179" s="4">
        <v>899.99</v>
      </c>
      <c r="J179" s="2" t="s">
        <v>34</v>
      </c>
      <c r="K179" s="2" t="s">
        <v>40</v>
      </c>
      <c r="L179" s="2" t="s">
        <v>27</v>
      </c>
      <c r="M179" s="3">
        <v>45050</v>
      </c>
      <c r="N179" s="4">
        <v>899.99</v>
      </c>
    </row>
    <row r="180" spans="1:14" ht="29.4" thickBot="1" x14ac:dyDescent="0.35">
      <c r="A180" s="2" t="s">
        <v>323</v>
      </c>
      <c r="B180" s="3">
        <v>45660</v>
      </c>
      <c r="C180" s="2" t="s">
        <v>147</v>
      </c>
      <c r="D180" s="2" t="s">
        <v>148</v>
      </c>
      <c r="E180" s="2" t="s">
        <v>117</v>
      </c>
      <c r="F180" s="2" t="s">
        <v>118</v>
      </c>
      <c r="G180" s="2" t="s">
        <v>19</v>
      </c>
      <c r="H180" s="4">
        <v>2</v>
      </c>
      <c r="I180" s="4">
        <v>89.99</v>
      </c>
      <c r="J180" s="2" t="s">
        <v>26</v>
      </c>
      <c r="K180" s="2" t="s">
        <v>35</v>
      </c>
      <c r="L180" s="2" t="s">
        <v>27</v>
      </c>
      <c r="M180" s="3">
        <v>44564</v>
      </c>
      <c r="N180" s="4">
        <v>179.98</v>
      </c>
    </row>
    <row r="181" spans="1:14" ht="29.4" thickBot="1" x14ac:dyDescent="0.35">
      <c r="A181" s="2" t="s">
        <v>324</v>
      </c>
      <c r="B181" s="3">
        <v>45661</v>
      </c>
      <c r="C181" s="2" t="s">
        <v>325</v>
      </c>
      <c r="D181" s="2" t="s">
        <v>326</v>
      </c>
      <c r="E181" s="2" t="s">
        <v>61</v>
      </c>
      <c r="F181" s="2" t="s">
        <v>62</v>
      </c>
      <c r="G181" s="2" t="s">
        <v>19</v>
      </c>
      <c r="H181" s="4">
        <v>1</v>
      </c>
      <c r="I181" s="4">
        <v>899.99</v>
      </c>
      <c r="J181" s="2" t="s">
        <v>34</v>
      </c>
      <c r="K181" s="2" t="s">
        <v>40</v>
      </c>
      <c r="L181" s="2" t="s">
        <v>36</v>
      </c>
      <c r="M181" s="3">
        <v>44752</v>
      </c>
      <c r="N181" s="4">
        <v>899.99</v>
      </c>
    </row>
    <row r="182" spans="1:14" ht="29.4" thickBot="1" x14ac:dyDescent="0.35">
      <c r="A182" s="2" t="s">
        <v>327</v>
      </c>
      <c r="B182" s="3">
        <v>45663</v>
      </c>
      <c r="C182" s="2" t="s">
        <v>129</v>
      </c>
      <c r="D182" s="2" t="s">
        <v>130</v>
      </c>
      <c r="E182" s="2" t="s">
        <v>52</v>
      </c>
      <c r="F182" s="2" t="s">
        <v>53</v>
      </c>
      <c r="G182" s="2" t="s">
        <v>19</v>
      </c>
      <c r="H182" s="4">
        <v>5</v>
      </c>
      <c r="I182" s="4">
        <v>149.99</v>
      </c>
      <c r="J182" s="2" t="s">
        <v>34</v>
      </c>
      <c r="K182" s="2" t="s">
        <v>63</v>
      </c>
      <c r="L182" s="2" t="s">
        <v>27</v>
      </c>
      <c r="M182" s="3">
        <v>44824</v>
      </c>
      <c r="N182" s="4">
        <v>749.95</v>
      </c>
    </row>
    <row r="183" spans="1:14" ht="29.4" thickBot="1" x14ac:dyDescent="0.35">
      <c r="A183" s="2" t="s">
        <v>328</v>
      </c>
      <c r="B183" s="3">
        <v>45663</v>
      </c>
      <c r="C183" s="2" t="s">
        <v>42</v>
      </c>
      <c r="D183" s="2" t="s">
        <v>43</v>
      </c>
      <c r="E183" s="2" t="s">
        <v>105</v>
      </c>
      <c r="F183" s="2" t="s">
        <v>106</v>
      </c>
      <c r="G183" s="2" t="s">
        <v>46</v>
      </c>
      <c r="H183" s="4">
        <v>3</v>
      </c>
      <c r="I183" s="4">
        <v>299.99</v>
      </c>
      <c r="J183" s="2" t="s">
        <v>20</v>
      </c>
      <c r="K183" s="2" t="s">
        <v>35</v>
      </c>
      <c r="L183" s="2" t="s">
        <v>36</v>
      </c>
      <c r="M183" s="3">
        <v>44422</v>
      </c>
      <c r="N183" s="4">
        <v>899.97</v>
      </c>
    </row>
    <row r="184" spans="1:14" ht="29.4" thickBot="1" x14ac:dyDescent="0.35">
      <c r="A184" s="2" t="s">
        <v>329</v>
      </c>
      <c r="B184" s="3">
        <v>45666</v>
      </c>
      <c r="C184" s="2" t="s">
        <v>65</v>
      </c>
      <c r="D184" s="2" t="s">
        <v>66</v>
      </c>
      <c r="E184" s="2" t="s">
        <v>80</v>
      </c>
      <c r="F184" s="2" t="s">
        <v>81</v>
      </c>
      <c r="G184" s="2" t="s">
        <v>19</v>
      </c>
      <c r="H184" s="4">
        <v>3</v>
      </c>
      <c r="I184" s="4">
        <v>699.99</v>
      </c>
      <c r="J184" s="2" t="s">
        <v>26</v>
      </c>
      <c r="K184" s="2" t="s">
        <v>21</v>
      </c>
      <c r="L184" s="2" t="s">
        <v>27</v>
      </c>
      <c r="M184" s="3">
        <v>45105</v>
      </c>
      <c r="N184" s="4">
        <v>2099.9699999999998</v>
      </c>
    </row>
    <row r="185" spans="1:14" ht="29.4" thickBot="1" x14ac:dyDescent="0.35">
      <c r="A185" s="2" t="s">
        <v>330</v>
      </c>
      <c r="B185" s="3">
        <v>45667</v>
      </c>
      <c r="C185" s="2" t="s">
        <v>108</v>
      </c>
      <c r="D185" s="2" t="s">
        <v>109</v>
      </c>
      <c r="E185" s="2" t="s">
        <v>126</v>
      </c>
      <c r="F185" s="2" t="s">
        <v>127</v>
      </c>
      <c r="G185" s="2" t="s">
        <v>46</v>
      </c>
      <c r="H185" s="4">
        <v>5</v>
      </c>
      <c r="I185" s="4">
        <v>199.99</v>
      </c>
      <c r="J185" s="2" t="s">
        <v>34</v>
      </c>
      <c r="K185" s="2" t="s">
        <v>21</v>
      </c>
      <c r="L185" s="2" t="s">
        <v>36</v>
      </c>
      <c r="M185" s="3">
        <v>44633</v>
      </c>
      <c r="N185" s="4">
        <v>999.95</v>
      </c>
    </row>
    <row r="186" spans="1:14" ht="29.4" thickBot="1" x14ac:dyDescent="0.35">
      <c r="A186" s="2" t="s">
        <v>331</v>
      </c>
      <c r="B186" s="3">
        <v>45667</v>
      </c>
      <c r="C186" s="2" t="s">
        <v>93</v>
      </c>
      <c r="D186" s="2" t="s">
        <v>94</v>
      </c>
      <c r="E186" s="2" t="s">
        <v>17</v>
      </c>
      <c r="F186" s="2" t="s">
        <v>18</v>
      </c>
      <c r="G186" s="2" t="s">
        <v>19</v>
      </c>
      <c r="H186" s="4">
        <v>5</v>
      </c>
      <c r="I186" s="4">
        <v>249.99</v>
      </c>
      <c r="J186" s="2" t="s">
        <v>26</v>
      </c>
      <c r="K186" s="2" t="s">
        <v>35</v>
      </c>
      <c r="L186" s="2" t="s">
        <v>22</v>
      </c>
      <c r="M186" s="3">
        <v>45330</v>
      </c>
      <c r="N186" s="4">
        <v>1249.95</v>
      </c>
    </row>
    <row r="187" spans="1:14" ht="29.4" thickBot="1" x14ac:dyDescent="0.35">
      <c r="A187" s="2" t="s">
        <v>332</v>
      </c>
      <c r="B187" s="3">
        <v>45668</v>
      </c>
      <c r="C187" s="2" t="s">
        <v>138</v>
      </c>
      <c r="D187" s="2" t="s">
        <v>139</v>
      </c>
      <c r="E187" s="2" t="s">
        <v>52</v>
      </c>
      <c r="F187" s="2" t="s">
        <v>53</v>
      </c>
      <c r="G187" s="2" t="s">
        <v>19</v>
      </c>
      <c r="H187" s="4">
        <v>4</v>
      </c>
      <c r="I187" s="4">
        <v>149.99</v>
      </c>
      <c r="J187" s="2" t="s">
        <v>57</v>
      </c>
      <c r="K187" s="2" t="s">
        <v>63</v>
      </c>
      <c r="L187" s="2" t="s">
        <v>36</v>
      </c>
      <c r="M187" s="3">
        <v>44536</v>
      </c>
      <c r="N187" s="4">
        <v>599.96</v>
      </c>
    </row>
    <row r="188" spans="1:14" ht="29.4" thickBot="1" x14ac:dyDescent="0.35">
      <c r="A188" s="2" t="s">
        <v>333</v>
      </c>
      <c r="B188" s="3">
        <v>45668</v>
      </c>
      <c r="C188" s="2" t="s">
        <v>78</v>
      </c>
      <c r="D188" s="2" t="s">
        <v>79</v>
      </c>
      <c r="E188" s="2" t="s">
        <v>80</v>
      </c>
      <c r="F188" s="2" t="s">
        <v>81</v>
      </c>
      <c r="G188" s="2" t="s">
        <v>19</v>
      </c>
      <c r="H188" s="4">
        <v>3</v>
      </c>
      <c r="I188" s="4">
        <v>699.99</v>
      </c>
      <c r="J188" s="2" t="s">
        <v>20</v>
      </c>
      <c r="K188" s="2" t="s">
        <v>40</v>
      </c>
      <c r="L188" s="2" t="s">
        <v>27</v>
      </c>
      <c r="M188" s="3">
        <v>44602</v>
      </c>
      <c r="N188" s="4">
        <v>2099.9699999999998</v>
      </c>
    </row>
    <row r="189" spans="1:14" ht="29.4" thickBot="1" x14ac:dyDescent="0.35">
      <c r="A189" s="2" t="s">
        <v>334</v>
      </c>
      <c r="B189" s="3">
        <v>45670</v>
      </c>
      <c r="C189" s="2" t="s">
        <v>293</v>
      </c>
      <c r="D189" s="2" t="s">
        <v>294</v>
      </c>
      <c r="E189" s="2" t="s">
        <v>114</v>
      </c>
      <c r="F189" s="2" t="s">
        <v>115</v>
      </c>
      <c r="G189" s="2" t="s">
        <v>33</v>
      </c>
      <c r="H189" s="4">
        <v>1</v>
      </c>
      <c r="I189" s="4">
        <v>79.989999999999995</v>
      </c>
      <c r="J189" s="2" t="s">
        <v>26</v>
      </c>
      <c r="K189" s="2" t="s">
        <v>35</v>
      </c>
      <c r="L189" s="2" t="s">
        <v>22</v>
      </c>
      <c r="M189" s="3">
        <v>45322</v>
      </c>
      <c r="N189" s="4">
        <v>79.989999999999995</v>
      </c>
    </row>
    <row r="190" spans="1:14" ht="29.4" thickBot="1" x14ac:dyDescent="0.35">
      <c r="A190" s="2" t="s">
        <v>335</v>
      </c>
      <c r="B190" s="3">
        <v>45670</v>
      </c>
      <c r="C190" s="2" t="s">
        <v>86</v>
      </c>
      <c r="D190" s="2" t="s">
        <v>87</v>
      </c>
      <c r="E190" s="2" t="s">
        <v>105</v>
      </c>
      <c r="F190" s="2" t="s">
        <v>106</v>
      </c>
      <c r="G190" s="2" t="s">
        <v>46</v>
      </c>
      <c r="H190" s="4">
        <v>1</v>
      </c>
      <c r="I190" s="4">
        <v>299.99</v>
      </c>
      <c r="J190" s="2" t="s">
        <v>26</v>
      </c>
      <c r="K190" s="2" t="s">
        <v>40</v>
      </c>
      <c r="L190" s="2" t="s">
        <v>22</v>
      </c>
      <c r="M190" s="3">
        <v>44436</v>
      </c>
      <c r="N190" s="4">
        <v>299.99</v>
      </c>
    </row>
    <row r="191" spans="1:14" ht="29.4" thickBot="1" x14ac:dyDescent="0.35">
      <c r="A191" s="2" t="s">
        <v>336</v>
      </c>
      <c r="B191" s="3">
        <v>45671</v>
      </c>
      <c r="C191" s="2" t="s">
        <v>158</v>
      </c>
      <c r="D191" s="2" t="s">
        <v>159</v>
      </c>
      <c r="E191" s="2" t="s">
        <v>17</v>
      </c>
      <c r="F191" s="2" t="s">
        <v>18</v>
      </c>
      <c r="G191" s="2" t="s">
        <v>19</v>
      </c>
      <c r="H191" s="4">
        <v>4</v>
      </c>
      <c r="I191" s="4">
        <v>249.99</v>
      </c>
      <c r="J191" s="2" t="s">
        <v>26</v>
      </c>
      <c r="K191" s="2" t="s">
        <v>40</v>
      </c>
      <c r="L191" s="2" t="s">
        <v>27</v>
      </c>
      <c r="M191" s="3">
        <v>44460</v>
      </c>
      <c r="N191" s="4">
        <v>999.96</v>
      </c>
    </row>
    <row r="192" spans="1:14" ht="29.4" thickBot="1" x14ac:dyDescent="0.35">
      <c r="A192" s="2" t="s">
        <v>337</v>
      </c>
      <c r="B192" s="3">
        <v>45671</v>
      </c>
      <c r="C192" s="2" t="s">
        <v>120</v>
      </c>
      <c r="D192" s="2" t="s">
        <v>121</v>
      </c>
      <c r="E192" s="2" t="s">
        <v>52</v>
      </c>
      <c r="F192" s="2" t="s">
        <v>53</v>
      </c>
      <c r="G192" s="2" t="s">
        <v>19</v>
      </c>
      <c r="H192" s="4">
        <v>2</v>
      </c>
      <c r="I192" s="4">
        <v>149.99</v>
      </c>
      <c r="J192" s="2" t="s">
        <v>20</v>
      </c>
      <c r="K192" s="2" t="s">
        <v>40</v>
      </c>
      <c r="L192" s="2" t="s">
        <v>36</v>
      </c>
      <c r="M192" s="3">
        <v>44913</v>
      </c>
      <c r="N192" s="4">
        <v>299.98</v>
      </c>
    </row>
    <row r="193" spans="1:14" ht="29.4" thickBot="1" x14ac:dyDescent="0.35">
      <c r="A193" s="2" t="s">
        <v>338</v>
      </c>
      <c r="B193" s="3">
        <v>45671</v>
      </c>
      <c r="C193" s="2" t="s">
        <v>234</v>
      </c>
      <c r="D193" s="2" t="s">
        <v>235</v>
      </c>
      <c r="E193" s="2" t="s">
        <v>105</v>
      </c>
      <c r="F193" s="2" t="s">
        <v>106</v>
      </c>
      <c r="G193" s="2" t="s">
        <v>46</v>
      </c>
      <c r="H193" s="4">
        <v>3</v>
      </c>
      <c r="I193" s="4">
        <v>299.99</v>
      </c>
      <c r="J193" s="2" t="s">
        <v>26</v>
      </c>
      <c r="K193" s="2" t="s">
        <v>35</v>
      </c>
      <c r="L193" s="2" t="s">
        <v>22</v>
      </c>
      <c r="M193" s="3">
        <v>45204</v>
      </c>
      <c r="N193" s="4">
        <v>899.97</v>
      </c>
    </row>
    <row r="194" spans="1:14" ht="29.4" thickBot="1" x14ac:dyDescent="0.35">
      <c r="A194" s="2" t="s">
        <v>339</v>
      </c>
      <c r="B194" s="3">
        <v>45673</v>
      </c>
      <c r="C194" s="2" t="s">
        <v>226</v>
      </c>
      <c r="D194" s="2" t="s">
        <v>227</v>
      </c>
      <c r="E194" s="2" t="s">
        <v>126</v>
      </c>
      <c r="F194" s="2" t="s">
        <v>127</v>
      </c>
      <c r="G194" s="2" t="s">
        <v>46</v>
      </c>
      <c r="H194" s="4">
        <v>4</v>
      </c>
      <c r="I194" s="4">
        <v>199.99</v>
      </c>
      <c r="J194" s="2" t="s">
        <v>57</v>
      </c>
      <c r="K194" s="2" t="s">
        <v>35</v>
      </c>
      <c r="L194" s="2" t="s">
        <v>36</v>
      </c>
      <c r="M194" s="3">
        <v>44544</v>
      </c>
      <c r="N194" s="4">
        <v>799.96</v>
      </c>
    </row>
    <row r="195" spans="1:14" ht="29.4" thickBot="1" x14ac:dyDescent="0.35">
      <c r="A195" s="2" t="s">
        <v>340</v>
      </c>
      <c r="B195" s="3">
        <v>45673</v>
      </c>
      <c r="C195" s="2" t="s">
        <v>211</v>
      </c>
      <c r="D195" s="2" t="s">
        <v>212</v>
      </c>
      <c r="E195" s="2" t="s">
        <v>105</v>
      </c>
      <c r="F195" s="2" t="s">
        <v>106</v>
      </c>
      <c r="G195" s="2" t="s">
        <v>46</v>
      </c>
      <c r="H195" s="4">
        <v>5</v>
      </c>
      <c r="I195" s="4">
        <v>299.99</v>
      </c>
      <c r="J195" s="2" t="s">
        <v>57</v>
      </c>
      <c r="K195" s="2" t="s">
        <v>21</v>
      </c>
      <c r="L195" s="2" t="s">
        <v>22</v>
      </c>
      <c r="M195" s="3">
        <v>44431</v>
      </c>
      <c r="N195" s="4">
        <v>1499.95</v>
      </c>
    </row>
    <row r="196" spans="1:14" ht="29.4" thickBot="1" x14ac:dyDescent="0.35">
      <c r="A196" s="2" t="s">
        <v>341</v>
      </c>
      <c r="B196" s="3">
        <v>45673</v>
      </c>
      <c r="C196" s="2" t="s">
        <v>59</v>
      </c>
      <c r="D196" s="2" t="s">
        <v>60</v>
      </c>
      <c r="E196" s="2" t="s">
        <v>44</v>
      </c>
      <c r="F196" s="2" t="s">
        <v>45</v>
      </c>
      <c r="G196" s="2" t="s">
        <v>46</v>
      </c>
      <c r="H196" s="4">
        <v>3</v>
      </c>
      <c r="I196" s="4">
        <v>149.99</v>
      </c>
      <c r="J196" s="2" t="s">
        <v>26</v>
      </c>
      <c r="K196" s="2" t="s">
        <v>63</v>
      </c>
      <c r="L196" s="2" t="s">
        <v>36</v>
      </c>
      <c r="M196" s="3">
        <v>44395</v>
      </c>
      <c r="N196" s="4">
        <v>449.97</v>
      </c>
    </row>
    <row r="197" spans="1:14" ht="29.4" thickBot="1" x14ac:dyDescent="0.35">
      <c r="A197" s="2" t="s">
        <v>342</v>
      </c>
      <c r="B197" s="3">
        <v>45676</v>
      </c>
      <c r="C197" s="2" t="s">
        <v>129</v>
      </c>
      <c r="D197" s="2" t="s">
        <v>130</v>
      </c>
      <c r="E197" s="2" t="s">
        <v>31</v>
      </c>
      <c r="F197" s="2" t="s">
        <v>32</v>
      </c>
      <c r="G197" s="2" t="s">
        <v>33</v>
      </c>
      <c r="H197" s="4">
        <v>5</v>
      </c>
      <c r="I197" s="4">
        <v>59.99</v>
      </c>
      <c r="J197" s="2" t="s">
        <v>57</v>
      </c>
      <c r="K197" s="2" t="s">
        <v>63</v>
      </c>
      <c r="L197" s="2" t="s">
        <v>22</v>
      </c>
      <c r="M197" s="3">
        <v>44642</v>
      </c>
      <c r="N197" s="4">
        <v>299.95</v>
      </c>
    </row>
    <row r="198" spans="1:14" ht="29.4" thickBot="1" x14ac:dyDescent="0.35">
      <c r="A198" s="2" t="s">
        <v>343</v>
      </c>
      <c r="B198" s="3">
        <v>45682</v>
      </c>
      <c r="C198" s="2" t="s">
        <v>68</v>
      </c>
      <c r="D198" s="2" t="s">
        <v>69</v>
      </c>
      <c r="E198" s="2" t="s">
        <v>31</v>
      </c>
      <c r="F198" s="2" t="s">
        <v>32</v>
      </c>
      <c r="G198" s="2" t="s">
        <v>33</v>
      </c>
      <c r="H198" s="4">
        <v>4</v>
      </c>
      <c r="I198" s="4">
        <v>59.99</v>
      </c>
      <c r="J198" s="2" t="s">
        <v>57</v>
      </c>
      <c r="K198" s="2" t="s">
        <v>63</v>
      </c>
      <c r="L198" s="2" t="s">
        <v>36</v>
      </c>
      <c r="M198" s="3">
        <v>44564</v>
      </c>
      <c r="N198" s="4">
        <v>239.96</v>
      </c>
    </row>
    <row r="199" spans="1:14" ht="29.4" thickBot="1" x14ac:dyDescent="0.35">
      <c r="A199" s="2" t="s">
        <v>344</v>
      </c>
      <c r="B199" s="3">
        <v>45683</v>
      </c>
      <c r="C199" s="2" t="s">
        <v>48</v>
      </c>
      <c r="D199" s="2" t="s">
        <v>49</v>
      </c>
      <c r="E199" s="2" t="s">
        <v>17</v>
      </c>
      <c r="F199" s="2" t="s">
        <v>18</v>
      </c>
      <c r="G199" s="2" t="s">
        <v>19</v>
      </c>
      <c r="H199" s="4">
        <v>4</v>
      </c>
      <c r="I199" s="4">
        <v>249.99</v>
      </c>
      <c r="J199" s="2" t="s">
        <v>57</v>
      </c>
      <c r="K199" s="2" t="s">
        <v>21</v>
      </c>
      <c r="L199" s="2" t="s">
        <v>27</v>
      </c>
      <c r="M199" s="3">
        <v>45217</v>
      </c>
      <c r="N199" s="4">
        <v>999.96</v>
      </c>
    </row>
    <row r="200" spans="1:14" ht="29.4" thickBot="1" x14ac:dyDescent="0.35">
      <c r="A200" s="2" t="s">
        <v>345</v>
      </c>
      <c r="B200" s="3">
        <v>45686</v>
      </c>
      <c r="C200" s="2" t="s">
        <v>252</v>
      </c>
      <c r="D200" s="2" t="s">
        <v>253</v>
      </c>
      <c r="E200" s="2" t="s">
        <v>61</v>
      </c>
      <c r="F200" s="2" t="s">
        <v>62</v>
      </c>
      <c r="G200" s="2" t="s">
        <v>19</v>
      </c>
      <c r="H200" s="4">
        <v>4</v>
      </c>
      <c r="I200" s="4">
        <v>899.99</v>
      </c>
      <c r="J200" s="2" t="s">
        <v>34</v>
      </c>
      <c r="K200" s="2" t="s">
        <v>21</v>
      </c>
      <c r="L200" s="2" t="s">
        <v>22</v>
      </c>
      <c r="M200" s="3">
        <v>44734</v>
      </c>
      <c r="N200" s="4">
        <v>3599.96</v>
      </c>
    </row>
    <row r="201" spans="1:14" ht="29.4" thickBot="1" x14ac:dyDescent="0.35">
      <c r="A201" s="2" t="s">
        <v>346</v>
      </c>
      <c r="B201" s="3">
        <v>45686</v>
      </c>
      <c r="C201" s="2" t="s">
        <v>86</v>
      </c>
      <c r="D201" s="2" t="s">
        <v>87</v>
      </c>
      <c r="E201" s="2" t="s">
        <v>105</v>
      </c>
      <c r="F201" s="2" t="s">
        <v>106</v>
      </c>
      <c r="G201" s="2" t="s">
        <v>46</v>
      </c>
      <c r="H201" s="4">
        <v>3</v>
      </c>
      <c r="I201" s="4">
        <v>299.99</v>
      </c>
      <c r="J201" s="2" t="s">
        <v>57</v>
      </c>
      <c r="K201" s="2" t="s">
        <v>50</v>
      </c>
      <c r="L201" s="2" t="s">
        <v>36</v>
      </c>
      <c r="M201" s="3">
        <v>44952</v>
      </c>
      <c r="N201" s="4">
        <v>899.97</v>
      </c>
    </row>
    <row r="202" spans="1:14" ht="29.4" thickBot="1" x14ac:dyDescent="0.35">
      <c r="A202" s="2" t="s">
        <v>347</v>
      </c>
      <c r="B202" s="3">
        <v>45686</v>
      </c>
      <c r="C202" s="2" t="s">
        <v>293</v>
      </c>
      <c r="D202" s="2" t="s">
        <v>294</v>
      </c>
      <c r="E202" s="2" t="s">
        <v>80</v>
      </c>
      <c r="F202" s="2" t="s">
        <v>81</v>
      </c>
      <c r="G202" s="2" t="s">
        <v>19</v>
      </c>
      <c r="H202" s="4">
        <v>2</v>
      </c>
      <c r="I202" s="4">
        <v>699.99</v>
      </c>
      <c r="J202" s="2" t="s">
        <v>57</v>
      </c>
      <c r="K202" s="2" t="s">
        <v>21</v>
      </c>
      <c r="L202" s="2" t="s">
        <v>27</v>
      </c>
      <c r="M202" s="3">
        <v>44681</v>
      </c>
      <c r="N202" s="4">
        <v>1399.98</v>
      </c>
    </row>
    <row r="203" spans="1:14" ht="29.4" thickBot="1" x14ac:dyDescent="0.35">
      <c r="A203" s="2" t="s">
        <v>348</v>
      </c>
      <c r="B203" s="3">
        <v>45688</v>
      </c>
      <c r="C203" s="2" t="s">
        <v>65</v>
      </c>
      <c r="D203" s="2" t="s">
        <v>66</v>
      </c>
      <c r="E203" s="2" t="s">
        <v>80</v>
      </c>
      <c r="F203" s="2" t="s">
        <v>81</v>
      </c>
      <c r="G203" s="2" t="s">
        <v>19</v>
      </c>
      <c r="H203" s="4">
        <v>4</v>
      </c>
      <c r="I203" s="4">
        <v>699.99</v>
      </c>
      <c r="J203" s="2" t="s">
        <v>57</v>
      </c>
      <c r="K203" s="2" t="s">
        <v>50</v>
      </c>
      <c r="L203" s="2" t="s">
        <v>27</v>
      </c>
      <c r="M203" s="3">
        <v>44692</v>
      </c>
      <c r="N203" s="4">
        <v>2799.96</v>
      </c>
    </row>
    <row r="204" spans="1:14" ht="29.4" thickBot="1" x14ac:dyDescent="0.35">
      <c r="A204" s="2" t="s">
        <v>349</v>
      </c>
      <c r="B204" s="3">
        <v>45688</v>
      </c>
      <c r="C204" s="2" t="s">
        <v>123</v>
      </c>
      <c r="D204" s="2" t="s">
        <v>124</v>
      </c>
      <c r="E204" s="2" t="s">
        <v>117</v>
      </c>
      <c r="F204" s="2" t="s">
        <v>118</v>
      </c>
      <c r="G204" s="2" t="s">
        <v>19</v>
      </c>
      <c r="H204" s="4">
        <v>2</v>
      </c>
      <c r="I204" s="4">
        <v>89.99</v>
      </c>
      <c r="J204" s="2" t="s">
        <v>57</v>
      </c>
      <c r="K204" s="2" t="s">
        <v>35</v>
      </c>
      <c r="L204" s="2" t="s">
        <v>22</v>
      </c>
      <c r="M204" s="3">
        <v>44777</v>
      </c>
      <c r="N204" s="4">
        <v>179.98</v>
      </c>
    </row>
    <row r="205" spans="1:14" ht="29.4" thickBot="1" x14ac:dyDescent="0.35">
      <c r="A205" s="2" t="s">
        <v>350</v>
      </c>
      <c r="B205" s="3">
        <v>45688</v>
      </c>
      <c r="C205" s="2" t="s">
        <v>42</v>
      </c>
      <c r="D205" s="2" t="s">
        <v>43</v>
      </c>
      <c r="E205" s="2" t="s">
        <v>117</v>
      </c>
      <c r="F205" s="2" t="s">
        <v>118</v>
      </c>
      <c r="G205" s="2" t="s">
        <v>19</v>
      </c>
      <c r="H205" s="4">
        <v>3</v>
      </c>
      <c r="I205" s="4">
        <v>89.99</v>
      </c>
      <c r="J205" s="2" t="s">
        <v>57</v>
      </c>
      <c r="K205" s="2" t="s">
        <v>35</v>
      </c>
      <c r="L205" s="2" t="s">
        <v>27</v>
      </c>
      <c r="M205" s="3">
        <v>45307</v>
      </c>
      <c r="N205" s="4">
        <v>269.97000000000003</v>
      </c>
    </row>
    <row r="206" spans="1:14" ht="29.4" thickBot="1" x14ac:dyDescent="0.35">
      <c r="A206" s="2" t="s">
        <v>351</v>
      </c>
      <c r="B206" s="3">
        <v>45692</v>
      </c>
      <c r="C206" s="2" t="s">
        <v>325</v>
      </c>
      <c r="D206" s="2" t="s">
        <v>326</v>
      </c>
      <c r="E206" s="2" t="s">
        <v>31</v>
      </c>
      <c r="F206" s="2" t="s">
        <v>32</v>
      </c>
      <c r="G206" s="2" t="s">
        <v>33</v>
      </c>
      <c r="H206" s="4">
        <v>1</v>
      </c>
      <c r="I206" s="4">
        <v>59.99</v>
      </c>
      <c r="J206" s="2" t="s">
        <v>57</v>
      </c>
      <c r="K206" s="2" t="s">
        <v>21</v>
      </c>
      <c r="L206" s="2" t="s">
        <v>36</v>
      </c>
      <c r="M206" s="3">
        <v>45045</v>
      </c>
      <c r="N206" s="4">
        <v>59.99</v>
      </c>
    </row>
    <row r="207" spans="1:14" ht="29.4" thickBot="1" x14ac:dyDescent="0.35">
      <c r="A207" s="2" t="s">
        <v>352</v>
      </c>
      <c r="B207" s="3">
        <v>45695</v>
      </c>
      <c r="C207" s="2" t="s">
        <v>246</v>
      </c>
      <c r="D207" s="2" t="s">
        <v>247</v>
      </c>
      <c r="E207" s="2" t="s">
        <v>44</v>
      </c>
      <c r="F207" s="2" t="s">
        <v>45</v>
      </c>
      <c r="G207" s="2" t="s">
        <v>46</v>
      </c>
      <c r="H207" s="4">
        <v>3</v>
      </c>
      <c r="I207" s="4">
        <v>149.99</v>
      </c>
      <c r="J207" s="2" t="s">
        <v>57</v>
      </c>
      <c r="K207" s="2" t="s">
        <v>40</v>
      </c>
      <c r="L207" s="2" t="s">
        <v>27</v>
      </c>
      <c r="M207" s="3">
        <v>44564</v>
      </c>
      <c r="N207" s="4">
        <v>449.97</v>
      </c>
    </row>
    <row r="208" spans="1:14" ht="29.4" thickBot="1" x14ac:dyDescent="0.35">
      <c r="A208" s="2" t="s">
        <v>353</v>
      </c>
      <c r="B208" s="3">
        <v>45695</v>
      </c>
      <c r="C208" s="2" t="s">
        <v>93</v>
      </c>
      <c r="D208" s="2" t="s">
        <v>94</v>
      </c>
      <c r="E208" s="2" t="s">
        <v>105</v>
      </c>
      <c r="F208" s="2" t="s">
        <v>106</v>
      </c>
      <c r="G208" s="2" t="s">
        <v>46</v>
      </c>
      <c r="H208" s="4">
        <v>5</v>
      </c>
      <c r="I208" s="4">
        <v>299.99</v>
      </c>
      <c r="J208" s="2" t="s">
        <v>26</v>
      </c>
      <c r="K208" s="2" t="s">
        <v>35</v>
      </c>
      <c r="L208" s="2" t="s">
        <v>22</v>
      </c>
      <c r="M208" s="3">
        <v>44959</v>
      </c>
      <c r="N208" s="4">
        <v>1499.95</v>
      </c>
    </row>
    <row r="209" spans="1:14" ht="29.4" thickBot="1" x14ac:dyDescent="0.35">
      <c r="A209" s="2" t="s">
        <v>354</v>
      </c>
      <c r="B209" s="3">
        <v>45696</v>
      </c>
      <c r="C209" s="2" t="s">
        <v>150</v>
      </c>
      <c r="D209" s="2" t="s">
        <v>151</v>
      </c>
      <c r="E209" s="2" t="s">
        <v>31</v>
      </c>
      <c r="F209" s="2" t="s">
        <v>32</v>
      </c>
      <c r="G209" s="2" t="s">
        <v>33</v>
      </c>
      <c r="H209" s="4">
        <v>5</v>
      </c>
      <c r="I209" s="4">
        <v>59.99</v>
      </c>
      <c r="J209" s="2" t="s">
        <v>57</v>
      </c>
      <c r="K209" s="2" t="s">
        <v>21</v>
      </c>
      <c r="L209" s="2" t="s">
        <v>36</v>
      </c>
      <c r="M209" s="3">
        <v>45177</v>
      </c>
      <c r="N209" s="4">
        <v>299.95</v>
      </c>
    </row>
    <row r="210" spans="1:14" ht="29.4" thickBot="1" x14ac:dyDescent="0.35">
      <c r="A210" s="2" t="s">
        <v>355</v>
      </c>
      <c r="B210" s="3">
        <v>45701</v>
      </c>
      <c r="C210" s="2" t="s">
        <v>108</v>
      </c>
      <c r="D210" s="2" t="s">
        <v>109</v>
      </c>
      <c r="E210" s="2" t="s">
        <v>114</v>
      </c>
      <c r="F210" s="2" t="s">
        <v>115</v>
      </c>
      <c r="G210" s="2" t="s">
        <v>33</v>
      </c>
      <c r="H210" s="4">
        <v>3</v>
      </c>
      <c r="I210" s="4">
        <v>79.989999999999995</v>
      </c>
      <c r="J210" s="2" t="s">
        <v>20</v>
      </c>
      <c r="K210" s="2" t="s">
        <v>63</v>
      </c>
      <c r="L210" s="2" t="s">
        <v>27</v>
      </c>
      <c r="M210" s="3">
        <v>44436</v>
      </c>
      <c r="N210" s="4">
        <v>239.97</v>
      </c>
    </row>
    <row r="211" spans="1:14" ht="29.4" thickBot="1" x14ac:dyDescent="0.35">
      <c r="A211" s="2" t="s">
        <v>356</v>
      </c>
      <c r="B211" s="3">
        <v>45704</v>
      </c>
      <c r="C211" s="2" t="s">
        <v>29</v>
      </c>
      <c r="D211" s="2" t="s">
        <v>30</v>
      </c>
      <c r="E211" s="2" t="s">
        <v>126</v>
      </c>
      <c r="F211" s="2" t="s">
        <v>127</v>
      </c>
      <c r="G211" s="2" t="s">
        <v>46</v>
      </c>
      <c r="H211" s="4">
        <v>3</v>
      </c>
      <c r="I211" s="4">
        <v>199.99</v>
      </c>
      <c r="J211" s="2" t="s">
        <v>20</v>
      </c>
      <c r="K211" s="2" t="s">
        <v>21</v>
      </c>
      <c r="L211" s="2" t="s">
        <v>22</v>
      </c>
      <c r="M211" s="3">
        <v>44735</v>
      </c>
      <c r="N211" s="4">
        <v>599.97</v>
      </c>
    </row>
    <row r="212" spans="1:14" ht="29.4" thickBot="1" x14ac:dyDescent="0.35">
      <c r="A212" s="2" t="s">
        <v>357</v>
      </c>
      <c r="B212" s="3">
        <v>45704</v>
      </c>
      <c r="C212" s="2" t="s">
        <v>15</v>
      </c>
      <c r="D212" s="2" t="s">
        <v>16</v>
      </c>
      <c r="E212" s="2" t="s">
        <v>117</v>
      </c>
      <c r="F212" s="2" t="s">
        <v>118</v>
      </c>
      <c r="G212" s="2" t="s">
        <v>19</v>
      </c>
      <c r="H212" s="4">
        <v>2</v>
      </c>
      <c r="I212" s="4">
        <v>89.99</v>
      </c>
      <c r="J212" s="2" t="s">
        <v>34</v>
      </c>
      <c r="K212" s="2" t="s">
        <v>21</v>
      </c>
      <c r="L212" s="2" t="s">
        <v>22</v>
      </c>
      <c r="M212" s="3">
        <v>45257</v>
      </c>
      <c r="N212" s="4">
        <v>179.98</v>
      </c>
    </row>
    <row r="213" spans="1:14" ht="29.4" thickBot="1" x14ac:dyDescent="0.35">
      <c r="A213" s="2" t="s">
        <v>358</v>
      </c>
      <c r="B213" s="3">
        <v>45705</v>
      </c>
      <c r="C213" s="2" t="s">
        <v>259</v>
      </c>
      <c r="D213" s="2" t="s">
        <v>260</v>
      </c>
      <c r="E213" s="2" t="s">
        <v>44</v>
      </c>
      <c r="F213" s="2" t="s">
        <v>45</v>
      </c>
      <c r="G213" s="2" t="s">
        <v>46</v>
      </c>
      <c r="H213" s="4">
        <v>2</v>
      </c>
      <c r="I213" s="4">
        <v>149.99</v>
      </c>
      <c r="J213" s="2" t="s">
        <v>20</v>
      </c>
      <c r="K213" s="2" t="s">
        <v>35</v>
      </c>
      <c r="L213" s="2" t="s">
        <v>27</v>
      </c>
      <c r="M213" s="3">
        <v>44728</v>
      </c>
      <c r="N213" s="4">
        <v>299.98</v>
      </c>
    </row>
    <row r="214" spans="1:14" ht="29.4" thickBot="1" x14ac:dyDescent="0.35">
      <c r="A214" s="2" t="s">
        <v>359</v>
      </c>
      <c r="B214" s="3">
        <v>45707</v>
      </c>
      <c r="C214" s="2" t="s">
        <v>123</v>
      </c>
      <c r="D214" s="2" t="s">
        <v>124</v>
      </c>
      <c r="E214" s="2" t="s">
        <v>80</v>
      </c>
      <c r="F214" s="2" t="s">
        <v>81</v>
      </c>
      <c r="G214" s="2" t="s">
        <v>19</v>
      </c>
      <c r="H214" s="4">
        <v>5</v>
      </c>
      <c r="I214" s="4">
        <v>699.99</v>
      </c>
      <c r="J214" s="2" t="s">
        <v>34</v>
      </c>
      <c r="K214" s="2" t="s">
        <v>35</v>
      </c>
      <c r="L214" s="2" t="s">
        <v>27</v>
      </c>
      <c r="M214" s="3">
        <v>45352</v>
      </c>
      <c r="N214" s="4">
        <v>3499.95</v>
      </c>
    </row>
    <row r="215" spans="1:14" ht="29.4" thickBot="1" x14ac:dyDescent="0.35">
      <c r="A215" s="2" t="s">
        <v>360</v>
      </c>
      <c r="B215" s="3">
        <v>45707</v>
      </c>
      <c r="C215" s="2" t="s">
        <v>42</v>
      </c>
      <c r="D215" s="2" t="s">
        <v>43</v>
      </c>
      <c r="E215" s="2" t="s">
        <v>44</v>
      </c>
      <c r="F215" s="2" t="s">
        <v>45</v>
      </c>
      <c r="G215" s="2" t="s">
        <v>46</v>
      </c>
      <c r="H215" s="4">
        <v>3</v>
      </c>
      <c r="I215" s="4">
        <v>149.99</v>
      </c>
      <c r="J215" s="2" t="s">
        <v>34</v>
      </c>
      <c r="K215" s="2" t="s">
        <v>21</v>
      </c>
      <c r="L215" s="2" t="s">
        <v>36</v>
      </c>
      <c r="M215" s="3">
        <v>44633</v>
      </c>
      <c r="N215" s="4">
        <v>449.97</v>
      </c>
    </row>
    <row r="216" spans="1:14" ht="29.4" thickBot="1" x14ac:dyDescent="0.35">
      <c r="A216" s="2" t="s">
        <v>361</v>
      </c>
      <c r="B216" s="3">
        <v>45708</v>
      </c>
      <c r="C216" s="2" t="s">
        <v>96</v>
      </c>
      <c r="D216" s="2" t="s">
        <v>97</v>
      </c>
      <c r="E216" s="2" t="s">
        <v>61</v>
      </c>
      <c r="F216" s="2" t="s">
        <v>62</v>
      </c>
      <c r="G216" s="2" t="s">
        <v>19</v>
      </c>
      <c r="H216" s="4">
        <v>3</v>
      </c>
      <c r="I216" s="4">
        <v>899.99</v>
      </c>
      <c r="J216" s="2" t="s">
        <v>20</v>
      </c>
      <c r="K216" s="2" t="s">
        <v>63</v>
      </c>
      <c r="L216" s="2" t="s">
        <v>36</v>
      </c>
      <c r="M216" s="3">
        <v>44613</v>
      </c>
      <c r="N216" s="4">
        <v>2699.97</v>
      </c>
    </row>
    <row r="217" spans="1:14" ht="29.4" thickBot="1" x14ac:dyDescent="0.35">
      <c r="A217" s="2" t="s">
        <v>362</v>
      </c>
      <c r="B217" s="3">
        <v>45708</v>
      </c>
      <c r="C217" s="2" t="s">
        <v>192</v>
      </c>
      <c r="D217" s="2" t="s">
        <v>193</v>
      </c>
      <c r="E217" s="2" t="s">
        <v>126</v>
      </c>
      <c r="F217" s="2" t="s">
        <v>127</v>
      </c>
      <c r="G217" s="2" t="s">
        <v>46</v>
      </c>
      <c r="H217" s="4">
        <v>3</v>
      </c>
      <c r="I217" s="4">
        <v>199.99</v>
      </c>
      <c r="J217" s="2" t="s">
        <v>20</v>
      </c>
      <c r="K217" s="2" t="s">
        <v>50</v>
      </c>
      <c r="L217" s="2" t="s">
        <v>27</v>
      </c>
      <c r="M217" s="3">
        <v>44823</v>
      </c>
      <c r="N217" s="4">
        <v>599.97</v>
      </c>
    </row>
    <row r="218" spans="1:14" ht="29.4" thickBot="1" x14ac:dyDescent="0.35">
      <c r="A218" s="2" t="s">
        <v>363</v>
      </c>
      <c r="B218" s="3">
        <v>45710</v>
      </c>
      <c r="C218" s="2" t="s">
        <v>55</v>
      </c>
      <c r="D218" s="2" t="s">
        <v>56</v>
      </c>
      <c r="E218" s="2" t="s">
        <v>105</v>
      </c>
      <c r="F218" s="2" t="s">
        <v>106</v>
      </c>
      <c r="G218" s="2" t="s">
        <v>46</v>
      </c>
      <c r="H218" s="4">
        <v>5</v>
      </c>
      <c r="I218" s="4">
        <v>299.99</v>
      </c>
      <c r="J218" s="2" t="s">
        <v>20</v>
      </c>
      <c r="K218" s="2" t="s">
        <v>50</v>
      </c>
      <c r="L218" s="2" t="s">
        <v>36</v>
      </c>
      <c r="M218" s="3">
        <v>45142</v>
      </c>
      <c r="N218" s="4">
        <v>1499.95</v>
      </c>
    </row>
    <row r="219" spans="1:14" ht="29.4" thickBot="1" x14ac:dyDescent="0.35">
      <c r="A219" s="2" t="s">
        <v>364</v>
      </c>
      <c r="B219" s="3">
        <v>45710</v>
      </c>
      <c r="C219" s="2" t="s">
        <v>150</v>
      </c>
      <c r="D219" s="2" t="s">
        <v>151</v>
      </c>
      <c r="E219" s="2" t="s">
        <v>80</v>
      </c>
      <c r="F219" s="2" t="s">
        <v>81</v>
      </c>
      <c r="G219" s="2" t="s">
        <v>19</v>
      </c>
      <c r="H219" s="4">
        <v>1</v>
      </c>
      <c r="I219" s="4">
        <v>699.99</v>
      </c>
      <c r="J219" s="2" t="s">
        <v>34</v>
      </c>
      <c r="K219" s="2" t="s">
        <v>50</v>
      </c>
      <c r="L219" s="2" t="s">
        <v>22</v>
      </c>
      <c r="M219" s="3">
        <v>44934</v>
      </c>
      <c r="N219" s="4">
        <v>699.99</v>
      </c>
    </row>
    <row r="220" spans="1:14" ht="29.4" thickBot="1" x14ac:dyDescent="0.35">
      <c r="A220" s="2" t="s">
        <v>365</v>
      </c>
      <c r="B220" s="3">
        <v>45711</v>
      </c>
      <c r="C220" s="2" t="s">
        <v>246</v>
      </c>
      <c r="D220" s="2" t="s">
        <v>247</v>
      </c>
      <c r="E220" s="2" t="s">
        <v>80</v>
      </c>
      <c r="F220" s="2" t="s">
        <v>81</v>
      </c>
      <c r="G220" s="2" t="s">
        <v>19</v>
      </c>
      <c r="H220" s="4">
        <v>1</v>
      </c>
      <c r="I220" s="4">
        <v>699.99</v>
      </c>
      <c r="J220" s="2" t="s">
        <v>20</v>
      </c>
      <c r="K220" s="2" t="s">
        <v>40</v>
      </c>
      <c r="L220" s="2" t="s">
        <v>27</v>
      </c>
      <c r="M220" s="3">
        <v>44583</v>
      </c>
      <c r="N220" s="4">
        <v>699.99</v>
      </c>
    </row>
    <row r="221" spans="1:14" ht="29.4" thickBot="1" x14ac:dyDescent="0.35">
      <c r="A221" s="2" t="s">
        <v>366</v>
      </c>
      <c r="B221" s="3">
        <v>45711</v>
      </c>
      <c r="C221" s="2" t="s">
        <v>325</v>
      </c>
      <c r="D221" s="2" t="s">
        <v>326</v>
      </c>
      <c r="E221" s="2" t="s">
        <v>44</v>
      </c>
      <c r="F221" s="2" t="s">
        <v>45</v>
      </c>
      <c r="G221" s="2" t="s">
        <v>46</v>
      </c>
      <c r="H221" s="4">
        <v>4</v>
      </c>
      <c r="I221" s="4">
        <v>149.99</v>
      </c>
      <c r="J221" s="2" t="s">
        <v>34</v>
      </c>
      <c r="K221" s="2" t="s">
        <v>40</v>
      </c>
      <c r="L221" s="2" t="s">
        <v>27</v>
      </c>
      <c r="M221" s="3">
        <v>44412</v>
      </c>
      <c r="N221" s="4">
        <v>599.96</v>
      </c>
    </row>
    <row r="222" spans="1:14" ht="29.4" thickBot="1" x14ac:dyDescent="0.35">
      <c r="A222" s="2" t="s">
        <v>367</v>
      </c>
      <c r="B222" s="3">
        <v>45711</v>
      </c>
      <c r="C222" s="2" t="s">
        <v>211</v>
      </c>
      <c r="D222" s="2" t="s">
        <v>212</v>
      </c>
      <c r="E222" s="2" t="s">
        <v>117</v>
      </c>
      <c r="F222" s="2" t="s">
        <v>118</v>
      </c>
      <c r="G222" s="2" t="s">
        <v>19</v>
      </c>
      <c r="H222" s="4">
        <v>5</v>
      </c>
      <c r="I222" s="4">
        <v>89.99</v>
      </c>
      <c r="J222" s="2" t="s">
        <v>34</v>
      </c>
      <c r="K222" s="2" t="s">
        <v>50</v>
      </c>
      <c r="L222" s="2" t="s">
        <v>27</v>
      </c>
      <c r="M222" s="3">
        <v>45140</v>
      </c>
      <c r="N222" s="4">
        <v>449.95</v>
      </c>
    </row>
    <row r="223" spans="1:14" ht="29.4" thickBot="1" x14ac:dyDescent="0.35">
      <c r="A223" s="2" t="s">
        <v>368</v>
      </c>
      <c r="B223" s="3">
        <v>45712</v>
      </c>
      <c r="C223" s="2" t="s">
        <v>138</v>
      </c>
      <c r="D223" s="2" t="s">
        <v>139</v>
      </c>
      <c r="E223" s="2" t="s">
        <v>126</v>
      </c>
      <c r="F223" s="2" t="s">
        <v>127</v>
      </c>
      <c r="G223" s="2" t="s">
        <v>46</v>
      </c>
      <c r="H223" s="4">
        <v>2</v>
      </c>
      <c r="I223" s="4">
        <v>199.99</v>
      </c>
      <c r="J223" s="2" t="s">
        <v>20</v>
      </c>
      <c r="K223" s="2" t="s">
        <v>21</v>
      </c>
      <c r="L223" s="2" t="s">
        <v>27</v>
      </c>
      <c r="M223" s="3">
        <v>44573</v>
      </c>
      <c r="N223" s="4">
        <v>399.98</v>
      </c>
    </row>
    <row r="224" spans="1:14" ht="29.4" thickBot="1" x14ac:dyDescent="0.35">
      <c r="A224" s="2" t="s">
        <v>369</v>
      </c>
      <c r="B224" s="3">
        <v>45715</v>
      </c>
      <c r="C224" s="2" t="s">
        <v>259</v>
      </c>
      <c r="D224" s="2" t="s">
        <v>260</v>
      </c>
      <c r="E224" s="2" t="s">
        <v>31</v>
      </c>
      <c r="F224" s="2" t="s">
        <v>32</v>
      </c>
      <c r="G224" s="2" t="s">
        <v>33</v>
      </c>
      <c r="H224" s="4">
        <v>4</v>
      </c>
      <c r="I224" s="4">
        <v>59.99</v>
      </c>
      <c r="J224" s="2" t="s">
        <v>20</v>
      </c>
      <c r="K224" s="2" t="s">
        <v>50</v>
      </c>
      <c r="L224" s="2" t="s">
        <v>36</v>
      </c>
      <c r="M224" s="3">
        <v>45070</v>
      </c>
      <c r="N224" s="4">
        <v>239.96</v>
      </c>
    </row>
    <row r="225" spans="1:14" ht="29.4" thickBot="1" x14ac:dyDescent="0.35">
      <c r="A225" s="2" t="s">
        <v>370</v>
      </c>
      <c r="B225" s="3">
        <v>45715</v>
      </c>
      <c r="C225" s="2" t="s">
        <v>93</v>
      </c>
      <c r="D225" s="2" t="s">
        <v>94</v>
      </c>
      <c r="E225" s="2" t="s">
        <v>105</v>
      </c>
      <c r="F225" s="2" t="s">
        <v>106</v>
      </c>
      <c r="G225" s="2" t="s">
        <v>46</v>
      </c>
      <c r="H225" s="4">
        <v>2</v>
      </c>
      <c r="I225" s="4">
        <v>299.99</v>
      </c>
      <c r="J225" s="2" t="s">
        <v>34</v>
      </c>
      <c r="K225" s="2" t="s">
        <v>35</v>
      </c>
      <c r="L225" s="2" t="s">
        <v>22</v>
      </c>
      <c r="M225" s="3">
        <v>44576</v>
      </c>
      <c r="N225" s="4">
        <v>599.98</v>
      </c>
    </row>
    <row r="226" spans="1:14" ht="29.4" thickBot="1" x14ac:dyDescent="0.35">
      <c r="A226" s="2" t="s">
        <v>371</v>
      </c>
      <c r="B226" s="3">
        <v>45718</v>
      </c>
      <c r="C226" s="2" t="s">
        <v>55</v>
      </c>
      <c r="D226" s="2" t="s">
        <v>56</v>
      </c>
      <c r="E226" s="2" t="s">
        <v>44</v>
      </c>
      <c r="F226" s="2" t="s">
        <v>45</v>
      </c>
      <c r="G226" s="2" t="s">
        <v>46</v>
      </c>
      <c r="H226" s="4">
        <v>2</v>
      </c>
      <c r="I226" s="4">
        <v>149.99</v>
      </c>
      <c r="J226" s="2" t="s">
        <v>20</v>
      </c>
      <c r="K226" s="2" t="s">
        <v>21</v>
      </c>
      <c r="L226" s="2" t="s">
        <v>22</v>
      </c>
      <c r="M226" s="3">
        <v>45068</v>
      </c>
      <c r="N226" s="4">
        <v>299.98</v>
      </c>
    </row>
    <row r="227" spans="1:14" ht="29.4" thickBot="1" x14ac:dyDescent="0.35">
      <c r="A227" s="2" t="s">
        <v>372</v>
      </c>
      <c r="B227" s="3">
        <v>45720</v>
      </c>
      <c r="C227" s="2" t="s">
        <v>226</v>
      </c>
      <c r="D227" s="2" t="s">
        <v>227</v>
      </c>
      <c r="E227" s="2" t="s">
        <v>80</v>
      </c>
      <c r="F227" s="2" t="s">
        <v>81</v>
      </c>
      <c r="G227" s="2" t="s">
        <v>19</v>
      </c>
      <c r="H227" s="4">
        <v>5</v>
      </c>
      <c r="I227" s="4">
        <v>699.99</v>
      </c>
      <c r="J227" s="2" t="s">
        <v>57</v>
      </c>
      <c r="K227" s="2" t="s">
        <v>63</v>
      </c>
      <c r="L227" s="2" t="s">
        <v>27</v>
      </c>
      <c r="M227" s="3">
        <v>45161</v>
      </c>
      <c r="N227" s="4">
        <v>3499.95</v>
      </c>
    </row>
    <row r="228" spans="1:14" ht="29.4" thickBot="1" x14ac:dyDescent="0.35">
      <c r="A228" s="2" t="s">
        <v>373</v>
      </c>
      <c r="B228" s="3">
        <v>45721</v>
      </c>
      <c r="C228" s="2" t="s">
        <v>75</v>
      </c>
      <c r="D228" s="2" t="s">
        <v>76</v>
      </c>
      <c r="E228" s="2" t="s">
        <v>31</v>
      </c>
      <c r="F228" s="2" t="s">
        <v>32</v>
      </c>
      <c r="G228" s="2" t="s">
        <v>33</v>
      </c>
      <c r="H228" s="4">
        <v>5</v>
      </c>
      <c r="I228" s="4">
        <v>59.99</v>
      </c>
      <c r="J228" s="2" t="s">
        <v>20</v>
      </c>
      <c r="K228" s="2" t="s">
        <v>50</v>
      </c>
      <c r="L228" s="2" t="s">
        <v>27</v>
      </c>
      <c r="M228" s="3">
        <v>45291</v>
      </c>
      <c r="N228" s="4">
        <v>299.95</v>
      </c>
    </row>
    <row r="229" spans="1:14" ht="29.4" thickBot="1" x14ac:dyDescent="0.35">
      <c r="A229" s="2" t="s">
        <v>374</v>
      </c>
      <c r="B229" s="3">
        <v>45723</v>
      </c>
      <c r="C229" s="2" t="s">
        <v>15</v>
      </c>
      <c r="D229" s="2" t="s">
        <v>16</v>
      </c>
      <c r="E229" s="2" t="s">
        <v>117</v>
      </c>
      <c r="F229" s="2" t="s">
        <v>118</v>
      </c>
      <c r="G229" s="2" t="s">
        <v>19</v>
      </c>
      <c r="H229" s="4">
        <v>2</v>
      </c>
      <c r="I229" s="4">
        <v>89.99</v>
      </c>
      <c r="J229" s="2" t="s">
        <v>26</v>
      </c>
      <c r="K229" s="2" t="s">
        <v>50</v>
      </c>
      <c r="L229" s="2" t="s">
        <v>27</v>
      </c>
      <c r="M229" s="3">
        <v>45295</v>
      </c>
      <c r="N229" s="4">
        <v>179.98</v>
      </c>
    </row>
    <row r="230" spans="1:14" ht="29.4" thickBot="1" x14ac:dyDescent="0.35">
      <c r="A230" s="2" t="s">
        <v>375</v>
      </c>
      <c r="B230" s="3">
        <v>45723</v>
      </c>
      <c r="C230" s="2" t="s">
        <v>120</v>
      </c>
      <c r="D230" s="2" t="s">
        <v>121</v>
      </c>
      <c r="E230" s="2" t="s">
        <v>17</v>
      </c>
      <c r="F230" s="2" t="s">
        <v>18</v>
      </c>
      <c r="G230" s="2" t="s">
        <v>19</v>
      </c>
      <c r="H230" s="4">
        <v>5</v>
      </c>
      <c r="I230" s="4">
        <v>249.99</v>
      </c>
      <c r="J230" s="2" t="s">
        <v>20</v>
      </c>
      <c r="K230" s="2" t="s">
        <v>63</v>
      </c>
      <c r="L230" s="2" t="s">
        <v>36</v>
      </c>
      <c r="M230" s="3">
        <v>44540</v>
      </c>
      <c r="N230" s="4">
        <v>1249.95</v>
      </c>
    </row>
    <row r="231" spans="1:14" ht="29.4" thickBot="1" x14ac:dyDescent="0.35">
      <c r="A231" s="2" t="s">
        <v>376</v>
      </c>
      <c r="B231" s="3">
        <v>45724</v>
      </c>
      <c r="C231" s="2" t="s">
        <v>226</v>
      </c>
      <c r="D231" s="2" t="s">
        <v>227</v>
      </c>
      <c r="E231" s="2" t="s">
        <v>44</v>
      </c>
      <c r="F231" s="2" t="s">
        <v>45</v>
      </c>
      <c r="G231" s="2" t="s">
        <v>46</v>
      </c>
      <c r="H231" s="4">
        <v>2</v>
      </c>
      <c r="I231" s="4">
        <v>149.99</v>
      </c>
      <c r="J231" s="2" t="s">
        <v>34</v>
      </c>
      <c r="K231" s="2" t="s">
        <v>21</v>
      </c>
      <c r="L231" s="2" t="s">
        <v>27</v>
      </c>
      <c r="M231" s="3">
        <v>44632</v>
      </c>
      <c r="N231" s="4">
        <v>299.98</v>
      </c>
    </row>
    <row r="232" spans="1:14" ht="29.4" thickBot="1" x14ac:dyDescent="0.35">
      <c r="A232" s="2" t="s">
        <v>377</v>
      </c>
      <c r="B232" s="3">
        <v>45724</v>
      </c>
      <c r="C232" s="2" t="s">
        <v>144</v>
      </c>
      <c r="D232" s="2" t="s">
        <v>145</v>
      </c>
      <c r="E232" s="2" t="s">
        <v>61</v>
      </c>
      <c r="F232" s="2" t="s">
        <v>62</v>
      </c>
      <c r="G232" s="2" t="s">
        <v>19</v>
      </c>
      <c r="H232" s="4">
        <v>5</v>
      </c>
      <c r="I232" s="4">
        <v>899.99</v>
      </c>
      <c r="J232" s="2" t="s">
        <v>34</v>
      </c>
      <c r="K232" s="2" t="s">
        <v>63</v>
      </c>
      <c r="L232" s="2" t="s">
        <v>27</v>
      </c>
      <c r="M232" s="3">
        <v>45389</v>
      </c>
      <c r="N232" s="4">
        <v>4499.95</v>
      </c>
    </row>
    <row r="233" spans="1:14" ht="29.4" thickBot="1" x14ac:dyDescent="0.35">
      <c r="A233" s="2" t="s">
        <v>378</v>
      </c>
      <c r="B233" s="3">
        <v>45724</v>
      </c>
      <c r="C233" s="2" t="s">
        <v>55</v>
      </c>
      <c r="D233" s="2" t="s">
        <v>56</v>
      </c>
      <c r="E233" s="2" t="s">
        <v>44</v>
      </c>
      <c r="F233" s="2" t="s">
        <v>45</v>
      </c>
      <c r="G233" s="2" t="s">
        <v>46</v>
      </c>
      <c r="H233" s="4">
        <v>4</v>
      </c>
      <c r="I233" s="4">
        <v>149.99</v>
      </c>
      <c r="J233" s="2" t="s">
        <v>20</v>
      </c>
      <c r="K233" s="2" t="s">
        <v>21</v>
      </c>
      <c r="L233" s="2" t="s">
        <v>36</v>
      </c>
      <c r="M233" s="3">
        <v>45263</v>
      </c>
      <c r="N233" s="4">
        <v>599.96</v>
      </c>
    </row>
    <row r="234" spans="1:14" ht="29.4" thickBot="1" x14ac:dyDescent="0.35">
      <c r="A234" s="2" t="s">
        <v>379</v>
      </c>
      <c r="B234" s="3">
        <v>45726</v>
      </c>
      <c r="C234" s="2" t="s">
        <v>144</v>
      </c>
      <c r="D234" s="2" t="s">
        <v>145</v>
      </c>
      <c r="E234" s="2" t="s">
        <v>17</v>
      </c>
      <c r="F234" s="2" t="s">
        <v>18</v>
      </c>
      <c r="G234" s="2" t="s">
        <v>19</v>
      </c>
      <c r="H234" s="4">
        <v>1</v>
      </c>
      <c r="I234" s="4">
        <v>249.99</v>
      </c>
      <c r="J234" s="2" t="s">
        <v>20</v>
      </c>
      <c r="K234" s="2" t="s">
        <v>40</v>
      </c>
      <c r="L234" s="2" t="s">
        <v>36</v>
      </c>
      <c r="M234" s="3">
        <v>45117</v>
      </c>
      <c r="N234" s="4">
        <v>249.99</v>
      </c>
    </row>
    <row r="235" spans="1:14" ht="29.4" thickBot="1" x14ac:dyDescent="0.35">
      <c r="A235" s="2" t="s">
        <v>380</v>
      </c>
      <c r="B235" s="3">
        <v>45734</v>
      </c>
      <c r="C235" s="2" t="s">
        <v>192</v>
      </c>
      <c r="D235" s="2" t="s">
        <v>193</v>
      </c>
      <c r="E235" s="2" t="s">
        <v>31</v>
      </c>
      <c r="F235" s="2" t="s">
        <v>32</v>
      </c>
      <c r="G235" s="2" t="s">
        <v>33</v>
      </c>
      <c r="H235" s="4">
        <v>2</v>
      </c>
      <c r="I235" s="4">
        <v>59.99</v>
      </c>
      <c r="J235" s="2" t="s">
        <v>26</v>
      </c>
      <c r="K235" s="2" t="s">
        <v>50</v>
      </c>
      <c r="L235" s="2" t="s">
        <v>22</v>
      </c>
      <c r="M235" s="3">
        <v>45193</v>
      </c>
      <c r="N235" s="4">
        <v>119.98</v>
      </c>
    </row>
    <row r="236" spans="1:14" ht="29.4" thickBot="1" x14ac:dyDescent="0.35">
      <c r="A236" s="2" t="s">
        <v>381</v>
      </c>
      <c r="B236" s="3">
        <v>45737</v>
      </c>
      <c r="C236" s="2" t="s">
        <v>132</v>
      </c>
      <c r="D236" s="2" t="s">
        <v>133</v>
      </c>
      <c r="E236" s="2" t="s">
        <v>44</v>
      </c>
      <c r="F236" s="2" t="s">
        <v>45</v>
      </c>
      <c r="G236" s="2" t="s">
        <v>46</v>
      </c>
      <c r="H236" s="4">
        <v>2</v>
      </c>
      <c r="I236" s="4">
        <v>149.99</v>
      </c>
      <c r="J236" s="2" t="s">
        <v>20</v>
      </c>
      <c r="K236" s="2" t="s">
        <v>50</v>
      </c>
      <c r="L236" s="2" t="s">
        <v>27</v>
      </c>
      <c r="M236" s="3">
        <v>45233</v>
      </c>
      <c r="N236" s="4">
        <v>299.98</v>
      </c>
    </row>
    <row r="237" spans="1:14" ht="29.4" thickBot="1" x14ac:dyDescent="0.35">
      <c r="A237" s="2" t="s">
        <v>382</v>
      </c>
      <c r="B237" s="3">
        <v>45737</v>
      </c>
      <c r="C237" s="2" t="s">
        <v>150</v>
      </c>
      <c r="D237" s="2" t="s">
        <v>151</v>
      </c>
      <c r="E237" s="2" t="s">
        <v>61</v>
      </c>
      <c r="F237" s="2" t="s">
        <v>62</v>
      </c>
      <c r="G237" s="2" t="s">
        <v>19</v>
      </c>
      <c r="H237" s="4">
        <v>3</v>
      </c>
      <c r="I237" s="4">
        <v>899.99</v>
      </c>
      <c r="J237" s="2" t="s">
        <v>57</v>
      </c>
      <c r="K237" s="2" t="s">
        <v>40</v>
      </c>
      <c r="L237" s="2" t="s">
        <v>27</v>
      </c>
      <c r="M237" s="3">
        <v>44876</v>
      </c>
      <c r="N237" s="4">
        <v>2699.97</v>
      </c>
    </row>
    <row r="238" spans="1:14" ht="29.4" thickBot="1" x14ac:dyDescent="0.35">
      <c r="A238" s="2" t="s">
        <v>383</v>
      </c>
      <c r="B238" s="3">
        <v>45737</v>
      </c>
      <c r="C238" s="2" t="s">
        <v>48</v>
      </c>
      <c r="D238" s="2" t="s">
        <v>49</v>
      </c>
      <c r="E238" s="2" t="s">
        <v>61</v>
      </c>
      <c r="F238" s="2" t="s">
        <v>62</v>
      </c>
      <c r="G238" s="2" t="s">
        <v>19</v>
      </c>
      <c r="H238" s="4">
        <v>3</v>
      </c>
      <c r="I238" s="4">
        <v>899.99</v>
      </c>
      <c r="J238" s="2" t="s">
        <v>34</v>
      </c>
      <c r="K238" s="2" t="s">
        <v>40</v>
      </c>
      <c r="L238" s="2" t="s">
        <v>22</v>
      </c>
      <c r="M238" s="3">
        <v>44975</v>
      </c>
      <c r="N238" s="4">
        <v>2699.97</v>
      </c>
    </row>
    <row r="239" spans="1:14" ht="29.4" thickBot="1" x14ac:dyDescent="0.35">
      <c r="A239" s="2" t="s">
        <v>384</v>
      </c>
      <c r="B239" s="3">
        <v>45739</v>
      </c>
      <c r="C239" s="2" t="s">
        <v>15</v>
      </c>
      <c r="D239" s="2" t="s">
        <v>16</v>
      </c>
      <c r="E239" s="2" t="s">
        <v>105</v>
      </c>
      <c r="F239" s="2" t="s">
        <v>106</v>
      </c>
      <c r="G239" s="2" t="s">
        <v>46</v>
      </c>
      <c r="H239" s="4">
        <v>3</v>
      </c>
      <c r="I239" s="4">
        <v>299.99</v>
      </c>
      <c r="J239" s="2" t="s">
        <v>26</v>
      </c>
      <c r="K239" s="2" t="s">
        <v>50</v>
      </c>
      <c r="L239" s="2" t="s">
        <v>27</v>
      </c>
      <c r="M239" s="3">
        <v>45234</v>
      </c>
      <c r="N239" s="4">
        <v>899.97</v>
      </c>
    </row>
    <row r="240" spans="1:14" ht="29.4" thickBot="1" x14ac:dyDescent="0.35">
      <c r="A240" s="2" t="s">
        <v>385</v>
      </c>
      <c r="B240" s="3">
        <v>45740</v>
      </c>
      <c r="C240" s="2" t="s">
        <v>386</v>
      </c>
      <c r="D240" s="2" t="s">
        <v>387</v>
      </c>
      <c r="E240" s="2" t="s">
        <v>44</v>
      </c>
      <c r="F240" s="2" t="s">
        <v>45</v>
      </c>
      <c r="G240" s="2" t="s">
        <v>46</v>
      </c>
      <c r="H240" s="4">
        <v>4</v>
      </c>
      <c r="I240" s="4">
        <v>149.99</v>
      </c>
      <c r="J240" s="2" t="s">
        <v>34</v>
      </c>
      <c r="K240" s="2" t="s">
        <v>50</v>
      </c>
      <c r="L240" s="2" t="s">
        <v>36</v>
      </c>
      <c r="M240" s="3">
        <v>44560</v>
      </c>
      <c r="N240" s="4">
        <v>599.96</v>
      </c>
    </row>
    <row r="241" spans="1:14" ht="29.4" thickBot="1" x14ac:dyDescent="0.35">
      <c r="A241" s="2" t="s">
        <v>388</v>
      </c>
      <c r="B241" s="3">
        <v>45743</v>
      </c>
      <c r="C241" s="2" t="s">
        <v>102</v>
      </c>
      <c r="D241" s="2" t="s">
        <v>103</v>
      </c>
      <c r="E241" s="2" t="s">
        <v>114</v>
      </c>
      <c r="F241" s="2" t="s">
        <v>115</v>
      </c>
      <c r="G241" s="2" t="s">
        <v>33</v>
      </c>
      <c r="H241" s="4">
        <v>4</v>
      </c>
      <c r="I241" s="4">
        <v>79.989999999999995</v>
      </c>
      <c r="J241" s="2" t="s">
        <v>26</v>
      </c>
      <c r="K241" s="2" t="s">
        <v>21</v>
      </c>
      <c r="L241" s="2" t="s">
        <v>22</v>
      </c>
      <c r="M241" s="3">
        <v>45288</v>
      </c>
      <c r="N241" s="4">
        <v>319.95999999999998</v>
      </c>
    </row>
    <row r="242" spans="1:14" ht="29.4" thickBot="1" x14ac:dyDescent="0.35">
      <c r="A242" s="2" t="s">
        <v>389</v>
      </c>
      <c r="B242" s="3">
        <v>45745</v>
      </c>
      <c r="C242" s="2" t="s">
        <v>185</v>
      </c>
      <c r="D242" s="2" t="s">
        <v>186</v>
      </c>
      <c r="E242" s="2" t="s">
        <v>117</v>
      </c>
      <c r="F242" s="2" t="s">
        <v>118</v>
      </c>
      <c r="G242" s="2" t="s">
        <v>19</v>
      </c>
      <c r="H242" s="4">
        <v>5</v>
      </c>
      <c r="I242" s="4">
        <v>89.99</v>
      </c>
      <c r="J242" s="2" t="s">
        <v>34</v>
      </c>
      <c r="K242" s="2" t="s">
        <v>35</v>
      </c>
      <c r="L242" s="2" t="s">
        <v>22</v>
      </c>
      <c r="M242" s="3">
        <v>44704</v>
      </c>
      <c r="N242" s="4">
        <v>449.95</v>
      </c>
    </row>
    <row r="243" spans="1:14" ht="29.4" thickBot="1" x14ac:dyDescent="0.35">
      <c r="A243" s="2" t="s">
        <v>390</v>
      </c>
      <c r="B243" s="3">
        <v>45746</v>
      </c>
      <c r="C243" s="2" t="s">
        <v>93</v>
      </c>
      <c r="D243" s="2" t="s">
        <v>94</v>
      </c>
      <c r="E243" s="2" t="s">
        <v>44</v>
      </c>
      <c r="F243" s="2" t="s">
        <v>45</v>
      </c>
      <c r="G243" s="2" t="s">
        <v>46</v>
      </c>
      <c r="H243" s="4">
        <v>3</v>
      </c>
      <c r="I243" s="4">
        <v>149.99</v>
      </c>
      <c r="J243" s="2" t="s">
        <v>34</v>
      </c>
      <c r="K243" s="2" t="s">
        <v>21</v>
      </c>
      <c r="L243" s="2" t="s">
        <v>36</v>
      </c>
      <c r="M243" s="3">
        <v>45171</v>
      </c>
      <c r="N243" s="4">
        <v>449.97</v>
      </c>
    </row>
    <row r="244" spans="1:14" ht="29.4" thickBot="1" x14ac:dyDescent="0.35">
      <c r="A244" s="2" t="s">
        <v>391</v>
      </c>
      <c r="B244" s="3">
        <v>45746</v>
      </c>
      <c r="C244" s="2" t="s">
        <v>65</v>
      </c>
      <c r="D244" s="2" t="s">
        <v>66</v>
      </c>
      <c r="E244" s="2" t="s">
        <v>117</v>
      </c>
      <c r="F244" s="2" t="s">
        <v>118</v>
      </c>
      <c r="G244" s="2" t="s">
        <v>19</v>
      </c>
      <c r="H244" s="4">
        <v>2</v>
      </c>
      <c r="I244" s="4">
        <v>89.99</v>
      </c>
      <c r="J244" s="2" t="s">
        <v>57</v>
      </c>
      <c r="K244" s="2" t="s">
        <v>50</v>
      </c>
      <c r="L244" s="2" t="s">
        <v>27</v>
      </c>
      <c r="M244" s="3">
        <v>44522</v>
      </c>
      <c r="N244" s="4">
        <v>179.98</v>
      </c>
    </row>
    <row r="245" spans="1:14" ht="29.4" thickBot="1" x14ac:dyDescent="0.35">
      <c r="A245" s="2" t="s">
        <v>392</v>
      </c>
      <c r="B245" s="3">
        <v>45748</v>
      </c>
      <c r="C245" s="2" t="s">
        <v>102</v>
      </c>
      <c r="D245" s="2" t="s">
        <v>103</v>
      </c>
      <c r="E245" s="2" t="s">
        <v>80</v>
      </c>
      <c r="F245" s="2" t="s">
        <v>81</v>
      </c>
      <c r="G245" s="2" t="s">
        <v>19</v>
      </c>
      <c r="H245" s="4">
        <v>2</v>
      </c>
      <c r="I245" s="4">
        <v>699.99</v>
      </c>
      <c r="J245" s="2" t="s">
        <v>34</v>
      </c>
      <c r="K245" s="2" t="s">
        <v>40</v>
      </c>
      <c r="L245" s="2" t="s">
        <v>36</v>
      </c>
      <c r="M245" s="3">
        <v>44618</v>
      </c>
      <c r="N245" s="4">
        <v>1399.98</v>
      </c>
    </row>
    <row r="246" spans="1:14" ht="29.4" thickBot="1" x14ac:dyDescent="0.35">
      <c r="A246" s="2" t="s">
        <v>393</v>
      </c>
      <c r="B246" s="3">
        <v>45749</v>
      </c>
      <c r="C246" s="2" t="s">
        <v>123</v>
      </c>
      <c r="D246" s="2" t="s">
        <v>124</v>
      </c>
      <c r="E246" s="2" t="s">
        <v>61</v>
      </c>
      <c r="F246" s="2" t="s">
        <v>62</v>
      </c>
      <c r="G246" s="2" t="s">
        <v>19</v>
      </c>
      <c r="H246" s="4">
        <v>3</v>
      </c>
      <c r="I246" s="4">
        <v>899.99</v>
      </c>
      <c r="J246" s="2" t="s">
        <v>20</v>
      </c>
      <c r="K246" s="2" t="s">
        <v>21</v>
      </c>
      <c r="L246" s="2" t="s">
        <v>36</v>
      </c>
      <c r="M246" s="3">
        <v>44953</v>
      </c>
      <c r="N246" s="4">
        <v>2699.97</v>
      </c>
    </row>
    <row r="247" spans="1:14" ht="29.4" thickBot="1" x14ac:dyDescent="0.35">
      <c r="A247" s="2" t="s">
        <v>394</v>
      </c>
      <c r="B247" s="3">
        <v>45755</v>
      </c>
      <c r="C247" s="2" t="s">
        <v>93</v>
      </c>
      <c r="D247" s="2" t="s">
        <v>94</v>
      </c>
      <c r="E247" s="2" t="s">
        <v>114</v>
      </c>
      <c r="F247" s="2" t="s">
        <v>115</v>
      </c>
      <c r="G247" s="2" t="s">
        <v>33</v>
      </c>
      <c r="H247" s="4">
        <v>3</v>
      </c>
      <c r="I247" s="4">
        <v>79.989999999999995</v>
      </c>
      <c r="J247" s="2" t="s">
        <v>26</v>
      </c>
      <c r="K247" s="2" t="s">
        <v>40</v>
      </c>
      <c r="L247" s="2" t="s">
        <v>22</v>
      </c>
      <c r="M247" s="3">
        <v>44511</v>
      </c>
      <c r="N247" s="4">
        <v>239.97</v>
      </c>
    </row>
    <row r="248" spans="1:14" ht="29.4" thickBot="1" x14ac:dyDescent="0.35">
      <c r="A248" s="2" t="s">
        <v>395</v>
      </c>
      <c r="B248" s="3">
        <v>45756</v>
      </c>
      <c r="C248" s="2" t="s">
        <v>59</v>
      </c>
      <c r="D248" s="2" t="s">
        <v>60</v>
      </c>
      <c r="E248" s="2" t="s">
        <v>117</v>
      </c>
      <c r="F248" s="2" t="s">
        <v>118</v>
      </c>
      <c r="G248" s="2" t="s">
        <v>19</v>
      </c>
      <c r="H248" s="4">
        <v>1</v>
      </c>
      <c r="I248" s="4">
        <v>89.99</v>
      </c>
      <c r="J248" s="2" t="s">
        <v>57</v>
      </c>
      <c r="K248" s="2" t="s">
        <v>63</v>
      </c>
      <c r="L248" s="2" t="s">
        <v>22</v>
      </c>
      <c r="M248" s="3">
        <v>45346</v>
      </c>
      <c r="N248" s="4">
        <v>89.99</v>
      </c>
    </row>
    <row r="249" spans="1:14" ht="29.4" thickBot="1" x14ac:dyDescent="0.35">
      <c r="A249" s="2" t="s">
        <v>396</v>
      </c>
      <c r="B249" s="3">
        <v>45758</v>
      </c>
      <c r="C249" s="2" t="s">
        <v>293</v>
      </c>
      <c r="D249" s="2" t="s">
        <v>294</v>
      </c>
      <c r="E249" s="2" t="s">
        <v>80</v>
      </c>
      <c r="F249" s="2" t="s">
        <v>81</v>
      </c>
      <c r="G249" s="2" t="s">
        <v>19</v>
      </c>
      <c r="H249" s="4">
        <v>3</v>
      </c>
      <c r="I249" s="4">
        <v>699.99</v>
      </c>
      <c r="J249" s="2" t="s">
        <v>34</v>
      </c>
      <c r="K249" s="2" t="s">
        <v>40</v>
      </c>
      <c r="L249" s="2" t="s">
        <v>22</v>
      </c>
      <c r="M249" s="3">
        <v>44909</v>
      </c>
      <c r="N249" s="4">
        <v>2099.9699999999998</v>
      </c>
    </row>
    <row r="250" spans="1:14" ht="29.4" thickBot="1" x14ac:dyDescent="0.35">
      <c r="A250" s="2" t="s">
        <v>397</v>
      </c>
      <c r="B250" s="3">
        <v>45758</v>
      </c>
      <c r="C250" s="2" t="s">
        <v>226</v>
      </c>
      <c r="D250" s="2" t="s">
        <v>227</v>
      </c>
      <c r="E250" s="2" t="s">
        <v>117</v>
      </c>
      <c r="F250" s="2" t="s">
        <v>118</v>
      </c>
      <c r="G250" s="2" t="s">
        <v>19</v>
      </c>
      <c r="H250" s="4">
        <v>2</v>
      </c>
      <c r="I250" s="4">
        <v>89.99</v>
      </c>
      <c r="J250" s="2" t="s">
        <v>57</v>
      </c>
      <c r="K250" s="2" t="s">
        <v>63</v>
      </c>
      <c r="L250" s="2" t="s">
        <v>22</v>
      </c>
      <c r="M250" s="3">
        <v>45088</v>
      </c>
      <c r="N250" s="4">
        <v>179.98</v>
      </c>
    </row>
    <row r="251" spans="1:14" ht="29.4" thickBot="1" x14ac:dyDescent="0.35">
      <c r="A251" s="2" t="s">
        <v>398</v>
      </c>
      <c r="B251" s="3">
        <v>45758</v>
      </c>
      <c r="C251" s="2" t="s">
        <v>138</v>
      </c>
      <c r="D251" s="2" t="s">
        <v>139</v>
      </c>
      <c r="E251" s="2" t="s">
        <v>117</v>
      </c>
      <c r="F251" s="2" t="s">
        <v>118</v>
      </c>
      <c r="G251" s="2" t="s">
        <v>19</v>
      </c>
      <c r="H251" s="4">
        <v>3</v>
      </c>
      <c r="I251" s="4">
        <v>89.99</v>
      </c>
      <c r="J251" s="2" t="s">
        <v>57</v>
      </c>
      <c r="K251" s="2" t="s">
        <v>40</v>
      </c>
      <c r="L251" s="2" t="s">
        <v>27</v>
      </c>
      <c r="M251" s="3">
        <v>44878</v>
      </c>
      <c r="N251" s="4">
        <v>269.97000000000003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52397-7E56-4A46-A5F4-36F077C0F88F}">
  <dimension ref="C1:K18"/>
  <sheetViews>
    <sheetView workbookViewId="0">
      <selection activeCell="A15" sqref="A15"/>
    </sheetView>
  </sheetViews>
  <sheetFormatPr defaultRowHeight="14.4" x14ac:dyDescent="0.3"/>
  <cols>
    <col min="1" max="1" width="15.6640625" customWidth="1"/>
    <col min="2" max="2" width="16.88671875" customWidth="1"/>
    <col min="3" max="3" width="13.44140625" customWidth="1"/>
    <col min="4" max="4" width="16.33203125" customWidth="1"/>
    <col min="5" max="5" width="16.6640625" customWidth="1"/>
    <col min="6" max="6" width="18" customWidth="1"/>
    <col min="7" max="7" width="13.33203125" customWidth="1"/>
    <col min="8" max="8" width="15.21875" customWidth="1"/>
    <col min="9" max="9" width="13.33203125" customWidth="1"/>
    <col min="10" max="10" width="12.77734375" customWidth="1"/>
    <col min="11" max="11" width="13.33203125" customWidth="1"/>
  </cols>
  <sheetData>
    <row r="1" spans="3:11" ht="18" x14ac:dyDescent="0.35">
      <c r="C1" s="66" t="s">
        <v>405</v>
      </c>
      <c r="D1" s="69"/>
      <c r="E1" s="69"/>
      <c r="F1" s="69"/>
      <c r="G1" s="69"/>
      <c r="H1" s="69"/>
      <c r="I1" s="69"/>
      <c r="J1" s="69"/>
      <c r="K1" s="69"/>
    </row>
    <row r="3" spans="3:11" ht="15.6" x14ac:dyDescent="0.3">
      <c r="F3" s="60" t="s">
        <v>406</v>
      </c>
      <c r="G3" s="61"/>
    </row>
    <row r="4" spans="3:11" x14ac:dyDescent="0.3">
      <c r="F4" s="63" t="s">
        <v>407</v>
      </c>
      <c r="G4" s="63">
        <v>0.45809869406349091</v>
      </c>
    </row>
    <row r="5" spans="3:11" x14ac:dyDescent="0.3">
      <c r="F5" s="63" t="s">
        <v>408</v>
      </c>
      <c r="G5" s="63">
        <v>0.20985441350267586</v>
      </c>
    </row>
    <row r="6" spans="3:11" x14ac:dyDescent="0.3">
      <c r="F6" s="63" t="s">
        <v>409</v>
      </c>
      <c r="G6" s="63">
        <v>0.20665544351685675</v>
      </c>
    </row>
    <row r="7" spans="3:11" x14ac:dyDescent="0.3">
      <c r="F7" s="63" t="s">
        <v>410</v>
      </c>
      <c r="G7" s="63">
        <v>921.40854264214693</v>
      </c>
    </row>
    <row r="8" spans="3:11" x14ac:dyDescent="0.3">
      <c r="F8" s="63" t="s">
        <v>411</v>
      </c>
      <c r="G8" s="63">
        <v>249</v>
      </c>
    </row>
    <row r="10" spans="3:11" ht="18" x14ac:dyDescent="0.35">
      <c r="C10" s="70" t="s">
        <v>412</v>
      </c>
      <c r="D10" s="70"/>
      <c r="E10" s="70"/>
      <c r="F10" s="70"/>
      <c r="G10" s="70"/>
      <c r="H10" s="70"/>
    </row>
    <row r="11" spans="3:11" x14ac:dyDescent="0.3">
      <c r="C11" s="62"/>
      <c r="D11" s="62" t="s">
        <v>417</v>
      </c>
      <c r="E11" s="62" t="s">
        <v>418</v>
      </c>
      <c r="F11" s="62" t="s">
        <v>419</v>
      </c>
      <c r="G11" s="62" t="s">
        <v>420</v>
      </c>
      <c r="H11" s="62" t="s">
        <v>421</v>
      </c>
    </row>
    <row r="12" spans="3:11" x14ac:dyDescent="0.3">
      <c r="C12" s="63" t="s">
        <v>413</v>
      </c>
      <c r="D12" s="63">
        <v>1</v>
      </c>
      <c r="E12" s="63">
        <v>55694513.010666132</v>
      </c>
      <c r="F12" s="63">
        <v>55694513.010666132</v>
      </c>
      <c r="G12" s="63">
        <v>65.600619709765951</v>
      </c>
      <c r="H12" s="63">
        <v>2.5391277291094679E-14</v>
      </c>
    </row>
    <row r="13" spans="3:11" x14ac:dyDescent="0.3">
      <c r="C13" s="63" t="s">
        <v>414</v>
      </c>
      <c r="D13" s="63">
        <v>247</v>
      </c>
      <c r="E13" s="63">
        <v>209701444.50611952</v>
      </c>
      <c r="F13" s="63">
        <v>848993.70245392516</v>
      </c>
      <c r="G13" s="63"/>
      <c r="H13" s="63"/>
    </row>
    <row r="14" spans="3:11" x14ac:dyDescent="0.3">
      <c r="C14" s="63" t="s">
        <v>415</v>
      </c>
      <c r="D14" s="63">
        <v>248</v>
      </c>
      <c r="E14" s="63">
        <v>265395957.51678565</v>
      </c>
      <c r="F14" s="63"/>
      <c r="G14" s="63"/>
      <c r="H14" s="63"/>
    </row>
    <row r="16" spans="3:11" x14ac:dyDescent="0.3">
      <c r="C16" s="64"/>
      <c r="D16" s="64" t="s">
        <v>422</v>
      </c>
      <c r="E16" s="64" t="s">
        <v>410</v>
      </c>
      <c r="F16" s="64" t="s">
        <v>423</v>
      </c>
      <c r="G16" s="64" t="s">
        <v>424</v>
      </c>
      <c r="H16" s="64" t="s">
        <v>425</v>
      </c>
      <c r="I16" s="64" t="s">
        <v>426</v>
      </c>
      <c r="J16" s="64" t="s">
        <v>427</v>
      </c>
      <c r="K16" s="64" t="s">
        <v>428</v>
      </c>
    </row>
    <row r="17" spans="3:11" x14ac:dyDescent="0.3">
      <c r="C17" s="65" t="s">
        <v>416</v>
      </c>
      <c r="D17" s="65">
        <v>-148.18856276399686</v>
      </c>
      <c r="E17" s="65">
        <v>143.94399015159905</v>
      </c>
      <c r="F17" s="65">
        <v>-1.029487668140417</v>
      </c>
      <c r="G17" s="65">
        <v>0.30425761488766012</v>
      </c>
      <c r="H17" s="65">
        <v>-431.70276968654099</v>
      </c>
      <c r="I17" s="65">
        <v>135.32564415854728</v>
      </c>
      <c r="J17" s="65">
        <v>-431.70276968654099</v>
      </c>
      <c r="K17" s="65">
        <v>135.32564415854728</v>
      </c>
    </row>
    <row r="18" spans="3:11" x14ac:dyDescent="0.3">
      <c r="C18" s="65">
        <v>3</v>
      </c>
      <c r="D18" s="65">
        <v>353.78860283764737</v>
      </c>
      <c r="E18" s="65">
        <v>43.680727926547888</v>
      </c>
      <c r="F18" s="65">
        <v>8.099420949041118</v>
      </c>
      <c r="G18" s="65">
        <v>2.5391277291093214E-14</v>
      </c>
      <c r="H18" s="65">
        <v>267.75439659637294</v>
      </c>
      <c r="I18" s="65">
        <v>439.82280907892181</v>
      </c>
      <c r="J18" s="65">
        <v>267.75439659637294</v>
      </c>
      <c r="K18" s="65">
        <v>439.82280907892181</v>
      </c>
    </row>
  </sheetData>
  <mergeCells count="2">
    <mergeCell ref="C1:K1"/>
    <mergeCell ref="C10: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7D57-7737-4AB5-9142-50C03A73EEA2}">
  <dimension ref="A1:Y40"/>
  <sheetViews>
    <sheetView zoomScale="108" workbookViewId="0">
      <selection activeCell="B5" sqref="B5"/>
    </sheetView>
  </sheetViews>
  <sheetFormatPr defaultRowHeight="14.4" x14ac:dyDescent="0.3"/>
  <cols>
    <col min="1" max="1" width="14.44140625" bestFit="1" customWidth="1"/>
    <col min="2" max="2" width="18.77734375" bestFit="1" customWidth="1"/>
    <col min="3" max="3" width="12.109375" customWidth="1"/>
    <col min="4" max="4" width="18.5546875" bestFit="1" customWidth="1"/>
    <col min="5" max="5" width="19.109375" bestFit="1" customWidth="1"/>
    <col min="6" max="6" width="17.5546875" bestFit="1" customWidth="1"/>
    <col min="7" max="7" width="10.5546875" bestFit="1" customWidth="1"/>
    <col min="8" max="8" width="16.44140625" customWidth="1"/>
    <col min="10" max="10" width="7.77734375" customWidth="1"/>
    <col min="11" max="11" width="14.44140625" customWidth="1"/>
    <col min="12" max="12" width="18.77734375" bestFit="1" customWidth="1"/>
    <col min="15" max="15" width="14.88671875" customWidth="1"/>
    <col min="16" max="16" width="18" customWidth="1"/>
    <col min="17" max="17" width="8.88671875" customWidth="1"/>
    <col min="19" max="19" width="14.33203125" customWidth="1"/>
    <col min="20" max="20" width="18.21875" customWidth="1"/>
    <col min="23" max="23" width="14.88671875" customWidth="1"/>
    <col min="24" max="24" width="18" customWidth="1"/>
  </cols>
  <sheetData>
    <row r="1" spans="1:25" ht="15.6" x14ac:dyDescent="0.3">
      <c r="A1" s="72" t="s">
        <v>431</v>
      </c>
      <c r="B1" s="72"/>
      <c r="D1" s="72" t="s">
        <v>436</v>
      </c>
      <c r="E1" s="73"/>
      <c r="F1" s="73"/>
      <c r="G1" s="73"/>
      <c r="H1" s="73"/>
      <c r="K1" s="72" t="s">
        <v>438</v>
      </c>
      <c r="L1" s="72"/>
      <c r="O1" s="74" t="s">
        <v>439</v>
      </c>
      <c r="P1" s="75"/>
      <c r="Q1" s="76"/>
      <c r="S1" s="72" t="s">
        <v>440</v>
      </c>
      <c r="T1" s="72"/>
      <c r="U1" s="72"/>
      <c r="W1" s="72" t="s">
        <v>441</v>
      </c>
      <c r="X1" s="72"/>
      <c r="Y1" s="72"/>
    </row>
    <row r="3" spans="1:25" x14ac:dyDescent="0.3">
      <c r="A3" s="11" t="s">
        <v>404</v>
      </c>
      <c r="B3" s="12" t="s">
        <v>430</v>
      </c>
      <c r="E3" s="11" t="s">
        <v>430</v>
      </c>
      <c r="F3" s="11" t="s">
        <v>435</v>
      </c>
      <c r="G3" s="12"/>
      <c r="K3" s="11" t="s">
        <v>404</v>
      </c>
      <c r="L3" s="12" t="s">
        <v>430</v>
      </c>
      <c r="O3" s="11" t="s">
        <v>404</v>
      </c>
      <c r="P3" s="12" t="s">
        <v>430</v>
      </c>
      <c r="S3" s="11" t="s">
        <v>404</v>
      </c>
      <c r="T3" s="12" t="s">
        <v>430</v>
      </c>
      <c r="W3" s="11" t="s">
        <v>404</v>
      </c>
      <c r="X3" s="12" t="s">
        <v>430</v>
      </c>
    </row>
    <row r="4" spans="1:25" x14ac:dyDescent="0.3">
      <c r="A4" s="12" t="s">
        <v>97</v>
      </c>
      <c r="B4" s="12">
        <v>10649.8</v>
      </c>
      <c r="E4" s="11" t="s">
        <v>404</v>
      </c>
      <c r="F4" s="12" t="s">
        <v>434</v>
      </c>
      <c r="G4" s="12" t="s">
        <v>429</v>
      </c>
      <c r="K4" s="12" t="s">
        <v>32</v>
      </c>
      <c r="L4" s="13">
        <v>5219.1299999999974</v>
      </c>
      <c r="O4" s="12" t="s">
        <v>21</v>
      </c>
      <c r="P4" s="13">
        <v>41288.340000000018</v>
      </c>
      <c r="S4" s="12">
        <v>45412</v>
      </c>
      <c r="T4" s="13">
        <v>20919.330000000002</v>
      </c>
      <c r="W4" s="12" t="s">
        <v>22</v>
      </c>
      <c r="X4" s="13">
        <v>62177.810000000019</v>
      </c>
    </row>
    <row r="5" spans="1:25" x14ac:dyDescent="0.3">
      <c r="A5" s="12" t="s">
        <v>124</v>
      </c>
      <c r="B5" s="12">
        <v>11919.769999999999</v>
      </c>
      <c r="E5" s="12" t="s">
        <v>97</v>
      </c>
      <c r="F5" s="12">
        <v>9699.869999999999</v>
      </c>
      <c r="G5" s="12">
        <v>9699.869999999999</v>
      </c>
      <c r="K5" s="12" t="s">
        <v>45</v>
      </c>
      <c r="L5" s="13">
        <v>15298.979999999994</v>
      </c>
      <c r="O5" s="12" t="s">
        <v>63</v>
      </c>
      <c r="P5" s="13">
        <v>59288.389999999992</v>
      </c>
      <c r="S5" s="12">
        <v>45443</v>
      </c>
      <c r="T5" s="13">
        <v>17039.349999999999</v>
      </c>
      <c r="W5" s="12" t="s">
        <v>27</v>
      </c>
      <c r="X5" s="13">
        <v>84657.12000000001</v>
      </c>
    </row>
    <row r="6" spans="1:25" x14ac:dyDescent="0.3">
      <c r="A6" s="12" t="s">
        <v>87</v>
      </c>
      <c r="B6" s="12">
        <v>15659.65</v>
      </c>
      <c r="E6" s="12" t="s">
        <v>159</v>
      </c>
      <c r="F6" s="12">
        <v>3499.95</v>
      </c>
      <c r="G6" s="12">
        <v>3499.95</v>
      </c>
      <c r="K6" s="12" t="s">
        <v>115</v>
      </c>
      <c r="L6" s="13">
        <v>3119.6099999999992</v>
      </c>
      <c r="O6" s="12" t="s">
        <v>40</v>
      </c>
      <c r="P6" s="13">
        <v>50808.310000000012</v>
      </c>
      <c r="S6" s="12">
        <v>45473</v>
      </c>
      <c r="T6" s="13">
        <v>19299.45</v>
      </c>
      <c r="W6" s="12" t="s">
        <v>36</v>
      </c>
      <c r="X6" s="13">
        <v>82357.540000000037</v>
      </c>
    </row>
    <row r="7" spans="1:25" x14ac:dyDescent="0.3">
      <c r="A7" s="12" t="s">
        <v>100</v>
      </c>
      <c r="B7" s="12">
        <v>9799.73</v>
      </c>
      <c r="E7" s="12" t="s">
        <v>56</v>
      </c>
      <c r="F7" s="12">
        <v>2749.9</v>
      </c>
      <c r="G7" s="12">
        <v>2749.9</v>
      </c>
      <c r="K7" s="12" t="s">
        <v>106</v>
      </c>
      <c r="L7" s="13">
        <v>23399.22</v>
      </c>
      <c r="O7" s="12" t="s">
        <v>35</v>
      </c>
      <c r="P7" s="13">
        <v>36398.750000000007</v>
      </c>
      <c r="S7" s="12">
        <v>45504</v>
      </c>
      <c r="T7" s="13">
        <v>18479.399999999994</v>
      </c>
      <c r="W7" s="12" t="s">
        <v>429</v>
      </c>
      <c r="X7" s="13">
        <v>229192.47000000006</v>
      </c>
    </row>
    <row r="8" spans="1:25" x14ac:dyDescent="0.3">
      <c r="A8" s="12" t="s">
        <v>16</v>
      </c>
      <c r="B8" s="12">
        <v>8309.739999999998</v>
      </c>
      <c r="E8" s="12" t="s">
        <v>103</v>
      </c>
      <c r="F8" s="12">
        <v>1399.98</v>
      </c>
      <c r="G8" s="12">
        <v>1399.98</v>
      </c>
      <c r="K8" s="12" t="s">
        <v>53</v>
      </c>
      <c r="L8" s="13">
        <v>7049.5299999999988</v>
      </c>
      <c r="O8" s="12" t="s">
        <v>50</v>
      </c>
      <c r="P8" s="13">
        <v>41408.680000000015</v>
      </c>
      <c r="S8" s="12">
        <v>45535</v>
      </c>
      <c r="T8" s="13">
        <v>15759.429999999997</v>
      </c>
    </row>
    <row r="9" spans="1:25" x14ac:dyDescent="0.3">
      <c r="A9" s="12" t="s">
        <v>429</v>
      </c>
      <c r="B9" s="12">
        <v>56338.689999999995</v>
      </c>
      <c r="E9" s="12" t="s">
        <v>148</v>
      </c>
      <c r="F9" s="12">
        <v>4499.95</v>
      </c>
      <c r="G9" s="12">
        <v>4499.95</v>
      </c>
      <c r="K9" s="12" t="s">
        <v>118</v>
      </c>
      <c r="L9" s="13">
        <v>8009.1099999999969</v>
      </c>
      <c r="O9" s="12" t="s">
        <v>429</v>
      </c>
      <c r="P9" s="13">
        <v>229192.47000000006</v>
      </c>
      <c r="S9" s="12">
        <v>45565</v>
      </c>
      <c r="T9" s="13">
        <v>12989.509999999997</v>
      </c>
    </row>
    <row r="10" spans="1:25" x14ac:dyDescent="0.3">
      <c r="E10" s="12" t="s">
        <v>49</v>
      </c>
      <c r="F10" s="12">
        <v>5499.93</v>
      </c>
      <c r="G10" s="12">
        <v>5499.93</v>
      </c>
      <c r="K10" s="12" t="s">
        <v>62</v>
      </c>
      <c r="L10" s="13">
        <v>67499.25</v>
      </c>
      <c r="S10" s="12">
        <v>45596</v>
      </c>
      <c r="T10" s="13">
        <v>20609.52</v>
      </c>
    </row>
    <row r="11" spans="1:25" x14ac:dyDescent="0.3">
      <c r="E11" s="12" t="s">
        <v>294</v>
      </c>
      <c r="F11" s="12">
        <v>4749.8999999999996</v>
      </c>
      <c r="G11" s="12">
        <v>4749.8999999999996</v>
      </c>
      <c r="K11" s="12" t="s">
        <v>18</v>
      </c>
      <c r="L11" s="13">
        <v>21999.119999999999</v>
      </c>
      <c r="S11" s="12">
        <v>45626</v>
      </c>
      <c r="T11" s="13">
        <v>12309.439999999999</v>
      </c>
    </row>
    <row r="12" spans="1:25" x14ac:dyDescent="0.3">
      <c r="A12" s="71" t="s">
        <v>467</v>
      </c>
      <c r="B12" s="71"/>
      <c r="C12" s="71"/>
      <c r="E12" s="12" t="s">
        <v>124</v>
      </c>
      <c r="F12" s="12">
        <v>10699.869999999999</v>
      </c>
      <c r="G12" s="12">
        <v>10699.869999999999</v>
      </c>
      <c r="K12" s="12" t="s">
        <v>127</v>
      </c>
      <c r="L12" s="13">
        <v>10399.479999999998</v>
      </c>
      <c r="S12" s="12">
        <v>45657</v>
      </c>
      <c r="T12" s="13">
        <v>23039.3</v>
      </c>
    </row>
    <row r="13" spans="1:25" x14ac:dyDescent="0.3">
      <c r="E13" s="12" t="s">
        <v>212</v>
      </c>
      <c r="F13" s="12">
        <v>2899.9300000000003</v>
      </c>
      <c r="G13" s="12">
        <v>2899.9300000000003</v>
      </c>
      <c r="K13" s="12" t="s">
        <v>81</v>
      </c>
      <c r="L13" s="13">
        <v>67199.039999999994</v>
      </c>
      <c r="S13" s="12">
        <v>45688</v>
      </c>
      <c r="T13" s="13">
        <v>25799.15</v>
      </c>
    </row>
    <row r="14" spans="1:25" x14ac:dyDescent="0.3">
      <c r="A14" s="12" t="s">
        <v>464</v>
      </c>
      <c r="B14" s="12" t="s">
        <v>465</v>
      </c>
      <c r="C14" s="12" t="s">
        <v>466</v>
      </c>
      <c r="E14" s="12" t="s">
        <v>84</v>
      </c>
      <c r="F14" s="12">
        <v>2699.97</v>
      </c>
      <c r="G14" s="12">
        <v>2699.97</v>
      </c>
      <c r="K14" s="12" t="s">
        <v>429</v>
      </c>
      <c r="L14" s="13">
        <v>229192.46999999997</v>
      </c>
      <c r="S14" s="12">
        <v>45716</v>
      </c>
      <c r="T14" s="13">
        <v>16069.379999999997</v>
      </c>
    </row>
    <row r="15" spans="1:25" x14ac:dyDescent="0.3">
      <c r="A15" s="13">
        <f>SUM(Table2[Total_Amount])</f>
        <v>229192.47000000032</v>
      </c>
      <c r="B15" s="12">
        <v>50</v>
      </c>
      <c r="C15" s="12">
        <f>AVERAGE(Analysis!N:N)</f>
        <v>916.76988000000131</v>
      </c>
      <c r="E15" s="12" t="s">
        <v>197</v>
      </c>
      <c r="F15" s="12">
        <v>4499.95</v>
      </c>
      <c r="G15" s="12">
        <v>4499.95</v>
      </c>
      <c r="S15" s="12">
        <v>45747</v>
      </c>
      <c r="T15" s="13">
        <v>19899.379999999997</v>
      </c>
    </row>
    <row r="16" spans="1:25" ht="15.6" x14ac:dyDescent="0.3">
      <c r="E16" s="12" t="s">
        <v>145</v>
      </c>
      <c r="F16" s="12">
        <v>4499.95</v>
      </c>
      <c r="G16" s="12">
        <v>4499.95</v>
      </c>
      <c r="K16" s="14"/>
      <c r="L16" s="14"/>
      <c r="S16" s="12">
        <v>45777</v>
      </c>
      <c r="T16" s="13">
        <v>6979.829999999999</v>
      </c>
    </row>
    <row r="17" spans="5:20" x14ac:dyDescent="0.3">
      <c r="E17" s="12" t="s">
        <v>121</v>
      </c>
      <c r="F17" s="12">
        <v>4849.91</v>
      </c>
      <c r="G17" s="12">
        <v>4849.91</v>
      </c>
      <c r="S17" s="12" t="s">
        <v>429</v>
      </c>
      <c r="T17" s="13">
        <v>229192.46999999997</v>
      </c>
    </row>
    <row r="18" spans="5:20" x14ac:dyDescent="0.3">
      <c r="E18" s="12" t="s">
        <v>142</v>
      </c>
      <c r="F18" s="12">
        <v>3499.95</v>
      </c>
      <c r="G18" s="12">
        <v>3499.95</v>
      </c>
    </row>
    <row r="19" spans="5:20" x14ac:dyDescent="0.3">
      <c r="E19" s="12" t="s">
        <v>25</v>
      </c>
      <c r="F19" s="12">
        <v>5749.9</v>
      </c>
      <c r="G19" s="12">
        <v>5749.9</v>
      </c>
    </row>
    <row r="20" spans="5:20" x14ac:dyDescent="0.3">
      <c r="E20" s="12" t="s">
        <v>66</v>
      </c>
      <c r="F20" s="12">
        <v>4899.93</v>
      </c>
      <c r="G20" s="12">
        <v>4899.93</v>
      </c>
    </row>
    <row r="21" spans="5:20" x14ac:dyDescent="0.3">
      <c r="E21" s="12" t="s">
        <v>39</v>
      </c>
      <c r="F21" s="12">
        <v>2099.9699999999998</v>
      </c>
      <c r="G21" s="12">
        <v>2099.9699999999998</v>
      </c>
    </row>
    <row r="22" spans="5:20" x14ac:dyDescent="0.3">
      <c r="E22" s="12" t="s">
        <v>227</v>
      </c>
      <c r="F22" s="12">
        <v>4899.93</v>
      </c>
      <c r="G22" s="12">
        <v>4899.93</v>
      </c>
    </row>
    <row r="23" spans="5:20" x14ac:dyDescent="0.3">
      <c r="E23" s="12" t="s">
        <v>186</v>
      </c>
      <c r="F23" s="12">
        <v>1249.95</v>
      </c>
      <c r="G23" s="12">
        <v>1249.95</v>
      </c>
    </row>
    <row r="24" spans="5:20" x14ac:dyDescent="0.3">
      <c r="E24" s="12" t="s">
        <v>90</v>
      </c>
      <c r="F24" s="12">
        <v>1399.98</v>
      </c>
      <c r="G24" s="12">
        <v>1399.98</v>
      </c>
    </row>
    <row r="25" spans="5:20" x14ac:dyDescent="0.3">
      <c r="E25" s="12" t="s">
        <v>87</v>
      </c>
      <c r="F25" s="12">
        <v>12599.779999999999</v>
      </c>
      <c r="G25" s="12">
        <v>12599.779999999999</v>
      </c>
    </row>
    <row r="26" spans="5:20" x14ac:dyDescent="0.3">
      <c r="E26" s="12" t="s">
        <v>43</v>
      </c>
      <c r="F26" s="12">
        <v>2599.94</v>
      </c>
      <c r="G26" s="12">
        <v>2599.94</v>
      </c>
    </row>
    <row r="27" spans="5:20" x14ac:dyDescent="0.3">
      <c r="E27" s="12" t="s">
        <v>79</v>
      </c>
      <c r="F27" s="12">
        <v>4199.9399999999996</v>
      </c>
      <c r="G27" s="12">
        <v>4199.9399999999996</v>
      </c>
    </row>
    <row r="28" spans="5:20" x14ac:dyDescent="0.3">
      <c r="E28" s="12" t="s">
        <v>109</v>
      </c>
      <c r="F28" s="12">
        <v>1249.95</v>
      </c>
      <c r="G28" s="12">
        <v>1249.95</v>
      </c>
    </row>
    <row r="29" spans="5:20" x14ac:dyDescent="0.3">
      <c r="E29" s="12" t="s">
        <v>100</v>
      </c>
      <c r="F29" s="12">
        <v>6399.92</v>
      </c>
      <c r="G29" s="12">
        <v>6399.92</v>
      </c>
    </row>
    <row r="30" spans="5:20" x14ac:dyDescent="0.3">
      <c r="E30" s="12" t="s">
        <v>16</v>
      </c>
      <c r="F30" s="12">
        <v>5749.9</v>
      </c>
      <c r="G30" s="12">
        <v>5749.9</v>
      </c>
    </row>
    <row r="31" spans="5:20" x14ac:dyDescent="0.3">
      <c r="E31" s="12" t="s">
        <v>73</v>
      </c>
      <c r="F31" s="12">
        <v>4599.9400000000005</v>
      </c>
      <c r="G31" s="12">
        <v>4599.9400000000005</v>
      </c>
    </row>
    <row r="32" spans="5:20" x14ac:dyDescent="0.3">
      <c r="E32" s="12" t="s">
        <v>172</v>
      </c>
      <c r="F32" s="12">
        <v>2799.96</v>
      </c>
      <c r="G32" s="12">
        <v>2799.96</v>
      </c>
    </row>
    <row r="33" spans="5:7" x14ac:dyDescent="0.3">
      <c r="E33" s="12" t="s">
        <v>60</v>
      </c>
      <c r="F33" s="12">
        <v>2699.97</v>
      </c>
      <c r="G33" s="12">
        <v>2699.97</v>
      </c>
    </row>
    <row r="34" spans="5:7" x14ac:dyDescent="0.3">
      <c r="E34" s="12" t="s">
        <v>235</v>
      </c>
      <c r="F34" s="12">
        <v>4099.95</v>
      </c>
      <c r="G34" s="12">
        <v>4099.95</v>
      </c>
    </row>
    <row r="35" spans="5:7" x14ac:dyDescent="0.3">
      <c r="E35" s="12" t="s">
        <v>155</v>
      </c>
      <c r="F35" s="12">
        <v>3499.95</v>
      </c>
      <c r="G35" s="12">
        <v>3499.95</v>
      </c>
    </row>
    <row r="36" spans="5:7" x14ac:dyDescent="0.3">
      <c r="E36" s="12" t="s">
        <v>151</v>
      </c>
      <c r="F36" s="12">
        <v>2699.97</v>
      </c>
      <c r="G36" s="12">
        <v>2699.97</v>
      </c>
    </row>
    <row r="37" spans="5:7" x14ac:dyDescent="0.3">
      <c r="E37" s="12" t="s">
        <v>69</v>
      </c>
      <c r="F37" s="12">
        <v>1499.95</v>
      </c>
      <c r="G37" s="12">
        <v>1499.95</v>
      </c>
    </row>
    <row r="38" spans="5:7" x14ac:dyDescent="0.3">
      <c r="E38" s="12" t="s">
        <v>94</v>
      </c>
      <c r="F38" s="12">
        <v>2749.9</v>
      </c>
      <c r="G38" s="12">
        <v>2749.9</v>
      </c>
    </row>
    <row r="39" spans="5:7" x14ac:dyDescent="0.3">
      <c r="E39" s="12" t="s">
        <v>253</v>
      </c>
      <c r="F39" s="12">
        <v>3599.96</v>
      </c>
      <c r="G39" s="12">
        <v>3599.96</v>
      </c>
    </row>
    <row r="40" spans="5:7" x14ac:dyDescent="0.3">
      <c r="E40" s="12" t="s">
        <v>429</v>
      </c>
      <c r="F40" s="12">
        <v>147097.65</v>
      </c>
      <c r="G40" s="12">
        <v>147097.65</v>
      </c>
    </row>
  </sheetData>
  <mergeCells count="7">
    <mergeCell ref="A12:C12"/>
    <mergeCell ref="W1:Y1"/>
    <mergeCell ref="A1:B1"/>
    <mergeCell ref="D1:H1"/>
    <mergeCell ref="K1:L1"/>
    <mergeCell ref="O1:Q1"/>
    <mergeCell ref="S1:U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1188-E939-433D-9CCB-5E12891AD1D1}">
  <dimension ref="A1"/>
  <sheetViews>
    <sheetView topLeftCell="A4" workbookViewId="0">
      <selection activeCell="P27" sqref="P26:Q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FB59-7049-49B0-87A2-69F5B0536CEF}">
  <dimension ref="B8"/>
  <sheetViews>
    <sheetView showGridLines="0" zoomScale="54" zoomScaleNormal="70" workbookViewId="0">
      <selection activeCell="U25" sqref="U25"/>
    </sheetView>
  </sheetViews>
  <sheetFormatPr defaultRowHeight="14.4" x14ac:dyDescent="0.3"/>
  <sheetData>
    <row r="8" spans="2:2" x14ac:dyDescent="0.3">
      <c r="B8"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8BF1-14B6-417C-8423-79BF96B93E94}">
  <dimension ref="A1:AM251"/>
  <sheetViews>
    <sheetView zoomScale="61" workbookViewId="0">
      <selection activeCell="V26" sqref="V26"/>
    </sheetView>
  </sheetViews>
  <sheetFormatPr defaultRowHeight="14.4" x14ac:dyDescent="0.3"/>
  <cols>
    <col min="1" max="1" width="15.21875" style="7" customWidth="1"/>
    <col min="2" max="2" width="16.44140625" style="7" customWidth="1"/>
    <col min="3" max="4" width="16.6640625" style="7" customWidth="1"/>
    <col min="5" max="5" width="16" style="7" customWidth="1"/>
    <col min="6" max="6" width="15.109375" style="7" customWidth="1"/>
    <col min="7" max="7" width="11.88671875" style="7" customWidth="1"/>
    <col min="8" max="8" width="11.21875" style="7" customWidth="1"/>
    <col min="9" max="9" width="12.88671875" style="7" customWidth="1"/>
    <col min="10" max="10" width="17.6640625" style="7" customWidth="1"/>
    <col min="11" max="11" width="12.33203125" style="7" customWidth="1"/>
    <col min="12" max="12" width="18.88671875" style="7" customWidth="1"/>
    <col min="13" max="13" width="18.77734375" style="7" customWidth="1"/>
    <col min="14" max="14" width="14.6640625" style="10" customWidth="1"/>
    <col min="15" max="15" width="14.109375" style="7" customWidth="1"/>
    <col min="16" max="16" width="8.88671875" style="7"/>
    <col min="17" max="17" width="14.21875" style="7" customWidth="1"/>
    <col min="18" max="18" width="11.5546875" style="7" customWidth="1"/>
    <col min="19" max="19" width="17.109375" style="7" customWidth="1"/>
    <col min="20" max="20" width="13.109375" style="7" customWidth="1"/>
    <col min="21" max="21" width="15.44140625" style="7" customWidth="1"/>
    <col min="22" max="22" width="20.44140625" style="7" customWidth="1"/>
    <col min="23" max="25" width="8.88671875" style="7"/>
    <col min="26" max="26" width="12.5546875" style="7" customWidth="1"/>
    <col min="27" max="27" width="8.88671875" style="7"/>
    <col min="28" max="28" width="14.77734375" style="7" customWidth="1"/>
    <col min="29" max="29" width="15" style="7" customWidth="1"/>
    <col min="30" max="31" width="8.88671875" style="7"/>
    <col min="32" max="32" width="15.21875" style="7" customWidth="1"/>
    <col min="33" max="37" width="8.88671875" style="7"/>
    <col min="38" max="38" width="16.33203125" style="7" customWidth="1"/>
    <col min="39" max="39" width="29.44140625" style="7" customWidth="1"/>
    <col min="40" max="16384" width="8.88671875" style="7"/>
  </cols>
  <sheetData>
    <row r="1" spans="1:39" x14ac:dyDescent="0.3">
      <c r="A1" s="22" t="s">
        <v>0</v>
      </c>
      <c r="B1" s="23" t="s">
        <v>1</v>
      </c>
      <c r="C1" s="23" t="s">
        <v>2</v>
      </c>
      <c r="D1" s="23" t="s">
        <v>3</v>
      </c>
      <c r="E1" s="23" t="s">
        <v>4</v>
      </c>
      <c r="F1" s="23" t="s">
        <v>5</v>
      </c>
      <c r="G1" s="23" t="s">
        <v>6</v>
      </c>
      <c r="H1" s="23" t="s">
        <v>7</v>
      </c>
      <c r="I1" s="23" t="s">
        <v>8</v>
      </c>
      <c r="J1" s="23" t="s">
        <v>9</v>
      </c>
      <c r="K1" s="23" t="s">
        <v>10</v>
      </c>
      <c r="L1" s="23" t="s">
        <v>11</v>
      </c>
      <c r="M1" s="23" t="s">
        <v>12</v>
      </c>
      <c r="N1" s="24" t="s">
        <v>13</v>
      </c>
      <c r="O1" s="25" t="s">
        <v>399</v>
      </c>
      <c r="P1" s="25" t="s">
        <v>400</v>
      </c>
      <c r="Q1" s="25" t="s">
        <v>401</v>
      </c>
      <c r="R1" s="25" t="s">
        <v>402</v>
      </c>
      <c r="S1" s="25" t="s">
        <v>403</v>
      </c>
      <c r="T1" s="25" t="s">
        <v>431</v>
      </c>
      <c r="U1" s="26" t="s">
        <v>433</v>
      </c>
      <c r="V1" s="5"/>
      <c r="W1" s="34"/>
      <c r="X1" s="34"/>
      <c r="Y1" s="34"/>
      <c r="Z1" s="34"/>
      <c r="AA1" s="77" t="s">
        <v>437</v>
      </c>
      <c r="AB1" s="78"/>
      <c r="AC1" s="78"/>
      <c r="AD1" s="78"/>
      <c r="AE1" s="78"/>
      <c r="AF1" s="79"/>
      <c r="AG1" s="34"/>
      <c r="AH1" s="34"/>
      <c r="AI1" s="34"/>
      <c r="AJ1" s="34"/>
      <c r="AL1" s="35" t="s">
        <v>432</v>
      </c>
      <c r="AM1"/>
    </row>
    <row r="2" spans="1:39" x14ac:dyDescent="0.3">
      <c r="A2" s="20" t="s">
        <v>14</v>
      </c>
      <c r="B2" s="16">
        <v>45393</v>
      </c>
      <c r="C2" s="15" t="s">
        <v>15</v>
      </c>
      <c r="D2" s="15" t="s">
        <v>16</v>
      </c>
      <c r="E2" s="15" t="s">
        <v>17</v>
      </c>
      <c r="F2" s="15" t="s">
        <v>18</v>
      </c>
      <c r="G2" s="15" t="s">
        <v>19</v>
      </c>
      <c r="H2" s="15">
        <v>3</v>
      </c>
      <c r="I2" s="15">
        <v>249.99</v>
      </c>
      <c r="J2" s="15" t="s">
        <v>20</v>
      </c>
      <c r="K2" s="15" t="s">
        <v>21</v>
      </c>
      <c r="L2" s="15" t="s">
        <v>22</v>
      </c>
      <c r="M2" s="16">
        <v>44425</v>
      </c>
      <c r="N2" s="17">
        <v>749.97</v>
      </c>
      <c r="O2" s="12" t="str">
        <f>TEXT(B2,"mmm")</f>
        <v>Apr</v>
      </c>
      <c r="P2" s="12">
        <f>YEAR(B2)</f>
        <v>2024</v>
      </c>
      <c r="Q2" s="12">
        <f ca="1">DATEDIF(M2,TODAY(),"D")</f>
        <v>1679</v>
      </c>
      <c r="R2" s="12">
        <f>EOMONTH(B2,0)</f>
        <v>45412</v>
      </c>
      <c r="S2" s="18">
        <f ca="1">NOW()</f>
        <v>46104.411816550928</v>
      </c>
      <c r="T2" s="12" t="str">
        <f>IF(N2&gt;1000,"High Sale","Low Sale")</f>
        <v>Low Sale</v>
      </c>
      <c r="U2" s="21">
        <f t="shared" ref="U2:U65" si="0">SUMIFS($N:$N, $D:$D, D2)</f>
        <v>8309.739999999998</v>
      </c>
      <c r="W2" s="12" t="str" cm="1">
        <f t="array" ref="W2:AJ131">_xlfn._xlws.FILTER(A2:N250, G2:G250="Electronics")</f>
        <v>TRX0155</v>
      </c>
      <c r="X2" s="12">
        <v>45393</v>
      </c>
      <c r="Y2" s="12" t="str">
        <v>CUST023</v>
      </c>
      <c r="Z2" s="12" t="str">
        <v>Paul Baker</v>
      </c>
      <c r="AA2" s="12" t="str">
        <v>P009</v>
      </c>
      <c r="AB2" s="12" t="str">
        <v>Monitor</v>
      </c>
      <c r="AC2" s="12" t="str">
        <v>Electronics</v>
      </c>
      <c r="AD2" s="12">
        <v>3</v>
      </c>
      <c r="AE2" s="12">
        <v>249.99</v>
      </c>
      <c r="AF2" s="12" t="str">
        <v>Cash</v>
      </c>
      <c r="AG2" s="12" t="str">
        <v>Central</v>
      </c>
      <c r="AH2" s="12" t="str">
        <v>Basic</v>
      </c>
      <c r="AI2" s="12">
        <v>44425</v>
      </c>
      <c r="AJ2" s="12">
        <v>749.97</v>
      </c>
      <c r="AL2" s="19" cm="1">
        <f t="array" ref="AL2:AL51">_xlfn.UNIQUE(U2:U251)</f>
        <v>8309.739999999998</v>
      </c>
    </row>
    <row r="3" spans="1:39" x14ac:dyDescent="0.3">
      <c r="A3" s="20" t="s">
        <v>23</v>
      </c>
      <c r="B3" s="16">
        <v>45396</v>
      </c>
      <c r="C3" s="15" t="s">
        <v>24</v>
      </c>
      <c r="D3" s="15" t="s">
        <v>25</v>
      </c>
      <c r="E3" s="15" t="s">
        <v>17</v>
      </c>
      <c r="F3" s="15" t="s">
        <v>18</v>
      </c>
      <c r="G3" s="15" t="s">
        <v>19</v>
      </c>
      <c r="H3" s="15">
        <v>3</v>
      </c>
      <c r="I3" s="15">
        <v>249.99</v>
      </c>
      <c r="J3" s="15" t="s">
        <v>26</v>
      </c>
      <c r="K3" s="15" t="s">
        <v>21</v>
      </c>
      <c r="L3" s="15" t="s">
        <v>27</v>
      </c>
      <c r="M3" s="16">
        <v>44575</v>
      </c>
      <c r="N3" s="17">
        <v>749.97</v>
      </c>
      <c r="O3" s="12" t="str">
        <f t="shared" ref="O3:O66" si="1">TEXT(B3,"mmm")</f>
        <v>Apr</v>
      </c>
      <c r="P3" s="12">
        <f t="shared" ref="P3:P66" si="2">YEAR(B3)</f>
        <v>2024</v>
      </c>
      <c r="Q3" s="12">
        <f t="shared" ref="Q3:Q66" ca="1" si="3">DATEDIF(M3,TODAY(),"D")</f>
        <v>1529</v>
      </c>
      <c r="R3" s="12">
        <f t="shared" ref="R3:R66" si="4">EOMONTH(B3,0)</f>
        <v>45412</v>
      </c>
      <c r="S3" s="18">
        <f t="shared" ref="S3:S66" ca="1" si="5">NOW()</f>
        <v>46104.411816550928</v>
      </c>
      <c r="T3" s="12" t="str">
        <f t="shared" ref="T3:T66" si="6">IF(N3&gt;1000,"High Sale","Low Sale")</f>
        <v>Low Sale</v>
      </c>
      <c r="U3" s="21">
        <f t="shared" si="0"/>
        <v>6949.84</v>
      </c>
      <c r="W3" s="12" t="str">
        <v>TRX0023</v>
      </c>
      <c r="X3" s="12">
        <v>45396</v>
      </c>
      <c r="Y3" s="12" t="str">
        <v>CUST013</v>
      </c>
      <c r="Z3" s="12" t="str">
        <v>Joseph Jackson</v>
      </c>
      <c r="AA3" s="12" t="str">
        <v>P009</v>
      </c>
      <c r="AB3" s="12" t="str">
        <v>Monitor</v>
      </c>
      <c r="AC3" s="12" t="str">
        <v>Electronics</v>
      </c>
      <c r="AD3" s="12">
        <v>3</v>
      </c>
      <c r="AE3" s="12">
        <v>249.99</v>
      </c>
      <c r="AF3" s="12" t="str">
        <v>Credit Card</v>
      </c>
      <c r="AG3" s="12" t="str">
        <v>Central</v>
      </c>
      <c r="AH3" s="12" t="str">
        <v>Premium</v>
      </c>
      <c r="AI3" s="12">
        <v>44575</v>
      </c>
      <c r="AJ3" s="12">
        <v>749.97</v>
      </c>
      <c r="AL3" s="12">
        <v>6949.84</v>
      </c>
    </row>
    <row r="4" spans="1:39" x14ac:dyDescent="0.3">
      <c r="A4" s="20" t="s">
        <v>28</v>
      </c>
      <c r="B4" s="16">
        <v>45399</v>
      </c>
      <c r="C4" s="15" t="s">
        <v>29</v>
      </c>
      <c r="D4" s="15" t="s">
        <v>30</v>
      </c>
      <c r="E4" s="15" t="s">
        <v>31</v>
      </c>
      <c r="F4" s="15" t="s">
        <v>32</v>
      </c>
      <c r="G4" s="15" t="s">
        <v>33</v>
      </c>
      <c r="H4" s="15">
        <v>3</v>
      </c>
      <c r="I4" s="15">
        <v>59.99</v>
      </c>
      <c r="J4" s="15" t="s">
        <v>34</v>
      </c>
      <c r="K4" s="15" t="s">
        <v>35</v>
      </c>
      <c r="L4" s="15" t="s">
        <v>36</v>
      </c>
      <c r="M4" s="16">
        <v>45262</v>
      </c>
      <c r="N4" s="17">
        <v>179.97</v>
      </c>
      <c r="O4" s="12" t="str">
        <f t="shared" si="1"/>
        <v>Apr</v>
      </c>
      <c r="P4" s="12">
        <f t="shared" si="2"/>
        <v>2024</v>
      </c>
      <c r="Q4" s="12">
        <f t="shared" ca="1" si="3"/>
        <v>842</v>
      </c>
      <c r="R4" s="12">
        <f t="shared" si="4"/>
        <v>45412</v>
      </c>
      <c r="S4" s="18">
        <f t="shared" ca="1" si="5"/>
        <v>46104.411816550928</v>
      </c>
      <c r="T4" s="12" t="str">
        <f t="shared" si="6"/>
        <v>Low Sale</v>
      </c>
      <c r="U4" s="21">
        <f t="shared" si="0"/>
        <v>3259.87</v>
      </c>
      <c r="W4" s="12" t="str">
        <v>TRX0193</v>
      </c>
      <c r="X4" s="12">
        <v>45403</v>
      </c>
      <c r="Y4" s="12" t="str">
        <v>CUST024</v>
      </c>
      <c r="Z4" s="12" t="str">
        <v>Dorothy Nelson</v>
      </c>
      <c r="AA4" s="12" t="str">
        <v>P003</v>
      </c>
      <c r="AB4" s="12" t="str">
        <v>Headphones</v>
      </c>
      <c r="AC4" s="12" t="str">
        <v>Electronics</v>
      </c>
      <c r="AD4" s="12">
        <v>5</v>
      </c>
      <c r="AE4" s="12">
        <v>149.99</v>
      </c>
      <c r="AF4" s="12" t="str">
        <v>Credit Card</v>
      </c>
      <c r="AG4" s="12" t="str">
        <v>Central</v>
      </c>
      <c r="AH4" s="12" t="str">
        <v>Standard</v>
      </c>
      <c r="AI4" s="12">
        <v>44418</v>
      </c>
      <c r="AJ4" s="12">
        <v>749.95</v>
      </c>
      <c r="AL4" s="12">
        <v>3259.87</v>
      </c>
    </row>
    <row r="5" spans="1:39" x14ac:dyDescent="0.3">
      <c r="A5" s="20" t="s">
        <v>37</v>
      </c>
      <c r="B5" s="16">
        <v>45400</v>
      </c>
      <c r="C5" s="15" t="s">
        <v>38</v>
      </c>
      <c r="D5" s="15" t="s">
        <v>39</v>
      </c>
      <c r="E5" s="15" t="s">
        <v>31</v>
      </c>
      <c r="F5" s="15" t="s">
        <v>32</v>
      </c>
      <c r="G5" s="15" t="s">
        <v>33</v>
      </c>
      <c r="H5" s="15">
        <v>3</v>
      </c>
      <c r="I5" s="15">
        <v>59.99</v>
      </c>
      <c r="J5" s="15" t="s">
        <v>20</v>
      </c>
      <c r="K5" s="15" t="s">
        <v>40</v>
      </c>
      <c r="L5" s="15" t="s">
        <v>27</v>
      </c>
      <c r="M5" s="16">
        <v>45114</v>
      </c>
      <c r="N5" s="17">
        <v>179.97</v>
      </c>
      <c r="O5" s="12" t="str">
        <f t="shared" si="1"/>
        <v>Apr</v>
      </c>
      <c r="P5" s="12">
        <f t="shared" si="2"/>
        <v>2024</v>
      </c>
      <c r="Q5" s="12">
        <f t="shared" ca="1" si="3"/>
        <v>990</v>
      </c>
      <c r="R5" s="12">
        <f t="shared" si="4"/>
        <v>45412</v>
      </c>
      <c r="S5" s="18">
        <f t="shared" ca="1" si="5"/>
        <v>46104.411816550928</v>
      </c>
      <c r="T5" s="12" t="str">
        <f t="shared" si="6"/>
        <v>Low Sale</v>
      </c>
      <c r="U5" s="21">
        <f t="shared" si="0"/>
        <v>4309.8099999999995</v>
      </c>
      <c r="W5" s="12" t="str">
        <v>TRX0135</v>
      </c>
      <c r="X5" s="12">
        <v>45405</v>
      </c>
      <c r="Y5" s="12" t="str">
        <v>CUST009</v>
      </c>
      <c r="Z5" s="12" t="str">
        <v>Robert Thomas</v>
      </c>
      <c r="AA5" s="12" t="str">
        <v>P001</v>
      </c>
      <c r="AB5" s="12" t="str">
        <v>Laptop</v>
      </c>
      <c r="AC5" s="12" t="str">
        <v>Electronics</v>
      </c>
      <c r="AD5" s="12">
        <v>3</v>
      </c>
      <c r="AE5" s="12">
        <v>899.99</v>
      </c>
      <c r="AF5" s="12" t="str">
        <v>PayPal</v>
      </c>
      <c r="AG5" s="12" t="str">
        <v>East</v>
      </c>
      <c r="AH5" s="12" t="str">
        <v>Standard</v>
      </c>
      <c r="AI5" s="12">
        <v>45299</v>
      </c>
      <c r="AJ5" s="12">
        <v>2699.97</v>
      </c>
      <c r="AL5" s="12">
        <v>4309.8099999999995</v>
      </c>
    </row>
    <row r="6" spans="1:39" x14ac:dyDescent="0.3">
      <c r="A6" s="20" t="s">
        <v>41</v>
      </c>
      <c r="B6" s="16">
        <v>45400</v>
      </c>
      <c r="C6" s="15" t="s">
        <v>42</v>
      </c>
      <c r="D6" s="15" t="s">
        <v>43</v>
      </c>
      <c r="E6" s="15" t="s">
        <v>44</v>
      </c>
      <c r="F6" s="15" t="s">
        <v>45</v>
      </c>
      <c r="G6" s="15" t="s">
        <v>46</v>
      </c>
      <c r="H6" s="15">
        <v>5</v>
      </c>
      <c r="I6" s="15">
        <v>149.99</v>
      </c>
      <c r="J6" s="15" t="s">
        <v>26</v>
      </c>
      <c r="K6" s="15" t="s">
        <v>40</v>
      </c>
      <c r="L6" s="15" t="s">
        <v>27</v>
      </c>
      <c r="M6" s="16">
        <v>45295</v>
      </c>
      <c r="N6" s="17">
        <v>749.95</v>
      </c>
      <c r="O6" s="12" t="str">
        <f t="shared" si="1"/>
        <v>Apr</v>
      </c>
      <c r="P6" s="12">
        <f t="shared" si="2"/>
        <v>2024</v>
      </c>
      <c r="Q6" s="12">
        <f t="shared" ca="1" si="3"/>
        <v>809</v>
      </c>
      <c r="R6" s="12">
        <f t="shared" si="4"/>
        <v>45412</v>
      </c>
      <c r="S6" s="18">
        <f t="shared" ca="1" si="5"/>
        <v>46104.411816550928</v>
      </c>
      <c r="T6" s="12" t="str">
        <f t="shared" si="6"/>
        <v>Low Sale</v>
      </c>
      <c r="U6" s="21">
        <f t="shared" si="0"/>
        <v>6169.7400000000007</v>
      </c>
      <c r="W6" s="12" t="str">
        <v>TRX0191</v>
      </c>
      <c r="X6" s="12">
        <v>45409</v>
      </c>
      <c r="Y6" s="12" t="str">
        <v>CUST038</v>
      </c>
      <c r="Z6" s="12" t="str">
        <v>Michelle Rogers</v>
      </c>
      <c r="AA6" s="12" t="str">
        <v>P002</v>
      </c>
      <c r="AB6" s="12" t="str">
        <v>Smartphone</v>
      </c>
      <c r="AC6" s="12" t="str">
        <v>Electronics</v>
      </c>
      <c r="AD6" s="12">
        <v>3</v>
      </c>
      <c r="AE6" s="12">
        <v>699.99</v>
      </c>
      <c r="AF6" s="12" t="str">
        <v>Credit Card</v>
      </c>
      <c r="AG6" s="12" t="str">
        <v>West</v>
      </c>
      <c r="AH6" s="12" t="str">
        <v>Basic</v>
      </c>
      <c r="AI6" s="12">
        <v>44577</v>
      </c>
      <c r="AJ6" s="12">
        <v>2099.9699999999998</v>
      </c>
      <c r="AL6" s="12">
        <v>6169.7400000000007</v>
      </c>
    </row>
    <row r="7" spans="1:39" x14ac:dyDescent="0.3">
      <c r="A7" s="20" t="s">
        <v>47</v>
      </c>
      <c r="B7" s="16">
        <v>45403</v>
      </c>
      <c r="C7" s="15" t="s">
        <v>48</v>
      </c>
      <c r="D7" s="15" t="s">
        <v>49</v>
      </c>
      <c r="E7" s="15" t="s">
        <v>31</v>
      </c>
      <c r="F7" s="15" t="s">
        <v>32</v>
      </c>
      <c r="G7" s="15" t="s">
        <v>33</v>
      </c>
      <c r="H7" s="15">
        <v>2</v>
      </c>
      <c r="I7" s="15">
        <v>59.99</v>
      </c>
      <c r="J7" s="15" t="s">
        <v>20</v>
      </c>
      <c r="K7" s="15" t="s">
        <v>50</v>
      </c>
      <c r="L7" s="15" t="s">
        <v>36</v>
      </c>
      <c r="M7" s="16">
        <v>44746</v>
      </c>
      <c r="N7" s="17">
        <v>119.98</v>
      </c>
      <c r="O7" s="12" t="str">
        <f t="shared" si="1"/>
        <v>Apr</v>
      </c>
      <c r="P7" s="12">
        <f t="shared" si="2"/>
        <v>2024</v>
      </c>
      <c r="Q7" s="12">
        <f t="shared" ca="1" si="3"/>
        <v>1358</v>
      </c>
      <c r="R7" s="12">
        <f t="shared" si="4"/>
        <v>45412</v>
      </c>
      <c r="S7" s="18">
        <f t="shared" ca="1" si="5"/>
        <v>46104.411816550928</v>
      </c>
      <c r="T7" s="12" t="str">
        <f t="shared" si="6"/>
        <v>Low Sale</v>
      </c>
      <c r="U7" s="21">
        <f t="shared" si="0"/>
        <v>8269.7900000000009</v>
      </c>
      <c r="W7" s="12" t="str">
        <v>TRX0230</v>
      </c>
      <c r="X7" s="12">
        <v>45409</v>
      </c>
      <c r="Y7" s="12" t="str">
        <v>CUST027</v>
      </c>
      <c r="Z7" s="12" t="str">
        <v>George Adams</v>
      </c>
      <c r="AA7" s="12" t="str">
        <v>P001</v>
      </c>
      <c r="AB7" s="12" t="str">
        <v>Laptop</v>
      </c>
      <c r="AC7" s="12" t="str">
        <v>Electronics</v>
      </c>
      <c r="AD7" s="12">
        <v>1</v>
      </c>
      <c r="AE7" s="12">
        <v>899.99</v>
      </c>
      <c r="AF7" s="12" t="str">
        <v>Debit Card</v>
      </c>
      <c r="AG7" s="12" t="str">
        <v>North</v>
      </c>
      <c r="AH7" s="12" t="str">
        <v>Standard</v>
      </c>
      <c r="AI7" s="12">
        <v>44920</v>
      </c>
      <c r="AJ7" s="12">
        <v>899.99</v>
      </c>
      <c r="AL7" s="12">
        <v>8269.7900000000009</v>
      </c>
    </row>
    <row r="8" spans="1:39" x14ac:dyDescent="0.3">
      <c r="A8" s="20" t="s">
        <v>51</v>
      </c>
      <c r="B8" s="16">
        <v>45403</v>
      </c>
      <c r="C8" s="15" t="s">
        <v>48</v>
      </c>
      <c r="D8" s="15" t="s">
        <v>49</v>
      </c>
      <c r="E8" s="15" t="s">
        <v>52</v>
      </c>
      <c r="F8" s="15" t="s">
        <v>53</v>
      </c>
      <c r="G8" s="15" t="s">
        <v>19</v>
      </c>
      <c r="H8" s="15">
        <v>5</v>
      </c>
      <c r="I8" s="15">
        <v>149.99</v>
      </c>
      <c r="J8" s="15" t="s">
        <v>26</v>
      </c>
      <c r="K8" s="15" t="s">
        <v>21</v>
      </c>
      <c r="L8" s="15" t="s">
        <v>36</v>
      </c>
      <c r="M8" s="16">
        <v>44418</v>
      </c>
      <c r="N8" s="17">
        <v>749.95</v>
      </c>
      <c r="O8" s="12" t="str">
        <f t="shared" si="1"/>
        <v>Apr</v>
      </c>
      <c r="P8" s="12">
        <f t="shared" si="2"/>
        <v>2024</v>
      </c>
      <c r="Q8" s="12">
        <f t="shared" ca="1" si="3"/>
        <v>1686</v>
      </c>
      <c r="R8" s="12">
        <f t="shared" si="4"/>
        <v>45412</v>
      </c>
      <c r="S8" s="18">
        <f t="shared" ca="1" si="5"/>
        <v>46104.411816550928</v>
      </c>
      <c r="T8" s="12" t="str">
        <f t="shared" si="6"/>
        <v>Low Sale</v>
      </c>
      <c r="U8" s="21">
        <f t="shared" si="0"/>
        <v>8269.7900000000009</v>
      </c>
      <c r="W8" s="12" t="str">
        <v>TRX0134</v>
      </c>
      <c r="X8" s="12">
        <v>45410</v>
      </c>
      <c r="Y8" s="12" t="str">
        <v>CUST010</v>
      </c>
      <c r="Z8" s="12" t="str">
        <v>Maria Garcia</v>
      </c>
      <c r="AA8" s="12" t="str">
        <v>P002</v>
      </c>
      <c r="AB8" s="12" t="str">
        <v>Smartphone</v>
      </c>
      <c r="AC8" s="12" t="str">
        <v>Electronics</v>
      </c>
      <c r="AD8" s="12">
        <v>2</v>
      </c>
      <c r="AE8" s="12">
        <v>699.99</v>
      </c>
      <c r="AF8" s="12" t="str">
        <v>Cash</v>
      </c>
      <c r="AG8" s="12" t="str">
        <v>North</v>
      </c>
      <c r="AH8" s="12" t="str">
        <v>Basic</v>
      </c>
      <c r="AI8" s="12">
        <v>44781</v>
      </c>
      <c r="AJ8" s="12">
        <v>1399.98</v>
      </c>
      <c r="AL8" s="12">
        <v>5089.7300000000005</v>
      </c>
    </row>
    <row r="9" spans="1:39" x14ac:dyDescent="0.3">
      <c r="A9" s="20" t="s">
        <v>54</v>
      </c>
      <c r="B9" s="16">
        <v>45403</v>
      </c>
      <c r="C9" s="15" t="s">
        <v>55</v>
      </c>
      <c r="D9" s="15" t="s">
        <v>56</v>
      </c>
      <c r="E9" s="15" t="s">
        <v>31</v>
      </c>
      <c r="F9" s="15" t="s">
        <v>32</v>
      </c>
      <c r="G9" s="15" t="s">
        <v>33</v>
      </c>
      <c r="H9" s="15">
        <v>3</v>
      </c>
      <c r="I9" s="15">
        <v>59.99</v>
      </c>
      <c r="J9" s="15" t="s">
        <v>57</v>
      </c>
      <c r="K9" s="15" t="s">
        <v>35</v>
      </c>
      <c r="L9" s="15" t="s">
        <v>22</v>
      </c>
      <c r="M9" s="16">
        <v>45007</v>
      </c>
      <c r="N9" s="17">
        <v>179.97</v>
      </c>
      <c r="O9" s="12" t="str">
        <f t="shared" si="1"/>
        <v>Apr</v>
      </c>
      <c r="P9" s="12">
        <f t="shared" si="2"/>
        <v>2024</v>
      </c>
      <c r="Q9" s="12">
        <f t="shared" ca="1" si="3"/>
        <v>1097</v>
      </c>
      <c r="R9" s="12">
        <f t="shared" si="4"/>
        <v>45412</v>
      </c>
      <c r="S9" s="18">
        <f t="shared" ca="1" si="5"/>
        <v>46104.411816550928</v>
      </c>
      <c r="T9" s="12" t="str">
        <f t="shared" si="6"/>
        <v>Low Sale</v>
      </c>
      <c r="U9" s="21">
        <f t="shared" si="0"/>
        <v>5089.7300000000005</v>
      </c>
      <c r="W9" s="12" t="str">
        <v>TRX0122</v>
      </c>
      <c r="X9" s="12">
        <v>45410</v>
      </c>
      <c r="Y9" s="12" t="str">
        <v>CUST025</v>
      </c>
      <c r="Z9" s="12" t="str">
        <v>Mark Carter</v>
      </c>
      <c r="AA9" s="12" t="str">
        <v>P001</v>
      </c>
      <c r="AB9" s="12" t="str">
        <v>Laptop</v>
      </c>
      <c r="AC9" s="12" t="str">
        <v>Electronics</v>
      </c>
      <c r="AD9" s="12">
        <v>4</v>
      </c>
      <c r="AE9" s="12">
        <v>899.99</v>
      </c>
      <c r="AF9" s="12" t="str">
        <v>Credit Card</v>
      </c>
      <c r="AG9" s="12" t="str">
        <v>West</v>
      </c>
      <c r="AH9" s="12" t="str">
        <v>Standard</v>
      </c>
      <c r="AI9" s="12">
        <v>45327</v>
      </c>
      <c r="AJ9" s="12">
        <v>3599.96</v>
      </c>
      <c r="AL9" s="12">
        <v>3509.8999999999996</v>
      </c>
    </row>
    <row r="10" spans="1:39" x14ac:dyDescent="0.3">
      <c r="A10" s="20" t="s">
        <v>58</v>
      </c>
      <c r="B10" s="16">
        <v>45405</v>
      </c>
      <c r="C10" s="15" t="s">
        <v>59</v>
      </c>
      <c r="D10" s="15" t="s">
        <v>60</v>
      </c>
      <c r="E10" s="15" t="s">
        <v>61</v>
      </c>
      <c r="F10" s="15" t="s">
        <v>62</v>
      </c>
      <c r="G10" s="15" t="s">
        <v>19</v>
      </c>
      <c r="H10" s="15">
        <v>3</v>
      </c>
      <c r="I10" s="15">
        <v>899.99</v>
      </c>
      <c r="J10" s="15" t="s">
        <v>34</v>
      </c>
      <c r="K10" s="15" t="s">
        <v>63</v>
      </c>
      <c r="L10" s="15" t="s">
        <v>36</v>
      </c>
      <c r="M10" s="16">
        <v>45299</v>
      </c>
      <c r="N10" s="17">
        <v>2699.97</v>
      </c>
      <c r="O10" s="12" t="str">
        <f t="shared" si="1"/>
        <v>Apr</v>
      </c>
      <c r="P10" s="12">
        <f t="shared" si="2"/>
        <v>2024</v>
      </c>
      <c r="Q10" s="12">
        <f t="shared" ca="1" si="3"/>
        <v>805</v>
      </c>
      <c r="R10" s="12">
        <f t="shared" si="4"/>
        <v>45412</v>
      </c>
      <c r="S10" s="18">
        <f t="shared" ca="1" si="5"/>
        <v>46104.411816550928</v>
      </c>
      <c r="T10" s="12" t="str">
        <f t="shared" si="6"/>
        <v>High Sale</v>
      </c>
      <c r="U10" s="21">
        <f t="shared" si="0"/>
        <v>3509.8999999999996</v>
      </c>
      <c r="W10" s="12" t="str">
        <v>TRX0222</v>
      </c>
      <c r="X10" s="12">
        <v>45410</v>
      </c>
      <c r="Y10" s="12" t="str">
        <v>CUST048</v>
      </c>
      <c r="Z10" s="12" t="str">
        <v>Virginia Sanders</v>
      </c>
      <c r="AA10" s="12" t="str">
        <v>P009</v>
      </c>
      <c r="AB10" s="12" t="str">
        <v>Monitor</v>
      </c>
      <c r="AC10" s="12" t="str">
        <v>Electronics</v>
      </c>
      <c r="AD10" s="12">
        <v>3</v>
      </c>
      <c r="AE10" s="12">
        <v>249.99</v>
      </c>
      <c r="AF10" s="12" t="str">
        <v>Credit Card</v>
      </c>
      <c r="AG10" s="12" t="str">
        <v>North</v>
      </c>
      <c r="AH10" s="12" t="str">
        <v>Premium</v>
      </c>
      <c r="AI10" s="12">
        <v>45224</v>
      </c>
      <c r="AJ10" s="12">
        <v>749.97</v>
      </c>
      <c r="AL10" s="12">
        <v>8009.7699999999995</v>
      </c>
    </row>
    <row r="11" spans="1:39" x14ac:dyDescent="0.3">
      <c r="A11" s="20" t="s">
        <v>64</v>
      </c>
      <c r="B11" s="16">
        <v>45408</v>
      </c>
      <c r="C11" s="15" t="s">
        <v>65</v>
      </c>
      <c r="D11" s="15" t="s">
        <v>66</v>
      </c>
      <c r="E11" s="15" t="s">
        <v>31</v>
      </c>
      <c r="F11" s="15" t="s">
        <v>32</v>
      </c>
      <c r="G11" s="15" t="s">
        <v>33</v>
      </c>
      <c r="H11" s="15">
        <v>3</v>
      </c>
      <c r="I11" s="15">
        <v>59.99</v>
      </c>
      <c r="J11" s="15" t="s">
        <v>20</v>
      </c>
      <c r="K11" s="15" t="s">
        <v>50</v>
      </c>
      <c r="L11" s="15" t="s">
        <v>27</v>
      </c>
      <c r="M11" s="16">
        <v>45207</v>
      </c>
      <c r="N11" s="17">
        <v>179.97</v>
      </c>
      <c r="O11" s="12" t="str">
        <f t="shared" si="1"/>
        <v>Apr</v>
      </c>
      <c r="P11" s="12">
        <f t="shared" si="2"/>
        <v>2024</v>
      </c>
      <c r="Q11" s="12">
        <f t="shared" ca="1" si="3"/>
        <v>897</v>
      </c>
      <c r="R11" s="12">
        <f t="shared" si="4"/>
        <v>45412</v>
      </c>
      <c r="S11" s="18">
        <f t="shared" ca="1" si="5"/>
        <v>46104.411816550928</v>
      </c>
      <c r="T11" s="12" t="str">
        <f t="shared" si="6"/>
        <v>Low Sale</v>
      </c>
      <c r="U11" s="21">
        <f t="shared" si="0"/>
        <v>8009.7699999999995</v>
      </c>
      <c r="W11" s="12" t="str">
        <v>TRX0231</v>
      </c>
      <c r="X11" s="12">
        <v>45412</v>
      </c>
      <c r="Y11" s="12" t="str">
        <v>CUST018</v>
      </c>
      <c r="Z11" s="12" t="str">
        <v>Barbara Young</v>
      </c>
      <c r="AA11" s="12" t="str">
        <v>P002</v>
      </c>
      <c r="AB11" s="12" t="str">
        <v>Smartphone</v>
      </c>
      <c r="AC11" s="12" t="str">
        <v>Electronics</v>
      </c>
      <c r="AD11" s="12">
        <v>5</v>
      </c>
      <c r="AE11" s="12">
        <v>699.99</v>
      </c>
      <c r="AF11" s="12" t="str">
        <v>Cash</v>
      </c>
      <c r="AG11" s="12" t="str">
        <v>West</v>
      </c>
      <c r="AH11" s="12" t="str">
        <v>Basic</v>
      </c>
      <c r="AI11" s="12">
        <v>45167</v>
      </c>
      <c r="AJ11" s="12">
        <v>3499.95</v>
      </c>
      <c r="AL11" s="12">
        <v>1979.89</v>
      </c>
    </row>
    <row r="12" spans="1:39" x14ac:dyDescent="0.3">
      <c r="A12" s="20" t="s">
        <v>67</v>
      </c>
      <c r="B12" s="16">
        <v>45408</v>
      </c>
      <c r="C12" s="15" t="s">
        <v>68</v>
      </c>
      <c r="D12" s="15" t="s">
        <v>69</v>
      </c>
      <c r="E12" s="15" t="s">
        <v>44</v>
      </c>
      <c r="F12" s="15" t="s">
        <v>45</v>
      </c>
      <c r="G12" s="15" t="s">
        <v>46</v>
      </c>
      <c r="H12" s="15">
        <v>1</v>
      </c>
      <c r="I12" s="15">
        <v>149.99</v>
      </c>
      <c r="J12" s="15" t="s">
        <v>26</v>
      </c>
      <c r="K12" s="15" t="s">
        <v>50</v>
      </c>
      <c r="L12" s="15" t="s">
        <v>36</v>
      </c>
      <c r="M12" s="16">
        <v>45103</v>
      </c>
      <c r="N12" s="17">
        <v>149.99</v>
      </c>
      <c r="O12" s="12" t="str">
        <f t="shared" si="1"/>
        <v>Apr</v>
      </c>
      <c r="P12" s="12">
        <f t="shared" si="2"/>
        <v>2024</v>
      </c>
      <c r="Q12" s="12">
        <f t="shared" ca="1" si="3"/>
        <v>1001</v>
      </c>
      <c r="R12" s="12">
        <f t="shared" si="4"/>
        <v>45412</v>
      </c>
      <c r="S12" s="18">
        <f t="shared" ca="1" si="5"/>
        <v>46104.411816550928</v>
      </c>
      <c r="T12" s="12" t="str">
        <f t="shared" si="6"/>
        <v>Low Sale</v>
      </c>
      <c r="U12" s="21">
        <f t="shared" si="0"/>
        <v>1979.89</v>
      </c>
      <c r="W12" s="12" t="str">
        <v>TRX0239</v>
      </c>
      <c r="X12" s="12">
        <v>45413</v>
      </c>
      <c r="Y12" s="12" t="str">
        <v>CUST012</v>
      </c>
      <c r="Z12" s="12" t="str">
        <v>Patricia Moore</v>
      </c>
      <c r="AA12" s="12" t="str">
        <v>P002</v>
      </c>
      <c r="AB12" s="12" t="str">
        <v>Smartphone</v>
      </c>
      <c r="AC12" s="12" t="str">
        <v>Electronics</v>
      </c>
      <c r="AD12" s="12">
        <v>4</v>
      </c>
      <c r="AE12" s="12">
        <v>699.99</v>
      </c>
      <c r="AF12" s="12" t="str">
        <v>Cash</v>
      </c>
      <c r="AG12" s="12" t="str">
        <v>East</v>
      </c>
      <c r="AH12" s="12" t="str">
        <v>Standard</v>
      </c>
      <c r="AI12" s="12">
        <v>44409</v>
      </c>
      <c r="AJ12" s="12">
        <v>2799.96</v>
      </c>
      <c r="AL12" s="12">
        <v>5949.85</v>
      </c>
    </row>
    <row r="13" spans="1:39" x14ac:dyDescent="0.3">
      <c r="A13" s="20" t="s">
        <v>70</v>
      </c>
      <c r="B13" s="16">
        <v>45408</v>
      </c>
      <c r="C13" s="15" t="s">
        <v>38</v>
      </c>
      <c r="D13" s="15" t="s">
        <v>39</v>
      </c>
      <c r="E13" s="15" t="s">
        <v>44</v>
      </c>
      <c r="F13" s="15" t="s">
        <v>45</v>
      </c>
      <c r="G13" s="15" t="s">
        <v>46</v>
      </c>
      <c r="H13" s="15">
        <v>5</v>
      </c>
      <c r="I13" s="15">
        <v>149.99</v>
      </c>
      <c r="J13" s="15" t="s">
        <v>57</v>
      </c>
      <c r="K13" s="15" t="s">
        <v>40</v>
      </c>
      <c r="L13" s="15" t="s">
        <v>22</v>
      </c>
      <c r="M13" s="16">
        <v>44830</v>
      </c>
      <c r="N13" s="17">
        <v>749.95</v>
      </c>
      <c r="O13" s="12" t="str">
        <f t="shared" si="1"/>
        <v>Apr</v>
      </c>
      <c r="P13" s="12">
        <f t="shared" si="2"/>
        <v>2024</v>
      </c>
      <c r="Q13" s="12">
        <f t="shared" ca="1" si="3"/>
        <v>1274</v>
      </c>
      <c r="R13" s="12">
        <f t="shared" si="4"/>
        <v>45412</v>
      </c>
      <c r="S13" s="18">
        <f t="shared" ca="1" si="5"/>
        <v>46104.411816550928</v>
      </c>
      <c r="T13" s="12" t="str">
        <f t="shared" si="6"/>
        <v>Low Sale</v>
      </c>
      <c r="U13" s="21">
        <f t="shared" si="0"/>
        <v>4309.8099999999995</v>
      </c>
      <c r="W13" s="12" t="str">
        <v>TRX0204</v>
      </c>
      <c r="X13" s="12">
        <v>45415</v>
      </c>
      <c r="Y13" s="12" t="str">
        <v>CUST044</v>
      </c>
      <c r="Z13" s="12" t="str">
        <v>Cynthia Price</v>
      </c>
      <c r="AA13" s="12" t="str">
        <v>P009</v>
      </c>
      <c r="AB13" s="12" t="str">
        <v>Monitor</v>
      </c>
      <c r="AC13" s="12" t="str">
        <v>Electronics</v>
      </c>
      <c r="AD13" s="12">
        <v>4</v>
      </c>
      <c r="AE13" s="12">
        <v>249.99</v>
      </c>
      <c r="AF13" s="12" t="str">
        <v>PayPal</v>
      </c>
      <c r="AG13" s="12" t="str">
        <v>North</v>
      </c>
      <c r="AH13" s="12" t="str">
        <v>Standard</v>
      </c>
      <c r="AI13" s="12">
        <v>44468</v>
      </c>
      <c r="AJ13" s="12">
        <v>999.96</v>
      </c>
      <c r="AL13" s="12">
        <v>479.91999999999996</v>
      </c>
    </row>
    <row r="14" spans="1:39" ht="22.8" customHeight="1" x14ac:dyDescent="0.3">
      <c r="A14" s="20" t="s">
        <v>71</v>
      </c>
      <c r="B14" s="16">
        <v>45408</v>
      </c>
      <c r="C14" s="15" t="s">
        <v>72</v>
      </c>
      <c r="D14" s="15" t="s">
        <v>73</v>
      </c>
      <c r="E14" s="15" t="s">
        <v>44</v>
      </c>
      <c r="F14" s="15" t="s">
        <v>45</v>
      </c>
      <c r="G14" s="15" t="s">
        <v>46</v>
      </c>
      <c r="H14" s="15">
        <v>3</v>
      </c>
      <c r="I14" s="15">
        <v>149.99</v>
      </c>
      <c r="J14" s="15" t="s">
        <v>20</v>
      </c>
      <c r="K14" s="15" t="s">
        <v>40</v>
      </c>
      <c r="L14" s="15" t="s">
        <v>27</v>
      </c>
      <c r="M14" s="16">
        <v>44806</v>
      </c>
      <c r="N14" s="17">
        <v>449.97</v>
      </c>
      <c r="O14" s="12" t="str">
        <f t="shared" si="1"/>
        <v>Apr</v>
      </c>
      <c r="P14" s="12">
        <f t="shared" si="2"/>
        <v>2024</v>
      </c>
      <c r="Q14" s="12">
        <f t="shared" ca="1" si="3"/>
        <v>1298</v>
      </c>
      <c r="R14" s="12">
        <f t="shared" si="4"/>
        <v>45412</v>
      </c>
      <c r="S14" s="18">
        <f t="shared" ca="1" si="5"/>
        <v>46104.411816550928</v>
      </c>
      <c r="T14" s="12" t="str">
        <f t="shared" si="6"/>
        <v>Low Sale</v>
      </c>
      <c r="U14" s="21">
        <f t="shared" si="0"/>
        <v>5949.85</v>
      </c>
      <c r="W14" s="12" t="str">
        <v>TRX0071</v>
      </c>
      <c r="X14" s="12">
        <v>45422</v>
      </c>
      <c r="Y14" s="12" t="str">
        <v>CUST036</v>
      </c>
      <c r="Z14" s="12" t="str">
        <v>Nancy Collins</v>
      </c>
      <c r="AA14" s="12" t="str">
        <v>P009</v>
      </c>
      <c r="AB14" s="12" t="str">
        <v>Monitor</v>
      </c>
      <c r="AC14" s="12" t="str">
        <v>Electronics</v>
      </c>
      <c r="AD14" s="12">
        <v>5</v>
      </c>
      <c r="AE14" s="12">
        <v>249.99</v>
      </c>
      <c r="AF14" s="12" t="str">
        <v>Credit Card</v>
      </c>
      <c r="AG14" s="12" t="str">
        <v>West</v>
      </c>
      <c r="AH14" s="12" t="str">
        <v>Standard</v>
      </c>
      <c r="AI14" s="12">
        <v>44525</v>
      </c>
      <c r="AJ14" s="12">
        <v>1249.95</v>
      </c>
      <c r="AL14" s="12">
        <v>4199.9399999999996</v>
      </c>
    </row>
    <row r="15" spans="1:39" ht="27.6" customHeight="1" x14ac:dyDescent="0.3">
      <c r="A15" s="20" t="s">
        <v>74</v>
      </c>
      <c r="B15" s="16">
        <v>45409</v>
      </c>
      <c r="C15" s="15" t="s">
        <v>75</v>
      </c>
      <c r="D15" s="15" t="s">
        <v>76</v>
      </c>
      <c r="E15" s="15" t="s">
        <v>31</v>
      </c>
      <c r="F15" s="15" t="s">
        <v>32</v>
      </c>
      <c r="G15" s="15" t="s">
        <v>33</v>
      </c>
      <c r="H15" s="15">
        <v>3</v>
      </c>
      <c r="I15" s="15">
        <v>59.99</v>
      </c>
      <c r="J15" s="15" t="s">
        <v>26</v>
      </c>
      <c r="K15" s="15" t="s">
        <v>40</v>
      </c>
      <c r="L15" s="15" t="s">
        <v>36</v>
      </c>
      <c r="M15" s="16">
        <v>45351</v>
      </c>
      <c r="N15" s="17">
        <v>179.97</v>
      </c>
      <c r="O15" s="12" t="str">
        <f t="shared" si="1"/>
        <v>Apr</v>
      </c>
      <c r="P15" s="12">
        <f t="shared" si="2"/>
        <v>2024</v>
      </c>
      <c r="Q15" s="12">
        <f t="shared" ca="1" si="3"/>
        <v>753</v>
      </c>
      <c r="R15" s="12">
        <f t="shared" si="4"/>
        <v>45412</v>
      </c>
      <c r="S15" s="18">
        <f t="shared" ca="1" si="5"/>
        <v>46104.411816550928</v>
      </c>
      <c r="T15" s="12" t="str">
        <f t="shared" si="6"/>
        <v>Low Sale</v>
      </c>
      <c r="U15" s="21">
        <f t="shared" si="0"/>
        <v>479.91999999999996</v>
      </c>
      <c r="W15" s="12" t="str">
        <v>TRX0004</v>
      </c>
      <c r="X15" s="12">
        <v>45424</v>
      </c>
      <c r="Y15" s="12" t="str">
        <v>CUST012</v>
      </c>
      <c r="Z15" s="12" t="str">
        <v>Patricia Moore</v>
      </c>
      <c r="AA15" s="12" t="str">
        <v>P010</v>
      </c>
      <c r="AB15" s="12" t="str">
        <v>Keyboard</v>
      </c>
      <c r="AC15" s="12" t="str">
        <v>Electronics</v>
      </c>
      <c r="AD15" s="12">
        <v>5</v>
      </c>
      <c r="AE15" s="12">
        <v>89.99</v>
      </c>
      <c r="AF15" s="12" t="str">
        <v>Cash</v>
      </c>
      <c r="AG15" s="12" t="str">
        <v>North</v>
      </c>
      <c r="AH15" s="12" t="str">
        <v>Premium</v>
      </c>
      <c r="AI15" s="12">
        <v>44919</v>
      </c>
      <c r="AJ15" s="12">
        <v>449.95</v>
      </c>
      <c r="AL15" s="12">
        <v>3779.93</v>
      </c>
    </row>
    <row r="16" spans="1:39" ht="25.2" customHeight="1" x14ac:dyDescent="0.3">
      <c r="A16" s="20" t="s">
        <v>77</v>
      </c>
      <c r="B16" s="16">
        <v>45409</v>
      </c>
      <c r="C16" s="15" t="s">
        <v>78</v>
      </c>
      <c r="D16" s="15" t="s">
        <v>79</v>
      </c>
      <c r="E16" s="15" t="s">
        <v>80</v>
      </c>
      <c r="F16" s="15" t="s">
        <v>81</v>
      </c>
      <c r="G16" s="15" t="s">
        <v>19</v>
      </c>
      <c r="H16" s="15">
        <v>3</v>
      </c>
      <c r="I16" s="15">
        <v>699.99</v>
      </c>
      <c r="J16" s="15" t="s">
        <v>26</v>
      </c>
      <c r="K16" s="15" t="s">
        <v>50</v>
      </c>
      <c r="L16" s="15" t="s">
        <v>22</v>
      </c>
      <c r="M16" s="16">
        <v>44577</v>
      </c>
      <c r="N16" s="17">
        <v>2099.9699999999998</v>
      </c>
      <c r="O16" s="12" t="str">
        <f t="shared" si="1"/>
        <v>Apr</v>
      </c>
      <c r="P16" s="12">
        <f t="shared" si="2"/>
        <v>2024</v>
      </c>
      <c r="Q16" s="12">
        <f t="shared" ca="1" si="3"/>
        <v>1527</v>
      </c>
      <c r="R16" s="12">
        <f t="shared" si="4"/>
        <v>45412</v>
      </c>
      <c r="S16" s="18">
        <f t="shared" ca="1" si="5"/>
        <v>46104.411816550928</v>
      </c>
      <c r="T16" s="12" t="str">
        <f t="shared" si="6"/>
        <v>High Sale</v>
      </c>
      <c r="U16" s="21">
        <f t="shared" si="0"/>
        <v>4199.9399999999996</v>
      </c>
      <c r="W16" s="12" t="str">
        <v>TRX0041</v>
      </c>
      <c r="X16" s="12">
        <v>45432</v>
      </c>
      <c r="Y16" s="12" t="str">
        <v>CUST021</v>
      </c>
      <c r="Z16" s="12" t="str">
        <v>Kevin Scott</v>
      </c>
      <c r="AA16" s="12" t="str">
        <v>P001</v>
      </c>
      <c r="AB16" s="12" t="str">
        <v>Laptop</v>
      </c>
      <c r="AC16" s="12" t="str">
        <v>Electronics</v>
      </c>
      <c r="AD16" s="12">
        <v>1</v>
      </c>
      <c r="AE16" s="12">
        <v>899.99</v>
      </c>
      <c r="AF16" s="12" t="str">
        <v>Credit Card</v>
      </c>
      <c r="AG16" s="12" t="str">
        <v>West</v>
      </c>
      <c r="AH16" s="12" t="str">
        <v>Premium</v>
      </c>
      <c r="AI16" s="12">
        <v>44578</v>
      </c>
      <c r="AJ16" s="12">
        <v>899.99</v>
      </c>
      <c r="AL16" s="12">
        <v>15659.65</v>
      </c>
    </row>
    <row r="17" spans="1:38" ht="24.6" customHeight="1" x14ac:dyDescent="0.3">
      <c r="A17" s="20" t="s">
        <v>82</v>
      </c>
      <c r="B17" s="16">
        <v>45409</v>
      </c>
      <c r="C17" s="15" t="s">
        <v>83</v>
      </c>
      <c r="D17" s="15" t="s">
        <v>84</v>
      </c>
      <c r="E17" s="15" t="s">
        <v>61</v>
      </c>
      <c r="F17" s="15" t="s">
        <v>62</v>
      </c>
      <c r="G17" s="15" t="s">
        <v>19</v>
      </c>
      <c r="H17" s="15">
        <v>1</v>
      </c>
      <c r="I17" s="15">
        <v>899.99</v>
      </c>
      <c r="J17" s="15" t="s">
        <v>57</v>
      </c>
      <c r="K17" s="15" t="s">
        <v>40</v>
      </c>
      <c r="L17" s="15" t="s">
        <v>36</v>
      </c>
      <c r="M17" s="16">
        <v>44920</v>
      </c>
      <c r="N17" s="17">
        <v>899.99</v>
      </c>
      <c r="O17" s="12" t="str">
        <f t="shared" si="1"/>
        <v>Apr</v>
      </c>
      <c r="P17" s="12">
        <f t="shared" si="2"/>
        <v>2024</v>
      </c>
      <c r="Q17" s="12">
        <f t="shared" ca="1" si="3"/>
        <v>1184</v>
      </c>
      <c r="R17" s="12">
        <f t="shared" si="4"/>
        <v>45412</v>
      </c>
      <c r="S17" s="18">
        <f t="shared" ca="1" si="5"/>
        <v>46104.411816550928</v>
      </c>
      <c r="T17" s="12" t="str">
        <f t="shared" si="6"/>
        <v>Low Sale</v>
      </c>
      <c r="U17" s="21">
        <f t="shared" si="0"/>
        <v>3779.93</v>
      </c>
      <c r="W17" s="12" t="str">
        <v>TRX0015</v>
      </c>
      <c r="X17" s="12">
        <v>45440</v>
      </c>
      <c r="Y17" s="12" t="str">
        <v>CUST008</v>
      </c>
      <c r="Z17" s="12" t="str">
        <v>Jennifer Taylor</v>
      </c>
      <c r="AA17" s="12" t="str">
        <v>P002</v>
      </c>
      <c r="AB17" s="12" t="str">
        <v>Smartphone</v>
      </c>
      <c r="AC17" s="12" t="str">
        <v>Electronics</v>
      </c>
      <c r="AD17" s="12">
        <v>5</v>
      </c>
      <c r="AE17" s="12">
        <v>699.99</v>
      </c>
      <c r="AF17" s="12" t="str">
        <v>PayPal</v>
      </c>
      <c r="AG17" s="12" t="str">
        <v>West</v>
      </c>
      <c r="AH17" s="12" t="str">
        <v>Standard</v>
      </c>
      <c r="AI17" s="12">
        <v>44407</v>
      </c>
      <c r="AJ17" s="12">
        <v>3499.95</v>
      </c>
      <c r="AL17" s="12">
        <v>1909.93</v>
      </c>
    </row>
    <row r="18" spans="1:38" ht="23.4" customHeight="1" x14ac:dyDescent="0.3">
      <c r="A18" s="20" t="s">
        <v>85</v>
      </c>
      <c r="B18" s="16">
        <v>45410</v>
      </c>
      <c r="C18" s="15" t="s">
        <v>86</v>
      </c>
      <c r="D18" s="15" t="s">
        <v>87</v>
      </c>
      <c r="E18" s="15" t="s">
        <v>44</v>
      </c>
      <c r="F18" s="15" t="s">
        <v>45</v>
      </c>
      <c r="G18" s="15" t="s">
        <v>46</v>
      </c>
      <c r="H18" s="15">
        <v>4</v>
      </c>
      <c r="I18" s="15">
        <v>149.99</v>
      </c>
      <c r="J18" s="15" t="s">
        <v>57</v>
      </c>
      <c r="K18" s="15" t="s">
        <v>40</v>
      </c>
      <c r="L18" s="15" t="s">
        <v>27</v>
      </c>
      <c r="M18" s="16">
        <v>45374</v>
      </c>
      <c r="N18" s="17">
        <v>599.96</v>
      </c>
      <c r="O18" s="12" t="str">
        <f t="shared" si="1"/>
        <v>Apr</v>
      </c>
      <c r="P18" s="12">
        <f t="shared" si="2"/>
        <v>2024</v>
      </c>
      <c r="Q18" s="12">
        <f t="shared" ca="1" si="3"/>
        <v>730</v>
      </c>
      <c r="R18" s="12">
        <f t="shared" si="4"/>
        <v>45412</v>
      </c>
      <c r="S18" s="18">
        <f t="shared" ca="1" si="5"/>
        <v>46104.411816550928</v>
      </c>
      <c r="T18" s="12" t="str">
        <f t="shared" si="6"/>
        <v>Low Sale</v>
      </c>
      <c r="U18" s="21">
        <f t="shared" si="0"/>
        <v>15659.65</v>
      </c>
      <c r="W18" s="12" t="str">
        <v>TRX0202</v>
      </c>
      <c r="X18" s="12">
        <v>45441</v>
      </c>
      <c r="Y18" s="12" t="str">
        <v>CUST035</v>
      </c>
      <c r="Z18" s="12" t="str">
        <v>Harry Morgan</v>
      </c>
      <c r="AA18" s="12" t="str">
        <v>P010</v>
      </c>
      <c r="AB18" s="12" t="str">
        <v>Keyboard</v>
      </c>
      <c r="AC18" s="12" t="str">
        <v>Electronics</v>
      </c>
      <c r="AD18" s="12">
        <v>3</v>
      </c>
      <c r="AE18" s="12">
        <v>89.99</v>
      </c>
      <c r="AF18" s="12" t="str">
        <v>PayPal</v>
      </c>
      <c r="AG18" s="12" t="str">
        <v>Central</v>
      </c>
      <c r="AH18" s="12" t="str">
        <v>Premium</v>
      </c>
      <c r="AI18" s="12">
        <v>45120</v>
      </c>
      <c r="AJ18" s="12">
        <v>269.97000000000003</v>
      </c>
      <c r="AL18" s="12">
        <v>4789.7900000000009</v>
      </c>
    </row>
    <row r="19" spans="1:38" ht="22.8" customHeight="1" x14ac:dyDescent="0.3">
      <c r="A19" s="20" t="s">
        <v>88</v>
      </c>
      <c r="B19" s="16">
        <v>45410</v>
      </c>
      <c r="C19" s="15" t="s">
        <v>89</v>
      </c>
      <c r="D19" s="15" t="s">
        <v>90</v>
      </c>
      <c r="E19" s="15" t="s">
        <v>80</v>
      </c>
      <c r="F19" s="15" t="s">
        <v>81</v>
      </c>
      <c r="G19" s="15" t="s">
        <v>19</v>
      </c>
      <c r="H19" s="15">
        <v>2</v>
      </c>
      <c r="I19" s="15">
        <v>699.99</v>
      </c>
      <c r="J19" s="15" t="s">
        <v>20</v>
      </c>
      <c r="K19" s="15" t="s">
        <v>40</v>
      </c>
      <c r="L19" s="15" t="s">
        <v>22</v>
      </c>
      <c r="M19" s="16">
        <v>44781</v>
      </c>
      <c r="N19" s="17">
        <v>1399.98</v>
      </c>
      <c r="O19" s="12" t="str">
        <f t="shared" si="1"/>
        <v>Apr</v>
      </c>
      <c r="P19" s="12">
        <f t="shared" si="2"/>
        <v>2024</v>
      </c>
      <c r="Q19" s="12">
        <f t="shared" ca="1" si="3"/>
        <v>1323</v>
      </c>
      <c r="R19" s="12">
        <f t="shared" si="4"/>
        <v>45412</v>
      </c>
      <c r="S19" s="18">
        <f t="shared" ca="1" si="5"/>
        <v>46104.411816550928</v>
      </c>
      <c r="T19" s="12" t="str">
        <f t="shared" si="6"/>
        <v>High Sale</v>
      </c>
      <c r="U19" s="21">
        <f t="shared" si="0"/>
        <v>1909.93</v>
      </c>
      <c r="W19" s="12" t="str">
        <v>TRX0117</v>
      </c>
      <c r="X19" s="12">
        <v>45444</v>
      </c>
      <c r="Y19" s="12" t="str">
        <v>CUST017</v>
      </c>
      <c r="Z19" s="12" t="str">
        <v>Charles Allen</v>
      </c>
      <c r="AA19" s="12" t="str">
        <v>P010</v>
      </c>
      <c r="AB19" s="12" t="str">
        <v>Keyboard</v>
      </c>
      <c r="AC19" s="12" t="str">
        <v>Electronics</v>
      </c>
      <c r="AD19" s="12">
        <v>1</v>
      </c>
      <c r="AE19" s="12">
        <v>89.99</v>
      </c>
      <c r="AF19" s="12" t="str">
        <v>Cash</v>
      </c>
      <c r="AG19" s="12" t="str">
        <v>North</v>
      </c>
      <c r="AH19" s="12" t="str">
        <v>Basic</v>
      </c>
      <c r="AI19" s="12">
        <v>45141</v>
      </c>
      <c r="AJ19" s="12">
        <v>89.99</v>
      </c>
      <c r="AL19" s="12">
        <v>10649.8</v>
      </c>
    </row>
    <row r="20" spans="1:38" ht="23.4" customHeight="1" x14ac:dyDescent="0.3">
      <c r="A20" s="20" t="s">
        <v>91</v>
      </c>
      <c r="B20" s="16">
        <v>45410</v>
      </c>
      <c r="C20" s="15" t="s">
        <v>86</v>
      </c>
      <c r="D20" s="15" t="s">
        <v>87</v>
      </c>
      <c r="E20" s="15" t="s">
        <v>61</v>
      </c>
      <c r="F20" s="15" t="s">
        <v>62</v>
      </c>
      <c r="G20" s="15" t="s">
        <v>19</v>
      </c>
      <c r="H20" s="15">
        <v>4</v>
      </c>
      <c r="I20" s="15">
        <v>899.99</v>
      </c>
      <c r="J20" s="15" t="s">
        <v>26</v>
      </c>
      <c r="K20" s="15" t="s">
        <v>50</v>
      </c>
      <c r="L20" s="15" t="s">
        <v>36</v>
      </c>
      <c r="M20" s="16">
        <v>45327</v>
      </c>
      <c r="N20" s="17">
        <v>3599.96</v>
      </c>
      <c r="O20" s="12" t="str">
        <f t="shared" si="1"/>
        <v>Apr</v>
      </c>
      <c r="P20" s="12">
        <f t="shared" si="2"/>
        <v>2024</v>
      </c>
      <c r="Q20" s="12">
        <f t="shared" ca="1" si="3"/>
        <v>777</v>
      </c>
      <c r="R20" s="12">
        <f t="shared" si="4"/>
        <v>45412</v>
      </c>
      <c r="S20" s="18">
        <f t="shared" ca="1" si="5"/>
        <v>46104.411816550928</v>
      </c>
      <c r="T20" s="12" t="str">
        <f t="shared" si="6"/>
        <v>High Sale</v>
      </c>
      <c r="U20" s="21">
        <f t="shared" si="0"/>
        <v>15659.65</v>
      </c>
      <c r="W20" s="12" t="str">
        <v>TRX0208</v>
      </c>
      <c r="X20" s="12">
        <v>45446</v>
      </c>
      <c r="Y20" s="12" t="str">
        <v>CUST004</v>
      </c>
      <c r="Z20" s="12" t="str">
        <v>Sarah Davis</v>
      </c>
      <c r="AA20" s="12" t="str">
        <v>P010</v>
      </c>
      <c r="AB20" s="12" t="str">
        <v>Keyboard</v>
      </c>
      <c r="AC20" s="12" t="str">
        <v>Electronics</v>
      </c>
      <c r="AD20" s="12">
        <v>5</v>
      </c>
      <c r="AE20" s="12">
        <v>89.99</v>
      </c>
      <c r="AF20" s="12" t="str">
        <v>Credit Card</v>
      </c>
      <c r="AG20" s="12" t="str">
        <v>East</v>
      </c>
      <c r="AH20" s="12" t="str">
        <v>Standard</v>
      </c>
      <c r="AI20" s="12">
        <v>44587</v>
      </c>
      <c r="AJ20" s="12">
        <v>449.95</v>
      </c>
      <c r="AL20" s="12">
        <v>9799.73</v>
      </c>
    </row>
    <row r="21" spans="1:38" ht="23.4" customHeight="1" x14ac:dyDescent="0.3">
      <c r="A21" s="20" t="s">
        <v>92</v>
      </c>
      <c r="B21" s="16">
        <v>45410</v>
      </c>
      <c r="C21" s="15" t="s">
        <v>93</v>
      </c>
      <c r="D21" s="15" t="s">
        <v>94</v>
      </c>
      <c r="E21" s="15" t="s">
        <v>17</v>
      </c>
      <c r="F21" s="15" t="s">
        <v>18</v>
      </c>
      <c r="G21" s="15" t="s">
        <v>19</v>
      </c>
      <c r="H21" s="15">
        <v>3</v>
      </c>
      <c r="I21" s="15">
        <v>249.99</v>
      </c>
      <c r="J21" s="15" t="s">
        <v>26</v>
      </c>
      <c r="K21" s="15" t="s">
        <v>40</v>
      </c>
      <c r="L21" s="15" t="s">
        <v>27</v>
      </c>
      <c r="M21" s="16">
        <v>45224</v>
      </c>
      <c r="N21" s="17">
        <v>749.97</v>
      </c>
      <c r="O21" s="12" t="str">
        <f t="shared" si="1"/>
        <v>Apr</v>
      </c>
      <c r="P21" s="12">
        <f t="shared" si="2"/>
        <v>2024</v>
      </c>
      <c r="Q21" s="12">
        <f t="shared" ca="1" si="3"/>
        <v>880</v>
      </c>
      <c r="R21" s="12">
        <f t="shared" si="4"/>
        <v>45412</v>
      </c>
      <c r="S21" s="18">
        <f t="shared" ca="1" si="5"/>
        <v>46104.411816550928</v>
      </c>
      <c r="T21" s="12" t="str">
        <f t="shared" si="6"/>
        <v>Low Sale</v>
      </c>
      <c r="U21" s="21">
        <f t="shared" si="0"/>
        <v>4789.7900000000009</v>
      </c>
      <c r="W21" s="12" t="str">
        <v>TRX0234</v>
      </c>
      <c r="X21" s="12">
        <v>45449</v>
      </c>
      <c r="Y21" s="12" t="str">
        <v>CUST013</v>
      </c>
      <c r="Z21" s="12" t="str">
        <v>Joseph Jackson</v>
      </c>
      <c r="AA21" s="12" t="str">
        <v>P009</v>
      </c>
      <c r="AB21" s="12" t="str">
        <v>Monitor</v>
      </c>
      <c r="AC21" s="12" t="str">
        <v>Electronics</v>
      </c>
      <c r="AD21" s="12">
        <v>5</v>
      </c>
      <c r="AE21" s="12">
        <v>249.99</v>
      </c>
      <c r="AF21" s="12" t="str">
        <v>Credit Card</v>
      </c>
      <c r="AG21" s="12" t="str">
        <v>East</v>
      </c>
      <c r="AH21" s="12" t="str">
        <v>Standard</v>
      </c>
      <c r="AI21" s="12">
        <v>44707</v>
      </c>
      <c r="AJ21" s="12">
        <v>1249.95</v>
      </c>
      <c r="AL21" s="12">
        <v>3769.8300000000004</v>
      </c>
    </row>
    <row r="22" spans="1:38" ht="27" customHeight="1" x14ac:dyDescent="0.3">
      <c r="A22" s="20" t="s">
        <v>95</v>
      </c>
      <c r="B22" s="16">
        <v>45412</v>
      </c>
      <c r="C22" s="15" t="s">
        <v>96</v>
      </c>
      <c r="D22" s="15" t="s">
        <v>97</v>
      </c>
      <c r="E22" s="15" t="s">
        <v>80</v>
      </c>
      <c r="F22" s="15" t="s">
        <v>81</v>
      </c>
      <c r="G22" s="15" t="s">
        <v>19</v>
      </c>
      <c r="H22" s="15">
        <v>5</v>
      </c>
      <c r="I22" s="15">
        <v>699.99</v>
      </c>
      <c r="J22" s="15" t="s">
        <v>20</v>
      </c>
      <c r="K22" s="15" t="s">
        <v>50</v>
      </c>
      <c r="L22" s="15" t="s">
        <v>22</v>
      </c>
      <c r="M22" s="16">
        <v>45167</v>
      </c>
      <c r="N22" s="17">
        <v>3499.95</v>
      </c>
      <c r="O22" s="12" t="str">
        <f t="shared" si="1"/>
        <v>Apr</v>
      </c>
      <c r="P22" s="12">
        <f t="shared" si="2"/>
        <v>2024</v>
      </c>
      <c r="Q22" s="12">
        <f t="shared" ca="1" si="3"/>
        <v>937</v>
      </c>
      <c r="R22" s="12">
        <f t="shared" si="4"/>
        <v>45412</v>
      </c>
      <c r="S22" s="18">
        <f t="shared" ca="1" si="5"/>
        <v>46104.411816550928</v>
      </c>
      <c r="T22" s="12" t="str">
        <f t="shared" si="6"/>
        <v>High Sale</v>
      </c>
      <c r="U22" s="21">
        <f t="shared" si="0"/>
        <v>10649.8</v>
      </c>
      <c r="W22" s="12" t="str">
        <v>TRX0121</v>
      </c>
      <c r="X22" s="12">
        <v>45449</v>
      </c>
      <c r="Y22" s="12" t="str">
        <v>CUST028</v>
      </c>
      <c r="Z22" s="12" t="str">
        <v>Betty Campbell</v>
      </c>
      <c r="AA22" s="12" t="str">
        <v>P010</v>
      </c>
      <c r="AB22" s="12" t="str">
        <v>Keyboard</v>
      </c>
      <c r="AC22" s="12" t="str">
        <v>Electronics</v>
      </c>
      <c r="AD22" s="12">
        <v>1</v>
      </c>
      <c r="AE22" s="12">
        <v>89.99</v>
      </c>
      <c r="AF22" s="12" t="str">
        <v>Credit Card</v>
      </c>
      <c r="AG22" s="12" t="str">
        <v>South</v>
      </c>
      <c r="AH22" s="12" t="str">
        <v>Standard</v>
      </c>
      <c r="AI22" s="12">
        <v>44582</v>
      </c>
      <c r="AJ22" s="12">
        <v>89.99</v>
      </c>
      <c r="AL22" s="12">
        <v>4189.7700000000004</v>
      </c>
    </row>
    <row r="23" spans="1:38" ht="19.2" customHeight="1" x14ac:dyDescent="0.3">
      <c r="A23" s="20" t="s">
        <v>98</v>
      </c>
      <c r="B23" s="16">
        <v>45413</v>
      </c>
      <c r="C23" s="15" t="s">
        <v>99</v>
      </c>
      <c r="D23" s="15" t="s">
        <v>100</v>
      </c>
      <c r="E23" s="15" t="s">
        <v>80</v>
      </c>
      <c r="F23" s="15" t="s">
        <v>81</v>
      </c>
      <c r="G23" s="15" t="s">
        <v>19</v>
      </c>
      <c r="H23" s="15">
        <v>4</v>
      </c>
      <c r="I23" s="15">
        <v>699.99</v>
      </c>
      <c r="J23" s="15" t="s">
        <v>20</v>
      </c>
      <c r="K23" s="15" t="s">
        <v>63</v>
      </c>
      <c r="L23" s="15" t="s">
        <v>36</v>
      </c>
      <c r="M23" s="16">
        <v>44409</v>
      </c>
      <c r="N23" s="17">
        <v>2799.96</v>
      </c>
      <c r="O23" s="12" t="str">
        <f t="shared" si="1"/>
        <v>May</v>
      </c>
      <c r="P23" s="12">
        <f t="shared" si="2"/>
        <v>2024</v>
      </c>
      <c r="Q23" s="12">
        <f t="shared" ca="1" si="3"/>
        <v>1695</v>
      </c>
      <c r="R23" s="12">
        <f t="shared" si="4"/>
        <v>45443</v>
      </c>
      <c r="S23" s="18">
        <f t="shared" ca="1" si="5"/>
        <v>46104.411816550928</v>
      </c>
      <c r="T23" s="12" t="str">
        <f t="shared" si="6"/>
        <v>High Sale</v>
      </c>
      <c r="U23" s="21">
        <f t="shared" si="0"/>
        <v>9799.73</v>
      </c>
      <c r="W23" s="12" t="str">
        <v>TRX0088</v>
      </c>
      <c r="X23" s="12">
        <v>45456</v>
      </c>
      <c r="Y23" s="12" t="str">
        <v>CUST006</v>
      </c>
      <c r="Z23" s="12" t="str">
        <v>Lisa Anderson</v>
      </c>
      <c r="AA23" s="12" t="str">
        <v>P010</v>
      </c>
      <c r="AB23" s="12" t="str">
        <v>Keyboard</v>
      </c>
      <c r="AC23" s="12" t="str">
        <v>Electronics</v>
      </c>
      <c r="AD23" s="12">
        <v>5</v>
      </c>
      <c r="AE23" s="12">
        <v>89.99</v>
      </c>
      <c r="AF23" s="12" t="str">
        <v>Cash</v>
      </c>
      <c r="AG23" s="12" t="str">
        <v>Central</v>
      </c>
      <c r="AH23" s="12" t="str">
        <v>Premium</v>
      </c>
      <c r="AI23" s="12">
        <v>44579</v>
      </c>
      <c r="AJ23" s="12">
        <v>449.95</v>
      </c>
      <c r="AL23" s="12">
        <v>1289.9000000000001</v>
      </c>
    </row>
    <row r="24" spans="1:38" ht="24" customHeight="1" x14ac:dyDescent="0.3">
      <c r="A24" s="20" t="s">
        <v>101</v>
      </c>
      <c r="B24" s="16">
        <v>45415</v>
      </c>
      <c r="C24" s="15" t="s">
        <v>102</v>
      </c>
      <c r="D24" s="15" t="s">
        <v>103</v>
      </c>
      <c r="E24" s="15" t="s">
        <v>17</v>
      </c>
      <c r="F24" s="15" t="s">
        <v>18</v>
      </c>
      <c r="G24" s="15" t="s">
        <v>19</v>
      </c>
      <c r="H24" s="15">
        <v>4</v>
      </c>
      <c r="I24" s="15">
        <v>249.99</v>
      </c>
      <c r="J24" s="15" t="s">
        <v>34</v>
      </c>
      <c r="K24" s="15" t="s">
        <v>40</v>
      </c>
      <c r="L24" s="15" t="s">
        <v>36</v>
      </c>
      <c r="M24" s="16">
        <v>44468</v>
      </c>
      <c r="N24" s="17">
        <v>999.96</v>
      </c>
      <c r="O24" s="12" t="str">
        <f t="shared" si="1"/>
        <v>May</v>
      </c>
      <c r="P24" s="12">
        <f t="shared" si="2"/>
        <v>2024</v>
      </c>
      <c r="Q24" s="12">
        <f t="shared" ca="1" si="3"/>
        <v>1636</v>
      </c>
      <c r="R24" s="12">
        <f t="shared" si="4"/>
        <v>45443</v>
      </c>
      <c r="S24" s="18">
        <f t="shared" ca="1" si="5"/>
        <v>46104.411816550928</v>
      </c>
      <c r="T24" s="12" t="str">
        <f t="shared" si="6"/>
        <v>Low Sale</v>
      </c>
      <c r="U24" s="21">
        <f t="shared" si="0"/>
        <v>3769.8300000000004</v>
      </c>
      <c r="W24" s="12" t="str">
        <v>TRX0115</v>
      </c>
      <c r="X24" s="12">
        <v>45459</v>
      </c>
      <c r="Y24" s="12" t="str">
        <v>CUST012</v>
      </c>
      <c r="Z24" s="12" t="str">
        <v>Patricia Moore</v>
      </c>
      <c r="AA24" s="12" t="str">
        <v>P010</v>
      </c>
      <c r="AB24" s="12" t="str">
        <v>Keyboard</v>
      </c>
      <c r="AC24" s="12" t="str">
        <v>Electronics</v>
      </c>
      <c r="AD24" s="12">
        <v>2</v>
      </c>
      <c r="AE24" s="12">
        <v>89.99</v>
      </c>
      <c r="AF24" s="12" t="str">
        <v>Credit Card</v>
      </c>
      <c r="AG24" s="12" t="str">
        <v>South</v>
      </c>
      <c r="AH24" s="12" t="str">
        <v>Premium</v>
      </c>
      <c r="AI24" s="12">
        <v>44471</v>
      </c>
      <c r="AJ24" s="12">
        <v>179.98</v>
      </c>
      <c r="AL24" s="12">
        <v>6459.79</v>
      </c>
    </row>
    <row r="25" spans="1:38" ht="22.2" customHeight="1" x14ac:dyDescent="0.3">
      <c r="A25" s="20" t="s">
        <v>104</v>
      </c>
      <c r="B25" s="16">
        <v>45416</v>
      </c>
      <c r="C25" s="15" t="s">
        <v>86</v>
      </c>
      <c r="D25" s="15" t="s">
        <v>87</v>
      </c>
      <c r="E25" s="15" t="s">
        <v>105</v>
      </c>
      <c r="F25" s="15" t="s">
        <v>106</v>
      </c>
      <c r="G25" s="15" t="s">
        <v>46</v>
      </c>
      <c r="H25" s="15">
        <v>4</v>
      </c>
      <c r="I25" s="15">
        <v>299.99</v>
      </c>
      <c r="J25" s="15" t="s">
        <v>20</v>
      </c>
      <c r="K25" s="15" t="s">
        <v>50</v>
      </c>
      <c r="L25" s="15" t="s">
        <v>27</v>
      </c>
      <c r="M25" s="16">
        <v>44716</v>
      </c>
      <c r="N25" s="17">
        <v>1199.96</v>
      </c>
      <c r="O25" s="12" t="str">
        <f t="shared" si="1"/>
        <v>May</v>
      </c>
      <c r="P25" s="12">
        <f t="shared" si="2"/>
        <v>2024</v>
      </c>
      <c r="Q25" s="12">
        <f t="shared" ca="1" si="3"/>
        <v>1388</v>
      </c>
      <c r="R25" s="12">
        <f t="shared" si="4"/>
        <v>45443</v>
      </c>
      <c r="S25" s="18">
        <f t="shared" ca="1" si="5"/>
        <v>46104.411816550928</v>
      </c>
      <c r="T25" s="12" t="str">
        <f t="shared" si="6"/>
        <v>High Sale</v>
      </c>
      <c r="U25" s="21">
        <f t="shared" si="0"/>
        <v>15659.65</v>
      </c>
      <c r="W25" s="12" t="str">
        <v>TRX0154</v>
      </c>
      <c r="X25" s="12">
        <v>45459</v>
      </c>
      <c r="Y25" s="12" t="str">
        <v>CUST023</v>
      </c>
      <c r="Z25" s="12" t="str">
        <v>Paul Baker</v>
      </c>
      <c r="AA25" s="12" t="str">
        <v>P001</v>
      </c>
      <c r="AB25" s="12" t="str">
        <v>Laptop</v>
      </c>
      <c r="AC25" s="12" t="str">
        <v>Electronics</v>
      </c>
      <c r="AD25" s="12">
        <v>5</v>
      </c>
      <c r="AE25" s="12">
        <v>899.99</v>
      </c>
      <c r="AF25" s="12" t="str">
        <v>Credit Card</v>
      </c>
      <c r="AG25" s="12" t="str">
        <v>South</v>
      </c>
      <c r="AH25" s="12" t="str">
        <v>Standard</v>
      </c>
      <c r="AI25" s="12">
        <v>44974</v>
      </c>
      <c r="AJ25" s="12">
        <v>4499.95</v>
      </c>
      <c r="AL25" s="12">
        <v>11919.769999999999</v>
      </c>
    </row>
    <row r="26" spans="1:38" x14ac:dyDescent="0.3">
      <c r="A26" s="20" t="s">
        <v>107</v>
      </c>
      <c r="B26" s="16">
        <v>45422</v>
      </c>
      <c r="C26" s="15" t="s">
        <v>108</v>
      </c>
      <c r="D26" s="15" t="s">
        <v>109</v>
      </c>
      <c r="E26" s="15" t="s">
        <v>17</v>
      </c>
      <c r="F26" s="15" t="s">
        <v>18</v>
      </c>
      <c r="G26" s="15" t="s">
        <v>19</v>
      </c>
      <c r="H26" s="15">
        <v>5</v>
      </c>
      <c r="I26" s="15">
        <v>249.99</v>
      </c>
      <c r="J26" s="15" t="s">
        <v>26</v>
      </c>
      <c r="K26" s="15" t="s">
        <v>50</v>
      </c>
      <c r="L26" s="15" t="s">
        <v>36</v>
      </c>
      <c r="M26" s="16">
        <v>44525</v>
      </c>
      <c r="N26" s="17">
        <v>1249.95</v>
      </c>
      <c r="O26" s="12" t="str">
        <f t="shared" si="1"/>
        <v>May</v>
      </c>
      <c r="P26" s="12">
        <f t="shared" si="2"/>
        <v>2024</v>
      </c>
      <c r="Q26" s="12">
        <f t="shared" ca="1" si="3"/>
        <v>1579</v>
      </c>
      <c r="R26" s="12">
        <f t="shared" si="4"/>
        <v>45443</v>
      </c>
      <c r="S26" s="18">
        <f t="shared" ca="1" si="5"/>
        <v>46104.411816550928</v>
      </c>
      <c r="T26" s="12" t="str">
        <f t="shared" si="6"/>
        <v>High Sale</v>
      </c>
      <c r="U26" s="21">
        <f t="shared" si="0"/>
        <v>4189.7700000000004</v>
      </c>
      <c r="W26" s="12" t="str">
        <v>TRX0044</v>
      </c>
      <c r="X26" s="12">
        <v>45459</v>
      </c>
      <c r="Y26" s="12" t="str">
        <v>CUST029</v>
      </c>
      <c r="Z26" s="12" t="str">
        <v>Edward Mitchell</v>
      </c>
      <c r="AA26" s="12" t="str">
        <v>P001</v>
      </c>
      <c r="AB26" s="12" t="str">
        <v>Laptop</v>
      </c>
      <c r="AC26" s="12" t="str">
        <v>Electronics</v>
      </c>
      <c r="AD26" s="12">
        <v>5</v>
      </c>
      <c r="AE26" s="12">
        <v>899.99</v>
      </c>
      <c r="AF26" s="12" t="str">
        <v>PayPal</v>
      </c>
      <c r="AG26" s="12" t="str">
        <v>East</v>
      </c>
      <c r="AH26" s="12" t="str">
        <v>Premium</v>
      </c>
      <c r="AI26" s="12">
        <v>45278</v>
      </c>
      <c r="AJ26" s="12">
        <v>4499.95</v>
      </c>
      <c r="AL26" s="12">
        <v>2039.8000000000002</v>
      </c>
    </row>
    <row r="27" spans="1:38" x14ac:dyDescent="0.3">
      <c r="A27" s="20" t="s">
        <v>110</v>
      </c>
      <c r="B27" s="16">
        <v>45424</v>
      </c>
      <c r="C27" s="15" t="s">
        <v>68</v>
      </c>
      <c r="D27" s="15" t="s">
        <v>69</v>
      </c>
      <c r="E27" s="15" t="s">
        <v>105</v>
      </c>
      <c r="F27" s="15" t="s">
        <v>106</v>
      </c>
      <c r="G27" s="15" t="s">
        <v>46</v>
      </c>
      <c r="H27" s="15">
        <v>5</v>
      </c>
      <c r="I27" s="15">
        <v>299.99</v>
      </c>
      <c r="J27" s="15" t="s">
        <v>34</v>
      </c>
      <c r="K27" s="15" t="s">
        <v>63</v>
      </c>
      <c r="L27" s="15" t="s">
        <v>22</v>
      </c>
      <c r="M27" s="16">
        <v>45168</v>
      </c>
      <c r="N27" s="17">
        <v>1499.95</v>
      </c>
      <c r="O27" s="12" t="str">
        <f t="shared" si="1"/>
        <v>May</v>
      </c>
      <c r="P27" s="12">
        <f t="shared" si="2"/>
        <v>2024</v>
      </c>
      <c r="Q27" s="12">
        <f t="shared" ca="1" si="3"/>
        <v>936</v>
      </c>
      <c r="R27" s="12">
        <f t="shared" si="4"/>
        <v>45443</v>
      </c>
      <c r="S27" s="18">
        <f t="shared" ca="1" si="5"/>
        <v>46104.411816550928</v>
      </c>
      <c r="T27" s="12" t="str">
        <f t="shared" si="6"/>
        <v>High Sale</v>
      </c>
      <c r="U27" s="21">
        <f t="shared" si="0"/>
        <v>1979.89</v>
      </c>
      <c r="W27" s="12" t="str">
        <v>TRX0025</v>
      </c>
      <c r="X27" s="12">
        <v>45468</v>
      </c>
      <c r="Y27" s="12" t="str">
        <v>CUST049</v>
      </c>
      <c r="Z27" s="12" t="str">
        <v>Raymond Ross</v>
      </c>
      <c r="AA27" s="12" t="str">
        <v>P010</v>
      </c>
      <c r="AB27" s="12" t="str">
        <v>Keyboard</v>
      </c>
      <c r="AC27" s="12" t="str">
        <v>Electronics</v>
      </c>
      <c r="AD27" s="12">
        <v>4</v>
      </c>
      <c r="AE27" s="12">
        <v>89.99</v>
      </c>
      <c r="AF27" s="12" t="str">
        <v>Debit Card</v>
      </c>
      <c r="AG27" s="12" t="str">
        <v>South</v>
      </c>
      <c r="AH27" s="12" t="str">
        <v>Basic</v>
      </c>
      <c r="AI27" s="12">
        <v>45281</v>
      </c>
      <c r="AJ27" s="12">
        <v>359.96</v>
      </c>
      <c r="AL27" s="12">
        <v>1229.8800000000001</v>
      </c>
    </row>
    <row r="28" spans="1:38" x14ac:dyDescent="0.3">
      <c r="A28" s="20" t="s">
        <v>111</v>
      </c>
      <c r="B28" s="16">
        <v>45424</v>
      </c>
      <c r="C28" s="15" t="s">
        <v>112</v>
      </c>
      <c r="D28" s="15" t="s">
        <v>113</v>
      </c>
      <c r="E28" s="15" t="s">
        <v>114</v>
      </c>
      <c r="F28" s="15" t="s">
        <v>115</v>
      </c>
      <c r="G28" s="15" t="s">
        <v>33</v>
      </c>
      <c r="H28" s="15">
        <v>3</v>
      </c>
      <c r="I28" s="15">
        <v>79.989999999999995</v>
      </c>
      <c r="J28" s="15" t="s">
        <v>34</v>
      </c>
      <c r="K28" s="15" t="s">
        <v>63</v>
      </c>
      <c r="L28" s="15" t="s">
        <v>27</v>
      </c>
      <c r="M28" s="16">
        <v>45012</v>
      </c>
      <c r="N28" s="17">
        <v>239.97</v>
      </c>
      <c r="O28" s="12" t="str">
        <f t="shared" si="1"/>
        <v>May</v>
      </c>
      <c r="P28" s="12">
        <f t="shared" si="2"/>
        <v>2024</v>
      </c>
      <c r="Q28" s="12">
        <f t="shared" ca="1" si="3"/>
        <v>1092</v>
      </c>
      <c r="R28" s="12">
        <f t="shared" si="4"/>
        <v>45443</v>
      </c>
      <c r="S28" s="18">
        <f t="shared" ca="1" si="5"/>
        <v>46104.411816550928</v>
      </c>
      <c r="T28" s="12" t="str">
        <f t="shared" si="6"/>
        <v>Low Sale</v>
      </c>
      <c r="U28" s="21">
        <f t="shared" si="0"/>
        <v>1289.9000000000001</v>
      </c>
      <c r="W28" s="12" t="str">
        <v>TRX0007</v>
      </c>
      <c r="X28" s="12">
        <v>45469</v>
      </c>
      <c r="Y28" s="12" t="str">
        <v>CUST009</v>
      </c>
      <c r="Z28" s="12" t="str">
        <v>Robert Thomas</v>
      </c>
      <c r="AA28" s="12" t="str">
        <v>P010</v>
      </c>
      <c r="AB28" s="12" t="str">
        <v>Keyboard</v>
      </c>
      <c r="AC28" s="12" t="str">
        <v>Electronics</v>
      </c>
      <c r="AD28" s="12">
        <v>2</v>
      </c>
      <c r="AE28" s="12">
        <v>89.99</v>
      </c>
      <c r="AF28" s="12" t="str">
        <v>Cash</v>
      </c>
      <c r="AG28" s="12" t="str">
        <v>West</v>
      </c>
      <c r="AH28" s="12" t="str">
        <v>Basic</v>
      </c>
      <c r="AI28" s="12">
        <v>44438</v>
      </c>
      <c r="AJ28" s="12">
        <v>179.98</v>
      </c>
      <c r="AL28" s="12">
        <v>2649.83</v>
      </c>
    </row>
    <row r="29" spans="1:38" x14ac:dyDescent="0.3">
      <c r="A29" s="20" t="s">
        <v>116</v>
      </c>
      <c r="B29" s="16">
        <v>45424</v>
      </c>
      <c r="C29" s="15" t="s">
        <v>99</v>
      </c>
      <c r="D29" s="15" t="s">
        <v>100</v>
      </c>
      <c r="E29" s="15" t="s">
        <v>117</v>
      </c>
      <c r="F29" s="15" t="s">
        <v>118</v>
      </c>
      <c r="G29" s="15" t="s">
        <v>19</v>
      </c>
      <c r="H29" s="15">
        <v>5</v>
      </c>
      <c r="I29" s="15">
        <v>89.99</v>
      </c>
      <c r="J29" s="15" t="s">
        <v>20</v>
      </c>
      <c r="K29" s="15" t="s">
        <v>40</v>
      </c>
      <c r="L29" s="15" t="s">
        <v>27</v>
      </c>
      <c r="M29" s="16">
        <v>44919</v>
      </c>
      <c r="N29" s="17">
        <v>449.95</v>
      </c>
      <c r="O29" s="12" t="str">
        <f t="shared" si="1"/>
        <v>May</v>
      </c>
      <c r="P29" s="12">
        <f t="shared" si="2"/>
        <v>2024</v>
      </c>
      <c r="Q29" s="12">
        <f t="shared" ca="1" si="3"/>
        <v>1185</v>
      </c>
      <c r="R29" s="12">
        <f t="shared" si="4"/>
        <v>45443</v>
      </c>
      <c r="S29" s="18">
        <f t="shared" ca="1" si="5"/>
        <v>46104.411816550928</v>
      </c>
      <c r="T29" s="12" t="str">
        <f t="shared" si="6"/>
        <v>Low Sale</v>
      </c>
      <c r="U29" s="21">
        <f t="shared" si="0"/>
        <v>9799.73</v>
      </c>
      <c r="W29" s="12" t="str">
        <v>TRX0184</v>
      </c>
      <c r="X29" s="12">
        <v>45471</v>
      </c>
      <c r="Y29" s="12" t="str">
        <v>CUST046</v>
      </c>
      <c r="Z29" s="12" t="str">
        <v>Kathleen Bennett</v>
      </c>
      <c r="AA29" s="12" t="str">
        <v>P002</v>
      </c>
      <c r="AB29" s="12" t="str">
        <v>Smartphone</v>
      </c>
      <c r="AC29" s="12" t="str">
        <v>Electronics</v>
      </c>
      <c r="AD29" s="12">
        <v>3</v>
      </c>
      <c r="AE29" s="12">
        <v>699.99</v>
      </c>
      <c r="AF29" s="12" t="str">
        <v>Credit Card</v>
      </c>
      <c r="AG29" s="12" t="str">
        <v>East</v>
      </c>
      <c r="AH29" s="12" t="str">
        <v>Premium</v>
      </c>
      <c r="AI29" s="12">
        <v>45102</v>
      </c>
      <c r="AJ29" s="12">
        <v>2099.9699999999998</v>
      </c>
      <c r="AL29" s="12">
        <v>4739.8500000000004</v>
      </c>
    </row>
    <row r="30" spans="1:38" x14ac:dyDescent="0.3">
      <c r="A30" s="20" t="s">
        <v>119</v>
      </c>
      <c r="B30" s="16">
        <v>45425</v>
      </c>
      <c r="C30" s="15" t="s">
        <v>120</v>
      </c>
      <c r="D30" s="15" t="s">
        <v>121</v>
      </c>
      <c r="E30" s="15" t="s">
        <v>31</v>
      </c>
      <c r="F30" s="15" t="s">
        <v>32</v>
      </c>
      <c r="G30" s="15" t="s">
        <v>33</v>
      </c>
      <c r="H30" s="15">
        <v>2</v>
      </c>
      <c r="I30" s="15">
        <v>59.99</v>
      </c>
      <c r="J30" s="15" t="s">
        <v>57</v>
      </c>
      <c r="K30" s="15" t="s">
        <v>21</v>
      </c>
      <c r="L30" s="15" t="s">
        <v>36</v>
      </c>
      <c r="M30" s="16">
        <v>45214</v>
      </c>
      <c r="N30" s="17">
        <v>119.98</v>
      </c>
      <c r="O30" s="12" t="str">
        <f t="shared" si="1"/>
        <v>May</v>
      </c>
      <c r="P30" s="12">
        <f t="shared" si="2"/>
        <v>2024</v>
      </c>
      <c r="Q30" s="12">
        <f t="shared" ca="1" si="3"/>
        <v>890</v>
      </c>
      <c r="R30" s="12">
        <f t="shared" si="4"/>
        <v>45443</v>
      </c>
      <c r="S30" s="18">
        <f t="shared" ca="1" si="5"/>
        <v>46104.411816550928</v>
      </c>
      <c r="T30" s="12" t="str">
        <f t="shared" si="6"/>
        <v>Low Sale</v>
      </c>
      <c r="U30" s="21">
        <f t="shared" si="0"/>
        <v>6459.79</v>
      </c>
      <c r="W30" s="12" t="str">
        <v>TRX0104</v>
      </c>
      <c r="X30" s="12">
        <v>45471</v>
      </c>
      <c r="Y30" s="12" t="str">
        <v>CUST012</v>
      </c>
      <c r="Z30" s="12" t="str">
        <v>Patricia Moore</v>
      </c>
      <c r="AA30" s="12" t="str">
        <v>P001</v>
      </c>
      <c r="AB30" s="12" t="str">
        <v>Laptop</v>
      </c>
      <c r="AC30" s="12" t="str">
        <v>Electronics</v>
      </c>
      <c r="AD30" s="12">
        <v>4</v>
      </c>
      <c r="AE30" s="12">
        <v>899.99</v>
      </c>
      <c r="AF30" s="12" t="str">
        <v>Credit Card</v>
      </c>
      <c r="AG30" s="12" t="str">
        <v>East</v>
      </c>
      <c r="AH30" s="12" t="str">
        <v>Premium</v>
      </c>
      <c r="AI30" s="12">
        <v>44993</v>
      </c>
      <c r="AJ30" s="12">
        <v>3599.96</v>
      </c>
      <c r="AL30" s="12">
        <v>5519.8899999999994</v>
      </c>
    </row>
    <row r="31" spans="1:38" x14ac:dyDescent="0.3">
      <c r="A31" s="20" t="s">
        <v>122</v>
      </c>
      <c r="B31" s="16">
        <v>45427</v>
      </c>
      <c r="C31" s="15" t="s">
        <v>123</v>
      </c>
      <c r="D31" s="15" t="s">
        <v>124</v>
      </c>
      <c r="E31" s="15" t="s">
        <v>31</v>
      </c>
      <c r="F31" s="15" t="s">
        <v>32</v>
      </c>
      <c r="G31" s="15" t="s">
        <v>33</v>
      </c>
      <c r="H31" s="15">
        <v>4</v>
      </c>
      <c r="I31" s="15">
        <v>59.99</v>
      </c>
      <c r="J31" s="15" t="s">
        <v>57</v>
      </c>
      <c r="K31" s="15" t="s">
        <v>63</v>
      </c>
      <c r="L31" s="15" t="s">
        <v>36</v>
      </c>
      <c r="M31" s="16">
        <v>44867</v>
      </c>
      <c r="N31" s="17">
        <v>239.96</v>
      </c>
      <c r="O31" s="12" t="str">
        <f t="shared" si="1"/>
        <v>May</v>
      </c>
      <c r="P31" s="12">
        <f t="shared" si="2"/>
        <v>2024</v>
      </c>
      <c r="Q31" s="12">
        <f t="shared" ca="1" si="3"/>
        <v>1237</v>
      </c>
      <c r="R31" s="12">
        <f t="shared" si="4"/>
        <v>45443</v>
      </c>
      <c r="S31" s="18">
        <f t="shared" ca="1" si="5"/>
        <v>46104.411816550928</v>
      </c>
      <c r="T31" s="12" t="str">
        <f t="shared" si="6"/>
        <v>Low Sale</v>
      </c>
      <c r="U31" s="21">
        <f t="shared" si="0"/>
        <v>11919.769999999999</v>
      </c>
      <c r="W31" s="12" t="str">
        <v>TRX0096</v>
      </c>
      <c r="X31" s="12">
        <v>45474</v>
      </c>
      <c r="Y31" s="12" t="str">
        <v>CUST002</v>
      </c>
      <c r="Z31" s="12" t="str">
        <v>Emma Wilson</v>
      </c>
      <c r="AA31" s="12" t="str">
        <v>P010</v>
      </c>
      <c r="AB31" s="12" t="str">
        <v>Keyboard</v>
      </c>
      <c r="AC31" s="12" t="str">
        <v>Electronics</v>
      </c>
      <c r="AD31" s="12">
        <v>2</v>
      </c>
      <c r="AE31" s="12">
        <v>89.99</v>
      </c>
      <c r="AF31" s="12" t="str">
        <v>PayPal</v>
      </c>
      <c r="AG31" s="12" t="str">
        <v>Central</v>
      </c>
      <c r="AH31" s="12" t="str">
        <v>Premium</v>
      </c>
      <c r="AI31" s="12">
        <v>45275</v>
      </c>
      <c r="AJ31" s="12">
        <v>179.98</v>
      </c>
      <c r="AL31" s="12">
        <v>7309.7999999999993</v>
      </c>
    </row>
    <row r="32" spans="1:38" x14ac:dyDescent="0.3">
      <c r="A32" s="20" t="s">
        <v>125</v>
      </c>
      <c r="B32" s="16">
        <v>45427</v>
      </c>
      <c r="C32" s="15" t="s">
        <v>55</v>
      </c>
      <c r="D32" s="15" t="s">
        <v>56</v>
      </c>
      <c r="E32" s="15" t="s">
        <v>126</v>
      </c>
      <c r="F32" s="15" t="s">
        <v>127</v>
      </c>
      <c r="G32" s="15" t="s">
        <v>46</v>
      </c>
      <c r="H32" s="15">
        <v>5</v>
      </c>
      <c r="I32" s="15">
        <v>199.99</v>
      </c>
      <c r="J32" s="15" t="s">
        <v>20</v>
      </c>
      <c r="K32" s="15" t="s">
        <v>35</v>
      </c>
      <c r="L32" s="15" t="s">
        <v>36</v>
      </c>
      <c r="M32" s="16">
        <v>44412</v>
      </c>
      <c r="N32" s="17">
        <v>999.95</v>
      </c>
      <c r="O32" s="12" t="str">
        <f t="shared" si="1"/>
        <v>May</v>
      </c>
      <c r="P32" s="12">
        <f t="shared" si="2"/>
        <v>2024</v>
      </c>
      <c r="Q32" s="12">
        <f t="shared" ca="1" si="3"/>
        <v>1692</v>
      </c>
      <c r="R32" s="12">
        <f t="shared" si="4"/>
        <v>45443</v>
      </c>
      <c r="S32" s="18">
        <f t="shared" ca="1" si="5"/>
        <v>46104.411816550928</v>
      </c>
      <c r="T32" s="12" t="str">
        <f t="shared" si="6"/>
        <v>Low Sale</v>
      </c>
      <c r="U32" s="21">
        <f t="shared" si="0"/>
        <v>5089.7300000000005</v>
      </c>
      <c r="W32" s="12" t="str">
        <v>TRX0192</v>
      </c>
      <c r="X32" s="12">
        <v>45475</v>
      </c>
      <c r="Y32" s="12" t="str">
        <v>CUST017</v>
      </c>
      <c r="Z32" s="12" t="str">
        <v>Charles Allen</v>
      </c>
      <c r="AA32" s="12" t="str">
        <v>P010</v>
      </c>
      <c r="AB32" s="12" t="str">
        <v>Keyboard</v>
      </c>
      <c r="AC32" s="12" t="str">
        <v>Electronics</v>
      </c>
      <c r="AD32" s="12">
        <v>1</v>
      </c>
      <c r="AE32" s="12">
        <v>89.99</v>
      </c>
      <c r="AF32" s="12" t="str">
        <v>PayPal</v>
      </c>
      <c r="AG32" s="12" t="str">
        <v>West</v>
      </c>
      <c r="AH32" s="12" t="str">
        <v>Standard</v>
      </c>
      <c r="AI32" s="12">
        <v>44802</v>
      </c>
      <c r="AJ32" s="12">
        <v>89.99</v>
      </c>
      <c r="AL32" s="12">
        <v>5619.869999999999</v>
      </c>
    </row>
    <row r="33" spans="1:38" x14ac:dyDescent="0.3">
      <c r="A33" s="20" t="s">
        <v>128</v>
      </c>
      <c r="B33" s="16">
        <v>45428</v>
      </c>
      <c r="C33" s="15" t="s">
        <v>129</v>
      </c>
      <c r="D33" s="15" t="s">
        <v>130</v>
      </c>
      <c r="E33" s="15" t="s">
        <v>44</v>
      </c>
      <c r="F33" s="15" t="s">
        <v>45</v>
      </c>
      <c r="G33" s="15" t="s">
        <v>46</v>
      </c>
      <c r="H33" s="15">
        <v>2</v>
      </c>
      <c r="I33" s="15">
        <v>149.99</v>
      </c>
      <c r="J33" s="15" t="s">
        <v>26</v>
      </c>
      <c r="K33" s="15" t="s">
        <v>50</v>
      </c>
      <c r="L33" s="15" t="s">
        <v>22</v>
      </c>
      <c r="M33" s="16">
        <v>44823</v>
      </c>
      <c r="N33" s="17">
        <v>299.98</v>
      </c>
      <c r="O33" s="12" t="str">
        <f t="shared" si="1"/>
        <v>May</v>
      </c>
      <c r="P33" s="12">
        <f t="shared" si="2"/>
        <v>2024</v>
      </c>
      <c r="Q33" s="12">
        <f t="shared" ca="1" si="3"/>
        <v>1281</v>
      </c>
      <c r="R33" s="12">
        <f t="shared" si="4"/>
        <v>45443</v>
      </c>
      <c r="S33" s="18">
        <f t="shared" ca="1" si="5"/>
        <v>46104.411816550928</v>
      </c>
      <c r="T33" s="12" t="str">
        <f t="shared" si="6"/>
        <v>Low Sale</v>
      </c>
      <c r="U33" s="21">
        <f t="shared" si="0"/>
        <v>2039.8000000000002</v>
      </c>
      <c r="W33" s="12" t="str">
        <v>TRX0052</v>
      </c>
      <c r="X33" s="12">
        <v>45476</v>
      </c>
      <c r="Y33" s="12" t="str">
        <v>CUST022</v>
      </c>
      <c r="Z33" s="12" t="str">
        <v>Susan Green</v>
      </c>
      <c r="AA33" s="12" t="str">
        <v>P010</v>
      </c>
      <c r="AB33" s="12" t="str">
        <v>Keyboard</v>
      </c>
      <c r="AC33" s="12" t="str">
        <v>Electronics</v>
      </c>
      <c r="AD33" s="12">
        <v>1</v>
      </c>
      <c r="AE33" s="12">
        <v>89.99</v>
      </c>
      <c r="AF33" s="12" t="str">
        <v>Cash</v>
      </c>
      <c r="AG33" s="12" t="str">
        <v>South</v>
      </c>
      <c r="AH33" s="12" t="str">
        <v>Standard</v>
      </c>
      <c r="AI33" s="12">
        <v>44611</v>
      </c>
      <c r="AJ33" s="12">
        <v>89.99</v>
      </c>
      <c r="AL33" s="12">
        <v>5499.8099999999995</v>
      </c>
    </row>
    <row r="34" spans="1:38" x14ac:dyDescent="0.3">
      <c r="A34" s="20" t="s">
        <v>131</v>
      </c>
      <c r="B34" s="16">
        <v>45430</v>
      </c>
      <c r="C34" s="15" t="s">
        <v>132</v>
      </c>
      <c r="D34" s="15" t="s">
        <v>133</v>
      </c>
      <c r="E34" s="15" t="s">
        <v>44</v>
      </c>
      <c r="F34" s="15" t="s">
        <v>45</v>
      </c>
      <c r="G34" s="15" t="s">
        <v>46</v>
      </c>
      <c r="H34" s="15">
        <v>3</v>
      </c>
      <c r="I34" s="15">
        <v>149.99</v>
      </c>
      <c r="J34" s="15" t="s">
        <v>26</v>
      </c>
      <c r="K34" s="15" t="s">
        <v>50</v>
      </c>
      <c r="L34" s="15" t="s">
        <v>27</v>
      </c>
      <c r="M34" s="16">
        <v>45068</v>
      </c>
      <c r="N34" s="17">
        <v>449.97</v>
      </c>
      <c r="O34" s="12" t="str">
        <f t="shared" si="1"/>
        <v>May</v>
      </c>
      <c r="P34" s="12">
        <f t="shared" si="2"/>
        <v>2024</v>
      </c>
      <c r="Q34" s="12">
        <f t="shared" ca="1" si="3"/>
        <v>1036</v>
      </c>
      <c r="R34" s="12">
        <f t="shared" si="4"/>
        <v>45443</v>
      </c>
      <c r="S34" s="18">
        <f t="shared" ca="1" si="5"/>
        <v>46104.411816550928</v>
      </c>
      <c r="T34" s="12" t="str">
        <f t="shared" si="6"/>
        <v>Low Sale</v>
      </c>
      <c r="U34" s="21">
        <f t="shared" si="0"/>
        <v>1229.8800000000001</v>
      </c>
      <c r="W34" s="12" t="str">
        <v>TRX0113</v>
      </c>
      <c r="X34" s="12">
        <v>45481</v>
      </c>
      <c r="Y34" s="12" t="str">
        <v>CUST003</v>
      </c>
      <c r="Z34" s="12" t="str">
        <v>Michael Brown</v>
      </c>
      <c r="AA34" s="12" t="str">
        <v>P002</v>
      </c>
      <c r="AB34" s="12" t="str">
        <v>Smartphone</v>
      </c>
      <c r="AC34" s="12" t="str">
        <v>Electronics</v>
      </c>
      <c r="AD34" s="12">
        <v>2</v>
      </c>
      <c r="AE34" s="12">
        <v>699.99</v>
      </c>
      <c r="AF34" s="12" t="str">
        <v>PayPal</v>
      </c>
      <c r="AG34" s="12" t="str">
        <v>East</v>
      </c>
      <c r="AH34" s="12" t="str">
        <v>Premium</v>
      </c>
      <c r="AI34" s="12">
        <v>45389</v>
      </c>
      <c r="AJ34" s="12">
        <v>1399.98</v>
      </c>
      <c r="AL34" s="12">
        <v>5649.84</v>
      </c>
    </row>
    <row r="35" spans="1:38" x14ac:dyDescent="0.3">
      <c r="A35" s="20" t="s">
        <v>134</v>
      </c>
      <c r="B35" s="16">
        <v>45432</v>
      </c>
      <c r="C35" s="15" t="s">
        <v>29</v>
      </c>
      <c r="D35" s="15" t="s">
        <v>30</v>
      </c>
      <c r="E35" s="15" t="s">
        <v>61</v>
      </c>
      <c r="F35" s="15" t="s">
        <v>62</v>
      </c>
      <c r="G35" s="15" t="s">
        <v>19</v>
      </c>
      <c r="H35" s="15">
        <v>1</v>
      </c>
      <c r="I35" s="15">
        <v>899.99</v>
      </c>
      <c r="J35" s="15" t="s">
        <v>26</v>
      </c>
      <c r="K35" s="15" t="s">
        <v>50</v>
      </c>
      <c r="L35" s="15" t="s">
        <v>27</v>
      </c>
      <c r="M35" s="16">
        <v>44578</v>
      </c>
      <c r="N35" s="17">
        <v>899.99</v>
      </c>
      <c r="O35" s="12" t="str">
        <f t="shared" si="1"/>
        <v>May</v>
      </c>
      <c r="P35" s="12">
        <f t="shared" si="2"/>
        <v>2024</v>
      </c>
      <c r="Q35" s="12">
        <f t="shared" ca="1" si="3"/>
        <v>1526</v>
      </c>
      <c r="R35" s="12">
        <f t="shared" si="4"/>
        <v>45443</v>
      </c>
      <c r="S35" s="18">
        <f t="shared" ca="1" si="5"/>
        <v>46104.411816550928</v>
      </c>
      <c r="T35" s="12" t="str">
        <f t="shared" si="6"/>
        <v>Low Sale</v>
      </c>
      <c r="U35" s="21">
        <f t="shared" si="0"/>
        <v>3259.87</v>
      </c>
      <c r="W35" s="12" t="str">
        <v>TRX0114</v>
      </c>
      <c r="X35" s="12">
        <v>45481</v>
      </c>
      <c r="Y35" s="12" t="str">
        <v>CUST018</v>
      </c>
      <c r="Z35" s="12" t="str">
        <v>Barbara Young</v>
      </c>
      <c r="AA35" s="12" t="str">
        <v>P010</v>
      </c>
      <c r="AB35" s="12" t="str">
        <v>Keyboard</v>
      </c>
      <c r="AC35" s="12" t="str">
        <v>Electronics</v>
      </c>
      <c r="AD35" s="12">
        <v>5</v>
      </c>
      <c r="AE35" s="12">
        <v>89.99</v>
      </c>
      <c r="AF35" s="12" t="str">
        <v>Debit Card</v>
      </c>
      <c r="AG35" s="12" t="str">
        <v>North</v>
      </c>
      <c r="AH35" s="12" t="str">
        <v>Premium</v>
      </c>
      <c r="AI35" s="12">
        <v>45161</v>
      </c>
      <c r="AJ35" s="12">
        <v>449.95</v>
      </c>
      <c r="AL35" s="12">
        <v>239.96</v>
      </c>
    </row>
    <row r="36" spans="1:38" x14ac:dyDescent="0.3">
      <c r="A36" s="20" t="s">
        <v>135</v>
      </c>
      <c r="B36" s="16">
        <v>45434</v>
      </c>
      <c r="C36" s="15" t="s">
        <v>99</v>
      </c>
      <c r="D36" s="15" t="s">
        <v>100</v>
      </c>
      <c r="E36" s="15" t="s">
        <v>105</v>
      </c>
      <c r="F36" s="15" t="s">
        <v>106</v>
      </c>
      <c r="G36" s="15" t="s">
        <v>46</v>
      </c>
      <c r="H36" s="15">
        <v>3</v>
      </c>
      <c r="I36" s="15">
        <v>299.99</v>
      </c>
      <c r="J36" s="15" t="s">
        <v>26</v>
      </c>
      <c r="K36" s="15" t="s">
        <v>63</v>
      </c>
      <c r="L36" s="15" t="s">
        <v>22</v>
      </c>
      <c r="M36" s="16">
        <v>44824</v>
      </c>
      <c r="N36" s="17">
        <v>899.97</v>
      </c>
      <c r="O36" s="12" t="str">
        <f t="shared" si="1"/>
        <v>May</v>
      </c>
      <c r="P36" s="12">
        <f t="shared" si="2"/>
        <v>2024</v>
      </c>
      <c r="Q36" s="12">
        <f t="shared" ca="1" si="3"/>
        <v>1280</v>
      </c>
      <c r="R36" s="12">
        <f t="shared" si="4"/>
        <v>45443</v>
      </c>
      <c r="S36" s="18">
        <f t="shared" ca="1" si="5"/>
        <v>46104.411816550928</v>
      </c>
      <c r="T36" s="12" t="str">
        <f t="shared" si="6"/>
        <v>Low Sale</v>
      </c>
      <c r="U36" s="21">
        <f t="shared" si="0"/>
        <v>9799.73</v>
      </c>
      <c r="W36" s="12" t="str">
        <v>TRX0018</v>
      </c>
      <c r="X36" s="12">
        <v>45484</v>
      </c>
      <c r="Y36" s="12" t="str">
        <v>CUST013</v>
      </c>
      <c r="Z36" s="12" t="str">
        <v>Joseph Jackson</v>
      </c>
      <c r="AA36" s="12" t="str">
        <v>P003</v>
      </c>
      <c r="AB36" s="12" t="str">
        <v>Headphones</v>
      </c>
      <c r="AC36" s="12" t="str">
        <v>Electronics</v>
      </c>
      <c r="AD36" s="12">
        <v>1</v>
      </c>
      <c r="AE36" s="12">
        <v>149.99</v>
      </c>
      <c r="AF36" s="12" t="str">
        <v>Cash</v>
      </c>
      <c r="AG36" s="12" t="str">
        <v>Central</v>
      </c>
      <c r="AH36" s="12" t="str">
        <v>Standard</v>
      </c>
      <c r="AI36" s="12">
        <v>44909</v>
      </c>
      <c r="AJ36" s="12">
        <v>149.99</v>
      </c>
      <c r="AL36" s="12">
        <v>3669.8500000000004</v>
      </c>
    </row>
    <row r="37" spans="1:38" x14ac:dyDescent="0.3">
      <c r="A37" s="20" t="s">
        <v>136</v>
      </c>
      <c r="B37" s="16">
        <v>45435</v>
      </c>
      <c r="C37" s="15" t="s">
        <v>129</v>
      </c>
      <c r="D37" s="15" t="s">
        <v>130</v>
      </c>
      <c r="E37" s="15" t="s">
        <v>114</v>
      </c>
      <c r="F37" s="15" t="s">
        <v>115</v>
      </c>
      <c r="G37" s="15" t="s">
        <v>33</v>
      </c>
      <c r="H37" s="15">
        <v>3</v>
      </c>
      <c r="I37" s="15">
        <v>79.989999999999995</v>
      </c>
      <c r="J37" s="15" t="s">
        <v>20</v>
      </c>
      <c r="K37" s="15" t="s">
        <v>35</v>
      </c>
      <c r="L37" s="15" t="s">
        <v>22</v>
      </c>
      <c r="M37" s="16">
        <v>45046</v>
      </c>
      <c r="N37" s="17">
        <v>239.97</v>
      </c>
      <c r="O37" s="12" t="str">
        <f t="shared" si="1"/>
        <v>May</v>
      </c>
      <c r="P37" s="12">
        <f t="shared" si="2"/>
        <v>2024</v>
      </c>
      <c r="Q37" s="12">
        <f t="shared" ca="1" si="3"/>
        <v>1058</v>
      </c>
      <c r="R37" s="12">
        <f t="shared" si="4"/>
        <v>45443</v>
      </c>
      <c r="S37" s="18">
        <f t="shared" ca="1" si="5"/>
        <v>46104.411816550928</v>
      </c>
      <c r="T37" s="12" t="str">
        <f t="shared" si="6"/>
        <v>Low Sale</v>
      </c>
      <c r="U37" s="21">
        <f t="shared" si="0"/>
        <v>2039.8000000000002</v>
      </c>
      <c r="W37" s="12" t="str">
        <v>TRX0162</v>
      </c>
      <c r="X37" s="12">
        <v>45496</v>
      </c>
      <c r="Y37" s="12" t="str">
        <v>CUST040</v>
      </c>
      <c r="Z37" s="12" t="str">
        <v>Sharon Butler</v>
      </c>
      <c r="AA37" s="12" t="str">
        <v>P001</v>
      </c>
      <c r="AB37" s="12" t="str">
        <v>Laptop</v>
      </c>
      <c r="AC37" s="12" t="str">
        <v>Electronics</v>
      </c>
      <c r="AD37" s="12">
        <v>1</v>
      </c>
      <c r="AE37" s="12">
        <v>899.99</v>
      </c>
      <c r="AF37" s="12" t="str">
        <v>Cash</v>
      </c>
      <c r="AG37" s="12" t="str">
        <v>Central</v>
      </c>
      <c r="AH37" s="12" t="str">
        <v>Standard</v>
      </c>
      <c r="AI37" s="12">
        <v>45179</v>
      </c>
      <c r="AJ37" s="12">
        <v>899.99</v>
      </c>
      <c r="AL37" s="12">
        <v>1809.84</v>
      </c>
    </row>
    <row r="38" spans="1:38" x14ac:dyDescent="0.3">
      <c r="A38" s="20" t="s">
        <v>137</v>
      </c>
      <c r="B38" s="16">
        <v>45438</v>
      </c>
      <c r="C38" s="15" t="s">
        <v>138</v>
      </c>
      <c r="D38" s="15" t="s">
        <v>139</v>
      </c>
      <c r="E38" s="15" t="s">
        <v>126</v>
      </c>
      <c r="F38" s="15" t="s">
        <v>127</v>
      </c>
      <c r="G38" s="15" t="s">
        <v>46</v>
      </c>
      <c r="H38" s="15">
        <v>3</v>
      </c>
      <c r="I38" s="15">
        <v>199.99</v>
      </c>
      <c r="J38" s="15" t="s">
        <v>26</v>
      </c>
      <c r="K38" s="15" t="s">
        <v>40</v>
      </c>
      <c r="L38" s="15" t="s">
        <v>27</v>
      </c>
      <c r="M38" s="16">
        <v>45292</v>
      </c>
      <c r="N38" s="17">
        <v>599.97</v>
      </c>
      <c r="O38" s="12" t="str">
        <f t="shared" si="1"/>
        <v>May</v>
      </c>
      <c r="P38" s="12">
        <f t="shared" si="2"/>
        <v>2024</v>
      </c>
      <c r="Q38" s="12">
        <f t="shared" ca="1" si="3"/>
        <v>812</v>
      </c>
      <c r="R38" s="12">
        <f t="shared" si="4"/>
        <v>45443</v>
      </c>
      <c r="S38" s="18">
        <f t="shared" ca="1" si="5"/>
        <v>46104.411816550928</v>
      </c>
      <c r="T38" s="12" t="str">
        <f t="shared" si="6"/>
        <v>Low Sale</v>
      </c>
      <c r="U38" s="21">
        <f t="shared" si="0"/>
        <v>2649.83</v>
      </c>
      <c r="W38" s="12" t="str">
        <v>TRX0244</v>
      </c>
      <c r="X38" s="12">
        <v>45497</v>
      </c>
      <c r="Y38" s="12" t="str">
        <v>CUST013</v>
      </c>
      <c r="Z38" s="12" t="str">
        <v>Joseph Jackson</v>
      </c>
      <c r="AA38" s="12" t="str">
        <v>P001</v>
      </c>
      <c r="AB38" s="12" t="str">
        <v>Laptop</v>
      </c>
      <c r="AC38" s="12" t="str">
        <v>Electronics</v>
      </c>
      <c r="AD38" s="12">
        <v>5</v>
      </c>
      <c r="AE38" s="12">
        <v>899.99</v>
      </c>
      <c r="AF38" s="12" t="str">
        <v>Debit Card</v>
      </c>
      <c r="AG38" s="12" t="str">
        <v>South</v>
      </c>
      <c r="AH38" s="12" t="str">
        <v>Standard</v>
      </c>
      <c r="AI38" s="12">
        <v>44899</v>
      </c>
      <c r="AJ38" s="12">
        <v>4499.95</v>
      </c>
      <c r="AL38" s="12">
        <v>2099.88</v>
      </c>
    </row>
    <row r="39" spans="1:38" x14ac:dyDescent="0.3">
      <c r="A39" s="20" t="s">
        <v>140</v>
      </c>
      <c r="B39" s="16">
        <v>45440</v>
      </c>
      <c r="C39" s="15" t="s">
        <v>141</v>
      </c>
      <c r="D39" s="15" t="s">
        <v>142</v>
      </c>
      <c r="E39" s="15" t="s">
        <v>80</v>
      </c>
      <c r="F39" s="15" t="s">
        <v>81</v>
      </c>
      <c r="G39" s="15" t="s">
        <v>19</v>
      </c>
      <c r="H39" s="15">
        <v>5</v>
      </c>
      <c r="I39" s="15">
        <v>699.99</v>
      </c>
      <c r="J39" s="15" t="s">
        <v>34</v>
      </c>
      <c r="K39" s="15" t="s">
        <v>50</v>
      </c>
      <c r="L39" s="15" t="s">
        <v>36</v>
      </c>
      <c r="M39" s="16">
        <v>44407</v>
      </c>
      <c r="N39" s="17">
        <v>3499.95</v>
      </c>
      <c r="O39" s="12" t="str">
        <f t="shared" si="1"/>
        <v>May</v>
      </c>
      <c r="P39" s="12">
        <f t="shared" si="2"/>
        <v>2024</v>
      </c>
      <c r="Q39" s="12">
        <f t="shared" ca="1" si="3"/>
        <v>1697</v>
      </c>
      <c r="R39" s="12">
        <f t="shared" si="4"/>
        <v>45443</v>
      </c>
      <c r="S39" s="18">
        <f t="shared" ca="1" si="5"/>
        <v>46104.411816550928</v>
      </c>
      <c r="T39" s="12" t="str">
        <f t="shared" si="6"/>
        <v>High Sale</v>
      </c>
      <c r="U39" s="21">
        <f t="shared" si="0"/>
        <v>4739.8500000000004</v>
      </c>
      <c r="W39" s="12" t="str">
        <v>TRX0215</v>
      </c>
      <c r="X39" s="12">
        <v>45498</v>
      </c>
      <c r="Y39" s="12" t="str">
        <v>CUST047</v>
      </c>
      <c r="Z39" s="12" t="str">
        <v>Gerald Murphy</v>
      </c>
      <c r="AA39" s="12" t="str">
        <v>P009</v>
      </c>
      <c r="AB39" s="12" t="str">
        <v>Monitor</v>
      </c>
      <c r="AC39" s="12" t="str">
        <v>Electronics</v>
      </c>
      <c r="AD39" s="12">
        <v>4</v>
      </c>
      <c r="AE39" s="12">
        <v>249.99</v>
      </c>
      <c r="AF39" s="12" t="str">
        <v>Debit Card</v>
      </c>
      <c r="AG39" s="12" t="str">
        <v>Central</v>
      </c>
      <c r="AH39" s="12" t="str">
        <v>Standard</v>
      </c>
      <c r="AI39" s="12">
        <v>45127</v>
      </c>
      <c r="AJ39" s="12">
        <v>999.96</v>
      </c>
      <c r="AL39" s="12">
        <v>1479.91</v>
      </c>
    </row>
    <row r="40" spans="1:38" x14ac:dyDescent="0.3">
      <c r="A40" s="20" t="s">
        <v>143</v>
      </c>
      <c r="B40" s="16">
        <v>45441</v>
      </c>
      <c r="C40" s="15" t="s">
        <v>144</v>
      </c>
      <c r="D40" s="15" t="s">
        <v>145</v>
      </c>
      <c r="E40" s="15" t="s">
        <v>117</v>
      </c>
      <c r="F40" s="15" t="s">
        <v>118</v>
      </c>
      <c r="G40" s="15" t="s">
        <v>19</v>
      </c>
      <c r="H40" s="15">
        <v>3</v>
      </c>
      <c r="I40" s="15">
        <v>89.99</v>
      </c>
      <c r="J40" s="15" t="s">
        <v>34</v>
      </c>
      <c r="K40" s="15" t="s">
        <v>21</v>
      </c>
      <c r="L40" s="15" t="s">
        <v>27</v>
      </c>
      <c r="M40" s="16">
        <v>45120</v>
      </c>
      <c r="N40" s="17">
        <v>269.97000000000003</v>
      </c>
      <c r="O40" s="12" t="str">
        <f t="shared" si="1"/>
        <v>May</v>
      </c>
      <c r="P40" s="12">
        <f t="shared" si="2"/>
        <v>2024</v>
      </c>
      <c r="Q40" s="12">
        <f t="shared" ca="1" si="3"/>
        <v>984</v>
      </c>
      <c r="R40" s="12">
        <f t="shared" si="4"/>
        <v>45443</v>
      </c>
      <c r="S40" s="18">
        <f t="shared" ca="1" si="5"/>
        <v>46104.411816550928</v>
      </c>
      <c r="T40" s="12" t="str">
        <f t="shared" si="6"/>
        <v>Low Sale</v>
      </c>
      <c r="U40" s="21">
        <f t="shared" si="0"/>
        <v>5519.8899999999994</v>
      </c>
      <c r="W40" s="12" t="str">
        <v>TRX0080</v>
      </c>
      <c r="X40" s="12">
        <v>45500</v>
      </c>
      <c r="Y40" s="12" t="str">
        <v>CUST018</v>
      </c>
      <c r="Z40" s="12" t="str">
        <v>Barbara Young</v>
      </c>
      <c r="AA40" s="12" t="str">
        <v>P009</v>
      </c>
      <c r="AB40" s="12" t="str">
        <v>Monitor</v>
      </c>
      <c r="AC40" s="12" t="str">
        <v>Electronics</v>
      </c>
      <c r="AD40" s="12">
        <v>2</v>
      </c>
      <c r="AE40" s="12">
        <v>249.99</v>
      </c>
      <c r="AF40" s="12" t="str">
        <v>Cash</v>
      </c>
      <c r="AG40" s="12" t="str">
        <v>North</v>
      </c>
      <c r="AH40" s="12" t="str">
        <v>Premium</v>
      </c>
      <c r="AI40" s="12">
        <v>45164</v>
      </c>
      <c r="AJ40" s="12">
        <v>499.98</v>
      </c>
      <c r="AL40" s="12">
        <v>6379.87</v>
      </c>
    </row>
    <row r="41" spans="1:38" x14ac:dyDescent="0.3">
      <c r="A41" s="20" t="s">
        <v>146</v>
      </c>
      <c r="B41" s="16">
        <v>45443</v>
      </c>
      <c r="C41" s="15" t="s">
        <v>147</v>
      </c>
      <c r="D41" s="15" t="s">
        <v>148</v>
      </c>
      <c r="E41" s="15" t="s">
        <v>114</v>
      </c>
      <c r="F41" s="15" t="s">
        <v>115</v>
      </c>
      <c r="G41" s="15" t="s">
        <v>33</v>
      </c>
      <c r="H41" s="15">
        <v>1</v>
      </c>
      <c r="I41" s="15">
        <v>79.989999999999995</v>
      </c>
      <c r="J41" s="15" t="s">
        <v>20</v>
      </c>
      <c r="K41" s="15" t="s">
        <v>40</v>
      </c>
      <c r="L41" s="15" t="s">
        <v>36</v>
      </c>
      <c r="M41" s="16">
        <v>44917</v>
      </c>
      <c r="N41" s="17">
        <v>79.989999999999995</v>
      </c>
      <c r="O41" s="12" t="str">
        <f t="shared" si="1"/>
        <v>May</v>
      </c>
      <c r="P41" s="12">
        <f t="shared" si="2"/>
        <v>2024</v>
      </c>
      <c r="Q41" s="12">
        <f t="shared" ca="1" si="3"/>
        <v>1187</v>
      </c>
      <c r="R41" s="12">
        <f t="shared" si="4"/>
        <v>45443</v>
      </c>
      <c r="S41" s="18">
        <f t="shared" ca="1" si="5"/>
        <v>46104.411816550928</v>
      </c>
      <c r="T41" s="12" t="str">
        <f t="shared" si="6"/>
        <v>Low Sale</v>
      </c>
      <c r="U41" s="21">
        <f t="shared" si="0"/>
        <v>7309.7999999999993</v>
      </c>
      <c r="W41" s="12" t="str">
        <v>TRX0157</v>
      </c>
      <c r="X41" s="12">
        <v>45501</v>
      </c>
      <c r="Y41" s="12" t="str">
        <v>CUST025</v>
      </c>
      <c r="Z41" s="12" t="str">
        <v>Mark Carter</v>
      </c>
      <c r="AA41" s="12" t="str">
        <v>P010</v>
      </c>
      <c r="AB41" s="12" t="str">
        <v>Keyboard</v>
      </c>
      <c r="AC41" s="12" t="str">
        <v>Electronics</v>
      </c>
      <c r="AD41" s="12">
        <v>2</v>
      </c>
      <c r="AE41" s="12">
        <v>89.99</v>
      </c>
      <c r="AF41" s="12" t="str">
        <v>PayPal</v>
      </c>
      <c r="AG41" s="12" t="str">
        <v>South</v>
      </c>
      <c r="AH41" s="12" t="str">
        <v>Basic</v>
      </c>
      <c r="AI41" s="12">
        <v>44976</v>
      </c>
      <c r="AJ41" s="12">
        <v>179.98</v>
      </c>
      <c r="AL41" s="12">
        <v>3649.8599999999997</v>
      </c>
    </row>
    <row r="42" spans="1:38" x14ac:dyDescent="0.3">
      <c r="A42" s="20" t="s">
        <v>149</v>
      </c>
      <c r="B42" s="16">
        <v>45444</v>
      </c>
      <c r="C42" s="15" t="s">
        <v>150</v>
      </c>
      <c r="D42" s="15" t="s">
        <v>151</v>
      </c>
      <c r="E42" s="15" t="s">
        <v>31</v>
      </c>
      <c r="F42" s="15" t="s">
        <v>32</v>
      </c>
      <c r="G42" s="15" t="s">
        <v>33</v>
      </c>
      <c r="H42" s="15">
        <v>2</v>
      </c>
      <c r="I42" s="15">
        <v>59.99</v>
      </c>
      <c r="J42" s="15" t="s">
        <v>20</v>
      </c>
      <c r="K42" s="15" t="s">
        <v>50</v>
      </c>
      <c r="L42" s="15" t="s">
        <v>22</v>
      </c>
      <c r="M42" s="16">
        <v>45390</v>
      </c>
      <c r="N42" s="17">
        <v>119.98</v>
      </c>
      <c r="O42" s="12" t="str">
        <f t="shared" si="1"/>
        <v>Jun</v>
      </c>
      <c r="P42" s="12">
        <f t="shared" si="2"/>
        <v>2024</v>
      </c>
      <c r="Q42" s="12">
        <f t="shared" ca="1" si="3"/>
        <v>714</v>
      </c>
      <c r="R42" s="12">
        <f t="shared" si="4"/>
        <v>45473</v>
      </c>
      <c r="S42" s="18">
        <f t="shared" ca="1" si="5"/>
        <v>46104.411816550928</v>
      </c>
      <c r="T42" s="12" t="str">
        <f t="shared" si="6"/>
        <v>Low Sale</v>
      </c>
      <c r="U42" s="21">
        <f t="shared" si="0"/>
        <v>5619.869999999999</v>
      </c>
      <c r="W42" s="12" t="str">
        <v>TRX0217</v>
      </c>
      <c r="X42" s="12">
        <v>45503</v>
      </c>
      <c r="Y42" s="12" t="str">
        <v>CUST025</v>
      </c>
      <c r="Z42" s="12" t="str">
        <v>Mark Carter</v>
      </c>
      <c r="AA42" s="12" t="str">
        <v>P002</v>
      </c>
      <c r="AB42" s="12" t="str">
        <v>Smartphone</v>
      </c>
      <c r="AC42" s="12" t="str">
        <v>Electronics</v>
      </c>
      <c r="AD42" s="12">
        <v>2</v>
      </c>
      <c r="AE42" s="12">
        <v>699.99</v>
      </c>
      <c r="AF42" s="12" t="str">
        <v>Credit Card</v>
      </c>
      <c r="AG42" s="12" t="str">
        <v>North</v>
      </c>
      <c r="AH42" s="12" t="str">
        <v>Premium</v>
      </c>
      <c r="AI42" s="12">
        <v>44999</v>
      </c>
      <c r="AJ42" s="12">
        <v>1399.98</v>
      </c>
      <c r="AL42" s="12">
        <v>6989.7699999999986</v>
      </c>
    </row>
    <row r="43" spans="1:38" x14ac:dyDescent="0.3">
      <c r="A43" s="20" t="s">
        <v>152</v>
      </c>
      <c r="B43" s="16">
        <v>45444</v>
      </c>
      <c r="C43" s="15" t="s">
        <v>55</v>
      </c>
      <c r="D43" s="15" t="s">
        <v>56</v>
      </c>
      <c r="E43" s="15" t="s">
        <v>117</v>
      </c>
      <c r="F43" s="15" t="s">
        <v>118</v>
      </c>
      <c r="G43" s="15" t="s">
        <v>19</v>
      </c>
      <c r="H43" s="15">
        <v>1</v>
      </c>
      <c r="I43" s="15">
        <v>89.99</v>
      </c>
      <c r="J43" s="15" t="s">
        <v>20</v>
      </c>
      <c r="K43" s="15" t="s">
        <v>40</v>
      </c>
      <c r="L43" s="15" t="s">
        <v>22</v>
      </c>
      <c r="M43" s="16">
        <v>45141</v>
      </c>
      <c r="N43" s="17">
        <v>89.99</v>
      </c>
      <c r="O43" s="12" t="str">
        <f t="shared" si="1"/>
        <v>Jun</v>
      </c>
      <c r="P43" s="12">
        <f t="shared" si="2"/>
        <v>2024</v>
      </c>
      <c r="Q43" s="12">
        <f t="shared" ca="1" si="3"/>
        <v>963</v>
      </c>
      <c r="R43" s="12">
        <f t="shared" si="4"/>
        <v>45473</v>
      </c>
      <c r="S43" s="18">
        <f t="shared" ca="1" si="5"/>
        <v>46104.411816550928</v>
      </c>
      <c r="T43" s="12" t="str">
        <f t="shared" si="6"/>
        <v>Low Sale</v>
      </c>
      <c r="U43" s="21">
        <f t="shared" si="0"/>
        <v>5089.7300000000005</v>
      </c>
      <c r="W43" s="12" t="str">
        <v>TRX0249</v>
      </c>
      <c r="X43" s="12">
        <v>45504</v>
      </c>
      <c r="Y43" s="12" t="str">
        <v>CUST030</v>
      </c>
      <c r="Z43" s="12" t="str">
        <v>Helen Roberts</v>
      </c>
      <c r="AA43" s="12" t="str">
        <v>P001</v>
      </c>
      <c r="AB43" s="12" t="str">
        <v>Laptop</v>
      </c>
      <c r="AC43" s="12" t="str">
        <v>Electronics</v>
      </c>
      <c r="AD43" s="12">
        <v>4</v>
      </c>
      <c r="AE43" s="12">
        <v>899.99</v>
      </c>
      <c r="AF43" s="12" t="str">
        <v>Debit Card</v>
      </c>
      <c r="AG43" s="12" t="str">
        <v>South</v>
      </c>
      <c r="AH43" s="12" t="str">
        <v>Standard</v>
      </c>
      <c r="AI43" s="12">
        <v>44523</v>
      </c>
      <c r="AJ43" s="12">
        <v>3599.96</v>
      </c>
      <c r="AL43" s="12">
        <v>1149.93</v>
      </c>
    </row>
    <row r="44" spans="1:38" x14ac:dyDescent="0.3">
      <c r="A44" s="20" t="s">
        <v>153</v>
      </c>
      <c r="B44" s="16">
        <v>45446</v>
      </c>
      <c r="C44" s="15" t="s">
        <v>154</v>
      </c>
      <c r="D44" s="15" t="s">
        <v>155</v>
      </c>
      <c r="E44" s="15" t="s">
        <v>117</v>
      </c>
      <c r="F44" s="15" t="s">
        <v>118</v>
      </c>
      <c r="G44" s="15" t="s">
        <v>19</v>
      </c>
      <c r="H44" s="15">
        <v>5</v>
      </c>
      <c r="I44" s="15">
        <v>89.99</v>
      </c>
      <c r="J44" s="15" t="s">
        <v>26</v>
      </c>
      <c r="K44" s="15" t="s">
        <v>63</v>
      </c>
      <c r="L44" s="15" t="s">
        <v>36</v>
      </c>
      <c r="M44" s="16">
        <v>44587</v>
      </c>
      <c r="N44" s="17">
        <v>449.95</v>
      </c>
      <c r="O44" s="12" t="str">
        <f t="shared" si="1"/>
        <v>Jun</v>
      </c>
      <c r="P44" s="12">
        <f t="shared" si="2"/>
        <v>2024</v>
      </c>
      <c r="Q44" s="12">
        <f t="shared" ca="1" si="3"/>
        <v>1517</v>
      </c>
      <c r="R44" s="12">
        <f t="shared" si="4"/>
        <v>45473</v>
      </c>
      <c r="S44" s="18">
        <f t="shared" ca="1" si="5"/>
        <v>46104.411816550928</v>
      </c>
      <c r="T44" s="12" t="str">
        <f t="shared" si="6"/>
        <v>Low Sale</v>
      </c>
      <c r="U44" s="21">
        <f t="shared" si="0"/>
        <v>5499.8099999999995</v>
      </c>
      <c r="W44" s="12" t="str">
        <v>TRX0101</v>
      </c>
      <c r="X44" s="12">
        <v>45513</v>
      </c>
      <c r="Y44" s="12" t="str">
        <v>CUST010</v>
      </c>
      <c r="Z44" s="12" t="str">
        <v>Maria Garcia</v>
      </c>
      <c r="AA44" s="12" t="str">
        <v>P010</v>
      </c>
      <c r="AB44" s="12" t="str">
        <v>Keyboard</v>
      </c>
      <c r="AC44" s="12" t="str">
        <v>Electronics</v>
      </c>
      <c r="AD44" s="12">
        <v>1</v>
      </c>
      <c r="AE44" s="12">
        <v>89.99</v>
      </c>
      <c r="AF44" s="12" t="str">
        <v>Credit Card</v>
      </c>
      <c r="AG44" s="12" t="str">
        <v>North</v>
      </c>
      <c r="AH44" s="12" t="str">
        <v>Standard</v>
      </c>
      <c r="AI44" s="12">
        <v>45393</v>
      </c>
      <c r="AJ44" s="12">
        <v>89.99</v>
      </c>
      <c r="AL44" s="12">
        <v>6349.83</v>
      </c>
    </row>
    <row r="45" spans="1:38" x14ac:dyDescent="0.3">
      <c r="A45" s="20" t="s">
        <v>156</v>
      </c>
      <c r="B45" s="16">
        <v>45449</v>
      </c>
      <c r="C45" s="15" t="s">
        <v>24</v>
      </c>
      <c r="D45" s="15" t="s">
        <v>25</v>
      </c>
      <c r="E45" s="15" t="s">
        <v>17</v>
      </c>
      <c r="F45" s="15" t="s">
        <v>18</v>
      </c>
      <c r="G45" s="15" t="s">
        <v>19</v>
      </c>
      <c r="H45" s="15">
        <v>5</v>
      </c>
      <c r="I45" s="15">
        <v>249.99</v>
      </c>
      <c r="J45" s="15" t="s">
        <v>26</v>
      </c>
      <c r="K45" s="15" t="s">
        <v>63</v>
      </c>
      <c r="L45" s="15" t="s">
        <v>36</v>
      </c>
      <c r="M45" s="16">
        <v>44707</v>
      </c>
      <c r="N45" s="17">
        <v>1249.95</v>
      </c>
      <c r="O45" s="12" t="str">
        <f t="shared" si="1"/>
        <v>Jun</v>
      </c>
      <c r="P45" s="12">
        <f t="shared" si="2"/>
        <v>2024</v>
      </c>
      <c r="Q45" s="12">
        <f t="shared" ca="1" si="3"/>
        <v>1397</v>
      </c>
      <c r="R45" s="12">
        <f t="shared" si="4"/>
        <v>45473</v>
      </c>
      <c r="S45" s="18">
        <f t="shared" ca="1" si="5"/>
        <v>46104.411816550928</v>
      </c>
      <c r="T45" s="12" t="str">
        <f t="shared" si="6"/>
        <v>High Sale</v>
      </c>
      <c r="U45" s="21">
        <f t="shared" si="0"/>
        <v>6949.84</v>
      </c>
      <c r="W45" s="12" t="str">
        <v>TRX0020</v>
      </c>
      <c r="X45" s="12">
        <v>45517</v>
      </c>
      <c r="Y45" s="12" t="str">
        <v>CUST007</v>
      </c>
      <c r="Z45" s="12" t="str">
        <v>David Martinez</v>
      </c>
      <c r="AA45" s="12" t="str">
        <v>P003</v>
      </c>
      <c r="AB45" s="12" t="str">
        <v>Headphones</v>
      </c>
      <c r="AC45" s="12" t="str">
        <v>Electronics</v>
      </c>
      <c r="AD45" s="12">
        <v>4</v>
      </c>
      <c r="AE45" s="12">
        <v>149.99</v>
      </c>
      <c r="AF45" s="12" t="str">
        <v>Debit Card</v>
      </c>
      <c r="AG45" s="12" t="str">
        <v>South</v>
      </c>
      <c r="AH45" s="12" t="str">
        <v>Premium</v>
      </c>
      <c r="AI45" s="12">
        <v>44820</v>
      </c>
      <c r="AJ45" s="12">
        <v>599.96</v>
      </c>
      <c r="AL45" s="12">
        <v>1749.92</v>
      </c>
    </row>
    <row r="46" spans="1:38" x14ac:dyDescent="0.3">
      <c r="A46" s="20" t="s">
        <v>157</v>
      </c>
      <c r="B46" s="16">
        <v>45449</v>
      </c>
      <c r="C46" s="15" t="s">
        <v>158</v>
      </c>
      <c r="D46" s="15" t="s">
        <v>159</v>
      </c>
      <c r="E46" s="15" t="s">
        <v>117</v>
      </c>
      <c r="F46" s="15" t="s">
        <v>118</v>
      </c>
      <c r="G46" s="15" t="s">
        <v>19</v>
      </c>
      <c r="H46" s="15">
        <v>1</v>
      </c>
      <c r="I46" s="15">
        <v>89.99</v>
      </c>
      <c r="J46" s="15" t="s">
        <v>26</v>
      </c>
      <c r="K46" s="15" t="s">
        <v>35</v>
      </c>
      <c r="L46" s="15" t="s">
        <v>36</v>
      </c>
      <c r="M46" s="16">
        <v>44582</v>
      </c>
      <c r="N46" s="17">
        <v>89.99</v>
      </c>
      <c r="O46" s="12" t="str">
        <f t="shared" si="1"/>
        <v>Jun</v>
      </c>
      <c r="P46" s="12">
        <f t="shared" si="2"/>
        <v>2024</v>
      </c>
      <c r="Q46" s="12">
        <f t="shared" ca="1" si="3"/>
        <v>1522</v>
      </c>
      <c r="R46" s="12">
        <f t="shared" si="4"/>
        <v>45473</v>
      </c>
      <c r="S46" s="18">
        <f t="shared" ca="1" si="5"/>
        <v>46104.411816550928</v>
      </c>
      <c r="T46" s="12" t="str">
        <f t="shared" si="6"/>
        <v>Low Sale</v>
      </c>
      <c r="U46" s="21">
        <f t="shared" si="0"/>
        <v>5649.84</v>
      </c>
      <c r="W46" s="12" t="str">
        <v>TRX0075</v>
      </c>
      <c r="X46" s="12">
        <v>45517</v>
      </c>
      <c r="Y46" s="12" t="str">
        <v>CUST020</v>
      </c>
      <c r="Z46" s="12" t="str">
        <v>Margaret Wright</v>
      </c>
      <c r="AA46" s="12" t="str">
        <v>P009</v>
      </c>
      <c r="AB46" s="12" t="str">
        <v>Monitor</v>
      </c>
      <c r="AC46" s="12" t="str">
        <v>Electronics</v>
      </c>
      <c r="AD46" s="12">
        <v>5</v>
      </c>
      <c r="AE46" s="12">
        <v>249.99</v>
      </c>
      <c r="AF46" s="12" t="str">
        <v>PayPal</v>
      </c>
      <c r="AG46" s="12" t="str">
        <v>East</v>
      </c>
      <c r="AH46" s="12" t="str">
        <v>Premium</v>
      </c>
      <c r="AI46" s="12">
        <v>44782</v>
      </c>
      <c r="AJ46" s="12">
        <v>1249.95</v>
      </c>
      <c r="AL46" s="12">
        <v>4749.91</v>
      </c>
    </row>
    <row r="47" spans="1:38" x14ac:dyDescent="0.3">
      <c r="A47" s="20" t="s">
        <v>160</v>
      </c>
      <c r="B47" s="16">
        <v>45450</v>
      </c>
      <c r="C47" s="15" t="s">
        <v>42</v>
      </c>
      <c r="D47" s="15" t="s">
        <v>43</v>
      </c>
      <c r="E47" s="15" t="s">
        <v>44</v>
      </c>
      <c r="F47" s="15" t="s">
        <v>45</v>
      </c>
      <c r="G47" s="15" t="s">
        <v>46</v>
      </c>
      <c r="H47" s="15">
        <v>2</v>
      </c>
      <c r="I47" s="15">
        <v>149.99</v>
      </c>
      <c r="J47" s="15" t="s">
        <v>20</v>
      </c>
      <c r="K47" s="15" t="s">
        <v>63</v>
      </c>
      <c r="L47" s="15" t="s">
        <v>27</v>
      </c>
      <c r="M47" s="16">
        <v>44645</v>
      </c>
      <c r="N47" s="17">
        <v>299.98</v>
      </c>
      <c r="O47" s="12" t="str">
        <f t="shared" si="1"/>
        <v>Jun</v>
      </c>
      <c r="P47" s="12">
        <f t="shared" si="2"/>
        <v>2024</v>
      </c>
      <c r="Q47" s="12">
        <f t="shared" ca="1" si="3"/>
        <v>1459</v>
      </c>
      <c r="R47" s="12">
        <f t="shared" si="4"/>
        <v>45473</v>
      </c>
      <c r="S47" s="18">
        <f t="shared" ca="1" si="5"/>
        <v>46104.411816550928</v>
      </c>
      <c r="T47" s="12" t="str">
        <f t="shared" si="6"/>
        <v>Low Sale</v>
      </c>
      <c r="U47" s="21">
        <f t="shared" si="0"/>
        <v>6169.7400000000007</v>
      </c>
      <c r="W47" s="12" t="str">
        <v>TRX0098</v>
      </c>
      <c r="X47" s="12">
        <v>45517</v>
      </c>
      <c r="Y47" s="12" t="str">
        <v>CUST026</v>
      </c>
      <c r="Z47" s="12" t="str">
        <v>Karen Hill</v>
      </c>
      <c r="AA47" s="12" t="str">
        <v>P009</v>
      </c>
      <c r="AB47" s="12" t="str">
        <v>Monitor</v>
      </c>
      <c r="AC47" s="12" t="str">
        <v>Electronics</v>
      </c>
      <c r="AD47" s="12">
        <v>3</v>
      </c>
      <c r="AE47" s="12">
        <v>249.99</v>
      </c>
      <c r="AF47" s="12" t="str">
        <v>PayPal</v>
      </c>
      <c r="AG47" s="12" t="str">
        <v>North</v>
      </c>
      <c r="AH47" s="12" t="str">
        <v>Premium</v>
      </c>
      <c r="AI47" s="12">
        <v>44465</v>
      </c>
      <c r="AJ47" s="12">
        <v>749.97</v>
      </c>
      <c r="AL47" s="12">
        <v>739.93000000000006</v>
      </c>
    </row>
    <row r="48" spans="1:38" x14ac:dyDescent="0.3">
      <c r="A48" s="20" t="s">
        <v>161</v>
      </c>
      <c r="B48" s="16">
        <v>45452</v>
      </c>
      <c r="C48" s="15" t="s">
        <v>162</v>
      </c>
      <c r="D48" s="15" t="s">
        <v>163</v>
      </c>
      <c r="E48" s="15" t="s">
        <v>31</v>
      </c>
      <c r="F48" s="15" t="s">
        <v>32</v>
      </c>
      <c r="G48" s="15" t="s">
        <v>33</v>
      </c>
      <c r="H48" s="15">
        <v>4</v>
      </c>
      <c r="I48" s="15">
        <v>59.99</v>
      </c>
      <c r="J48" s="15" t="s">
        <v>20</v>
      </c>
      <c r="K48" s="15" t="s">
        <v>63</v>
      </c>
      <c r="L48" s="15" t="s">
        <v>36</v>
      </c>
      <c r="M48" s="16">
        <v>44435</v>
      </c>
      <c r="N48" s="17">
        <v>239.96</v>
      </c>
      <c r="O48" s="12" t="str">
        <f t="shared" si="1"/>
        <v>Jun</v>
      </c>
      <c r="P48" s="12">
        <f t="shared" si="2"/>
        <v>2024</v>
      </c>
      <c r="Q48" s="12">
        <f t="shared" ca="1" si="3"/>
        <v>1669</v>
      </c>
      <c r="R48" s="12">
        <f t="shared" si="4"/>
        <v>45473</v>
      </c>
      <c r="S48" s="18">
        <f t="shared" ca="1" si="5"/>
        <v>46104.411816550928</v>
      </c>
      <c r="T48" s="12" t="str">
        <f t="shared" si="6"/>
        <v>Low Sale</v>
      </c>
      <c r="U48" s="21">
        <f t="shared" si="0"/>
        <v>239.96</v>
      </c>
      <c r="W48" s="12" t="str">
        <v>TRX0140</v>
      </c>
      <c r="X48" s="12">
        <v>45522</v>
      </c>
      <c r="Y48" s="12" t="str">
        <v>CUST025</v>
      </c>
      <c r="Z48" s="12" t="str">
        <v>Mark Carter</v>
      </c>
      <c r="AA48" s="12" t="str">
        <v>P010</v>
      </c>
      <c r="AB48" s="12" t="str">
        <v>Keyboard</v>
      </c>
      <c r="AC48" s="12" t="str">
        <v>Electronics</v>
      </c>
      <c r="AD48" s="12">
        <v>2</v>
      </c>
      <c r="AE48" s="12">
        <v>89.99</v>
      </c>
      <c r="AF48" s="12" t="str">
        <v>Cash</v>
      </c>
      <c r="AG48" s="12" t="str">
        <v>East</v>
      </c>
      <c r="AH48" s="12" t="str">
        <v>Premium</v>
      </c>
      <c r="AI48" s="12">
        <v>44972</v>
      </c>
      <c r="AJ48" s="12">
        <v>179.98</v>
      </c>
      <c r="AL48" s="12">
        <v>4829.8899999999994</v>
      </c>
    </row>
    <row r="49" spans="1:38" x14ac:dyDescent="0.3">
      <c r="A49" s="20" t="s">
        <v>164</v>
      </c>
      <c r="B49" s="16">
        <v>45456</v>
      </c>
      <c r="C49" s="15" t="s">
        <v>129</v>
      </c>
      <c r="D49" s="15" t="s">
        <v>130</v>
      </c>
      <c r="E49" s="15" t="s">
        <v>117</v>
      </c>
      <c r="F49" s="15" t="s">
        <v>118</v>
      </c>
      <c r="G49" s="15" t="s">
        <v>19</v>
      </c>
      <c r="H49" s="15">
        <v>5</v>
      </c>
      <c r="I49" s="15">
        <v>89.99</v>
      </c>
      <c r="J49" s="15" t="s">
        <v>20</v>
      </c>
      <c r="K49" s="15" t="s">
        <v>21</v>
      </c>
      <c r="L49" s="15" t="s">
        <v>27</v>
      </c>
      <c r="M49" s="16">
        <v>44579</v>
      </c>
      <c r="N49" s="17">
        <v>449.95</v>
      </c>
      <c r="O49" s="12" t="str">
        <f t="shared" si="1"/>
        <v>Jun</v>
      </c>
      <c r="P49" s="12">
        <f t="shared" si="2"/>
        <v>2024</v>
      </c>
      <c r="Q49" s="12">
        <f t="shared" ca="1" si="3"/>
        <v>1525</v>
      </c>
      <c r="R49" s="12">
        <f t="shared" si="4"/>
        <v>45473</v>
      </c>
      <c r="S49" s="18">
        <f t="shared" ca="1" si="5"/>
        <v>46104.411816550928</v>
      </c>
      <c r="T49" s="12" t="str">
        <f t="shared" si="6"/>
        <v>Low Sale</v>
      </c>
      <c r="U49" s="21">
        <f t="shared" si="0"/>
        <v>2039.8000000000002</v>
      </c>
      <c r="W49" s="12" t="str">
        <v>TRX0132</v>
      </c>
      <c r="X49" s="12">
        <v>45523</v>
      </c>
      <c r="Y49" s="12" t="str">
        <v>CUST047</v>
      </c>
      <c r="Z49" s="12" t="str">
        <v>Gerald Murphy</v>
      </c>
      <c r="AA49" s="12" t="str">
        <v>P001</v>
      </c>
      <c r="AB49" s="12" t="str">
        <v>Laptop</v>
      </c>
      <c r="AC49" s="12" t="str">
        <v>Electronics</v>
      </c>
      <c r="AD49" s="12">
        <v>5</v>
      </c>
      <c r="AE49" s="12">
        <v>899.99</v>
      </c>
      <c r="AF49" s="12" t="str">
        <v>Debit Card</v>
      </c>
      <c r="AG49" s="12" t="str">
        <v>East</v>
      </c>
      <c r="AH49" s="12" t="str">
        <v>Basic</v>
      </c>
      <c r="AI49" s="12">
        <v>44526</v>
      </c>
      <c r="AJ49" s="12">
        <v>4499.95</v>
      </c>
      <c r="AL49" s="12">
        <v>179.97</v>
      </c>
    </row>
    <row r="50" spans="1:38" x14ac:dyDescent="0.3">
      <c r="A50" s="20" t="s">
        <v>165</v>
      </c>
      <c r="B50" s="16">
        <v>45459</v>
      </c>
      <c r="C50" s="15" t="s">
        <v>99</v>
      </c>
      <c r="D50" s="15" t="s">
        <v>100</v>
      </c>
      <c r="E50" s="15" t="s">
        <v>117</v>
      </c>
      <c r="F50" s="15" t="s">
        <v>118</v>
      </c>
      <c r="G50" s="15" t="s">
        <v>19</v>
      </c>
      <c r="H50" s="15">
        <v>2</v>
      </c>
      <c r="I50" s="15">
        <v>89.99</v>
      </c>
      <c r="J50" s="15" t="s">
        <v>26</v>
      </c>
      <c r="K50" s="15" t="s">
        <v>35</v>
      </c>
      <c r="L50" s="15" t="s">
        <v>27</v>
      </c>
      <c r="M50" s="16">
        <v>44471</v>
      </c>
      <c r="N50" s="17">
        <v>179.98</v>
      </c>
      <c r="O50" s="12" t="str">
        <f t="shared" si="1"/>
        <v>Jun</v>
      </c>
      <c r="P50" s="12">
        <f t="shared" si="2"/>
        <v>2024</v>
      </c>
      <c r="Q50" s="12">
        <f t="shared" ca="1" si="3"/>
        <v>1633</v>
      </c>
      <c r="R50" s="12">
        <f t="shared" si="4"/>
        <v>45473</v>
      </c>
      <c r="S50" s="18">
        <f t="shared" ca="1" si="5"/>
        <v>46104.411816550928</v>
      </c>
      <c r="T50" s="12" t="str">
        <f t="shared" si="6"/>
        <v>Low Sale</v>
      </c>
      <c r="U50" s="21">
        <f t="shared" si="0"/>
        <v>9799.73</v>
      </c>
      <c r="W50" s="12" t="str">
        <v>TRX0031</v>
      </c>
      <c r="X50" s="12">
        <v>45523</v>
      </c>
      <c r="Y50" s="12" t="str">
        <v>CUST036</v>
      </c>
      <c r="Z50" s="12" t="str">
        <v>Nancy Collins</v>
      </c>
      <c r="AA50" s="12" t="str">
        <v>P003</v>
      </c>
      <c r="AB50" s="12" t="str">
        <v>Headphones</v>
      </c>
      <c r="AC50" s="12" t="str">
        <v>Electronics</v>
      </c>
      <c r="AD50" s="12">
        <v>3</v>
      </c>
      <c r="AE50" s="12">
        <v>149.99</v>
      </c>
      <c r="AF50" s="12" t="str">
        <v>PayPal</v>
      </c>
      <c r="AG50" s="12" t="str">
        <v>East</v>
      </c>
      <c r="AH50" s="12" t="str">
        <v>Basic</v>
      </c>
      <c r="AI50" s="12">
        <v>44574</v>
      </c>
      <c r="AJ50" s="12">
        <v>449.97</v>
      </c>
      <c r="AL50" s="12">
        <v>1559.94</v>
      </c>
    </row>
    <row r="51" spans="1:38" x14ac:dyDescent="0.3">
      <c r="A51" s="20" t="s">
        <v>166</v>
      </c>
      <c r="B51" s="16">
        <v>45459</v>
      </c>
      <c r="C51" s="15" t="s">
        <v>15</v>
      </c>
      <c r="D51" s="15" t="s">
        <v>16</v>
      </c>
      <c r="E51" s="15" t="s">
        <v>61</v>
      </c>
      <c r="F51" s="15" t="s">
        <v>62</v>
      </c>
      <c r="G51" s="15" t="s">
        <v>19</v>
      </c>
      <c r="H51" s="15">
        <v>5</v>
      </c>
      <c r="I51" s="15">
        <v>899.99</v>
      </c>
      <c r="J51" s="15" t="s">
        <v>26</v>
      </c>
      <c r="K51" s="15" t="s">
        <v>35</v>
      </c>
      <c r="L51" s="15" t="s">
        <v>36</v>
      </c>
      <c r="M51" s="16">
        <v>44974</v>
      </c>
      <c r="N51" s="17">
        <v>4499.95</v>
      </c>
      <c r="O51" s="12" t="str">
        <f t="shared" si="1"/>
        <v>Jun</v>
      </c>
      <c r="P51" s="12">
        <f t="shared" si="2"/>
        <v>2024</v>
      </c>
      <c r="Q51" s="12">
        <f t="shared" ca="1" si="3"/>
        <v>1130</v>
      </c>
      <c r="R51" s="12">
        <f t="shared" si="4"/>
        <v>45473</v>
      </c>
      <c r="S51" s="18">
        <f t="shared" ca="1" si="5"/>
        <v>46104.411816550928</v>
      </c>
      <c r="T51" s="12" t="str">
        <f t="shared" si="6"/>
        <v>High Sale</v>
      </c>
      <c r="U51" s="21">
        <f t="shared" si="0"/>
        <v>8309.739999999998</v>
      </c>
      <c r="W51" s="12" t="str">
        <v>TRX0037</v>
      </c>
      <c r="X51" s="12">
        <v>45528</v>
      </c>
      <c r="Y51" s="12" t="str">
        <v>CUST035</v>
      </c>
      <c r="Z51" s="12" t="str">
        <v>Harry Morgan</v>
      </c>
      <c r="AA51" s="12" t="str">
        <v>P009</v>
      </c>
      <c r="AB51" s="12" t="str">
        <v>Monitor</v>
      </c>
      <c r="AC51" s="12" t="str">
        <v>Electronics</v>
      </c>
      <c r="AD51" s="12">
        <v>2</v>
      </c>
      <c r="AE51" s="12">
        <v>249.99</v>
      </c>
      <c r="AF51" s="12" t="str">
        <v>Cash</v>
      </c>
      <c r="AG51" s="12" t="str">
        <v>South</v>
      </c>
      <c r="AH51" s="12" t="str">
        <v>Standard</v>
      </c>
      <c r="AI51" s="12">
        <v>44572</v>
      </c>
      <c r="AJ51" s="12">
        <v>499.98</v>
      </c>
      <c r="AL51" s="12">
        <v>599.96</v>
      </c>
    </row>
    <row r="52" spans="1:38" x14ac:dyDescent="0.3">
      <c r="A52" s="20" t="s">
        <v>167</v>
      </c>
      <c r="B52" s="16">
        <v>45459</v>
      </c>
      <c r="C52" s="15" t="s">
        <v>123</v>
      </c>
      <c r="D52" s="15" t="s">
        <v>124</v>
      </c>
      <c r="E52" s="15" t="s">
        <v>61</v>
      </c>
      <c r="F52" s="15" t="s">
        <v>62</v>
      </c>
      <c r="G52" s="15" t="s">
        <v>19</v>
      </c>
      <c r="H52" s="15">
        <v>5</v>
      </c>
      <c r="I52" s="15">
        <v>899.99</v>
      </c>
      <c r="J52" s="15" t="s">
        <v>34</v>
      </c>
      <c r="K52" s="15" t="s">
        <v>63</v>
      </c>
      <c r="L52" s="15" t="s">
        <v>27</v>
      </c>
      <c r="M52" s="16">
        <v>45278</v>
      </c>
      <c r="N52" s="17">
        <v>4499.95</v>
      </c>
      <c r="O52" s="12" t="str">
        <f t="shared" si="1"/>
        <v>Jun</v>
      </c>
      <c r="P52" s="12">
        <f t="shared" si="2"/>
        <v>2024</v>
      </c>
      <c r="Q52" s="12">
        <f t="shared" ca="1" si="3"/>
        <v>826</v>
      </c>
      <c r="R52" s="12">
        <f t="shared" si="4"/>
        <v>45473</v>
      </c>
      <c r="S52" s="18">
        <f t="shared" ca="1" si="5"/>
        <v>46104.411816550928</v>
      </c>
      <c r="T52" s="12" t="str">
        <f t="shared" si="6"/>
        <v>High Sale</v>
      </c>
      <c r="U52" s="21">
        <f t="shared" si="0"/>
        <v>11919.769999999999</v>
      </c>
      <c r="W52" s="12" t="str">
        <v>TRX0058</v>
      </c>
      <c r="X52" s="12">
        <v>45532</v>
      </c>
      <c r="Y52" s="12" t="str">
        <v>CUST047</v>
      </c>
      <c r="Z52" s="12" t="str">
        <v>Gerald Murphy</v>
      </c>
      <c r="AA52" s="12" t="str">
        <v>P002</v>
      </c>
      <c r="AB52" s="12" t="str">
        <v>Smartphone</v>
      </c>
      <c r="AC52" s="12" t="str">
        <v>Electronics</v>
      </c>
      <c r="AD52" s="12">
        <v>1</v>
      </c>
      <c r="AE52" s="12">
        <v>699.99</v>
      </c>
      <c r="AF52" s="12" t="str">
        <v>Cash</v>
      </c>
      <c r="AG52" s="12" t="str">
        <v>Central</v>
      </c>
      <c r="AH52" s="12" t="str">
        <v>Premium</v>
      </c>
      <c r="AI52" s="12">
        <v>44497</v>
      </c>
      <c r="AJ52" s="12">
        <v>699.99</v>
      </c>
      <c r="AL52" s="12"/>
    </row>
    <row r="53" spans="1:38" x14ac:dyDescent="0.3">
      <c r="A53" s="20" t="s">
        <v>168</v>
      </c>
      <c r="B53" s="16">
        <v>45460</v>
      </c>
      <c r="C53" s="15" t="s">
        <v>158</v>
      </c>
      <c r="D53" s="15" t="s">
        <v>159</v>
      </c>
      <c r="E53" s="15" t="s">
        <v>31</v>
      </c>
      <c r="F53" s="15" t="s">
        <v>32</v>
      </c>
      <c r="G53" s="15" t="s">
        <v>33</v>
      </c>
      <c r="H53" s="15">
        <v>1</v>
      </c>
      <c r="I53" s="15">
        <v>59.99</v>
      </c>
      <c r="J53" s="15" t="s">
        <v>57</v>
      </c>
      <c r="K53" s="15" t="s">
        <v>50</v>
      </c>
      <c r="L53" s="15" t="s">
        <v>27</v>
      </c>
      <c r="M53" s="16">
        <v>45190</v>
      </c>
      <c r="N53" s="17">
        <v>59.99</v>
      </c>
      <c r="O53" s="12" t="str">
        <f t="shared" si="1"/>
        <v>Jun</v>
      </c>
      <c r="P53" s="12">
        <f t="shared" si="2"/>
        <v>2024</v>
      </c>
      <c r="Q53" s="12">
        <f t="shared" ca="1" si="3"/>
        <v>914</v>
      </c>
      <c r="R53" s="12">
        <f t="shared" si="4"/>
        <v>45473</v>
      </c>
      <c r="S53" s="18">
        <f t="shared" ca="1" si="5"/>
        <v>46104.411816550928</v>
      </c>
      <c r="T53" s="12" t="str">
        <f t="shared" si="6"/>
        <v>Low Sale</v>
      </c>
      <c r="U53" s="21">
        <f t="shared" si="0"/>
        <v>5649.84</v>
      </c>
      <c r="W53" s="12" t="str">
        <v>TRX0170</v>
      </c>
      <c r="X53" s="12">
        <v>45532</v>
      </c>
      <c r="Y53" s="12" t="str">
        <v>CUST034</v>
      </c>
      <c r="Z53" s="12" t="str">
        <v>Carol Evans</v>
      </c>
      <c r="AA53" s="12" t="str">
        <v>P003</v>
      </c>
      <c r="AB53" s="12" t="str">
        <v>Headphones</v>
      </c>
      <c r="AC53" s="12" t="str">
        <v>Electronics</v>
      </c>
      <c r="AD53" s="12">
        <v>3</v>
      </c>
      <c r="AE53" s="12">
        <v>149.99</v>
      </c>
      <c r="AF53" s="12" t="str">
        <v>Cash</v>
      </c>
      <c r="AG53" s="12" t="str">
        <v>West</v>
      </c>
      <c r="AH53" s="12" t="str">
        <v>Premium</v>
      </c>
      <c r="AI53" s="12">
        <v>45212</v>
      </c>
      <c r="AJ53" s="12">
        <v>449.97</v>
      </c>
      <c r="AL53" s="12"/>
    </row>
    <row r="54" spans="1:38" x14ac:dyDescent="0.3">
      <c r="A54" s="20" t="s">
        <v>169</v>
      </c>
      <c r="B54" s="16">
        <v>45460</v>
      </c>
      <c r="C54" s="15" t="s">
        <v>141</v>
      </c>
      <c r="D54" s="15" t="s">
        <v>142</v>
      </c>
      <c r="E54" s="15" t="s">
        <v>105</v>
      </c>
      <c r="F54" s="15" t="s">
        <v>106</v>
      </c>
      <c r="G54" s="15" t="s">
        <v>46</v>
      </c>
      <c r="H54" s="15">
        <v>2</v>
      </c>
      <c r="I54" s="15">
        <v>299.99</v>
      </c>
      <c r="J54" s="15" t="s">
        <v>57</v>
      </c>
      <c r="K54" s="15" t="s">
        <v>63</v>
      </c>
      <c r="L54" s="15" t="s">
        <v>36</v>
      </c>
      <c r="M54" s="16">
        <v>45253</v>
      </c>
      <c r="N54" s="17">
        <v>599.98</v>
      </c>
      <c r="O54" s="12" t="str">
        <f t="shared" si="1"/>
        <v>Jun</v>
      </c>
      <c r="P54" s="12">
        <f t="shared" si="2"/>
        <v>2024</v>
      </c>
      <c r="Q54" s="12">
        <f t="shared" ca="1" si="3"/>
        <v>851</v>
      </c>
      <c r="R54" s="12">
        <f t="shared" si="4"/>
        <v>45473</v>
      </c>
      <c r="S54" s="18">
        <f t="shared" ca="1" si="5"/>
        <v>46104.411816550928</v>
      </c>
      <c r="T54" s="12" t="str">
        <f t="shared" si="6"/>
        <v>Low Sale</v>
      </c>
      <c r="U54" s="21">
        <f t="shared" si="0"/>
        <v>4739.8500000000004</v>
      </c>
      <c r="W54" s="12" t="str">
        <v>TRX0248</v>
      </c>
      <c r="X54" s="12">
        <v>45534</v>
      </c>
      <c r="Y54" s="12" t="str">
        <v>CUST032</v>
      </c>
      <c r="Z54" s="12" t="str">
        <v>Sandra Phillips</v>
      </c>
      <c r="AA54" s="12" t="str">
        <v>P002</v>
      </c>
      <c r="AB54" s="12" t="str">
        <v>Smartphone</v>
      </c>
      <c r="AC54" s="12" t="str">
        <v>Electronics</v>
      </c>
      <c r="AD54" s="12">
        <v>2</v>
      </c>
      <c r="AE54" s="12">
        <v>699.99</v>
      </c>
      <c r="AF54" s="12" t="str">
        <v>Credit Card</v>
      </c>
      <c r="AG54" s="12" t="str">
        <v>North</v>
      </c>
      <c r="AH54" s="12" t="str">
        <v>Premium</v>
      </c>
      <c r="AI54" s="12">
        <v>44421</v>
      </c>
      <c r="AJ54" s="12">
        <v>1399.98</v>
      </c>
      <c r="AL54" s="12"/>
    </row>
    <row r="55" spans="1:38" x14ac:dyDescent="0.3">
      <c r="A55" s="20" t="s">
        <v>170</v>
      </c>
      <c r="B55" s="16">
        <v>45468</v>
      </c>
      <c r="C55" s="15" t="s">
        <v>171</v>
      </c>
      <c r="D55" s="15" t="s">
        <v>172</v>
      </c>
      <c r="E55" s="15" t="s">
        <v>117</v>
      </c>
      <c r="F55" s="15" t="s">
        <v>118</v>
      </c>
      <c r="G55" s="15" t="s">
        <v>19</v>
      </c>
      <c r="H55" s="15">
        <v>4</v>
      </c>
      <c r="I55" s="15">
        <v>89.99</v>
      </c>
      <c r="J55" s="15" t="s">
        <v>57</v>
      </c>
      <c r="K55" s="15" t="s">
        <v>35</v>
      </c>
      <c r="L55" s="15" t="s">
        <v>22</v>
      </c>
      <c r="M55" s="16">
        <v>45281</v>
      </c>
      <c r="N55" s="17">
        <v>359.96</v>
      </c>
      <c r="O55" s="12" t="str">
        <f t="shared" si="1"/>
        <v>Jun</v>
      </c>
      <c r="P55" s="12">
        <f t="shared" si="2"/>
        <v>2024</v>
      </c>
      <c r="Q55" s="12">
        <f t="shared" ca="1" si="3"/>
        <v>823</v>
      </c>
      <c r="R55" s="12">
        <f t="shared" si="4"/>
        <v>45473</v>
      </c>
      <c r="S55" s="18">
        <f t="shared" ca="1" si="5"/>
        <v>46104.411816550928</v>
      </c>
      <c r="T55" s="12" t="str">
        <f t="shared" si="6"/>
        <v>Low Sale</v>
      </c>
      <c r="U55" s="21">
        <f t="shared" si="0"/>
        <v>3669.8500000000004</v>
      </c>
      <c r="W55" s="12" t="str">
        <v>TRX0099</v>
      </c>
      <c r="X55" s="12">
        <v>45537</v>
      </c>
      <c r="Y55" s="12" t="str">
        <v>CUST034</v>
      </c>
      <c r="Z55" s="12" t="str">
        <v>Carol Evans</v>
      </c>
      <c r="AA55" s="12" t="str">
        <v>P009</v>
      </c>
      <c r="AB55" s="12" t="str">
        <v>Monitor</v>
      </c>
      <c r="AC55" s="12" t="str">
        <v>Electronics</v>
      </c>
      <c r="AD55" s="12">
        <v>1</v>
      </c>
      <c r="AE55" s="12">
        <v>249.99</v>
      </c>
      <c r="AF55" s="12" t="str">
        <v>Credit Card</v>
      </c>
      <c r="AG55" s="12" t="str">
        <v>West</v>
      </c>
      <c r="AH55" s="12" t="str">
        <v>Premium</v>
      </c>
      <c r="AI55" s="12">
        <v>44685</v>
      </c>
      <c r="AJ55" s="12">
        <v>249.99</v>
      </c>
      <c r="AL55" s="12"/>
    </row>
    <row r="56" spans="1:38" x14ac:dyDescent="0.3">
      <c r="A56" s="20" t="s">
        <v>173</v>
      </c>
      <c r="B56" s="16">
        <v>45469</v>
      </c>
      <c r="C56" s="15" t="s">
        <v>29</v>
      </c>
      <c r="D56" s="15" t="s">
        <v>30</v>
      </c>
      <c r="E56" s="15" t="s">
        <v>114</v>
      </c>
      <c r="F56" s="15" t="s">
        <v>115</v>
      </c>
      <c r="G56" s="15" t="s">
        <v>33</v>
      </c>
      <c r="H56" s="15">
        <v>1</v>
      </c>
      <c r="I56" s="15">
        <v>79.989999999999995</v>
      </c>
      <c r="J56" s="15" t="s">
        <v>34</v>
      </c>
      <c r="K56" s="15" t="s">
        <v>21</v>
      </c>
      <c r="L56" s="15" t="s">
        <v>27</v>
      </c>
      <c r="M56" s="16">
        <v>45352</v>
      </c>
      <c r="N56" s="17">
        <v>79.989999999999995</v>
      </c>
      <c r="O56" s="12" t="str">
        <f t="shared" si="1"/>
        <v>Jun</v>
      </c>
      <c r="P56" s="12">
        <f t="shared" si="2"/>
        <v>2024</v>
      </c>
      <c r="Q56" s="12">
        <f t="shared" ca="1" si="3"/>
        <v>752</v>
      </c>
      <c r="R56" s="12">
        <f t="shared" si="4"/>
        <v>45473</v>
      </c>
      <c r="S56" s="18">
        <f t="shared" ca="1" si="5"/>
        <v>46104.411816550928</v>
      </c>
      <c r="T56" s="12" t="str">
        <f t="shared" si="6"/>
        <v>Low Sale</v>
      </c>
      <c r="U56" s="21">
        <f t="shared" si="0"/>
        <v>3259.87</v>
      </c>
      <c r="W56" s="12" t="str">
        <v>TRX0074</v>
      </c>
      <c r="X56" s="12">
        <v>45537</v>
      </c>
      <c r="Y56" s="12" t="str">
        <v>CUST023</v>
      </c>
      <c r="Z56" s="12" t="str">
        <v>Paul Baker</v>
      </c>
      <c r="AA56" s="12" t="str">
        <v>P009</v>
      </c>
      <c r="AB56" s="12" t="str">
        <v>Monitor</v>
      </c>
      <c r="AC56" s="12" t="str">
        <v>Electronics</v>
      </c>
      <c r="AD56" s="12">
        <v>1</v>
      </c>
      <c r="AE56" s="12">
        <v>249.99</v>
      </c>
      <c r="AF56" s="12" t="str">
        <v>Debit Card</v>
      </c>
      <c r="AG56" s="12" t="str">
        <v>North</v>
      </c>
      <c r="AH56" s="12" t="str">
        <v>Premium</v>
      </c>
      <c r="AI56" s="12">
        <v>45332</v>
      </c>
      <c r="AJ56" s="12">
        <v>249.99</v>
      </c>
      <c r="AL56" s="12"/>
    </row>
    <row r="57" spans="1:38" x14ac:dyDescent="0.3">
      <c r="A57" s="20" t="s">
        <v>174</v>
      </c>
      <c r="B57" s="16">
        <v>45469</v>
      </c>
      <c r="C57" s="15" t="s">
        <v>59</v>
      </c>
      <c r="D57" s="15" t="s">
        <v>60</v>
      </c>
      <c r="E57" s="15" t="s">
        <v>117</v>
      </c>
      <c r="F57" s="15" t="s">
        <v>118</v>
      </c>
      <c r="G57" s="15" t="s">
        <v>19</v>
      </c>
      <c r="H57" s="15">
        <v>2</v>
      </c>
      <c r="I57" s="15">
        <v>89.99</v>
      </c>
      <c r="J57" s="15" t="s">
        <v>20</v>
      </c>
      <c r="K57" s="15" t="s">
        <v>50</v>
      </c>
      <c r="L57" s="15" t="s">
        <v>22</v>
      </c>
      <c r="M57" s="16">
        <v>44438</v>
      </c>
      <c r="N57" s="17">
        <v>179.98</v>
      </c>
      <c r="O57" s="12" t="str">
        <f t="shared" si="1"/>
        <v>Jun</v>
      </c>
      <c r="P57" s="12">
        <f t="shared" si="2"/>
        <v>2024</v>
      </c>
      <c r="Q57" s="12">
        <f t="shared" ca="1" si="3"/>
        <v>1666</v>
      </c>
      <c r="R57" s="12">
        <f t="shared" si="4"/>
        <v>45473</v>
      </c>
      <c r="S57" s="18">
        <f t="shared" ca="1" si="5"/>
        <v>46104.411816550928</v>
      </c>
      <c r="T57" s="12" t="str">
        <f t="shared" si="6"/>
        <v>Low Sale</v>
      </c>
      <c r="U57" s="21">
        <f t="shared" si="0"/>
        <v>3509.8999999999996</v>
      </c>
      <c r="W57" s="12" t="str">
        <v>TRX0225</v>
      </c>
      <c r="X57" s="12">
        <v>45538</v>
      </c>
      <c r="Y57" s="12" t="str">
        <v>CUST039</v>
      </c>
      <c r="Z57" s="12" t="str">
        <v>Lawrence Reed</v>
      </c>
      <c r="AA57" s="12" t="str">
        <v>P002</v>
      </c>
      <c r="AB57" s="12" t="str">
        <v>Smartphone</v>
      </c>
      <c r="AC57" s="12" t="str">
        <v>Electronics</v>
      </c>
      <c r="AD57" s="12">
        <v>2</v>
      </c>
      <c r="AE57" s="12">
        <v>699.99</v>
      </c>
      <c r="AF57" s="12" t="str">
        <v>Debit Card</v>
      </c>
      <c r="AG57" s="12" t="str">
        <v>Central</v>
      </c>
      <c r="AH57" s="12" t="str">
        <v>Premium</v>
      </c>
      <c r="AI57" s="12">
        <v>44870</v>
      </c>
      <c r="AJ57" s="12">
        <v>1399.98</v>
      </c>
      <c r="AL57" s="12"/>
    </row>
    <row r="58" spans="1:38" x14ac:dyDescent="0.3">
      <c r="A58" s="20" t="s">
        <v>175</v>
      </c>
      <c r="B58" s="16">
        <v>45471</v>
      </c>
      <c r="C58" s="15" t="s">
        <v>38</v>
      </c>
      <c r="D58" s="15" t="s">
        <v>39</v>
      </c>
      <c r="E58" s="15" t="s">
        <v>80</v>
      </c>
      <c r="F58" s="15" t="s">
        <v>81</v>
      </c>
      <c r="G58" s="15" t="s">
        <v>19</v>
      </c>
      <c r="H58" s="15">
        <v>3</v>
      </c>
      <c r="I58" s="15">
        <v>699.99</v>
      </c>
      <c r="J58" s="15" t="s">
        <v>26</v>
      </c>
      <c r="K58" s="15" t="s">
        <v>63</v>
      </c>
      <c r="L58" s="15" t="s">
        <v>27</v>
      </c>
      <c r="M58" s="16">
        <v>45102</v>
      </c>
      <c r="N58" s="17">
        <v>2099.9699999999998</v>
      </c>
      <c r="O58" s="12" t="str">
        <f t="shared" si="1"/>
        <v>Jun</v>
      </c>
      <c r="P58" s="12">
        <f t="shared" si="2"/>
        <v>2024</v>
      </c>
      <c r="Q58" s="12">
        <f t="shared" ca="1" si="3"/>
        <v>1002</v>
      </c>
      <c r="R58" s="12">
        <f t="shared" si="4"/>
        <v>45473</v>
      </c>
      <c r="S58" s="18">
        <f t="shared" ca="1" si="5"/>
        <v>46104.411816550928</v>
      </c>
      <c r="T58" s="12" t="str">
        <f t="shared" si="6"/>
        <v>High Sale</v>
      </c>
      <c r="U58" s="21">
        <f t="shared" si="0"/>
        <v>4309.8099999999995</v>
      </c>
      <c r="W58" s="12" t="str">
        <v>TRX0211</v>
      </c>
      <c r="X58" s="12">
        <v>45548</v>
      </c>
      <c r="Y58" s="12" t="str">
        <v>CUST046</v>
      </c>
      <c r="Z58" s="12" t="str">
        <v>Kathleen Bennett</v>
      </c>
      <c r="AA58" s="12" t="str">
        <v>P010</v>
      </c>
      <c r="AB58" s="12" t="str">
        <v>Keyboard</v>
      </c>
      <c r="AC58" s="12" t="str">
        <v>Electronics</v>
      </c>
      <c r="AD58" s="12">
        <v>2</v>
      </c>
      <c r="AE58" s="12">
        <v>89.99</v>
      </c>
      <c r="AF58" s="12" t="str">
        <v>Credit Card</v>
      </c>
      <c r="AG58" s="12" t="str">
        <v>South</v>
      </c>
      <c r="AH58" s="12" t="str">
        <v>Premium</v>
      </c>
      <c r="AI58" s="12">
        <v>44641</v>
      </c>
      <c r="AJ58" s="12">
        <v>179.98</v>
      </c>
      <c r="AL58" s="12"/>
    </row>
    <row r="59" spans="1:38" x14ac:dyDescent="0.3">
      <c r="A59" s="20" t="s">
        <v>176</v>
      </c>
      <c r="B59" s="16">
        <v>45471</v>
      </c>
      <c r="C59" s="15" t="s">
        <v>99</v>
      </c>
      <c r="D59" s="15" t="s">
        <v>100</v>
      </c>
      <c r="E59" s="15" t="s">
        <v>61</v>
      </c>
      <c r="F59" s="15" t="s">
        <v>62</v>
      </c>
      <c r="G59" s="15" t="s">
        <v>19</v>
      </c>
      <c r="H59" s="15">
        <v>4</v>
      </c>
      <c r="I59" s="15">
        <v>899.99</v>
      </c>
      <c r="J59" s="15" t="s">
        <v>26</v>
      </c>
      <c r="K59" s="15" t="s">
        <v>63</v>
      </c>
      <c r="L59" s="15" t="s">
        <v>27</v>
      </c>
      <c r="M59" s="16">
        <v>44993</v>
      </c>
      <c r="N59" s="17">
        <v>3599.96</v>
      </c>
      <c r="O59" s="12" t="str">
        <f t="shared" si="1"/>
        <v>Jun</v>
      </c>
      <c r="P59" s="12">
        <f t="shared" si="2"/>
        <v>2024</v>
      </c>
      <c r="Q59" s="12">
        <f t="shared" ca="1" si="3"/>
        <v>1111</v>
      </c>
      <c r="R59" s="12">
        <f t="shared" si="4"/>
        <v>45473</v>
      </c>
      <c r="S59" s="18">
        <f t="shared" ca="1" si="5"/>
        <v>46104.411816550928</v>
      </c>
      <c r="T59" s="12" t="str">
        <f t="shared" si="6"/>
        <v>High Sale</v>
      </c>
      <c r="U59" s="21">
        <f t="shared" si="0"/>
        <v>9799.73</v>
      </c>
      <c r="W59" s="12" t="str">
        <v>TRX0005</v>
      </c>
      <c r="X59" s="12">
        <v>45550</v>
      </c>
      <c r="Y59" s="12" t="str">
        <v>CUST042</v>
      </c>
      <c r="Z59" s="12" t="str">
        <v>Ruth Brooks</v>
      </c>
      <c r="AA59" s="12" t="str">
        <v>P003</v>
      </c>
      <c r="AB59" s="12" t="str">
        <v>Headphones</v>
      </c>
      <c r="AC59" s="12" t="str">
        <v>Electronics</v>
      </c>
      <c r="AD59" s="12">
        <v>4</v>
      </c>
      <c r="AE59" s="12">
        <v>149.99</v>
      </c>
      <c r="AF59" s="12" t="str">
        <v>Cash</v>
      </c>
      <c r="AG59" s="12" t="str">
        <v>North</v>
      </c>
      <c r="AH59" s="12" t="str">
        <v>Basic</v>
      </c>
      <c r="AI59" s="12">
        <v>44909</v>
      </c>
      <c r="AJ59" s="12">
        <v>599.96</v>
      </c>
      <c r="AL59" s="12"/>
    </row>
    <row r="60" spans="1:38" x14ac:dyDescent="0.3">
      <c r="A60" s="20" t="s">
        <v>177</v>
      </c>
      <c r="B60" s="16">
        <v>45472</v>
      </c>
      <c r="C60" s="15" t="s">
        <v>120</v>
      </c>
      <c r="D60" s="15" t="s">
        <v>121</v>
      </c>
      <c r="E60" s="15" t="s">
        <v>44</v>
      </c>
      <c r="F60" s="15" t="s">
        <v>45</v>
      </c>
      <c r="G60" s="15" t="s">
        <v>46</v>
      </c>
      <c r="H60" s="15">
        <v>1</v>
      </c>
      <c r="I60" s="15">
        <v>149.99</v>
      </c>
      <c r="J60" s="15" t="s">
        <v>34</v>
      </c>
      <c r="K60" s="15" t="s">
        <v>63</v>
      </c>
      <c r="L60" s="15" t="s">
        <v>22</v>
      </c>
      <c r="M60" s="16">
        <v>44851</v>
      </c>
      <c r="N60" s="17">
        <v>149.99</v>
      </c>
      <c r="O60" s="12" t="str">
        <f t="shared" si="1"/>
        <v>Jun</v>
      </c>
      <c r="P60" s="12">
        <f t="shared" si="2"/>
        <v>2024</v>
      </c>
      <c r="Q60" s="12">
        <f t="shared" ca="1" si="3"/>
        <v>1253</v>
      </c>
      <c r="R60" s="12">
        <f t="shared" si="4"/>
        <v>45473</v>
      </c>
      <c r="S60" s="18">
        <f t="shared" ca="1" si="5"/>
        <v>46104.411816550928</v>
      </c>
      <c r="T60" s="12" t="str">
        <f t="shared" si="6"/>
        <v>Low Sale</v>
      </c>
      <c r="U60" s="21">
        <f t="shared" si="0"/>
        <v>6459.79</v>
      </c>
      <c r="W60" s="12" t="str">
        <v>TRX0195</v>
      </c>
      <c r="X60" s="12">
        <v>45551</v>
      </c>
      <c r="Y60" s="12" t="str">
        <v>CUST026</v>
      </c>
      <c r="Z60" s="12" t="str">
        <v>Karen Hill</v>
      </c>
      <c r="AA60" s="12" t="str">
        <v>P009</v>
      </c>
      <c r="AB60" s="12" t="str">
        <v>Monitor</v>
      </c>
      <c r="AC60" s="12" t="str">
        <v>Electronics</v>
      </c>
      <c r="AD60" s="12">
        <v>2</v>
      </c>
      <c r="AE60" s="12">
        <v>249.99</v>
      </c>
      <c r="AF60" s="12" t="str">
        <v>PayPal</v>
      </c>
      <c r="AG60" s="12" t="str">
        <v>South</v>
      </c>
      <c r="AH60" s="12" t="str">
        <v>Basic</v>
      </c>
      <c r="AI60" s="12">
        <v>44993</v>
      </c>
      <c r="AJ60" s="12">
        <v>499.98</v>
      </c>
      <c r="AL60" s="12"/>
    </row>
    <row r="61" spans="1:38" x14ac:dyDescent="0.3">
      <c r="A61" s="20" t="s">
        <v>178</v>
      </c>
      <c r="B61" s="16">
        <v>45474</v>
      </c>
      <c r="C61" s="15" t="s">
        <v>132</v>
      </c>
      <c r="D61" s="15" t="s">
        <v>133</v>
      </c>
      <c r="E61" s="15" t="s">
        <v>117</v>
      </c>
      <c r="F61" s="15" t="s">
        <v>118</v>
      </c>
      <c r="G61" s="15" t="s">
        <v>19</v>
      </c>
      <c r="H61" s="15">
        <v>2</v>
      </c>
      <c r="I61" s="15">
        <v>89.99</v>
      </c>
      <c r="J61" s="15" t="s">
        <v>34</v>
      </c>
      <c r="K61" s="15" t="s">
        <v>21</v>
      </c>
      <c r="L61" s="15" t="s">
        <v>27</v>
      </c>
      <c r="M61" s="16">
        <v>45275</v>
      </c>
      <c r="N61" s="17">
        <v>179.98</v>
      </c>
      <c r="O61" s="12" t="str">
        <f t="shared" si="1"/>
        <v>Jul</v>
      </c>
      <c r="P61" s="12">
        <f t="shared" si="2"/>
        <v>2024</v>
      </c>
      <c r="Q61" s="12">
        <f t="shared" ca="1" si="3"/>
        <v>829</v>
      </c>
      <c r="R61" s="12">
        <f t="shared" si="4"/>
        <v>45504</v>
      </c>
      <c r="S61" s="18">
        <f t="shared" ca="1" si="5"/>
        <v>46104.411816550928</v>
      </c>
      <c r="T61" s="12" t="str">
        <f t="shared" si="6"/>
        <v>Low Sale</v>
      </c>
      <c r="U61" s="21">
        <f t="shared" si="0"/>
        <v>1229.8800000000001</v>
      </c>
      <c r="W61" s="12" t="str">
        <v>TRX0077</v>
      </c>
      <c r="X61" s="12">
        <v>45554</v>
      </c>
      <c r="Y61" s="12" t="str">
        <v>CUST019</v>
      </c>
      <c r="Z61" s="12" t="str">
        <v>Daniel King</v>
      </c>
      <c r="AA61" s="12" t="str">
        <v>P010</v>
      </c>
      <c r="AB61" s="12" t="str">
        <v>Keyboard</v>
      </c>
      <c r="AC61" s="12" t="str">
        <v>Electronics</v>
      </c>
      <c r="AD61" s="12">
        <v>5</v>
      </c>
      <c r="AE61" s="12">
        <v>89.99</v>
      </c>
      <c r="AF61" s="12" t="str">
        <v>Credit Card</v>
      </c>
      <c r="AG61" s="12" t="str">
        <v>East</v>
      </c>
      <c r="AH61" s="12" t="str">
        <v>Premium</v>
      </c>
      <c r="AI61" s="12">
        <v>44446</v>
      </c>
      <c r="AJ61" s="12">
        <v>449.95</v>
      </c>
      <c r="AL61" s="12"/>
    </row>
    <row r="62" spans="1:38" x14ac:dyDescent="0.3">
      <c r="A62" s="20" t="s">
        <v>179</v>
      </c>
      <c r="B62" s="16">
        <v>45475</v>
      </c>
      <c r="C62" s="15" t="s">
        <v>55</v>
      </c>
      <c r="D62" s="15" t="s">
        <v>56</v>
      </c>
      <c r="E62" s="15" t="s">
        <v>117</v>
      </c>
      <c r="F62" s="15" t="s">
        <v>118</v>
      </c>
      <c r="G62" s="15" t="s">
        <v>19</v>
      </c>
      <c r="H62" s="15">
        <v>1</v>
      </c>
      <c r="I62" s="15">
        <v>89.99</v>
      </c>
      <c r="J62" s="15" t="s">
        <v>34</v>
      </c>
      <c r="K62" s="15" t="s">
        <v>50</v>
      </c>
      <c r="L62" s="15" t="s">
        <v>36</v>
      </c>
      <c r="M62" s="16">
        <v>44802</v>
      </c>
      <c r="N62" s="17">
        <v>89.99</v>
      </c>
      <c r="O62" s="12" t="str">
        <f t="shared" si="1"/>
        <v>Jul</v>
      </c>
      <c r="P62" s="12">
        <f t="shared" si="2"/>
        <v>2024</v>
      </c>
      <c r="Q62" s="12">
        <f t="shared" ca="1" si="3"/>
        <v>1302</v>
      </c>
      <c r="R62" s="12">
        <f t="shared" si="4"/>
        <v>45504</v>
      </c>
      <c r="S62" s="18">
        <f t="shared" ca="1" si="5"/>
        <v>46104.411816550928</v>
      </c>
      <c r="T62" s="12" t="str">
        <f t="shared" si="6"/>
        <v>Low Sale</v>
      </c>
      <c r="U62" s="21">
        <f t="shared" si="0"/>
        <v>5089.7300000000005</v>
      </c>
      <c r="W62" s="12" t="str">
        <v>TRX0111</v>
      </c>
      <c r="X62" s="12">
        <v>45554</v>
      </c>
      <c r="Y62" s="12" t="str">
        <v>CUST011</v>
      </c>
      <c r="Z62" s="12" t="str">
        <v>William White</v>
      </c>
      <c r="AA62" s="12" t="str">
        <v>P003</v>
      </c>
      <c r="AB62" s="12" t="str">
        <v>Headphones</v>
      </c>
      <c r="AC62" s="12" t="str">
        <v>Electronics</v>
      </c>
      <c r="AD62" s="12">
        <v>1</v>
      </c>
      <c r="AE62" s="12">
        <v>149.99</v>
      </c>
      <c r="AF62" s="12" t="str">
        <v>PayPal</v>
      </c>
      <c r="AG62" s="12" t="str">
        <v>East</v>
      </c>
      <c r="AH62" s="12" t="str">
        <v>Standard</v>
      </c>
      <c r="AI62" s="12">
        <v>44482</v>
      </c>
      <c r="AJ62" s="12">
        <v>149.99</v>
      </c>
      <c r="AL62" s="12"/>
    </row>
    <row r="63" spans="1:38" x14ac:dyDescent="0.3">
      <c r="A63" s="20" t="s">
        <v>180</v>
      </c>
      <c r="B63" s="16">
        <v>45476</v>
      </c>
      <c r="C63" s="15" t="s">
        <v>68</v>
      </c>
      <c r="D63" s="15" t="s">
        <v>69</v>
      </c>
      <c r="E63" s="15" t="s">
        <v>117</v>
      </c>
      <c r="F63" s="15" t="s">
        <v>118</v>
      </c>
      <c r="G63" s="15" t="s">
        <v>19</v>
      </c>
      <c r="H63" s="15">
        <v>1</v>
      </c>
      <c r="I63" s="15">
        <v>89.99</v>
      </c>
      <c r="J63" s="15" t="s">
        <v>20</v>
      </c>
      <c r="K63" s="15" t="s">
        <v>35</v>
      </c>
      <c r="L63" s="15" t="s">
        <v>36</v>
      </c>
      <c r="M63" s="16">
        <v>44611</v>
      </c>
      <c r="N63" s="17">
        <v>89.99</v>
      </c>
      <c r="O63" s="12" t="str">
        <f t="shared" si="1"/>
        <v>Jul</v>
      </c>
      <c r="P63" s="12">
        <f t="shared" si="2"/>
        <v>2024</v>
      </c>
      <c r="Q63" s="12">
        <f t="shared" ca="1" si="3"/>
        <v>1493</v>
      </c>
      <c r="R63" s="12">
        <f t="shared" si="4"/>
        <v>45504</v>
      </c>
      <c r="S63" s="18">
        <f t="shared" ca="1" si="5"/>
        <v>46104.411816550928</v>
      </c>
      <c r="T63" s="12" t="str">
        <f t="shared" si="6"/>
        <v>Low Sale</v>
      </c>
      <c r="U63" s="21">
        <f t="shared" si="0"/>
        <v>1979.89</v>
      </c>
      <c r="W63" s="12" t="str">
        <v>TRX0123</v>
      </c>
      <c r="X63" s="12">
        <v>45554</v>
      </c>
      <c r="Y63" s="12" t="str">
        <v>CUST041</v>
      </c>
      <c r="Z63" s="12" t="str">
        <v>Peter Richardson</v>
      </c>
      <c r="AA63" s="12" t="str">
        <v>P002</v>
      </c>
      <c r="AB63" s="12" t="str">
        <v>Smartphone</v>
      </c>
      <c r="AC63" s="12" t="str">
        <v>Electronics</v>
      </c>
      <c r="AD63" s="12">
        <v>4</v>
      </c>
      <c r="AE63" s="12">
        <v>699.99</v>
      </c>
      <c r="AF63" s="12" t="str">
        <v>PayPal</v>
      </c>
      <c r="AG63" s="12" t="str">
        <v>South</v>
      </c>
      <c r="AH63" s="12" t="str">
        <v>Basic</v>
      </c>
      <c r="AI63" s="12">
        <v>44618</v>
      </c>
      <c r="AJ63" s="12">
        <v>2799.96</v>
      </c>
      <c r="AL63" s="12"/>
    </row>
    <row r="64" spans="1:38" x14ac:dyDescent="0.3">
      <c r="A64" s="20" t="s">
        <v>181</v>
      </c>
      <c r="B64" s="16">
        <v>45476</v>
      </c>
      <c r="C64" s="15" t="s">
        <v>182</v>
      </c>
      <c r="D64" s="15" t="s">
        <v>183</v>
      </c>
      <c r="E64" s="15" t="s">
        <v>114</v>
      </c>
      <c r="F64" s="15" t="s">
        <v>115</v>
      </c>
      <c r="G64" s="15" t="s">
        <v>33</v>
      </c>
      <c r="H64" s="15">
        <v>5</v>
      </c>
      <c r="I64" s="15">
        <v>79.989999999999995</v>
      </c>
      <c r="J64" s="15" t="s">
        <v>57</v>
      </c>
      <c r="K64" s="15" t="s">
        <v>21</v>
      </c>
      <c r="L64" s="15" t="s">
        <v>22</v>
      </c>
      <c r="M64" s="16">
        <v>44981</v>
      </c>
      <c r="N64" s="17">
        <v>399.95</v>
      </c>
      <c r="O64" s="12" t="str">
        <f t="shared" si="1"/>
        <v>Jul</v>
      </c>
      <c r="P64" s="12">
        <f t="shared" si="2"/>
        <v>2024</v>
      </c>
      <c r="Q64" s="12">
        <f t="shared" ca="1" si="3"/>
        <v>1123</v>
      </c>
      <c r="R64" s="12">
        <f t="shared" si="4"/>
        <v>45504</v>
      </c>
      <c r="S64" s="18">
        <f t="shared" ca="1" si="5"/>
        <v>46104.411816550928</v>
      </c>
      <c r="T64" s="12" t="str">
        <f t="shared" si="6"/>
        <v>Low Sale</v>
      </c>
      <c r="U64" s="21">
        <f t="shared" si="0"/>
        <v>1809.84</v>
      </c>
      <c r="W64" s="12" t="str">
        <v>TRX0177</v>
      </c>
      <c r="X64" s="12">
        <v>45559</v>
      </c>
      <c r="Y64" s="12" t="str">
        <v>CUST032</v>
      </c>
      <c r="Z64" s="12" t="str">
        <v>Sandra Phillips</v>
      </c>
      <c r="AA64" s="12" t="str">
        <v>P001</v>
      </c>
      <c r="AB64" s="12" t="str">
        <v>Laptop</v>
      </c>
      <c r="AC64" s="12" t="str">
        <v>Electronics</v>
      </c>
      <c r="AD64" s="12">
        <v>3</v>
      </c>
      <c r="AE64" s="12">
        <v>899.99</v>
      </c>
      <c r="AF64" s="12" t="str">
        <v>Credit Card</v>
      </c>
      <c r="AG64" s="12" t="str">
        <v>North</v>
      </c>
      <c r="AH64" s="12" t="str">
        <v>Standard</v>
      </c>
      <c r="AI64" s="12">
        <v>45157</v>
      </c>
      <c r="AJ64" s="12">
        <v>2699.97</v>
      </c>
      <c r="AL64" s="12"/>
    </row>
    <row r="65" spans="1:38" x14ac:dyDescent="0.3">
      <c r="A65" s="20" t="s">
        <v>184</v>
      </c>
      <c r="B65" s="16">
        <v>45481</v>
      </c>
      <c r="C65" s="15" t="s">
        <v>185</v>
      </c>
      <c r="D65" s="15" t="s">
        <v>186</v>
      </c>
      <c r="E65" s="15" t="s">
        <v>44</v>
      </c>
      <c r="F65" s="15" t="s">
        <v>45</v>
      </c>
      <c r="G65" s="15" t="s">
        <v>46</v>
      </c>
      <c r="H65" s="15">
        <v>1</v>
      </c>
      <c r="I65" s="15">
        <v>149.99</v>
      </c>
      <c r="J65" s="15" t="s">
        <v>34</v>
      </c>
      <c r="K65" s="15" t="s">
        <v>40</v>
      </c>
      <c r="L65" s="15" t="s">
        <v>22</v>
      </c>
      <c r="M65" s="16">
        <v>44421</v>
      </c>
      <c r="N65" s="17">
        <v>149.99</v>
      </c>
      <c r="O65" s="12" t="str">
        <f t="shared" si="1"/>
        <v>Jul</v>
      </c>
      <c r="P65" s="12">
        <f t="shared" si="2"/>
        <v>2024</v>
      </c>
      <c r="Q65" s="12">
        <f t="shared" ca="1" si="3"/>
        <v>1683</v>
      </c>
      <c r="R65" s="12">
        <f t="shared" si="4"/>
        <v>45504</v>
      </c>
      <c r="S65" s="18">
        <f t="shared" ca="1" si="5"/>
        <v>46104.411816550928</v>
      </c>
      <c r="T65" s="12" t="str">
        <f t="shared" si="6"/>
        <v>Low Sale</v>
      </c>
      <c r="U65" s="21">
        <f t="shared" si="0"/>
        <v>2099.88</v>
      </c>
      <c r="W65" s="12" t="str">
        <v>TRX0203</v>
      </c>
      <c r="X65" s="12">
        <v>45572</v>
      </c>
      <c r="Y65" s="12" t="str">
        <v>CUST032</v>
      </c>
      <c r="Z65" s="12" t="str">
        <v>Sandra Phillips</v>
      </c>
      <c r="AA65" s="12" t="str">
        <v>P003</v>
      </c>
      <c r="AB65" s="12" t="str">
        <v>Headphones</v>
      </c>
      <c r="AC65" s="12" t="str">
        <v>Electronics</v>
      </c>
      <c r="AD65" s="12">
        <v>4</v>
      </c>
      <c r="AE65" s="12">
        <v>149.99</v>
      </c>
      <c r="AF65" s="12" t="str">
        <v>Credit Card</v>
      </c>
      <c r="AG65" s="12" t="str">
        <v>North</v>
      </c>
      <c r="AH65" s="12" t="str">
        <v>Premium</v>
      </c>
      <c r="AI65" s="12">
        <v>45076</v>
      </c>
      <c r="AJ65" s="12">
        <v>599.96</v>
      </c>
      <c r="AL65" s="12"/>
    </row>
    <row r="66" spans="1:38" x14ac:dyDescent="0.3">
      <c r="A66" s="20" t="s">
        <v>187</v>
      </c>
      <c r="B66" s="16">
        <v>45481</v>
      </c>
      <c r="C66" s="15" t="s">
        <v>42</v>
      </c>
      <c r="D66" s="15" t="s">
        <v>43</v>
      </c>
      <c r="E66" s="15" t="s">
        <v>80</v>
      </c>
      <c r="F66" s="15" t="s">
        <v>81</v>
      </c>
      <c r="G66" s="15" t="s">
        <v>19</v>
      </c>
      <c r="H66" s="15">
        <v>2</v>
      </c>
      <c r="I66" s="15">
        <v>699.99</v>
      </c>
      <c r="J66" s="15" t="s">
        <v>34</v>
      </c>
      <c r="K66" s="15" t="s">
        <v>63</v>
      </c>
      <c r="L66" s="15" t="s">
        <v>27</v>
      </c>
      <c r="M66" s="16">
        <v>45389</v>
      </c>
      <c r="N66" s="17">
        <v>1399.98</v>
      </c>
      <c r="O66" s="12" t="str">
        <f t="shared" si="1"/>
        <v>Jul</v>
      </c>
      <c r="P66" s="12">
        <f t="shared" si="2"/>
        <v>2024</v>
      </c>
      <c r="Q66" s="12">
        <f t="shared" ca="1" si="3"/>
        <v>715</v>
      </c>
      <c r="R66" s="12">
        <f t="shared" si="4"/>
        <v>45504</v>
      </c>
      <c r="S66" s="18">
        <f t="shared" ca="1" si="5"/>
        <v>46104.411816550928</v>
      </c>
      <c r="T66" s="12" t="str">
        <f t="shared" si="6"/>
        <v>High Sale</v>
      </c>
      <c r="U66" s="21">
        <f t="shared" ref="U66:U129" si="7">SUMIFS($N:$N, $D:$D, D66)</f>
        <v>6169.7400000000007</v>
      </c>
      <c r="W66" s="12" t="str">
        <v>TRX0055</v>
      </c>
      <c r="X66" s="12">
        <v>45573</v>
      </c>
      <c r="Y66" s="12" t="str">
        <v>CUST016</v>
      </c>
      <c r="Z66" s="12" t="str">
        <v>Elizabeth Hall</v>
      </c>
      <c r="AA66" s="12" t="str">
        <v>P002</v>
      </c>
      <c r="AB66" s="12" t="str">
        <v>Smartphone</v>
      </c>
      <c r="AC66" s="12" t="str">
        <v>Electronics</v>
      </c>
      <c r="AD66" s="12">
        <v>2</v>
      </c>
      <c r="AE66" s="12">
        <v>699.99</v>
      </c>
      <c r="AF66" s="12" t="str">
        <v>Debit Card</v>
      </c>
      <c r="AG66" s="12" t="str">
        <v>East</v>
      </c>
      <c r="AH66" s="12" t="str">
        <v>Premium</v>
      </c>
      <c r="AI66" s="12">
        <v>45274</v>
      </c>
      <c r="AJ66" s="12">
        <v>1399.98</v>
      </c>
      <c r="AL66" s="12"/>
    </row>
    <row r="67" spans="1:38" x14ac:dyDescent="0.3">
      <c r="A67" s="20" t="s">
        <v>188</v>
      </c>
      <c r="B67" s="16">
        <v>45481</v>
      </c>
      <c r="C67" s="15" t="s">
        <v>96</v>
      </c>
      <c r="D67" s="15" t="s">
        <v>97</v>
      </c>
      <c r="E67" s="15" t="s">
        <v>117</v>
      </c>
      <c r="F67" s="15" t="s">
        <v>118</v>
      </c>
      <c r="G67" s="15" t="s">
        <v>19</v>
      </c>
      <c r="H67" s="15">
        <v>5</v>
      </c>
      <c r="I67" s="15">
        <v>89.99</v>
      </c>
      <c r="J67" s="15" t="s">
        <v>57</v>
      </c>
      <c r="K67" s="15" t="s">
        <v>40</v>
      </c>
      <c r="L67" s="15" t="s">
        <v>27</v>
      </c>
      <c r="M67" s="16">
        <v>45161</v>
      </c>
      <c r="N67" s="17">
        <v>449.95</v>
      </c>
      <c r="O67" s="12" t="str">
        <f t="shared" ref="O67:O130" si="8">TEXT(B67,"mmm")</f>
        <v>Jul</v>
      </c>
      <c r="P67" s="12">
        <f t="shared" ref="P67:P130" si="9">YEAR(B67)</f>
        <v>2024</v>
      </c>
      <c r="Q67" s="12">
        <f t="shared" ref="Q67:Q130" ca="1" si="10">DATEDIF(M67,TODAY(),"D")</f>
        <v>943</v>
      </c>
      <c r="R67" s="12">
        <f t="shared" ref="R67:R130" si="11">EOMONTH(B67,0)</f>
        <v>45504</v>
      </c>
      <c r="S67" s="18">
        <f t="shared" ref="S67:S130" ca="1" si="12">NOW()</f>
        <v>46104.411816550928</v>
      </c>
      <c r="T67" s="12" t="str">
        <f t="shared" ref="T67:T130" si="13">IF(N67&gt;1000,"High Sale","Low Sale")</f>
        <v>Low Sale</v>
      </c>
      <c r="U67" s="21">
        <f t="shared" si="7"/>
        <v>10649.8</v>
      </c>
      <c r="W67" s="12" t="str">
        <v>TRX0158</v>
      </c>
      <c r="X67" s="12">
        <v>45579</v>
      </c>
      <c r="Y67" s="12" t="str">
        <v>CUST027</v>
      </c>
      <c r="Z67" s="12" t="str">
        <v>George Adams</v>
      </c>
      <c r="AA67" s="12" t="str">
        <v>P001</v>
      </c>
      <c r="AB67" s="12" t="str">
        <v>Laptop</v>
      </c>
      <c r="AC67" s="12" t="str">
        <v>Electronics</v>
      </c>
      <c r="AD67" s="12">
        <v>3</v>
      </c>
      <c r="AE67" s="12">
        <v>899.99</v>
      </c>
      <c r="AF67" s="12" t="str">
        <v>PayPal</v>
      </c>
      <c r="AG67" s="12" t="str">
        <v>West</v>
      </c>
      <c r="AH67" s="12" t="str">
        <v>Basic</v>
      </c>
      <c r="AI67" s="12">
        <v>45215</v>
      </c>
      <c r="AJ67" s="12">
        <v>2699.97</v>
      </c>
      <c r="AL67" s="12"/>
    </row>
    <row r="68" spans="1:38" x14ac:dyDescent="0.3">
      <c r="A68" s="20" t="s">
        <v>189</v>
      </c>
      <c r="B68" s="16">
        <v>45482</v>
      </c>
      <c r="C68" s="15" t="s">
        <v>171</v>
      </c>
      <c r="D68" s="15" t="s">
        <v>172</v>
      </c>
      <c r="E68" s="15" t="s">
        <v>31</v>
      </c>
      <c r="F68" s="15" t="s">
        <v>32</v>
      </c>
      <c r="G68" s="15" t="s">
        <v>33</v>
      </c>
      <c r="H68" s="15">
        <v>4</v>
      </c>
      <c r="I68" s="15">
        <v>59.99</v>
      </c>
      <c r="J68" s="15" t="s">
        <v>20</v>
      </c>
      <c r="K68" s="15" t="s">
        <v>35</v>
      </c>
      <c r="L68" s="15" t="s">
        <v>36</v>
      </c>
      <c r="M68" s="16">
        <v>44509</v>
      </c>
      <c r="N68" s="17">
        <v>239.96</v>
      </c>
      <c r="O68" s="12" t="str">
        <f t="shared" si="8"/>
        <v>Jul</v>
      </c>
      <c r="P68" s="12">
        <f t="shared" si="9"/>
        <v>2024</v>
      </c>
      <c r="Q68" s="12">
        <f t="shared" ca="1" si="10"/>
        <v>1595</v>
      </c>
      <c r="R68" s="12">
        <f t="shared" si="11"/>
        <v>45504</v>
      </c>
      <c r="S68" s="18">
        <f t="shared" ca="1" si="12"/>
        <v>46104.411816550928</v>
      </c>
      <c r="T68" s="12" t="str">
        <f t="shared" si="13"/>
        <v>Low Sale</v>
      </c>
      <c r="U68" s="21">
        <f t="shared" si="7"/>
        <v>3669.8500000000004</v>
      </c>
      <c r="W68" s="12" t="str">
        <v>TRX0173</v>
      </c>
      <c r="X68" s="12">
        <v>45581</v>
      </c>
      <c r="Y68" s="12" t="str">
        <v>CUST018</v>
      </c>
      <c r="Z68" s="12" t="str">
        <v>Barbara Young</v>
      </c>
      <c r="AA68" s="12" t="str">
        <v>P002</v>
      </c>
      <c r="AB68" s="12" t="str">
        <v>Smartphone</v>
      </c>
      <c r="AC68" s="12" t="str">
        <v>Electronics</v>
      </c>
      <c r="AD68" s="12">
        <v>5</v>
      </c>
      <c r="AE68" s="12">
        <v>699.99</v>
      </c>
      <c r="AF68" s="12" t="str">
        <v>Cash</v>
      </c>
      <c r="AG68" s="12" t="str">
        <v>East</v>
      </c>
      <c r="AH68" s="12" t="str">
        <v>Standard</v>
      </c>
      <c r="AI68" s="12">
        <v>45008</v>
      </c>
      <c r="AJ68" s="12">
        <v>3499.95</v>
      </c>
      <c r="AL68" s="12"/>
    </row>
    <row r="69" spans="1:38" x14ac:dyDescent="0.3">
      <c r="A69" s="20" t="s">
        <v>190</v>
      </c>
      <c r="B69" s="16">
        <v>45484</v>
      </c>
      <c r="C69" s="15" t="s">
        <v>24</v>
      </c>
      <c r="D69" s="15" t="s">
        <v>25</v>
      </c>
      <c r="E69" s="15" t="s">
        <v>52</v>
      </c>
      <c r="F69" s="15" t="s">
        <v>53</v>
      </c>
      <c r="G69" s="15" t="s">
        <v>19</v>
      </c>
      <c r="H69" s="15">
        <v>1</v>
      </c>
      <c r="I69" s="15">
        <v>149.99</v>
      </c>
      <c r="J69" s="15" t="s">
        <v>20</v>
      </c>
      <c r="K69" s="15" t="s">
        <v>21</v>
      </c>
      <c r="L69" s="15" t="s">
        <v>36</v>
      </c>
      <c r="M69" s="16">
        <v>44909</v>
      </c>
      <c r="N69" s="17">
        <v>149.99</v>
      </c>
      <c r="O69" s="12" t="str">
        <f t="shared" si="8"/>
        <v>Jul</v>
      </c>
      <c r="P69" s="12">
        <f t="shared" si="9"/>
        <v>2024</v>
      </c>
      <c r="Q69" s="12">
        <f t="shared" ca="1" si="10"/>
        <v>1195</v>
      </c>
      <c r="R69" s="12">
        <f t="shared" si="11"/>
        <v>45504</v>
      </c>
      <c r="S69" s="18">
        <f t="shared" ca="1" si="12"/>
        <v>46104.411816550928</v>
      </c>
      <c r="T69" s="12" t="str">
        <f t="shared" si="13"/>
        <v>Low Sale</v>
      </c>
      <c r="U69" s="21">
        <f t="shared" si="7"/>
        <v>6949.84</v>
      </c>
      <c r="W69" s="12" t="str">
        <v>TRX0034</v>
      </c>
      <c r="X69" s="12">
        <v>45581</v>
      </c>
      <c r="Y69" s="12" t="str">
        <v>CUST049</v>
      </c>
      <c r="Z69" s="12" t="str">
        <v>Raymond Ross</v>
      </c>
      <c r="AA69" s="12" t="str">
        <v>P002</v>
      </c>
      <c r="AB69" s="12" t="str">
        <v>Smartphone</v>
      </c>
      <c r="AC69" s="12" t="str">
        <v>Electronics</v>
      </c>
      <c r="AD69" s="12">
        <v>4</v>
      </c>
      <c r="AE69" s="12">
        <v>699.99</v>
      </c>
      <c r="AF69" s="12" t="str">
        <v>Credit Card</v>
      </c>
      <c r="AG69" s="12" t="str">
        <v>Central</v>
      </c>
      <c r="AH69" s="12" t="str">
        <v>Basic</v>
      </c>
      <c r="AI69" s="12">
        <v>45385</v>
      </c>
      <c r="AJ69" s="12">
        <v>2799.96</v>
      </c>
      <c r="AL69" s="12"/>
    </row>
    <row r="70" spans="1:38" x14ac:dyDescent="0.3">
      <c r="A70" s="20" t="s">
        <v>191</v>
      </c>
      <c r="B70" s="16">
        <v>45484</v>
      </c>
      <c r="C70" s="15" t="s">
        <v>192</v>
      </c>
      <c r="D70" s="15" t="s">
        <v>193</v>
      </c>
      <c r="E70" s="15" t="s">
        <v>105</v>
      </c>
      <c r="F70" s="15" t="s">
        <v>106</v>
      </c>
      <c r="G70" s="15" t="s">
        <v>46</v>
      </c>
      <c r="H70" s="15">
        <v>1</v>
      </c>
      <c r="I70" s="15">
        <v>299.99</v>
      </c>
      <c r="J70" s="15" t="s">
        <v>26</v>
      </c>
      <c r="K70" s="15" t="s">
        <v>40</v>
      </c>
      <c r="L70" s="15" t="s">
        <v>27</v>
      </c>
      <c r="M70" s="16">
        <v>44891</v>
      </c>
      <c r="N70" s="17">
        <v>299.99</v>
      </c>
      <c r="O70" s="12" t="str">
        <f t="shared" si="8"/>
        <v>Jul</v>
      </c>
      <c r="P70" s="12">
        <f t="shared" si="9"/>
        <v>2024</v>
      </c>
      <c r="Q70" s="12">
        <f t="shared" ca="1" si="10"/>
        <v>1213</v>
      </c>
      <c r="R70" s="12">
        <f t="shared" si="11"/>
        <v>45504</v>
      </c>
      <c r="S70" s="18">
        <f t="shared" ca="1" si="12"/>
        <v>46104.411816550928</v>
      </c>
      <c r="T70" s="12" t="str">
        <f t="shared" si="13"/>
        <v>Low Sale</v>
      </c>
      <c r="U70" s="21">
        <f t="shared" si="7"/>
        <v>1479.91</v>
      </c>
      <c r="W70" s="12" t="str">
        <v>TRX0189</v>
      </c>
      <c r="X70" s="12">
        <v>45581</v>
      </c>
      <c r="Y70" s="12" t="str">
        <v>CUST040</v>
      </c>
      <c r="Z70" s="12" t="str">
        <v>Sharon Butler</v>
      </c>
      <c r="AA70" s="12" t="str">
        <v>P001</v>
      </c>
      <c r="AB70" s="12" t="str">
        <v>Laptop</v>
      </c>
      <c r="AC70" s="12" t="str">
        <v>Electronics</v>
      </c>
      <c r="AD70" s="12">
        <v>1</v>
      </c>
      <c r="AE70" s="12">
        <v>899.99</v>
      </c>
      <c r="AF70" s="12" t="str">
        <v>Credit Card</v>
      </c>
      <c r="AG70" s="12" t="str">
        <v>East</v>
      </c>
      <c r="AH70" s="12" t="str">
        <v>Standard</v>
      </c>
      <c r="AI70" s="12">
        <v>45369</v>
      </c>
      <c r="AJ70" s="12">
        <v>899.99</v>
      </c>
      <c r="AL70" s="12"/>
    </row>
    <row r="71" spans="1:38" x14ac:dyDescent="0.3">
      <c r="A71" s="20" t="s">
        <v>194</v>
      </c>
      <c r="B71" s="16">
        <v>45487</v>
      </c>
      <c r="C71" s="15" t="s">
        <v>192</v>
      </c>
      <c r="D71" s="15" t="s">
        <v>193</v>
      </c>
      <c r="E71" s="15" t="s">
        <v>126</v>
      </c>
      <c r="F71" s="15" t="s">
        <v>127</v>
      </c>
      <c r="G71" s="15" t="s">
        <v>46</v>
      </c>
      <c r="H71" s="15">
        <v>2</v>
      </c>
      <c r="I71" s="15">
        <v>199.99</v>
      </c>
      <c r="J71" s="15" t="s">
        <v>20</v>
      </c>
      <c r="K71" s="15" t="s">
        <v>40</v>
      </c>
      <c r="L71" s="15" t="s">
        <v>22</v>
      </c>
      <c r="M71" s="16">
        <v>44541</v>
      </c>
      <c r="N71" s="17">
        <v>399.98</v>
      </c>
      <c r="O71" s="12" t="str">
        <f t="shared" si="8"/>
        <v>Jul</v>
      </c>
      <c r="P71" s="12">
        <f t="shared" si="9"/>
        <v>2024</v>
      </c>
      <c r="Q71" s="12">
        <f t="shared" ca="1" si="10"/>
        <v>1563</v>
      </c>
      <c r="R71" s="12">
        <f t="shared" si="11"/>
        <v>45504</v>
      </c>
      <c r="S71" s="18">
        <f t="shared" ca="1" si="12"/>
        <v>46104.411816550928</v>
      </c>
      <c r="T71" s="12" t="str">
        <f t="shared" si="13"/>
        <v>Low Sale</v>
      </c>
      <c r="U71" s="21">
        <f t="shared" si="7"/>
        <v>1479.91</v>
      </c>
      <c r="W71" s="12" t="str">
        <v>TRX0190</v>
      </c>
      <c r="X71" s="12">
        <v>45583</v>
      </c>
      <c r="Y71" s="12" t="str">
        <v>CUST039</v>
      </c>
      <c r="Z71" s="12" t="str">
        <v>Lawrence Reed</v>
      </c>
      <c r="AA71" s="12" t="str">
        <v>P003</v>
      </c>
      <c r="AB71" s="12" t="str">
        <v>Headphones</v>
      </c>
      <c r="AC71" s="12" t="str">
        <v>Electronics</v>
      </c>
      <c r="AD71" s="12">
        <v>2</v>
      </c>
      <c r="AE71" s="12">
        <v>149.99</v>
      </c>
      <c r="AF71" s="12" t="str">
        <v>Credit Card</v>
      </c>
      <c r="AG71" s="12" t="str">
        <v>West</v>
      </c>
      <c r="AH71" s="12" t="str">
        <v>Basic</v>
      </c>
      <c r="AI71" s="12">
        <v>44916</v>
      </c>
      <c r="AJ71" s="12">
        <v>299.98</v>
      </c>
      <c r="AL71" s="12"/>
    </row>
    <row r="72" spans="1:38" x14ac:dyDescent="0.3">
      <c r="A72" s="20" t="s">
        <v>195</v>
      </c>
      <c r="B72" s="16">
        <v>45490</v>
      </c>
      <c r="C72" s="15" t="s">
        <v>196</v>
      </c>
      <c r="D72" s="15" t="s">
        <v>197</v>
      </c>
      <c r="E72" s="15" t="s">
        <v>31</v>
      </c>
      <c r="F72" s="15" t="s">
        <v>32</v>
      </c>
      <c r="G72" s="15" t="s">
        <v>33</v>
      </c>
      <c r="H72" s="15">
        <v>3</v>
      </c>
      <c r="I72" s="15">
        <v>59.99</v>
      </c>
      <c r="J72" s="15" t="s">
        <v>26</v>
      </c>
      <c r="K72" s="15" t="s">
        <v>50</v>
      </c>
      <c r="L72" s="15" t="s">
        <v>22</v>
      </c>
      <c r="M72" s="16">
        <v>45130</v>
      </c>
      <c r="N72" s="17">
        <v>179.97</v>
      </c>
      <c r="O72" s="12" t="str">
        <f t="shared" si="8"/>
        <v>Jul</v>
      </c>
      <c r="P72" s="12">
        <f t="shared" si="9"/>
        <v>2024</v>
      </c>
      <c r="Q72" s="12">
        <f t="shared" ca="1" si="10"/>
        <v>974</v>
      </c>
      <c r="R72" s="12">
        <f t="shared" si="11"/>
        <v>45504</v>
      </c>
      <c r="S72" s="18">
        <f t="shared" ca="1" si="12"/>
        <v>46104.411816550928</v>
      </c>
      <c r="T72" s="12" t="str">
        <f t="shared" si="13"/>
        <v>Low Sale</v>
      </c>
      <c r="U72" s="21">
        <f t="shared" si="7"/>
        <v>6379.87</v>
      </c>
      <c r="W72" s="12" t="str">
        <v>TRX0079</v>
      </c>
      <c r="X72" s="12">
        <v>45586</v>
      </c>
      <c r="Y72" s="12" t="str">
        <v>CUST039</v>
      </c>
      <c r="Z72" s="12" t="str">
        <v>Lawrence Reed</v>
      </c>
      <c r="AA72" s="12" t="str">
        <v>P010</v>
      </c>
      <c r="AB72" s="12" t="str">
        <v>Keyboard</v>
      </c>
      <c r="AC72" s="12" t="str">
        <v>Electronics</v>
      </c>
      <c r="AD72" s="12">
        <v>3</v>
      </c>
      <c r="AE72" s="12">
        <v>89.99</v>
      </c>
      <c r="AF72" s="12" t="str">
        <v>PayPal</v>
      </c>
      <c r="AG72" s="12" t="str">
        <v>Central</v>
      </c>
      <c r="AH72" s="12" t="str">
        <v>Basic</v>
      </c>
      <c r="AI72" s="12">
        <v>44551</v>
      </c>
      <c r="AJ72" s="12">
        <v>269.97000000000003</v>
      </c>
      <c r="AL72" s="12"/>
    </row>
    <row r="73" spans="1:38" x14ac:dyDescent="0.3">
      <c r="A73" s="20" t="s">
        <v>198</v>
      </c>
      <c r="B73" s="16">
        <v>45490</v>
      </c>
      <c r="C73" s="15" t="s">
        <v>72</v>
      </c>
      <c r="D73" s="15" t="s">
        <v>73</v>
      </c>
      <c r="E73" s="15" t="s">
        <v>44</v>
      </c>
      <c r="F73" s="15" t="s">
        <v>45</v>
      </c>
      <c r="G73" s="15" t="s">
        <v>46</v>
      </c>
      <c r="H73" s="15">
        <v>3</v>
      </c>
      <c r="I73" s="15">
        <v>149.99</v>
      </c>
      <c r="J73" s="15" t="s">
        <v>20</v>
      </c>
      <c r="K73" s="15" t="s">
        <v>21</v>
      </c>
      <c r="L73" s="15" t="s">
        <v>27</v>
      </c>
      <c r="M73" s="16">
        <v>45199</v>
      </c>
      <c r="N73" s="17">
        <v>449.97</v>
      </c>
      <c r="O73" s="12" t="str">
        <f t="shared" si="8"/>
        <v>Jul</v>
      </c>
      <c r="P73" s="12">
        <f t="shared" si="9"/>
        <v>2024</v>
      </c>
      <c r="Q73" s="12">
        <f t="shared" ca="1" si="10"/>
        <v>905</v>
      </c>
      <c r="R73" s="12">
        <f t="shared" si="11"/>
        <v>45504</v>
      </c>
      <c r="S73" s="18">
        <f t="shared" ca="1" si="12"/>
        <v>46104.411816550928</v>
      </c>
      <c r="T73" s="12" t="str">
        <f t="shared" si="13"/>
        <v>Low Sale</v>
      </c>
      <c r="U73" s="21">
        <f t="shared" si="7"/>
        <v>5949.85</v>
      </c>
      <c r="W73" s="12" t="str">
        <v>TRX0095</v>
      </c>
      <c r="X73" s="12">
        <v>45588</v>
      </c>
      <c r="Y73" s="12" t="str">
        <v>CUST046</v>
      </c>
      <c r="Z73" s="12" t="str">
        <v>Kathleen Bennett</v>
      </c>
      <c r="AA73" s="12" t="str">
        <v>P003</v>
      </c>
      <c r="AB73" s="12" t="str">
        <v>Headphones</v>
      </c>
      <c r="AC73" s="12" t="str">
        <v>Electronics</v>
      </c>
      <c r="AD73" s="12">
        <v>2</v>
      </c>
      <c r="AE73" s="12">
        <v>149.99</v>
      </c>
      <c r="AF73" s="12" t="str">
        <v>PayPal</v>
      </c>
      <c r="AG73" s="12" t="str">
        <v>Central</v>
      </c>
      <c r="AH73" s="12" t="str">
        <v>Basic</v>
      </c>
      <c r="AI73" s="12">
        <v>44473</v>
      </c>
      <c r="AJ73" s="12">
        <v>299.98</v>
      </c>
      <c r="AL73" s="12"/>
    </row>
    <row r="74" spans="1:38" x14ac:dyDescent="0.3">
      <c r="A74" s="20" t="s">
        <v>199</v>
      </c>
      <c r="B74" s="16">
        <v>45491</v>
      </c>
      <c r="C74" s="15" t="s">
        <v>65</v>
      </c>
      <c r="D74" s="15" t="s">
        <v>66</v>
      </c>
      <c r="E74" s="15" t="s">
        <v>126</v>
      </c>
      <c r="F74" s="15" t="s">
        <v>127</v>
      </c>
      <c r="G74" s="15" t="s">
        <v>46</v>
      </c>
      <c r="H74" s="15">
        <v>3</v>
      </c>
      <c r="I74" s="15">
        <v>199.99</v>
      </c>
      <c r="J74" s="15" t="s">
        <v>20</v>
      </c>
      <c r="K74" s="15" t="s">
        <v>40</v>
      </c>
      <c r="L74" s="15" t="s">
        <v>27</v>
      </c>
      <c r="M74" s="16">
        <v>45254</v>
      </c>
      <c r="N74" s="17">
        <v>599.97</v>
      </c>
      <c r="O74" s="12" t="str">
        <f t="shared" si="8"/>
        <v>Jul</v>
      </c>
      <c r="P74" s="12">
        <f t="shared" si="9"/>
        <v>2024</v>
      </c>
      <c r="Q74" s="12">
        <f t="shared" ca="1" si="10"/>
        <v>850</v>
      </c>
      <c r="R74" s="12">
        <f t="shared" si="11"/>
        <v>45504</v>
      </c>
      <c r="S74" s="18">
        <f t="shared" ca="1" si="12"/>
        <v>46104.411816550928</v>
      </c>
      <c r="T74" s="12" t="str">
        <f t="shared" si="13"/>
        <v>Low Sale</v>
      </c>
      <c r="U74" s="21">
        <f t="shared" si="7"/>
        <v>8009.7699999999995</v>
      </c>
      <c r="W74" s="12" t="str">
        <v>TRX0009</v>
      </c>
      <c r="X74" s="12">
        <v>45588</v>
      </c>
      <c r="Y74" s="12" t="str">
        <v>CUST004</v>
      </c>
      <c r="Z74" s="12" t="str">
        <v>Sarah Davis</v>
      </c>
      <c r="AA74" s="12" t="str">
        <v>P002</v>
      </c>
      <c r="AB74" s="12" t="str">
        <v>Smartphone</v>
      </c>
      <c r="AC74" s="12" t="str">
        <v>Electronics</v>
      </c>
      <c r="AD74" s="12">
        <v>2</v>
      </c>
      <c r="AE74" s="12">
        <v>699.99</v>
      </c>
      <c r="AF74" s="12" t="str">
        <v>Cash</v>
      </c>
      <c r="AG74" s="12" t="str">
        <v>Central</v>
      </c>
      <c r="AH74" s="12" t="str">
        <v>Basic</v>
      </c>
      <c r="AI74" s="12">
        <v>44992</v>
      </c>
      <c r="AJ74" s="12">
        <v>1399.98</v>
      </c>
      <c r="AL74" s="12"/>
    </row>
    <row r="75" spans="1:38" x14ac:dyDescent="0.3">
      <c r="A75" s="20" t="s">
        <v>200</v>
      </c>
      <c r="B75" s="16">
        <v>45496</v>
      </c>
      <c r="C75" s="15" t="s">
        <v>150</v>
      </c>
      <c r="D75" s="15" t="s">
        <v>151</v>
      </c>
      <c r="E75" s="15" t="s">
        <v>61</v>
      </c>
      <c r="F75" s="15" t="s">
        <v>62</v>
      </c>
      <c r="G75" s="15" t="s">
        <v>19</v>
      </c>
      <c r="H75" s="15">
        <v>1</v>
      </c>
      <c r="I75" s="15">
        <v>899.99</v>
      </c>
      <c r="J75" s="15" t="s">
        <v>20</v>
      </c>
      <c r="K75" s="15" t="s">
        <v>21</v>
      </c>
      <c r="L75" s="15" t="s">
        <v>36</v>
      </c>
      <c r="M75" s="16">
        <v>45179</v>
      </c>
      <c r="N75" s="17">
        <v>899.99</v>
      </c>
      <c r="O75" s="12" t="str">
        <f t="shared" si="8"/>
        <v>Jul</v>
      </c>
      <c r="P75" s="12">
        <f t="shared" si="9"/>
        <v>2024</v>
      </c>
      <c r="Q75" s="12">
        <f t="shared" ca="1" si="10"/>
        <v>925</v>
      </c>
      <c r="R75" s="12">
        <f t="shared" si="11"/>
        <v>45504</v>
      </c>
      <c r="S75" s="18">
        <f t="shared" ca="1" si="12"/>
        <v>46104.411816550928</v>
      </c>
      <c r="T75" s="12" t="str">
        <f t="shared" si="13"/>
        <v>Low Sale</v>
      </c>
      <c r="U75" s="21">
        <f t="shared" si="7"/>
        <v>5619.869999999999</v>
      </c>
      <c r="W75" s="12" t="str">
        <v>TRX0167</v>
      </c>
      <c r="X75" s="12">
        <v>45589</v>
      </c>
      <c r="Y75" s="12" t="str">
        <v>CUST028</v>
      </c>
      <c r="Z75" s="12" t="str">
        <v>Betty Campbell</v>
      </c>
      <c r="AA75" s="12" t="str">
        <v>P002</v>
      </c>
      <c r="AB75" s="12" t="str">
        <v>Smartphone</v>
      </c>
      <c r="AC75" s="12" t="str">
        <v>Electronics</v>
      </c>
      <c r="AD75" s="12">
        <v>5</v>
      </c>
      <c r="AE75" s="12">
        <v>699.99</v>
      </c>
      <c r="AF75" s="12" t="str">
        <v>Cash</v>
      </c>
      <c r="AG75" s="12" t="str">
        <v>North</v>
      </c>
      <c r="AH75" s="12" t="str">
        <v>Premium</v>
      </c>
      <c r="AI75" s="12">
        <v>44635</v>
      </c>
      <c r="AJ75" s="12">
        <v>3499.95</v>
      </c>
      <c r="AL75" s="12"/>
    </row>
    <row r="76" spans="1:38" x14ac:dyDescent="0.3">
      <c r="A76" s="20" t="s">
        <v>201</v>
      </c>
      <c r="B76" s="16">
        <v>45497</v>
      </c>
      <c r="C76" s="15" t="s">
        <v>24</v>
      </c>
      <c r="D76" s="15" t="s">
        <v>25</v>
      </c>
      <c r="E76" s="15" t="s">
        <v>61</v>
      </c>
      <c r="F76" s="15" t="s">
        <v>62</v>
      </c>
      <c r="G76" s="15" t="s">
        <v>19</v>
      </c>
      <c r="H76" s="15">
        <v>5</v>
      </c>
      <c r="I76" s="15">
        <v>899.99</v>
      </c>
      <c r="J76" s="15" t="s">
        <v>57</v>
      </c>
      <c r="K76" s="15" t="s">
        <v>35</v>
      </c>
      <c r="L76" s="15" t="s">
        <v>36</v>
      </c>
      <c r="M76" s="16">
        <v>44899</v>
      </c>
      <c r="N76" s="17">
        <v>4499.95</v>
      </c>
      <c r="O76" s="12" t="str">
        <f t="shared" si="8"/>
        <v>Jul</v>
      </c>
      <c r="P76" s="12">
        <f t="shared" si="9"/>
        <v>2024</v>
      </c>
      <c r="Q76" s="12">
        <f t="shared" ca="1" si="10"/>
        <v>1205</v>
      </c>
      <c r="R76" s="12">
        <f t="shared" si="11"/>
        <v>45504</v>
      </c>
      <c r="S76" s="18">
        <f t="shared" ca="1" si="12"/>
        <v>46104.411816550928</v>
      </c>
      <c r="T76" s="12" t="str">
        <f t="shared" si="13"/>
        <v>High Sale</v>
      </c>
      <c r="U76" s="21">
        <f t="shared" si="7"/>
        <v>6949.84</v>
      </c>
      <c r="W76" s="12" t="str">
        <v>TRX0153</v>
      </c>
      <c r="X76" s="12">
        <v>45592</v>
      </c>
      <c r="Y76" s="12" t="str">
        <v>CUST049</v>
      </c>
      <c r="Z76" s="12" t="str">
        <v>Raymond Ross</v>
      </c>
      <c r="AA76" s="12" t="str">
        <v>P010</v>
      </c>
      <c r="AB76" s="12" t="str">
        <v>Keyboard</v>
      </c>
      <c r="AC76" s="12" t="str">
        <v>Electronics</v>
      </c>
      <c r="AD76" s="12">
        <v>3</v>
      </c>
      <c r="AE76" s="12">
        <v>89.99</v>
      </c>
      <c r="AF76" s="12" t="str">
        <v>Credit Card</v>
      </c>
      <c r="AG76" s="12" t="str">
        <v>North</v>
      </c>
      <c r="AH76" s="12" t="str">
        <v>Standard</v>
      </c>
      <c r="AI76" s="12">
        <v>44615</v>
      </c>
      <c r="AJ76" s="12">
        <v>269.97000000000003</v>
      </c>
      <c r="AL76" s="12"/>
    </row>
    <row r="77" spans="1:38" x14ac:dyDescent="0.3">
      <c r="A77" s="20" t="s">
        <v>202</v>
      </c>
      <c r="B77" s="16">
        <v>45498</v>
      </c>
      <c r="C77" s="15" t="s">
        <v>182</v>
      </c>
      <c r="D77" s="15" t="s">
        <v>183</v>
      </c>
      <c r="E77" s="15" t="s">
        <v>31</v>
      </c>
      <c r="F77" s="15" t="s">
        <v>32</v>
      </c>
      <c r="G77" s="15" t="s">
        <v>33</v>
      </c>
      <c r="H77" s="15">
        <v>2</v>
      </c>
      <c r="I77" s="15">
        <v>59.99</v>
      </c>
      <c r="J77" s="15" t="s">
        <v>20</v>
      </c>
      <c r="K77" s="15" t="s">
        <v>40</v>
      </c>
      <c r="L77" s="15" t="s">
        <v>36</v>
      </c>
      <c r="M77" s="16">
        <v>45152</v>
      </c>
      <c r="N77" s="17">
        <v>119.98</v>
      </c>
      <c r="O77" s="12" t="str">
        <f t="shared" si="8"/>
        <v>Jul</v>
      </c>
      <c r="P77" s="12">
        <f t="shared" si="9"/>
        <v>2024</v>
      </c>
      <c r="Q77" s="12">
        <f t="shared" ca="1" si="10"/>
        <v>952</v>
      </c>
      <c r="R77" s="12">
        <f t="shared" si="11"/>
        <v>45504</v>
      </c>
      <c r="S77" s="18">
        <f t="shared" ca="1" si="12"/>
        <v>46104.411816550928</v>
      </c>
      <c r="T77" s="12" t="str">
        <f t="shared" si="13"/>
        <v>Low Sale</v>
      </c>
      <c r="U77" s="21">
        <f t="shared" si="7"/>
        <v>1809.84</v>
      </c>
      <c r="W77" s="12" t="str">
        <v>TRX0057</v>
      </c>
      <c r="X77" s="12">
        <v>45597</v>
      </c>
      <c r="Y77" s="12" t="str">
        <v>CUST023</v>
      </c>
      <c r="Z77" s="12" t="str">
        <v>Paul Baker</v>
      </c>
      <c r="AA77" s="12" t="str">
        <v>P009</v>
      </c>
      <c r="AB77" s="12" t="str">
        <v>Monitor</v>
      </c>
      <c r="AC77" s="12" t="str">
        <v>Electronics</v>
      </c>
      <c r="AD77" s="12">
        <v>5</v>
      </c>
      <c r="AE77" s="12">
        <v>249.99</v>
      </c>
      <c r="AF77" s="12" t="str">
        <v>Credit Card</v>
      </c>
      <c r="AG77" s="12" t="str">
        <v>South</v>
      </c>
      <c r="AH77" s="12" t="str">
        <v>Standard</v>
      </c>
      <c r="AI77" s="12">
        <v>44881</v>
      </c>
      <c r="AJ77" s="12">
        <v>1249.95</v>
      </c>
      <c r="AL77" s="12"/>
    </row>
    <row r="78" spans="1:38" x14ac:dyDescent="0.3">
      <c r="A78" s="20" t="s">
        <v>203</v>
      </c>
      <c r="B78" s="16">
        <v>45498</v>
      </c>
      <c r="C78" s="15" t="s">
        <v>196</v>
      </c>
      <c r="D78" s="15" t="s">
        <v>197</v>
      </c>
      <c r="E78" s="15" t="s">
        <v>17</v>
      </c>
      <c r="F78" s="15" t="s">
        <v>18</v>
      </c>
      <c r="G78" s="15" t="s">
        <v>19</v>
      </c>
      <c r="H78" s="15">
        <v>4</v>
      </c>
      <c r="I78" s="15">
        <v>249.99</v>
      </c>
      <c r="J78" s="15" t="s">
        <v>57</v>
      </c>
      <c r="K78" s="15" t="s">
        <v>21</v>
      </c>
      <c r="L78" s="15" t="s">
        <v>36</v>
      </c>
      <c r="M78" s="16">
        <v>45127</v>
      </c>
      <c r="N78" s="17">
        <v>999.96</v>
      </c>
      <c r="O78" s="12" t="str">
        <f t="shared" si="8"/>
        <v>Jul</v>
      </c>
      <c r="P78" s="12">
        <f t="shared" si="9"/>
        <v>2024</v>
      </c>
      <c r="Q78" s="12">
        <f t="shared" ca="1" si="10"/>
        <v>977</v>
      </c>
      <c r="R78" s="12">
        <f t="shared" si="11"/>
        <v>45504</v>
      </c>
      <c r="S78" s="18">
        <f t="shared" ca="1" si="12"/>
        <v>46104.411816550928</v>
      </c>
      <c r="T78" s="12" t="str">
        <f t="shared" si="13"/>
        <v>Low Sale</v>
      </c>
      <c r="U78" s="21">
        <f t="shared" si="7"/>
        <v>6379.87</v>
      </c>
      <c r="W78" s="12" t="str">
        <v>TRX0060</v>
      </c>
      <c r="X78" s="12">
        <v>45603</v>
      </c>
      <c r="Y78" s="12" t="str">
        <v>CUST012</v>
      </c>
      <c r="Z78" s="12" t="str">
        <v>Patricia Moore</v>
      </c>
      <c r="AA78" s="12" t="str">
        <v>P010</v>
      </c>
      <c r="AB78" s="12" t="str">
        <v>Keyboard</v>
      </c>
      <c r="AC78" s="12" t="str">
        <v>Electronics</v>
      </c>
      <c r="AD78" s="12">
        <v>3</v>
      </c>
      <c r="AE78" s="12">
        <v>89.99</v>
      </c>
      <c r="AF78" s="12" t="str">
        <v>Credit Card</v>
      </c>
      <c r="AG78" s="12" t="str">
        <v>North</v>
      </c>
      <c r="AH78" s="12" t="str">
        <v>Premium</v>
      </c>
      <c r="AI78" s="12">
        <v>44420</v>
      </c>
      <c r="AJ78" s="12">
        <v>269.97000000000003</v>
      </c>
      <c r="AL78" s="12"/>
    </row>
    <row r="79" spans="1:38" x14ac:dyDescent="0.3">
      <c r="A79" s="20" t="s">
        <v>204</v>
      </c>
      <c r="B79" s="16">
        <v>45500</v>
      </c>
      <c r="C79" s="15" t="s">
        <v>96</v>
      </c>
      <c r="D79" s="15" t="s">
        <v>97</v>
      </c>
      <c r="E79" s="15" t="s">
        <v>17</v>
      </c>
      <c r="F79" s="15" t="s">
        <v>18</v>
      </c>
      <c r="G79" s="15" t="s">
        <v>19</v>
      </c>
      <c r="H79" s="15">
        <v>2</v>
      </c>
      <c r="I79" s="15">
        <v>249.99</v>
      </c>
      <c r="J79" s="15" t="s">
        <v>20</v>
      </c>
      <c r="K79" s="15" t="s">
        <v>40</v>
      </c>
      <c r="L79" s="15" t="s">
        <v>27</v>
      </c>
      <c r="M79" s="16">
        <v>45164</v>
      </c>
      <c r="N79" s="17">
        <v>499.98</v>
      </c>
      <c r="O79" s="12" t="str">
        <f t="shared" si="8"/>
        <v>Jul</v>
      </c>
      <c r="P79" s="12">
        <f t="shared" si="9"/>
        <v>2024</v>
      </c>
      <c r="Q79" s="12">
        <f t="shared" ca="1" si="10"/>
        <v>940</v>
      </c>
      <c r="R79" s="12">
        <f t="shared" si="11"/>
        <v>45504</v>
      </c>
      <c r="S79" s="18">
        <f t="shared" ca="1" si="12"/>
        <v>46104.411816550928</v>
      </c>
      <c r="T79" s="12" t="str">
        <f t="shared" si="13"/>
        <v>Low Sale</v>
      </c>
      <c r="U79" s="21">
        <f t="shared" si="7"/>
        <v>10649.8</v>
      </c>
      <c r="W79" s="12" t="str">
        <v>TRX0090</v>
      </c>
      <c r="X79" s="12">
        <v>45605</v>
      </c>
      <c r="Y79" s="12" t="str">
        <v>CUST020</v>
      </c>
      <c r="Z79" s="12" t="str">
        <v>Margaret Wright</v>
      </c>
      <c r="AA79" s="12" t="str">
        <v>P009</v>
      </c>
      <c r="AB79" s="12" t="str">
        <v>Monitor</v>
      </c>
      <c r="AC79" s="12" t="str">
        <v>Electronics</v>
      </c>
      <c r="AD79" s="12">
        <v>1</v>
      </c>
      <c r="AE79" s="12">
        <v>249.99</v>
      </c>
      <c r="AF79" s="12" t="str">
        <v>Credit Card</v>
      </c>
      <c r="AG79" s="12" t="str">
        <v>North</v>
      </c>
      <c r="AH79" s="12" t="str">
        <v>Premium</v>
      </c>
      <c r="AI79" s="12">
        <v>44828</v>
      </c>
      <c r="AJ79" s="12">
        <v>249.99</v>
      </c>
      <c r="AL79" s="12"/>
    </row>
    <row r="80" spans="1:38" x14ac:dyDescent="0.3">
      <c r="A80" s="20" t="s">
        <v>205</v>
      </c>
      <c r="B80" s="16">
        <v>45500</v>
      </c>
      <c r="C80" s="15" t="s">
        <v>147</v>
      </c>
      <c r="D80" s="15" t="s">
        <v>148</v>
      </c>
      <c r="E80" s="15" t="s">
        <v>105</v>
      </c>
      <c r="F80" s="15" t="s">
        <v>106</v>
      </c>
      <c r="G80" s="15" t="s">
        <v>46</v>
      </c>
      <c r="H80" s="15">
        <v>1</v>
      </c>
      <c r="I80" s="15">
        <v>299.99</v>
      </c>
      <c r="J80" s="15" t="s">
        <v>20</v>
      </c>
      <c r="K80" s="15" t="s">
        <v>35</v>
      </c>
      <c r="L80" s="15" t="s">
        <v>22</v>
      </c>
      <c r="M80" s="16">
        <v>44982</v>
      </c>
      <c r="N80" s="17">
        <v>299.99</v>
      </c>
      <c r="O80" s="12" t="str">
        <f t="shared" si="8"/>
        <v>Jul</v>
      </c>
      <c r="P80" s="12">
        <f t="shared" si="9"/>
        <v>2024</v>
      </c>
      <c r="Q80" s="12">
        <f t="shared" ca="1" si="10"/>
        <v>1122</v>
      </c>
      <c r="R80" s="12">
        <f t="shared" si="11"/>
        <v>45504</v>
      </c>
      <c r="S80" s="18">
        <f t="shared" ca="1" si="12"/>
        <v>46104.411816550928</v>
      </c>
      <c r="T80" s="12" t="str">
        <f t="shared" si="13"/>
        <v>Low Sale</v>
      </c>
      <c r="U80" s="21">
        <f t="shared" si="7"/>
        <v>7309.7999999999993</v>
      </c>
      <c r="W80" s="12" t="str">
        <v>TRX0035</v>
      </c>
      <c r="X80" s="12">
        <v>45607</v>
      </c>
      <c r="Y80" s="12" t="str">
        <v>CUST041</v>
      </c>
      <c r="Z80" s="12" t="str">
        <v>Peter Richardson</v>
      </c>
      <c r="AA80" s="12" t="str">
        <v>P003</v>
      </c>
      <c r="AB80" s="12" t="str">
        <v>Headphones</v>
      </c>
      <c r="AC80" s="12" t="str">
        <v>Electronics</v>
      </c>
      <c r="AD80" s="12">
        <v>3</v>
      </c>
      <c r="AE80" s="12">
        <v>149.99</v>
      </c>
      <c r="AF80" s="12" t="str">
        <v>Cash</v>
      </c>
      <c r="AG80" s="12" t="str">
        <v>North</v>
      </c>
      <c r="AH80" s="12" t="str">
        <v>Basic</v>
      </c>
      <c r="AI80" s="12">
        <v>44769</v>
      </c>
      <c r="AJ80" s="12">
        <v>449.97</v>
      </c>
      <c r="AL80" s="12"/>
    </row>
    <row r="81" spans="1:38" x14ac:dyDescent="0.3">
      <c r="A81" s="20" t="s">
        <v>206</v>
      </c>
      <c r="B81" s="16">
        <v>45501</v>
      </c>
      <c r="C81" s="15" t="s">
        <v>86</v>
      </c>
      <c r="D81" s="15" t="s">
        <v>87</v>
      </c>
      <c r="E81" s="15" t="s">
        <v>117</v>
      </c>
      <c r="F81" s="15" t="s">
        <v>118</v>
      </c>
      <c r="G81" s="15" t="s">
        <v>19</v>
      </c>
      <c r="H81" s="15">
        <v>2</v>
      </c>
      <c r="I81" s="15">
        <v>89.99</v>
      </c>
      <c r="J81" s="15" t="s">
        <v>34</v>
      </c>
      <c r="K81" s="15" t="s">
        <v>35</v>
      </c>
      <c r="L81" s="15" t="s">
        <v>22</v>
      </c>
      <c r="M81" s="16">
        <v>44976</v>
      </c>
      <c r="N81" s="17">
        <v>179.98</v>
      </c>
      <c r="O81" s="12" t="str">
        <f t="shared" si="8"/>
        <v>Jul</v>
      </c>
      <c r="P81" s="12">
        <f t="shared" si="9"/>
        <v>2024</v>
      </c>
      <c r="Q81" s="12">
        <f t="shared" ca="1" si="10"/>
        <v>1128</v>
      </c>
      <c r="R81" s="12">
        <f t="shared" si="11"/>
        <v>45504</v>
      </c>
      <c r="S81" s="18">
        <f t="shared" ca="1" si="12"/>
        <v>46104.411816550928</v>
      </c>
      <c r="T81" s="12" t="str">
        <f t="shared" si="13"/>
        <v>Low Sale</v>
      </c>
      <c r="U81" s="21">
        <f t="shared" si="7"/>
        <v>15659.65</v>
      </c>
      <c r="W81" s="12" t="str">
        <v>TRX0076</v>
      </c>
      <c r="X81" s="12">
        <v>45607</v>
      </c>
      <c r="Y81" s="12" t="str">
        <v>CUST012</v>
      </c>
      <c r="Z81" s="12" t="str">
        <v>Patricia Moore</v>
      </c>
      <c r="AA81" s="12" t="str">
        <v>P009</v>
      </c>
      <c r="AB81" s="12" t="str">
        <v>Monitor</v>
      </c>
      <c r="AC81" s="12" t="str">
        <v>Electronics</v>
      </c>
      <c r="AD81" s="12">
        <v>4</v>
      </c>
      <c r="AE81" s="12">
        <v>249.99</v>
      </c>
      <c r="AF81" s="12" t="str">
        <v>Credit Card</v>
      </c>
      <c r="AG81" s="12" t="str">
        <v>West</v>
      </c>
      <c r="AH81" s="12" t="str">
        <v>Standard</v>
      </c>
      <c r="AI81" s="12">
        <v>44659</v>
      </c>
      <c r="AJ81" s="12">
        <v>999.96</v>
      </c>
      <c r="AL81" s="12"/>
    </row>
    <row r="82" spans="1:38" x14ac:dyDescent="0.3">
      <c r="A82" s="20" t="s">
        <v>207</v>
      </c>
      <c r="B82" s="16">
        <v>45501</v>
      </c>
      <c r="C82" s="15" t="s">
        <v>147</v>
      </c>
      <c r="D82" s="15" t="s">
        <v>148</v>
      </c>
      <c r="E82" s="15" t="s">
        <v>105</v>
      </c>
      <c r="F82" s="15" t="s">
        <v>106</v>
      </c>
      <c r="G82" s="15" t="s">
        <v>46</v>
      </c>
      <c r="H82" s="15">
        <v>3</v>
      </c>
      <c r="I82" s="15">
        <v>299.99</v>
      </c>
      <c r="J82" s="15" t="s">
        <v>20</v>
      </c>
      <c r="K82" s="15" t="s">
        <v>21</v>
      </c>
      <c r="L82" s="15" t="s">
        <v>22</v>
      </c>
      <c r="M82" s="16">
        <v>44732</v>
      </c>
      <c r="N82" s="17">
        <v>899.97</v>
      </c>
      <c r="O82" s="12" t="str">
        <f t="shared" si="8"/>
        <v>Jul</v>
      </c>
      <c r="P82" s="12">
        <f t="shared" si="9"/>
        <v>2024</v>
      </c>
      <c r="Q82" s="12">
        <f t="shared" ca="1" si="10"/>
        <v>1372</v>
      </c>
      <c r="R82" s="12">
        <f t="shared" si="11"/>
        <v>45504</v>
      </c>
      <c r="S82" s="18">
        <f t="shared" ca="1" si="12"/>
        <v>46104.411816550928</v>
      </c>
      <c r="T82" s="12" t="str">
        <f t="shared" si="13"/>
        <v>Low Sale</v>
      </c>
      <c r="U82" s="21">
        <f t="shared" si="7"/>
        <v>7309.7999999999993</v>
      </c>
      <c r="W82" s="12" t="str">
        <v>TRX0033</v>
      </c>
      <c r="X82" s="12">
        <v>45613</v>
      </c>
      <c r="Y82" s="12" t="str">
        <v>CUST025</v>
      </c>
      <c r="Z82" s="12" t="str">
        <v>Mark Carter</v>
      </c>
      <c r="AA82" s="12" t="str">
        <v>P002</v>
      </c>
      <c r="AB82" s="12" t="str">
        <v>Smartphone</v>
      </c>
      <c r="AC82" s="12" t="str">
        <v>Electronics</v>
      </c>
      <c r="AD82" s="12">
        <v>2</v>
      </c>
      <c r="AE82" s="12">
        <v>699.99</v>
      </c>
      <c r="AF82" s="12" t="str">
        <v>PayPal</v>
      </c>
      <c r="AG82" s="12" t="str">
        <v>West</v>
      </c>
      <c r="AH82" s="12" t="str">
        <v>Standard</v>
      </c>
      <c r="AI82" s="12">
        <v>44770</v>
      </c>
      <c r="AJ82" s="12">
        <v>1399.98</v>
      </c>
      <c r="AL82" s="12"/>
    </row>
    <row r="83" spans="1:38" x14ac:dyDescent="0.3">
      <c r="A83" s="20" t="s">
        <v>208</v>
      </c>
      <c r="B83" s="16">
        <v>45503</v>
      </c>
      <c r="C83" s="15" t="s">
        <v>86</v>
      </c>
      <c r="D83" s="15" t="s">
        <v>87</v>
      </c>
      <c r="E83" s="15" t="s">
        <v>80</v>
      </c>
      <c r="F83" s="15" t="s">
        <v>81</v>
      </c>
      <c r="G83" s="15" t="s">
        <v>19</v>
      </c>
      <c r="H83" s="15">
        <v>2</v>
      </c>
      <c r="I83" s="15">
        <v>699.99</v>
      </c>
      <c r="J83" s="15" t="s">
        <v>26</v>
      </c>
      <c r="K83" s="15" t="s">
        <v>40</v>
      </c>
      <c r="L83" s="15" t="s">
        <v>27</v>
      </c>
      <c r="M83" s="16">
        <v>44999</v>
      </c>
      <c r="N83" s="17">
        <v>1399.98</v>
      </c>
      <c r="O83" s="12" t="str">
        <f t="shared" si="8"/>
        <v>Jul</v>
      </c>
      <c r="P83" s="12">
        <f t="shared" si="9"/>
        <v>2024</v>
      </c>
      <c r="Q83" s="12">
        <f t="shared" ca="1" si="10"/>
        <v>1105</v>
      </c>
      <c r="R83" s="12">
        <f t="shared" si="11"/>
        <v>45504</v>
      </c>
      <c r="S83" s="18">
        <f t="shared" ca="1" si="12"/>
        <v>46104.411816550928</v>
      </c>
      <c r="T83" s="12" t="str">
        <f t="shared" si="13"/>
        <v>High Sale</v>
      </c>
      <c r="U83" s="21">
        <f t="shared" si="7"/>
        <v>15659.65</v>
      </c>
      <c r="W83" s="12" t="str">
        <v>TRX0148</v>
      </c>
      <c r="X83" s="12">
        <v>45619</v>
      </c>
      <c r="Y83" s="12" t="str">
        <v>CUST004</v>
      </c>
      <c r="Z83" s="12" t="str">
        <v>Sarah Davis</v>
      </c>
      <c r="AA83" s="12" t="str">
        <v>P002</v>
      </c>
      <c r="AB83" s="12" t="str">
        <v>Smartphone</v>
      </c>
      <c r="AC83" s="12" t="str">
        <v>Electronics</v>
      </c>
      <c r="AD83" s="12">
        <v>3</v>
      </c>
      <c r="AE83" s="12">
        <v>699.99</v>
      </c>
      <c r="AF83" s="12" t="str">
        <v>PayPal</v>
      </c>
      <c r="AG83" s="12" t="str">
        <v>West</v>
      </c>
      <c r="AH83" s="12" t="str">
        <v>Standard</v>
      </c>
      <c r="AI83" s="12">
        <v>44583</v>
      </c>
      <c r="AJ83" s="12">
        <v>2099.9699999999998</v>
      </c>
      <c r="AL83" s="12"/>
    </row>
    <row r="84" spans="1:38" x14ac:dyDescent="0.3">
      <c r="A84" s="20" t="s">
        <v>209</v>
      </c>
      <c r="B84" s="16">
        <v>45504</v>
      </c>
      <c r="C84" s="15" t="s">
        <v>120</v>
      </c>
      <c r="D84" s="15" t="s">
        <v>121</v>
      </c>
      <c r="E84" s="15" t="s">
        <v>61</v>
      </c>
      <c r="F84" s="15" t="s">
        <v>62</v>
      </c>
      <c r="G84" s="15" t="s">
        <v>19</v>
      </c>
      <c r="H84" s="15">
        <v>4</v>
      </c>
      <c r="I84" s="15">
        <v>899.99</v>
      </c>
      <c r="J84" s="15" t="s">
        <v>57</v>
      </c>
      <c r="K84" s="15" t="s">
        <v>35</v>
      </c>
      <c r="L84" s="15" t="s">
        <v>36</v>
      </c>
      <c r="M84" s="16">
        <v>44523</v>
      </c>
      <c r="N84" s="17">
        <v>3599.96</v>
      </c>
      <c r="O84" s="12" t="str">
        <f t="shared" si="8"/>
        <v>Jul</v>
      </c>
      <c r="P84" s="12">
        <f t="shared" si="9"/>
        <v>2024</v>
      </c>
      <c r="Q84" s="12">
        <f t="shared" ca="1" si="10"/>
        <v>1581</v>
      </c>
      <c r="R84" s="12">
        <f t="shared" si="11"/>
        <v>45504</v>
      </c>
      <c r="S84" s="18">
        <f t="shared" ca="1" si="12"/>
        <v>46104.411816550928</v>
      </c>
      <c r="T84" s="12" t="str">
        <f t="shared" si="13"/>
        <v>High Sale</v>
      </c>
      <c r="U84" s="21">
        <f t="shared" si="7"/>
        <v>6459.79</v>
      </c>
      <c r="W84" s="12" t="str">
        <v>TRX0012</v>
      </c>
      <c r="X84" s="12">
        <v>45622</v>
      </c>
      <c r="Y84" s="12" t="str">
        <v>CUST045</v>
      </c>
      <c r="Z84" s="12" t="str">
        <v>Douglas Watson</v>
      </c>
      <c r="AA84" s="12" t="str">
        <v>P009</v>
      </c>
      <c r="AB84" s="12" t="str">
        <v>Monitor</v>
      </c>
      <c r="AC84" s="12" t="str">
        <v>Electronics</v>
      </c>
      <c r="AD84" s="12">
        <v>5</v>
      </c>
      <c r="AE84" s="12">
        <v>249.99</v>
      </c>
      <c r="AF84" s="12" t="str">
        <v>Credit Card</v>
      </c>
      <c r="AG84" s="12" t="str">
        <v>North</v>
      </c>
      <c r="AH84" s="12" t="str">
        <v>Basic</v>
      </c>
      <c r="AI84" s="12">
        <v>44873</v>
      </c>
      <c r="AJ84" s="12">
        <v>1249.95</v>
      </c>
      <c r="AL84" s="12"/>
    </row>
    <row r="85" spans="1:38" x14ac:dyDescent="0.3">
      <c r="A85" s="20" t="s">
        <v>210</v>
      </c>
      <c r="B85" s="16">
        <v>45509</v>
      </c>
      <c r="C85" s="15" t="s">
        <v>211</v>
      </c>
      <c r="D85" s="15" t="s">
        <v>212</v>
      </c>
      <c r="E85" s="15" t="s">
        <v>44</v>
      </c>
      <c r="F85" s="15" t="s">
        <v>45</v>
      </c>
      <c r="G85" s="15" t="s">
        <v>46</v>
      </c>
      <c r="H85" s="15">
        <v>2</v>
      </c>
      <c r="I85" s="15">
        <v>149.99</v>
      </c>
      <c r="J85" s="15" t="s">
        <v>26</v>
      </c>
      <c r="K85" s="15" t="s">
        <v>50</v>
      </c>
      <c r="L85" s="15" t="s">
        <v>22</v>
      </c>
      <c r="M85" s="16">
        <v>44542</v>
      </c>
      <c r="N85" s="17">
        <v>299.98</v>
      </c>
      <c r="O85" s="12" t="str">
        <f t="shared" si="8"/>
        <v>Aug</v>
      </c>
      <c r="P85" s="12">
        <f t="shared" si="9"/>
        <v>2024</v>
      </c>
      <c r="Q85" s="12">
        <f t="shared" ca="1" si="10"/>
        <v>1562</v>
      </c>
      <c r="R85" s="12">
        <f t="shared" si="11"/>
        <v>45535</v>
      </c>
      <c r="S85" s="18">
        <f t="shared" ca="1" si="12"/>
        <v>46104.411816550928</v>
      </c>
      <c r="T85" s="12" t="str">
        <f t="shared" si="13"/>
        <v>Low Sale</v>
      </c>
      <c r="U85" s="21">
        <f t="shared" si="7"/>
        <v>3649.8599999999997</v>
      </c>
      <c r="W85" s="12" t="str">
        <v>TRX0094</v>
      </c>
      <c r="X85" s="12">
        <v>45627</v>
      </c>
      <c r="Y85" s="12" t="str">
        <v>CUST017</v>
      </c>
      <c r="Z85" s="12" t="str">
        <v>Charles Allen</v>
      </c>
      <c r="AA85" s="12" t="str">
        <v>P009</v>
      </c>
      <c r="AB85" s="12" t="str">
        <v>Monitor</v>
      </c>
      <c r="AC85" s="12" t="str">
        <v>Electronics</v>
      </c>
      <c r="AD85" s="12">
        <v>5</v>
      </c>
      <c r="AE85" s="12">
        <v>249.99</v>
      </c>
      <c r="AF85" s="12" t="str">
        <v>Cash</v>
      </c>
      <c r="AG85" s="12" t="str">
        <v>Central</v>
      </c>
      <c r="AH85" s="12" t="str">
        <v>Premium</v>
      </c>
      <c r="AI85" s="12">
        <v>44485</v>
      </c>
      <c r="AJ85" s="12">
        <v>1249.95</v>
      </c>
      <c r="AL85" s="12"/>
    </row>
    <row r="86" spans="1:38" x14ac:dyDescent="0.3">
      <c r="A86" s="20" t="s">
        <v>213</v>
      </c>
      <c r="B86" s="16">
        <v>45510</v>
      </c>
      <c r="C86" s="15" t="s">
        <v>102</v>
      </c>
      <c r="D86" s="15" t="s">
        <v>103</v>
      </c>
      <c r="E86" s="15" t="s">
        <v>44</v>
      </c>
      <c r="F86" s="15" t="s">
        <v>45</v>
      </c>
      <c r="G86" s="15" t="s">
        <v>46</v>
      </c>
      <c r="H86" s="15">
        <v>2</v>
      </c>
      <c r="I86" s="15">
        <v>149.99</v>
      </c>
      <c r="J86" s="15" t="s">
        <v>57</v>
      </c>
      <c r="K86" s="15" t="s">
        <v>63</v>
      </c>
      <c r="L86" s="15" t="s">
        <v>36</v>
      </c>
      <c r="M86" s="16">
        <v>44667</v>
      </c>
      <c r="N86" s="17">
        <v>299.98</v>
      </c>
      <c r="O86" s="12" t="str">
        <f t="shared" si="8"/>
        <v>Aug</v>
      </c>
      <c r="P86" s="12">
        <f t="shared" si="9"/>
        <v>2024</v>
      </c>
      <c r="Q86" s="12">
        <f t="shared" ca="1" si="10"/>
        <v>1437</v>
      </c>
      <c r="R86" s="12">
        <f t="shared" si="11"/>
        <v>45535</v>
      </c>
      <c r="S86" s="18">
        <f t="shared" ca="1" si="12"/>
        <v>46104.411816550928</v>
      </c>
      <c r="T86" s="12" t="str">
        <f t="shared" si="13"/>
        <v>Low Sale</v>
      </c>
      <c r="U86" s="21">
        <f t="shared" si="7"/>
        <v>3769.8300000000004</v>
      </c>
      <c r="W86" s="12" t="str">
        <v>TRX0133</v>
      </c>
      <c r="X86" s="12">
        <v>45627</v>
      </c>
      <c r="Y86" s="12" t="str">
        <v>CUST013</v>
      </c>
      <c r="Z86" s="12" t="str">
        <v>Joseph Jackson</v>
      </c>
      <c r="AA86" s="12" t="str">
        <v>P003</v>
      </c>
      <c r="AB86" s="12" t="str">
        <v>Headphones</v>
      </c>
      <c r="AC86" s="12" t="str">
        <v>Electronics</v>
      </c>
      <c r="AD86" s="12">
        <v>2</v>
      </c>
      <c r="AE86" s="12">
        <v>149.99</v>
      </c>
      <c r="AF86" s="12" t="str">
        <v>Cash</v>
      </c>
      <c r="AG86" s="12" t="str">
        <v>South</v>
      </c>
      <c r="AH86" s="12" t="str">
        <v>Premium</v>
      </c>
      <c r="AI86" s="12">
        <v>44475</v>
      </c>
      <c r="AJ86" s="12">
        <v>299.98</v>
      </c>
      <c r="AL86" s="12"/>
    </row>
    <row r="87" spans="1:38" x14ac:dyDescent="0.3">
      <c r="A87" s="20" t="s">
        <v>214</v>
      </c>
      <c r="B87" s="16">
        <v>45513</v>
      </c>
      <c r="C87" s="15" t="s">
        <v>89</v>
      </c>
      <c r="D87" s="15" t="s">
        <v>90</v>
      </c>
      <c r="E87" s="15" t="s">
        <v>117</v>
      </c>
      <c r="F87" s="15" t="s">
        <v>118</v>
      </c>
      <c r="G87" s="15" t="s">
        <v>19</v>
      </c>
      <c r="H87" s="15">
        <v>1</v>
      </c>
      <c r="I87" s="15">
        <v>89.99</v>
      </c>
      <c r="J87" s="15" t="s">
        <v>26</v>
      </c>
      <c r="K87" s="15" t="s">
        <v>40</v>
      </c>
      <c r="L87" s="15" t="s">
        <v>36</v>
      </c>
      <c r="M87" s="16">
        <v>45393</v>
      </c>
      <c r="N87" s="17">
        <v>89.99</v>
      </c>
      <c r="O87" s="12" t="str">
        <f t="shared" si="8"/>
        <v>Aug</v>
      </c>
      <c r="P87" s="12">
        <f t="shared" si="9"/>
        <v>2024</v>
      </c>
      <c r="Q87" s="12">
        <f t="shared" ca="1" si="10"/>
        <v>711</v>
      </c>
      <c r="R87" s="12">
        <f t="shared" si="11"/>
        <v>45535</v>
      </c>
      <c r="S87" s="18">
        <f t="shared" ca="1" si="12"/>
        <v>46104.411816550928</v>
      </c>
      <c r="T87" s="12" t="str">
        <f t="shared" si="13"/>
        <v>Low Sale</v>
      </c>
      <c r="U87" s="21">
        <f t="shared" si="7"/>
        <v>1909.93</v>
      </c>
      <c r="W87" s="12" t="str">
        <v>TRX0201</v>
      </c>
      <c r="X87" s="12">
        <v>45627</v>
      </c>
      <c r="Y87" s="12" t="str">
        <v>CUST025</v>
      </c>
      <c r="Z87" s="12" t="str">
        <v>Mark Carter</v>
      </c>
      <c r="AA87" s="12" t="str">
        <v>P002</v>
      </c>
      <c r="AB87" s="12" t="str">
        <v>Smartphone</v>
      </c>
      <c r="AC87" s="12" t="str">
        <v>Electronics</v>
      </c>
      <c r="AD87" s="12">
        <v>5</v>
      </c>
      <c r="AE87" s="12">
        <v>699.99</v>
      </c>
      <c r="AF87" s="12" t="str">
        <v>Debit Card</v>
      </c>
      <c r="AG87" s="12" t="str">
        <v>West</v>
      </c>
      <c r="AH87" s="12" t="str">
        <v>Standard</v>
      </c>
      <c r="AI87" s="12">
        <v>44944</v>
      </c>
      <c r="AJ87" s="12">
        <v>3499.95</v>
      </c>
      <c r="AL87" s="12"/>
    </row>
    <row r="88" spans="1:38" x14ac:dyDescent="0.3">
      <c r="A88" s="20" t="s">
        <v>215</v>
      </c>
      <c r="B88" s="16">
        <v>45515</v>
      </c>
      <c r="C88" s="15" t="s">
        <v>86</v>
      </c>
      <c r="D88" s="15" t="s">
        <v>87</v>
      </c>
      <c r="E88" s="15" t="s">
        <v>105</v>
      </c>
      <c r="F88" s="15" t="s">
        <v>106</v>
      </c>
      <c r="G88" s="15" t="s">
        <v>46</v>
      </c>
      <c r="H88" s="15">
        <v>5</v>
      </c>
      <c r="I88" s="15">
        <v>299.99</v>
      </c>
      <c r="J88" s="15" t="s">
        <v>26</v>
      </c>
      <c r="K88" s="15" t="s">
        <v>40</v>
      </c>
      <c r="L88" s="15" t="s">
        <v>22</v>
      </c>
      <c r="M88" s="16">
        <v>44965</v>
      </c>
      <c r="N88" s="17">
        <v>1499.95</v>
      </c>
      <c r="O88" s="12" t="str">
        <f t="shared" si="8"/>
        <v>Aug</v>
      </c>
      <c r="P88" s="12">
        <f t="shared" si="9"/>
        <v>2024</v>
      </c>
      <c r="Q88" s="12">
        <f t="shared" ca="1" si="10"/>
        <v>1139</v>
      </c>
      <c r="R88" s="12">
        <f t="shared" si="11"/>
        <v>45535</v>
      </c>
      <c r="S88" s="18">
        <f t="shared" ca="1" si="12"/>
        <v>46104.411816550928</v>
      </c>
      <c r="T88" s="12" t="str">
        <f t="shared" si="13"/>
        <v>High Sale</v>
      </c>
      <c r="U88" s="21">
        <f t="shared" si="7"/>
        <v>15659.65</v>
      </c>
      <c r="W88" s="12" t="str">
        <v>TRX0137</v>
      </c>
      <c r="X88" s="12">
        <v>45629</v>
      </c>
      <c r="Y88" s="12" t="str">
        <v>CUST011</v>
      </c>
      <c r="Z88" s="12" t="str">
        <v>William White</v>
      </c>
      <c r="AA88" s="12" t="str">
        <v>P009</v>
      </c>
      <c r="AB88" s="12" t="str">
        <v>Monitor</v>
      </c>
      <c r="AC88" s="12" t="str">
        <v>Electronics</v>
      </c>
      <c r="AD88" s="12">
        <v>4</v>
      </c>
      <c r="AE88" s="12">
        <v>249.99</v>
      </c>
      <c r="AF88" s="12" t="str">
        <v>PayPal</v>
      </c>
      <c r="AG88" s="12" t="str">
        <v>East</v>
      </c>
      <c r="AH88" s="12" t="str">
        <v>Premium</v>
      </c>
      <c r="AI88" s="12">
        <v>45098</v>
      </c>
      <c r="AJ88" s="12">
        <v>999.96</v>
      </c>
      <c r="AL88" s="12"/>
    </row>
    <row r="89" spans="1:38" x14ac:dyDescent="0.3">
      <c r="A89" s="20" t="s">
        <v>216</v>
      </c>
      <c r="B89" s="16">
        <v>45517</v>
      </c>
      <c r="C89" s="15" t="s">
        <v>182</v>
      </c>
      <c r="D89" s="15" t="s">
        <v>183</v>
      </c>
      <c r="E89" s="15" t="s">
        <v>52</v>
      </c>
      <c r="F89" s="15" t="s">
        <v>53</v>
      </c>
      <c r="G89" s="15" t="s">
        <v>19</v>
      </c>
      <c r="H89" s="15">
        <v>4</v>
      </c>
      <c r="I89" s="15">
        <v>149.99</v>
      </c>
      <c r="J89" s="15" t="s">
        <v>57</v>
      </c>
      <c r="K89" s="15" t="s">
        <v>35</v>
      </c>
      <c r="L89" s="15" t="s">
        <v>27</v>
      </c>
      <c r="M89" s="16">
        <v>44820</v>
      </c>
      <c r="N89" s="17">
        <v>599.96</v>
      </c>
      <c r="O89" s="12" t="str">
        <f t="shared" si="8"/>
        <v>Aug</v>
      </c>
      <c r="P89" s="12">
        <f t="shared" si="9"/>
        <v>2024</v>
      </c>
      <c r="Q89" s="12">
        <f t="shared" ca="1" si="10"/>
        <v>1284</v>
      </c>
      <c r="R89" s="12">
        <f t="shared" si="11"/>
        <v>45535</v>
      </c>
      <c r="S89" s="18">
        <f t="shared" ca="1" si="12"/>
        <v>46104.411816550928</v>
      </c>
      <c r="T89" s="12" t="str">
        <f t="shared" si="13"/>
        <v>Low Sale</v>
      </c>
      <c r="U89" s="21">
        <f t="shared" si="7"/>
        <v>1809.84</v>
      </c>
      <c r="W89" s="12" t="str">
        <v>TRX0066</v>
      </c>
      <c r="X89" s="12">
        <v>45630</v>
      </c>
      <c r="Y89" s="12" t="str">
        <v>CUST024</v>
      </c>
      <c r="Z89" s="12" t="str">
        <v>Dorothy Nelson</v>
      </c>
      <c r="AA89" s="12" t="str">
        <v>P002</v>
      </c>
      <c r="AB89" s="12" t="str">
        <v>Smartphone</v>
      </c>
      <c r="AC89" s="12" t="str">
        <v>Electronics</v>
      </c>
      <c r="AD89" s="12">
        <v>4</v>
      </c>
      <c r="AE89" s="12">
        <v>699.99</v>
      </c>
      <c r="AF89" s="12" t="str">
        <v>Credit Card</v>
      </c>
      <c r="AG89" s="12" t="str">
        <v>North</v>
      </c>
      <c r="AH89" s="12" t="str">
        <v>Premium</v>
      </c>
      <c r="AI89" s="12">
        <v>44703</v>
      </c>
      <c r="AJ89" s="12">
        <v>2799.96</v>
      </c>
      <c r="AL89" s="12"/>
    </row>
    <row r="90" spans="1:38" x14ac:dyDescent="0.3">
      <c r="A90" s="20" t="s">
        <v>217</v>
      </c>
      <c r="B90" s="16">
        <v>45517</v>
      </c>
      <c r="C90" s="15" t="s">
        <v>185</v>
      </c>
      <c r="D90" s="15" t="s">
        <v>186</v>
      </c>
      <c r="E90" s="15" t="s">
        <v>17</v>
      </c>
      <c r="F90" s="15" t="s">
        <v>18</v>
      </c>
      <c r="G90" s="15" t="s">
        <v>19</v>
      </c>
      <c r="H90" s="15">
        <v>5</v>
      </c>
      <c r="I90" s="15">
        <v>249.99</v>
      </c>
      <c r="J90" s="15" t="s">
        <v>34</v>
      </c>
      <c r="K90" s="15" t="s">
        <v>63</v>
      </c>
      <c r="L90" s="15" t="s">
        <v>27</v>
      </c>
      <c r="M90" s="16">
        <v>44782</v>
      </c>
      <c r="N90" s="17">
        <v>1249.95</v>
      </c>
      <c r="O90" s="12" t="str">
        <f t="shared" si="8"/>
        <v>Aug</v>
      </c>
      <c r="P90" s="12">
        <f t="shared" si="9"/>
        <v>2024</v>
      </c>
      <c r="Q90" s="12">
        <f t="shared" ca="1" si="10"/>
        <v>1322</v>
      </c>
      <c r="R90" s="12">
        <f t="shared" si="11"/>
        <v>45535</v>
      </c>
      <c r="S90" s="18">
        <f t="shared" ca="1" si="12"/>
        <v>46104.411816550928</v>
      </c>
      <c r="T90" s="12" t="str">
        <f t="shared" si="13"/>
        <v>High Sale</v>
      </c>
      <c r="U90" s="21">
        <f t="shared" si="7"/>
        <v>2099.88</v>
      </c>
      <c r="W90" s="12" t="str">
        <v>TRX0180</v>
      </c>
      <c r="X90" s="12">
        <v>45635</v>
      </c>
      <c r="Y90" s="12" t="str">
        <v>CUST036</v>
      </c>
      <c r="Z90" s="12" t="str">
        <v>Nancy Collins</v>
      </c>
      <c r="AA90" s="12" t="str">
        <v>P009</v>
      </c>
      <c r="AB90" s="12" t="str">
        <v>Monitor</v>
      </c>
      <c r="AC90" s="12" t="str">
        <v>Electronics</v>
      </c>
      <c r="AD90" s="12">
        <v>2</v>
      </c>
      <c r="AE90" s="12">
        <v>249.99</v>
      </c>
      <c r="AF90" s="12" t="str">
        <v>Credit Card</v>
      </c>
      <c r="AG90" s="12" t="str">
        <v>Central</v>
      </c>
      <c r="AH90" s="12" t="str">
        <v>Premium</v>
      </c>
      <c r="AI90" s="12">
        <v>44396</v>
      </c>
      <c r="AJ90" s="12">
        <v>499.98</v>
      </c>
      <c r="AL90" s="12"/>
    </row>
    <row r="91" spans="1:38" x14ac:dyDescent="0.3">
      <c r="A91" s="20" t="s">
        <v>218</v>
      </c>
      <c r="B91" s="16">
        <v>45517</v>
      </c>
      <c r="C91" s="15" t="s">
        <v>65</v>
      </c>
      <c r="D91" s="15" t="s">
        <v>66</v>
      </c>
      <c r="E91" s="15" t="s">
        <v>17</v>
      </c>
      <c r="F91" s="15" t="s">
        <v>18</v>
      </c>
      <c r="G91" s="15" t="s">
        <v>19</v>
      </c>
      <c r="H91" s="15">
        <v>3</v>
      </c>
      <c r="I91" s="15">
        <v>249.99</v>
      </c>
      <c r="J91" s="15" t="s">
        <v>34</v>
      </c>
      <c r="K91" s="15" t="s">
        <v>40</v>
      </c>
      <c r="L91" s="15" t="s">
        <v>27</v>
      </c>
      <c r="M91" s="16">
        <v>44465</v>
      </c>
      <c r="N91" s="17">
        <v>749.97</v>
      </c>
      <c r="O91" s="12" t="str">
        <f t="shared" si="8"/>
        <v>Aug</v>
      </c>
      <c r="P91" s="12">
        <f t="shared" si="9"/>
        <v>2024</v>
      </c>
      <c r="Q91" s="12">
        <f t="shared" ca="1" si="10"/>
        <v>1639</v>
      </c>
      <c r="R91" s="12">
        <f t="shared" si="11"/>
        <v>45535</v>
      </c>
      <c r="S91" s="18">
        <f t="shared" ca="1" si="12"/>
        <v>46104.411816550928</v>
      </c>
      <c r="T91" s="12" t="str">
        <f t="shared" si="13"/>
        <v>Low Sale</v>
      </c>
      <c r="U91" s="21">
        <f t="shared" si="7"/>
        <v>8009.7699999999995</v>
      </c>
      <c r="W91" s="12" t="str">
        <v>TRX0032</v>
      </c>
      <c r="X91" s="12">
        <v>45638</v>
      </c>
      <c r="Y91" s="12" t="str">
        <v>CUST041</v>
      </c>
      <c r="Z91" s="12" t="str">
        <v>Peter Richardson</v>
      </c>
      <c r="AA91" s="12" t="str">
        <v>P001</v>
      </c>
      <c r="AB91" s="12" t="str">
        <v>Laptop</v>
      </c>
      <c r="AC91" s="12" t="str">
        <v>Electronics</v>
      </c>
      <c r="AD91" s="12">
        <v>2</v>
      </c>
      <c r="AE91" s="12">
        <v>899.99</v>
      </c>
      <c r="AF91" s="12" t="str">
        <v>Cash</v>
      </c>
      <c r="AG91" s="12" t="str">
        <v>North</v>
      </c>
      <c r="AH91" s="12" t="str">
        <v>Basic</v>
      </c>
      <c r="AI91" s="12">
        <v>44406</v>
      </c>
      <c r="AJ91" s="12">
        <v>1799.98</v>
      </c>
      <c r="AL91" s="12"/>
    </row>
    <row r="92" spans="1:38" x14ac:dyDescent="0.3">
      <c r="A92" s="20" t="s">
        <v>219</v>
      </c>
      <c r="B92" s="16">
        <v>45517</v>
      </c>
      <c r="C92" s="15" t="s">
        <v>38</v>
      </c>
      <c r="D92" s="15" t="s">
        <v>39</v>
      </c>
      <c r="E92" s="15" t="s">
        <v>126</v>
      </c>
      <c r="F92" s="15" t="s">
        <v>127</v>
      </c>
      <c r="G92" s="15" t="s">
        <v>46</v>
      </c>
      <c r="H92" s="15">
        <v>4</v>
      </c>
      <c r="I92" s="15">
        <v>199.99</v>
      </c>
      <c r="J92" s="15" t="s">
        <v>20</v>
      </c>
      <c r="K92" s="15" t="s">
        <v>40</v>
      </c>
      <c r="L92" s="15" t="s">
        <v>36</v>
      </c>
      <c r="M92" s="16">
        <v>44458</v>
      </c>
      <c r="N92" s="17">
        <v>799.96</v>
      </c>
      <c r="O92" s="12" t="str">
        <f t="shared" si="8"/>
        <v>Aug</v>
      </c>
      <c r="P92" s="12">
        <f t="shared" si="9"/>
        <v>2024</v>
      </c>
      <c r="Q92" s="12">
        <f t="shared" ca="1" si="10"/>
        <v>1646</v>
      </c>
      <c r="R92" s="12">
        <f t="shared" si="11"/>
        <v>45535</v>
      </c>
      <c r="S92" s="18">
        <f t="shared" ca="1" si="12"/>
        <v>46104.411816550928</v>
      </c>
      <c r="T92" s="12" t="str">
        <f t="shared" si="13"/>
        <v>Low Sale</v>
      </c>
      <c r="U92" s="21">
        <f t="shared" si="7"/>
        <v>4309.8099999999995</v>
      </c>
      <c r="W92" s="12" t="str">
        <v>TRX0183</v>
      </c>
      <c r="X92" s="12">
        <v>45645</v>
      </c>
      <c r="Y92" s="12" t="str">
        <v>CUST007</v>
      </c>
      <c r="Z92" s="12" t="str">
        <v>David Martinez</v>
      </c>
      <c r="AA92" s="12" t="str">
        <v>P010</v>
      </c>
      <c r="AB92" s="12" t="str">
        <v>Keyboard</v>
      </c>
      <c r="AC92" s="12" t="str">
        <v>Electronics</v>
      </c>
      <c r="AD92" s="12">
        <v>1</v>
      </c>
      <c r="AE92" s="12">
        <v>89.99</v>
      </c>
      <c r="AF92" s="12" t="str">
        <v>Debit Card</v>
      </c>
      <c r="AG92" s="12" t="str">
        <v>Central</v>
      </c>
      <c r="AH92" s="12" t="str">
        <v>Standard</v>
      </c>
      <c r="AI92" s="12">
        <v>44760</v>
      </c>
      <c r="AJ92" s="12">
        <v>89.99</v>
      </c>
      <c r="AL92" s="12"/>
    </row>
    <row r="93" spans="1:38" x14ac:dyDescent="0.3">
      <c r="A93" s="20" t="s">
        <v>220</v>
      </c>
      <c r="B93" s="16">
        <v>45519</v>
      </c>
      <c r="C93" s="15" t="s">
        <v>158</v>
      </c>
      <c r="D93" s="15" t="s">
        <v>159</v>
      </c>
      <c r="E93" s="15" t="s">
        <v>126</v>
      </c>
      <c r="F93" s="15" t="s">
        <v>127</v>
      </c>
      <c r="G93" s="15" t="s">
        <v>46</v>
      </c>
      <c r="H93" s="15">
        <v>5</v>
      </c>
      <c r="I93" s="15">
        <v>199.99</v>
      </c>
      <c r="J93" s="15" t="s">
        <v>20</v>
      </c>
      <c r="K93" s="15" t="s">
        <v>40</v>
      </c>
      <c r="L93" s="15" t="s">
        <v>27</v>
      </c>
      <c r="M93" s="16">
        <v>44991</v>
      </c>
      <c r="N93" s="17">
        <v>999.95</v>
      </c>
      <c r="O93" s="12" t="str">
        <f t="shared" si="8"/>
        <v>Aug</v>
      </c>
      <c r="P93" s="12">
        <f t="shared" si="9"/>
        <v>2024</v>
      </c>
      <c r="Q93" s="12">
        <f t="shared" ca="1" si="10"/>
        <v>1113</v>
      </c>
      <c r="R93" s="12">
        <f t="shared" si="11"/>
        <v>45535</v>
      </c>
      <c r="S93" s="18">
        <f t="shared" ca="1" si="12"/>
        <v>46104.411816550928</v>
      </c>
      <c r="T93" s="12" t="str">
        <f t="shared" si="13"/>
        <v>Low Sale</v>
      </c>
      <c r="U93" s="21">
        <f t="shared" si="7"/>
        <v>5649.84</v>
      </c>
      <c r="W93" s="12" t="str">
        <v>TRX0163</v>
      </c>
      <c r="X93" s="12">
        <v>45645</v>
      </c>
      <c r="Y93" s="12" t="str">
        <v>CUST019</v>
      </c>
      <c r="Z93" s="12" t="str">
        <v>Daniel King</v>
      </c>
      <c r="AA93" s="12" t="str">
        <v>P001</v>
      </c>
      <c r="AB93" s="12" t="str">
        <v>Laptop</v>
      </c>
      <c r="AC93" s="12" t="str">
        <v>Electronics</v>
      </c>
      <c r="AD93" s="12">
        <v>5</v>
      </c>
      <c r="AE93" s="12">
        <v>899.99</v>
      </c>
      <c r="AF93" s="12" t="str">
        <v>Debit Card</v>
      </c>
      <c r="AG93" s="12" t="str">
        <v>East</v>
      </c>
      <c r="AH93" s="12" t="str">
        <v>Standard</v>
      </c>
      <c r="AI93" s="12">
        <v>44625</v>
      </c>
      <c r="AJ93" s="12">
        <v>4499.95</v>
      </c>
      <c r="AL93" s="12"/>
    </row>
    <row r="94" spans="1:38" x14ac:dyDescent="0.3">
      <c r="A94" s="20" t="s">
        <v>221</v>
      </c>
      <c r="B94" s="16">
        <v>45522</v>
      </c>
      <c r="C94" s="15" t="s">
        <v>86</v>
      </c>
      <c r="D94" s="15" t="s">
        <v>87</v>
      </c>
      <c r="E94" s="15" t="s">
        <v>117</v>
      </c>
      <c r="F94" s="15" t="s">
        <v>118</v>
      </c>
      <c r="G94" s="15" t="s">
        <v>19</v>
      </c>
      <c r="H94" s="15">
        <v>2</v>
      </c>
      <c r="I94" s="15">
        <v>89.99</v>
      </c>
      <c r="J94" s="15" t="s">
        <v>20</v>
      </c>
      <c r="K94" s="15" t="s">
        <v>63</v>
      </c>
      <c r="L94" s="15" t="s">
        <v>27</v>
      </c>
      <c r="M94" s="16">
        <v>44972</v>
      </c>
      <c r="N94" s="17">
        <v>179.98</v>
      </c>
      <c r="O94" s="12" t="str">
        <f t="shared" si="8"/>
        <v>Aug</v>
      </c>
      <c r="P94" s="12">
        <f t="shared" si="9"/>
        <v>2024</v>
      </c>
      <c r="Q94" s="12">
        <f t="shared" ca="1" si="10"/>
        <v>1132</v>
      </c>
      <c r="R94" s="12">
        <f t="shared" si="11"/>
        <v>45535</v>
      </c>
      <c r="S94" s="18">
        <f t="shared" ca="1" si="12"/>
        <v>46104.411816550928</v>
      </c>
      <c r="T94" s="12" t="str">
        <f t="shared" si="13"/>
        <v>Low Sale</v>
      </c>
      <c r="U94" s="21">
        <f t="shared" si="7"/>
        <v>15659.65</v>
      </c>
      <c r="W94" s="12" t="str">
        <v>TRX0164</v>
      </c>
      <c r="X94" s="12">
        <v>45648</v>
      </c>
      <c r="Y94" s="12" t="str">
        <v>CUST014</v>
      </c>
      <c r="Z94" s="12" t="str">
        <v>Linda Martin</v>
      </c>
      <c r="AA94" s="12" t="str">
        <v>P003</v>
      </c>
      <c r="AB94" s="12" t="str">
        <v>Headphones</v>
      </c>
      <c r="AC94" s="12" t="str">
        <v>Electronics</v>
      </c>
      <c r="AD94" s="12">
        <v>2</v>
      </c>
      <c r="AE94" s="12">
        <v>149.99</v>
      </c>
      <c r="AF94" s="12" t="str">
        <v>Debit Card</v>
      </c>
      <c r="AG94" s="12" t="str">
        <v>West</v>
      </c>
      <c r="AH94" s="12" t="str">
        <v>Premium</v>
      </c>
      <c r="AI94" s="12">
        <v>45280</v>
      </c>
      <c r="AJ94" s="12">
        <v>299.98</v>
      </c>
      <c r="AL94" s="12"/>
    </row>
    <row r="95" spans="1:38" x14ac:dyDescent="0.3">
      <c r="A95" s="20" t="s">
        <v>222</v>
      </c>
      <c r="B95" s="16">
        <v>45523</v>
      </c>
      <c r="C95" s="15" t="s">
        <v>196</v>
      </c>
      <c r="D95" s="15" t="s">
        <v>197</v>
      </c>
      <c r="E95" s="15" t="s">
        <v>61</v>
      </c>
      <c r="F95" s="15" t="s">
        <v>62</v>
      </c>
      <c r="G95" s="15" t="s">
        <v>19</v>
      </c>
      <c r="H95" s="15">
        <v>5</v>
      </c>
      <c r="I95" s="15">
        <v>899.99</v>
      </c>
      <c r="J95" s="15" t="s">
        <v>57</v>
      </c>
      <c r="K95" s="15" t="s">
        <v>63</v>
      </c>
      <c r="L95" s="15" t="s">
        <v>22</v>
      </c>
      <c r="M95" s="16">
        <v>44526</v>
      </c>
      <c r="N95" s="17">
        <v>4499.95</v>
      </c>
      <c r="O95" s="12" t="str">
        <f t="shared" si="8"/>
        <v>Aug</v>
      </c>
      <c r="P95" s="12">
        <f t="shared" si="9"/>
        <v>2024</v>
      </c>
      <c r="Q95" s="12">
        <f t="shared" ca="1" si="10"/>
        <v>1578</v>
      </c>
      <c r="R95" s="12">
        <f t="shared" si="11"/>
        <v>45535</v>
      </c>
      <c r="S95" s="18">
        <f t="shared" ca="1" si="12"/>
        <v>46104.411816550928</v>
      </c>
      <c r="T95" s="12" t="str">
        <f t="shared" si="13"/>
        <v>High Sale</v>
      </c>
      <c r="U95" s="21">
        <f t="shared" si="7"/>
        <v>6379.87</v>
      </c>
      <c r="W95" s="12" t="str">
        <v>TRX0156</v>
      </c>
      <c r="X95" s="12">
        <v>45655</v>
      </c>
      <c r="Y95" s="12" t="str">
        <v>CUST009</v>
      </c>
      <c r="Z95" s="12" t="str">
        <v>Robert Thomas</v>
      </c>
      <c r="AA95" s="12" t="str">
        <v>P010</v>
      </c>
      <c r="AB95" s="12" t="str">
        <v>Keyboard</v>
      </c>
      <c r="AC95" s="12" t="str">
        <v>Electronics</v>
      </c>
      <c r="AD95" s="12">
        <v>1</v>
      </c>
      <c r="AE95" s="12">
        <v>89.99</v>
      </c>
      <c r="AF95" s="12" t="str">
        <v>Credit Card</v>
      </c>
      <c r="AG95" s="12" t="str">
        <v>South</v>
      </c>
      <c r="AH95" s="12" t="str">
        <v>Premium</v>
      </c>
      <c r="AI95" s="12">
        <v>44591</v>
      </c>
      <c r="AJ95" s="12">
        <v>89.99</v>
      </c>
      <c r="AL95" s="12"/>
    </row>
    <row r="96" spans="1:38" x14ac:dyDescent="0.3">
      <c r="A96" s="20" t="s">
        <v>223</v>
      </c>
      <c r="B96" s="16">
        <v>45523</v>
      </c>
      <c r="C96" s="15" t="s">
        <v>108</v>
      </c>
      <c r="D96" s="15" t="s">
        <v>109</v>
      </c>
      <c r="E96" s="15" t="s">
        <v>52</v>
      </c>
      <c r="F96" s="15" t="s">
        <v>53</v>
      </c>
      <c r="G96" s="15" t="s">
        <v>19</v>
      </c>
      <c r="H96" s="15">
        <v>3</v>
      </c>
      <c r="I96" s="15">
        <v>149.99</v>
      </c>
      <c r="J96" s="15" t="s">
        <v>34</v>
      </c>
      <c r="K96" s="15" t="s">
        <v>63</v>
      </c>
      <c r="L96" s="15" t="s">
        <v>22</v>
      </c>
      <c r="M96" s="16">
        <v>44574</v>
      </c>
      <c r="N96" s="17">
        <v>449.97</v>
      </c>
      <c r="O96" s="12" t="str">
        <f t="shared" si="8"/>
        <v>Aug</v>
      </c>
      <c r="P96" s="12">
        <f t="shared" si="9"/>
        <v>2024</v>
      </c>
      <c r="Q96" s="12">
        <f t="shared" ca="1" si="10"/>
        <v>1530</v>
      </c>
      <c r="R96" s="12">
        <f t="shared" si="11"/>
        <v>45535</v>
      </c>
      <c r="S96" s="18">
        <f t="shared" ca="1" si="12"/>
        <v>46104.411816550928</v>
      </c>
      <c r="T96" s="12" t="str">
        <f t="shared" si="13"/>
        <v>Low Sale</v>
      </c>
      <c r="U96" s="21">
        <f t="shared" si="7"/>
        <v>4189.7700000000004</v>
      </c>
      <c r="W96" s="12" t="str">
        <v>TRX0207</v>
      </c>
      <c r="X96" s="12">
        <v>45657</v>
      </c>
      <c r="Y96" s="12" t="str">
        <v>CUST025</v>
      </c>
      <c r="Z96" s="12" t="str">
        <v>Mark Carter</v>
      </c>
      <c r="AA96" s="12" t="str">
        <v>P001</v>
      </c>
      <c r="AB96" s="12" t="str">
        <v>Laptop</v>
      </c>
      <c r="AC96" s="12" t="str">
        <v>Electronics</v>
      </c>
      <c r="AD96" s="12">
        <v>1</v>
      </c>
      <c r="AE96" s="12">
        <v>899.99</v>
      </c>
      <c r="AF96" s="12" t="str">
        <v>PayPal</v>
      </c>
      <c r="AG96" s="12" t="str">
        <v>North</v>
      </c>
      <c r="AH96" s="12" t="str">
        <v>Premium</v>
      </c>
      <c r="AI96" s="12">
        <v>45050</v>
      </c>
      <c r="AJ96" s="12">
        <v>899.99</v>
      </c>
      <c r="AL96" s="12"/>
    </row>
    <row r="97" spans="1:38" x14ac:dyDescent="0.3">
      <c r="A97" s="20" t="s">
        <v>224</v>
      </c>
      <c r="B97" s="16">
        <v>45526</v>
      </c>
      <c r="C97" s="15" t="s">
        <v>102</v>
      </c>
      <c r="D97" s="15" t="s">
        <v>103</v>
      </c>
      <c r="E97" s="15" t="s">
        <v>44</v>
      </c>
      <c r="F97" s="15" t="s">
        <v>45</v>
      </c>
      <c r="G97" s="15" t="s">
        <v>46</v>
      </c>
      <c r="H97" s="15">
        <v>5</v>
      </c>
      <c r="I97" s="15">
        <v>149.99</v>
      </c>
      <c r="J97" s="15" t="s">
        <v>26</v>
      </c>
      <c r="K97" s="15" t="s">
        <v>21</v>
      </c>
      <c r="L97" s="15" t="s">
        <v>22</v>
      </c>
      <c r="M97" s="16">
        <v>45310</v>
      </c>
      <c r="N97" s="17">
        <v>749.95</v>
      </c>
      <c r="O97" s="12" t="str">
        <f t="shared" si="8"/>
        <v>Aug</v>
      </c>
      <c r="P97" s="12">
        <f t="shared" si="9"/>
        <v>2024</v>
      </c>
      <c r="Q97" s="12">
        <f t="shared" ca="1" si="10"/>
        <v>794</v>
      </c>
      <c r="R97" s="12">
        <f t="shared" si="11"/>
        <v>45535</v>
      </c>
      <c r="S97" s="18">
        <f t="shared" ca="1" si="12"/>
        <v>46104.411816550928</v>
      </c>
      <c r="T97" s="12" t="str">
        <f t="shared" si="13"/>
        <v>Low Sale</v>
      </c>
      <c r="U97" s="21">
        <f t="shared" si="7"/>
        <v>3769.8300000000004</v>
      </c>
      <c r="W97" s="12" t="str">
        <v>TRX0056</v>
      </c>
      <c r="X97" s="12">
        <v>45660</v>
      </c>
      <c r="Y97" s="12" t="str">
        <v>CUST019</v>
      </c>
      <c r="Z97" s="12" t="str">
        <v>Daniel King</v>
      </c>
      <c r="AA97" s="12" t="str">
        <v>P010</v>
      </c>
      <c r="AB97" s="12" t="str">
        <v>Keyboard</v>
      </c>
      <c r="AC97" s="12" t="str">
        <v>Electronics</v>
      </c>
      <c r="AD97" s="12">
        <v>2</v>
      </c>
      <c r="AE97" s="12">
        <v>89.99</v>
      </c>
      <c r="AF97" s="12" t="str">
        <v>Credit Card</v>
      </c>
      <c r="AG97" s="12" t="str">
        <v>South</v>
      </c>
      <c r="AH97" s="12" t="str">
        <v>Premium</v>
      </c>
      <c r="AI97" s="12">
        <v>44564</v>
      </c>
      <c r="AJ97" s="12">
        <v>179.98</v>
      </c>
      <c r="AL97" s="12"/>
    </row>
    <row r="98" spans="1:38" x14ac:dyDescent="0.3">
      <c r="A98" s="20" t="s">
        <v>225</v>
      </c>
      <c r="B98" s="16">
        <v>45528</v>
      </c>
      <c r="C98" s="15" t="s">
        <v>226</v>
      </c>
      <c r="D98" s="15" t="s">
        <v>227</v>
      </c>
      <c r="E98" s="15" t="s">
        <v>114</v>
      </c>
      <c r="F98" s="15" t="s">
        <v>115</v>
      </c>
      <c r="G98" s="15" t="s">
        <v>33</v>
      </c>
      <c r="H98" s="15">
        <v>3</v>
      </c>
      <c r="I98" s="15">
        <v>79.989999999999995</v>
      </c>
      <c r="J98" s="15" t="s">
        <v>20</v>
      </c>
      <c r="K98" s="15" t="s">
        <v>21</v>
      </c>
      <c r="L98" s="15" t="s">
        <v>27</v>
      </c>
      <c r="M98" s="16">
        <v>44779</v>
      </c>
      <c r="N98" s="17">
        <v>239.97</v>
      </c>
      <c r="O98" s="12" t="str">
        <f t="shared" si="8"/>
        <v>Aug</v>
      </c>
      <c r="P98" s="12">
        <f t="shared" si="9"/>
        <v>2024</v>
      </c>
      <c r="Q98" s="12">
        <f t="shared" ca="1" si="10"/>
        <v>1325</v>
      </c>
      <c r="R98" s="12">
        <f t="shared" si="11"/>
        <v>45535</v>
      </c>
      <c r="S98" s="18">
        <f t="shared" ca="1" si="12"/>
        <v>46104.411816550928</v>
      </c>
      <c r="T98" s="12" t="str">
        <f t="shared" si="13"/>
        <v>Low Sale</v>
      </c>
      <c r="U98" s="21">
        <f t="shared" si="7"/>
        <v>6989.7699999999986</v>
      </c>
      <c r="W98" s="12" t="str">
        <v>TRX0026</v>
      </c>
      <c r="X98" s="12">
        <v>45661</v>
      </c>
      <c r="Y98" s="12" t="str">
        <v>CUST037</v>
      </c>
      <c r="Z98" s="12" t="str">
        <v>Arthur Edwards</v>
      </c>
      <c r="AA98" s="12" t="str">
        <v>P001</v>
      </c>
      <c r="AB98" s="12" t="str">
        <v>Laptop</v>
      </c>
      <c r="AC98" s="12" t="str">
        <v>Electronics</v>
      </c>
      <c r="AD98" s="12">
        <v>1</v>
      </c>
      <c r="AE98" s="12">
        <v>899.99</v>
      </c>
      <c r="AF98" s="12" t="str">
        <v>PayPal</v>
      </c>
      <c r="AG98" s="12" t="str">
        <v>North</v>
      </c>
      <c r="AH98" s="12" t="str">
        <v>Standard</v>
      </c>
      <c r="AI98" s="12">
        <v>44752</v>
      </c>
      <c r="AJ98" s="12">
        <v>899.99</v>
      </c>
      <c r="AL98" s="12"/>
    </row>
    <row r="99" spans="1:38" x14ac:dyDescent="0.3">
      <c r="A99" s="20" t="s">
        <v>228</v>
      </c>
      <c r="B99" s="16">
        <v>45528</v>
      </c>
      <c r="C99" s="15" t="s">
        <v>144</v>
      </c>
      <c r="D99" s="15" t="s">
        <v>145</v>
      </c>
      <c r="E99" s="15" t="s">
        <v>17</v>
      </c>
      <c r="F99" s="15" t="s">
        <v>18</v>
      </c>
      <c r="G99" s="15" t="s">
        <v>19</v>
      </c>
      <c r="H99" s="15">
        <v>2</v>
      </c>
      <c r="I99" s="15">
        <v>249.99</v>
      </c>
      <c r="J99" s="15" t="s">
        <v>20</v>
      </c>
      <c r="K99" s="15" t="s">
        <v>35</v>
      </c>
      <c r="L99" s="15" t="s">
        <v>36</v>
      </c>
      <c r="M99" s="16">
        <v>44572</v>
      </c>
      <c r="N99" s="17">
        <v>499.98</v>
      </c>
      <c r="O99" s="12" t="str">
        <f t="shared" si="8"/>
        <v>Aug</v>
      </c>
      <c r="P99" s="12">
        <f t="shared" si="9"/>
        <v>2024</v>
      </c>
      <c r="Q99" s="12">
        <f t="shared" ca="1" si="10"/>
        <v>1532</v>
      </c>
      <c r="R99" s="12">
        <f t="shared" si="11"/>
        <v>45535</v>
      </c>
      <c r="S99" s="18">
        <f t="shared" ca="1" si="12"/>
        <v>46104.411816550928</v>
      </c>
      <c r="T99" s="12" t="str">
        <f t="shared" si="13"/>
        <v>Low Sale</v>
      </c>
      <c r="U99" s="21">
        <f t="shared" si="7"/>
        <v>5519.8899999999994</v>
      </c>
      <c r="W99" s="12" t="str">
        <v>TRX0237</v>
      </c>
      <c r="X99" s="12">
        <v>45663</v>
      </c>
      <c r="Y99" s="12" t="str">
        <v>CUST006</v>
      </c>
      <c r="Z99" s="12" t="str">
        <v>Lisa Anderson</v>
      </c>
      <c r="AA99" s="12" t="str">
        <v>P003</v>
      </c>
      <c r="AB99" s="12" t="str">
        <v>Headphones</v>
      </c>
      <c r="AC99" s="12" t="str">
        <v>Electronics</v>
      </c>
      <c r="AD99" s="12">
        <v>5</v>
      </c>
      <c r="AE99" s="12">
        <v>149.99</v>
      </c>
      <c r="AF99" s="12" t="str">
        <v>PayPal</v>
      </c>
      <c r="AG99" s="12" t="str">
        <v>East</v>
      </c>
      <c r="AH99" s="12" t="str">
        <v>Premium</v>
      </c>
      <c r="AI99" s="12">
        <v>44824</v>
      </c>
      <c r="AJ99" s="12">
        <v>749.95</v>
      </c>
      <c r="AL99" s="12"/>
    </row>
    <row r="100" spans="1:38" x14ac:dyDescent="0.3">
      <c r="A100" s="20" t="s">
        <v>229</v>
      </c>
      <c r="B100" s="16">
        <v>45532</v>
      </c>
      <c r="C100" s="15" t="s">
        <v>196</v>
      </c>
      <c r="D100" s="15" t="s">
        <v>197</v>
      </c>
      <c r="E100" s="15" t="s">
        <v>80</v>
      </c>
      <c r="F100" s="15" t="s">
        <v>81</v>
      </c>
      <c r="G100" s="15" t="s">
        <v>19</v>
      </c>
      <c r="H100" s="15">
        <v>1</v>
      </c>
      <c r="I100" s="15">
        <v>699.99</v>
      </c>
      <c r="J100" s="15" t="s">
        <v>20</v>
      </c>
      <c r="K100" s="15" t="s">
        <v>21</v>
      </c>
      <c r="L100" s="15" t="s">
        <v>27</v>
      </c>
      <c r="M100" s="16">
        <v>44497</v>
      </c>
      <c r="N100" s="17">
        <v>699.99</v>
      </c>
      <c r="O100" s="12" t="str">
        <f t="shared" si="8"/>
        <v>Aug</v>
      </c>
      <c r="P100" s="12">
        <f t="shared" si="9"/>
        <v>2024</v>
      </c>
      <c r="Q100" s="12">
        <f t="shared" ca="1" si="10"/>
        <v>1607</v>
      </c>
      <c r="R100" s="12">
        <f t="shared" si="11"/>
        <v>45535</v>
      </c>
      <c r="S100" s="18">
        <f t="shared" ca="1" si="12"/>
        <v>46104.411816550928</v>
      </c>
      <c r="T100" s="12" t="str">
        <f t="shared" si="13"/>
        <v>Low Sale</v>
      </c>
      <c r="U100" s="21">
        <f t="shared" si="7"/>
        <v>6379.87</v>
      </c>
      <c r="W100" s="12" t="str">
        <v>TRX0125</v>
      </c>
      <c r="X100" s="12">
        <v>45666</v>
      </c>
      <c r="Y100" s="12" t="str">
        <v>CUST026</v>
      </c>
      <c r="Z100" s="12" t="str">
        <v>Karen Hill</v>
      </c>
      <c r="AA100" s="12" t="str">
        <v>P002</v>
      </c>
      <c r="AB100" s="12" t="str">
        <v>Smartphone</v>
      </c>
      <c r="AC100" s="12" t="str">
        <v>Electronics</v>
      </c>
      <c r="AD100" s="12">
        <v>3</v>
      </c>
      <c r="AE100" s="12">
        <v>699.99</v>
      </c>
      <c r="AF100" s="12" t="str">
        <v>Credit Card</v>
      </c>
      <c r="AG100" s="12" t="str">
        <v>Central</v>
      </c>
      <c r="AH100" s="12" t="str">
        <v>Premium</v>
      </c>
      <c r="AI100" s="12">
        <v>45105</v>
      </c>
      <c r="AJ100" s="12">
        <v>2099.9699999999998</v>
      </c>
      <c r="AL100" s="12"/>
    </row>
    <row r="101" spans="1:38" x14ac:dyDescent="0.3">
      <c r="A101" s="20" t="s">
        <v>230</v>
      </c>
      <c r="B101" s="16">
        <v>45532</v>
      </c>
      <c r="C101" s="15" t="s">
        <v>231</v>
      </c>
      <c r="D101" s="15" t="s">
        <v>232</v>
      </c>
      <c r="E101" s="15" t="s">
        <v>52</v>
      </c>
      <c r="F101" s="15" t="s">
        <v>53</v>
      </c>
      <c r="G101" s="15" t="s">
        <v>19</v>
      </c>
      <c r="H101" s="15">
        <v>3</v>
      </c>
      <c r="I101" s="15">
        <v>149.99</v>
      </c>
      <c r="J101" s="15" t="s">
        <v>20</v>
      </c>
      <c r="K101" s="15" t="s">
        <v>50</v>
      </c>
      <c r="L101" s="15" t="s">
        <v>27</v>
      </c>
      <c r="M101" s="16">
        <v>45212</v>
      </c>
      <c r="N101" s="17">
        <v>449.97</v>
      </c>
      <c r="O101" s="12" t="str">
        <f t="shared" si="8"/>
        <v>Aug</v>
      </c>
      <c r="P101" s="12">
        <f t="shared" si="9"/>
        <v>2024</v>
      </c>
      <c r="Q101" s="12">
        <f t="shared" ca="1" si="10"/>
        <v>892</v>
      </c>
      <c r="R101" s="12">
        <f t="shared" si="11"/>
        <v>45535</v>
      </c>
      <c r="S101" s="18">
        <f t="shared" ca="1" si="12"/>
        <v>46104.411816550928</v>
      </c>
      <c r="T101" s="12" t="str">
        <f t="shared" si="13"/>
        <v>Low Sale</v>
      </c>
      <c r="U101" s="21">
        <f t="shared" si="7"/>
        <v>1149.93</v>
      </c>
      <c r="W101" s="12" t="str">
        <v>TRX0243</v>
      </c>
      <c r="X101" s="12">
        <v>45667</v>
      </c>
      <c r="Y101" s="12" t="str">
        <v>CUST048</v>
      </c>
      <c r="Z101" s="12" t="str">
        <v>Virginia Sanders</v>
      </c>
      <c r="AA101" s="12" t="str">
        <v>P009</v>
      </c>
      <c r="AB101" s="12" t="str">
        <v>Monitor</v>
      </c>
      <c r="AC101" s="12" t="str">
        <v>Electronics</v>
      </c>
      <c r="AD101" s="12">
        <v>5</v>
      </c>
      <c r="AE101" s="12">
        <v>249.99</v>
      </c>
      <c r="AF101" s="12" t="str">
        <v>Credit Card</v>
      </c>
      <c r="AG101" s="12" t="str">
        <v>South</v>
      </c>
      <c r="AH101" s="12" t="str">
        <v>Basic</v>
      </c>
      <c r="AI101" s="12">
        <v>45330</v>
      </c>
      <c r="AJ101" s="12">
        <v>1249.95</v>
      </c>
      <c r="AL101" s="12"/>
    </row>
    <row r="102" spans="1:38" x14ac:dyDescent="0.3">
      <c r="A102" s="20" t="s">
        <v>233</v>
      </c>
      <c r="B102" s="16">
        <v>45534</v>
      </c>
      <c r="C102" s="15" t="s">
        <v>234</v>
      </c>
      <c r="D102" s="15" t="s">
        <v>235</v>
      </c>
      <c r="E102" s="15" t="s">
        <v>80</v>
      </c>
      <c r="F102" s="15" t="s">
        <v>81</v>
      </c>
      <c r="G102" s="15" t="s">
        <v>19</v>
      </c>
      <c r="H102" s="15">
        <v>2</v>
      </c>
      <c r="I102" s="15">
        <v>699.99</v>
      </c>
      <c r="J102" s="15" t="s">
        <v>26</v>
      </c>
      <c r="K102" s="15" t="s">
        <v>40</v>
      </c>
      <c r="L102" s="15" t="s">
        <v>27</v>
      </c>
      <c r="M102" s="16">
        <v>44421</v>
      </c>
      <c r="N102" s="17">
        <v>1399.98</v>
      </c>
      <c r="O102" s="12" t="str">
        <f t="shared" si="8"/>
        <v>Aug</v>
      </c>
      <c r="P102" s="12">
        <f t="shared" si="9"/>
        <v>2024</v>
      </c>
      <c r="Q102" s="12">
        <f t="shared" ca="1" si="10"/>
        <v>1683</v>
      </c>
      <c r="R102" s="12">
        <f t="shared" si="11"/>
        <v>45535</v>
      </c>
      <c r="S102" s="18">
        <f t="shared" ca="1" si="12"/>
        <v>46104.411816550928</v>
      </c>
      <c r="T102" s="12" t="str">
        <f t="shared" si="13"/>
        <v>High Sale</v>
      </c>
      <c r="U102" s="21">
        <f t="shared" si="7"/>
        <v>6349.83</v>
      </c>
      <c r="W102" s="12" t="str">
        <v>TRX0084</v>
      </c>
      <c r="X102" s="12">
        <v>45668</v>
      </c>
      <c r="Y102" s="12" t="str">
        <v>CUST031</v>
      </c>
      <c r="Z102" s="12" t="str">
        <v>Steven Turner</v>
      </c>
      <c r="AA102" s="12" t="str">
        <v>P003</v>
      </c>
      <c r="AB102" s="12" t="str">
        <v>Headphones</v>
      </c>
      <c r="AC102" s="12" t="str">
        <v>Electronics</v>
      </c>
      <c r="AD102" s="12">
        <v>4</v>
      </c>
      <c r="AE102" s="12">
        <v>149.99</v>
      </c>
      <c r="AF102" s="12" t="str">
        <v>Debit Card</v>
      </c>
      <c r="AG102" s="12" t="str">
        <v>East</v>
      </c>
      <c r="AH102" s="12" t="str">
        <v>Standard</v>
      </c>
      <c r="AI102" s="12">
        <v>44536</v>
      </c>
      <c r="AJ102" s="12">
        <v>599.96</v>
      </c>
      <c r="AL102" s="12"/>
    </row>
    <row r="103" spans="1:38" x14ac:dyDescent="0.3">
      <c r="A103" s="20" t="s">
        <v>236</v>
      </c>
      <c r="B103" s="16">
        <v>45537</v>
      </c>
      <c r="C103" s="15" t="s">
        <v>231</v>
      </c>
      <c r="D103" s="15" t="s">
        <v>232</v>
      </c>
      <c r="E103" s="15" t="s">
        <v>17</v>
      </c>
      <c r="F103" s="15" t="s">
        <v>18</v>
      </c>
      <c r="G103" s="15" t="s">
        <v>19</v>
      </c>
      <c r="H103" s="15">
        <v>1</v>
      </c>
      <c r="I103" s="15">
        <v>249.99</v>
      </c>
      <c r="J103" s="15" t="s">
        <v>26</v>
      </c>
      <c r="K103" s="15" t="s">
        <v>50</v>
      </c>
      <c r="L103" s="15" t="s">
        <v>27</v>
      </c>
      <c r="M103" s="16">
        <v>44685</v>
      </c>
      <c r="N103" s="17">
        <v>249.99</v>
      </c>
      <c r="O103" s="12" t="str">
        <f t="shared" si="8"/>
        <v>Sep</v>
      </c>
      <c r="P103" s="12">
        <f t="shared" si="9"/>
        <v>2024</v>
      </c>
      <c r="Q103" s="12">
        <f t="shared" ca="1" si="10"/>
        <v>1419</v>
      </c>
      <c r="R103" s="12">
        <f t="shared" si="11"/>
        <v>45565</v>
      </c>
      <c r="S103" s="18">
        <f t="shared" ca="1" si="12"/>
        <v>46104.411816550928</v>
      </c>
      <c r="T103" s="12" t="str">
        <f t="shared" si="13"/>
        <v>Low Sale</v>
      </c>
      <c r="U103" s="21">
        <f t="shared" si="7"/>
        <v>1149.93</v>
      </c>
      <c r="W103" s="12" t="str">
        <v>TRX0238</v>
      </c>
      <c r="X103" s="12">
        <v>45668</v>
      </c>
      <c r="Y103" s="12" t="str">
        <v>CUST038</v>
      </c>
      <c r="Z103" s="12" t="str">
        <v>Michelle Rogers</v>
      </c>
      <c r="AA103" s="12" t="str">
        <v>P002</v>
      </c>
      <c r="AB103" s="12" t="str">
        <v>Smartphone</v>
      </c>
      <c r="AC103" s="12" t="str">
        <v>Electronics</v>
      </c>
      <c r="AD103" s="12">
        <v>3</v>
      </c>
      <c r="AE103" s="12">
        <v>699.99</v>
      </c>
      <c r="AF103" s="12" t="str">
        <v>Cash</v>
      </c>
      <c r="AG103" s="12" t="str">
        <v>North</v>
      </c>
      <c r="AH103" s="12" t="str">
        <v>Premium</v>
      </c>
      <c r="AI103" s="12">
        <v>44602</v>
      </c>
      <c r="AJ103" s="12">
        <v>2099.9699999999998</v>
      </c>
      <c r="AL103" s="12"/>
    </row>
    <row r="104" spans="1:38" x14ac:dyDescent="0.3">
      <c r="A104" s="20" t="s">
        <v>237</v>
      </c>
      <c r="B104" s="16">
        <v>45537</v>
      </c>
      <c r="C104" s="15" t="s">
        <v>15</v>
      </c>
      <c r="D104" s="15" t="s">
        <v>16</v>
      </c>
      <c r="E104" s="15" t="s">
        <v>17</v>
      </c>
      <c r="F104" s="15" t="s">
        <v>18</v>
      </c>
      <c r="G104" s="15" t="s">
        <v>19</v>
      </c>
      <c r="H104" s="15">
        <v>1</v>
      </c>
      <c r="I104" s="15">
        <v>249.99</v>
      </c>
      <c r="J104" s="15" t="s">
        <v>57</v>
      </c>
      <c r="K104" s="15" t="s">
        <v>40</v>
      </c>
      <c r="L104" s="15" t="s">
        <v>27</v>
      </c>
      <c r="M104" s="16">
        <v>45332</v>
      </c>
      <c r="N104" s="17">
        <v>249.99</v>
      </c>
      <c r="O104" s="12" t="str">
        <f t="shared" si="8"/>
        <v>Sep</v>
      </c>
      <c r="P104" s="12">
        <f t="shared" si="9"/>
        <v>2024</v>
      </c>
      <c r="Q104" s="12">
        <f t="shared" ca="1" si="10"/>
        <v>772</v>
      </c>
      <c r="R104" s="12">
        <f t="shared" si="11"/>
        <v>45565</v>
      </c>
      <c r="S104" s="18">
        <f t="shared" ca="1" si="12"/>
        <v>46104.411816550928</v>
      </c>
      <c r="T104" s="12" t="str">
        <f t="shared" si="13"/>
        <v>Low Sale</v>
      </c>
      <c r="U104" s="21">
        <f t="shared" si="7"/>
        <v>8309.739999999998</v>
      </c>
      <c r="W104" s="12" t="str">
        <v>TRX0087</v>
      </c>
      <c r="X104" s="12">
        <v>45671</v>
      </c>
      <c r="Y104" s="12" t="str">
        <v>CUST028</v>
      </c>
      <c r="Z104" s="12" t="str">
        <v>Betty Campbell</v>
      </c>
      <c r="AA104" s="12" t="str">
        <v>P009</v>
      </c>
      <c r="AB104" s="12" t="str">
        <v>Monitor</v>
      </c>
      <c r="AC104" s="12" t="str">
        <v>Electronics</v>
      </c>
      <c r="AD104" s="12">
        <v>4</v>
      </c>
      <c r="AE104" s="12">
        <v>249.99</v>
      </c>
      <c r="AF104" s="12" t="str">
        <v>Credit Card</v>
      </c>
      <c r="AG104" s="12" t="str">
        <v>North</v>
      </c>
      <c r="AH104" s="12" t="str">
        <v>Premium</v>
      </c>
      <c r="AI104" s="12">
        <v>44460</v>
      </c>
      <c r="AJ104" s="12">
        <v>999.96</v>
      </c>
      <c r="AL104" s="12"/>
    </row>
    <row r="105" spans="1:38" x14ac:dyDescent="0.3">
      <c r="A105" s="20" t="s">
        <v>238</v>
      </c>
      <c r="B105" s="16">
        <v>45538</v>
      </c>
      <c r="C105" s="15" t="s">
        <v>226</v>
      </c>
      <c r="D105" s="15" t="s">
        <v>227</v>
      </c>
      <c r="E105" s="15" t="s">
        <v>80</v>
      </c>
      <c r="F105" s="15" t="s">
        <v>81</v>
      </c>
      <c r="G105" s="15" t="s">
        <v>19</v>
      </c>
      <c r="H105" s="15">
        <v>2</v>
      </c>
      <c r="I105" s="15">
        <v>699.99</v>
      </c>
      <c r="J105" s="15" t="s">
        <v>57</v>
      </c>
      <c r="K105" s="15" t="s">
        <v>21</v>
      </c>
      <c r="L105" s="15" t="s">
        <v>27</v>
      </c>
      <c r="M105" s="16">
        <v>44870</v>
      </c>
      <c r="N105" s="17">
        <v>1399.98</v>
      </c>
      <c r="O105" s="12" t="str">
        <f t="shared" si="8"/>
        <v>Sep</v>
      </c>
      <c r="P105" s="12">
        <f t="shared" si="9"/>
        <v>2024</v>
      </c>
      <c r="Q105" s="12">
        <f t="shared" ca="1" si="10"/>
        <v>1234</v>
      </c>
      <c r="R105" s="12">
        <f t="shared" si="11"/>
        <v>45565</v>
      </c>
      <c r="S105" s="18">
        <f t="shared" ca="1" si="12"/>
        <v>46104.411816550928</v>
      </c>
      <c r="T105" s="12" t="str">
        <f t="shared" si="13"/>
        <v>High Sale</v>
      </c>
      <c r="U105" s="21">
        <f t="shared" si="7"/>
        <v>6989.7699999999986</v>
      </c>
      <c r="W105" s="12" t="str">
        <v>TRX0107</v>
      </c>
      <c r="X105" s="12">
        <v>45671</v>
      </c>
      <c r="Y105" s="12" t="str">
        <v>CUST030</v>
      </c>
      <c r="Z105" s="12" t="str">
        <v>Helen Roberts</v>
      </c>
      <c r="AA105" s="12" t="str">
        <v>P003</v>
      </c>
      <c r="AB105" s="12" t="str">
        <v>Headphones</v>
      </c>
      <c r="AC105" s="12" t="str">
        <v>Electronics</v>
      </c>
      <c r="AD105" s="12">
        <v>2</v>
      </c>
      <c r="AE105" s="12">
        <v>149.99</v>
      </c>
      <c r="AF105" s="12" t="str">
        <v>Cash</v>
      </c>
      <c r="AG105" s="12" t="str">
        <v>North</v>
      </c>
      <c r="AH105" s="12" t="str">
        <v>Standard</v>
      </c>
      <c r="AI105" s="12">
        <v>44913</v>
      </c>
      <c r="AJ105" s="12">
        <v>299.98</v>
      </c>
      <c r="AL105" s="12"/>
    </row>
    <row r="106" spans="1:38" x14ac:dyDescent="0.3">
      <c r="A106" s="20" t="s">
        <v>239</v>
      </c>
      <c r="B106" s="16">
        <v>45541</v>
      </c>
      <c r="C106" s="15" t="s">
        <v>138</v>
      </c>
      <c r="D106" s="15" t="s">
        <v>139</v>
      </c>
      <c r="E106" s="15" t="s">
        <v>31</v>
      </c>
      <c r="F106" s="15" t="s">
        <v>32</v>
      </c>
      <c r="G106" s="15" t="s">
        <v>33</v>
      </c>
      <c r="H106" s="15">
        <v>3</v>
      </c>
      <c r="I106" s="15">
        <v>59.99</v>
      </c>
      <c r="J106" s="15" t="s">
        <v>26</v>
      </c>
      <c r="K106" s="15" t="s">
        <v>21</v>
      </c>
      <c r="L106" s="15" t="s">
        <v>27</v>
      </c>
      <c r="M106" s="16">
        <v>44717</v>
      </c>
      <c r="N106" s="17">
        <v>179.97</v>
      </c>
      <c r="O106" s="12" t="str">
        <f t="shared" si="8"/>
        <v>Sep</v>
      </c>
      <c r="P106" s="12">
        <f t="shared" si="9"/>
        <v>2024</v>
      </c>
      <c r="Q106" s="12">
        <f t="shared" ca="1" si="10"/>
        <v>1387</v>
      </c>
      <c r="R106" s="12">
        <f t="shared" si="11"/>
        <v>45565</v>
      </c>
      <c r="S106" s="18">
        <f t="shared" ca="1" si="12"/>
        <v>46104.411816550928</v>
      </c>
      <c r="T106" s="12" t="str">
        <f t="shared" si="13"/>
        <v>Low Sale</v>
      </c>
      <c r="U106" s="21">
        <f t="shared" si="7"/>
        <v>2649.83</v>
      </c>
      <c r="W106" s="12" t="str">
        <v>TRX0159</v>
      </c>
      <c r="X106" s="12">
        <v>45683</v>
      </c>
      <c r="Y106" s="12" t="str">
        <v>CUST024</v>
      </c>
      <c r="Z106" s="12" t="str">
        <v>Dorothy Nelson</v>
      </c>
      <c r="AA106" s="12" t="str">
        <v>P009</v>
      </c>
      <c r="AB106" s="12" t="str">
        <v>Monitor</v>
      </c>
      <c r="AC106" s="12" t="str">
        <v>Electronics</v>
      </c>
      <c r="AD106" s="12">
        <v>4</v>
      </c>
      <c r="AE106" s="12">
        <v>249.99</v>
      </c>
      <c r="AF106" s="12" t="str">
        <v>Debit Card</v>
      </c>
      <c r="AG106" s="12" t="str">
        <v>Central</v>
      </c>
      <c r="AH106" s="12" t="str">
        <v>Premium</v>
      </c>
      <c r="AI106" s="12">
        <v>45217</v>
      </c>
      <c r="AJ106" s="12">
        <v>999.96</v>
      </c>
      <c r="AL106" s="12"/>
    </row>
    <row r="107" spans="1:38" x14ac:dyDescent="0.3">
      <c r="A107" s="20" t="s">
        <v>240</v>
      </c>
      <c r="B107" s="16">
        <v>45544</v>
      </c>
      <c r="C107" s="15" t="s">
        <v>132</v>
      </c>
      <c r="D107" s="15" t="s">
        <v>133</v>
      </c>
      <c r="E107" s="15" t="s">
        <v>31</v>
      </c>
      <c r="F107" s="15" t="s">
        <v>32</v>
      </c>
      <c r="G107" s="15" t="s">
        <v>33</v>
      </c>
      <c r="H107" s="15">
        <v>3</v>
      </c>
      <c r="I107" s="15">
        <v>59.99</v>
      </c>
      <c r="J107" s="15" t="s">
        <v>34</v>
      </c>
      <c r="K107" s="15" t="s">
        <v>63</v>
      </c>
      <c r="L107" s="15" t="s">
        <v>36</v>
      </c>
      <c r="M107" s="16">
        <v>44748</v>
      </c>
      <c r="N107" s="17">
        <v>179.97</v>
      </c>
      <c r="O107" s="12" t="str">
        <f t="shared" si="8"/>
        <v>Sep</v>
      </c>
      <c r="P107" s="12">
        <f t="shared" si="9"/>
        <v>2024</v>
      </c>
      <c r="Q107" s="12">
        <f t="shared" ca="1" si="10"/>
        <v>1356</v>
      </c>
      <c r="R107" s="12">
        <f t="shared" si="11"/>
        <v>45565</v>
      </c>
      <c r="S107" s="18">
        <f t="shared" ca="1" si="12"/>
        <v>46104.411816550928</v>
      </c>
      <c r="T107" s="12" t="str">
        <f t="shared" si="13"/>
        <v>Low Sale</v>
      </c>
      <c r="U107" s="21">
        <f t="shared" si="7"/>
        <v>1229.8800000000001</v>
      </c>
      <c r="W107" s="12" t="str">
        <v>TRX0030</v>
      </c>
      <c r="X107" s="12">
        <v>45686</v>
      </c>
      <c r="Y107" s="12" t="str">
        <v>CUST011</v>
      </c>
      <c r="Z107" s="12" t="str">
        <v>William White</v>
      </c>
      <c r="AA107" s="12" t="str">
        <v>P001</v>
      </c>
      <c r="AB107" s="12" t="str">
        <v>Laptop</v>
      </c>
      <c r="AC107" s="12" t="str">
        <v>Electronics</v>
      </c>
      <c r="AD107" s="12">
        <v>4</v>
      </c>
      <c r="AE107" s="12">
        <v>899.99</v>
      </c>
      <c r="AF107" s="12" t="str">
        <v>PayPal</v>
      </c>
      <c r="AG107" s="12" t="str">
        <v>Central</v>
      </c>
      <c r="AH107" s="12" t="str">
        <v>Basic</v>
      </c>
      <c r="AI107" s="12">
        <v>44734</v>
      </c>
      <c r="AJ107" s="12">
        <v>3599.96</v>
      </c>
      <c r="AL107" s="12"/>
    </row>
    <row r="108" spans="1:38" x14ac:dyDescent="0.3">
      <c r="A108" s="20" t="s">
        <v>241</v>
      </c>
      <c r="B108" s="16">
        <v>45544</v>
      </c>
      <c r="C108" s="15" t="s">
        <v>141</v>
      </c>
      <c r="D108" s="15" t="s">
        <v>142</v>
      </c>
      <c r="E108" s="15" t="s">
        <v>114</v>
      </c>
      <c r="F108" s="15" t="s">
        <v>115</v>
      </c>
      <c r="G108" s="15" t="s">
        <v>33</v>
      </c>
      <c r="H108" s="15">
        <v>4</v>
      </c>
      <c r="I108" s="15">
        <v>79.989999999999995</v>
      </c>
      <c r="J108" s="15" t="s">
        <v>20</v>
      </c>
      <c r="K108" s="15" t="s">
        <v>40</v>
      </c>
      <c r="L108" s="15" t="s">
        <v>22</v>
      </c>
      <c r="M108" s="16">
        <v>44530</v>
      </c>
      <c r="N108" s="17">
        <v>319.95999999999998</v>
      </c>
      <c r="O108" s="12" t="str">
        <f t="shared" si="8"/>
        <v>Sep</v>
      </c>
      <c r="P108" s="12">
        <f t="shared" si="9"/>
        <v>2024</v>
      </c>
      <c r="Q108" s="12">
        <f t="shared" ca="1" si="10"/>
        <v>1574</v>
      </c>
      <c r="R108" s="12">
        <f t="shared" si="11"/>
        <v>45565</v>
      </c>
      <c r="S108" s="18">
        <f t="shared" ca="1" si="12"/>
        <v>46104.411816550928</v>
      </c>
      <c r="T108" s="12" t="str">
        <f t="shared" si="13"/>
        <v>Low Sale</v>
      </c>
      <c r="U108" s="21">
        <f t="shared" si="7"/>
        <v>4739.8500000000004</v>
      </c>
      <c r="W108" s="12" t="str">
        <v>TRX0188</v>
      </c>
      <c r="X108" s="12">
        <v>45686</v>
      </c>
      <c r="Y108" s="12" t="str">
        <v>CUST045</v>
      </c>
      <c r="Z108" s="12" t="str">
        <v>Douglas Watson</v>
      </c>
      <c r="AA108" s="12" t="str">
        <v>P002</v>
      </c>
      <c r="AB108" s="12" t="str">
        <v>Smartphone</v>
      </c>
      <c r="AC108" s="12" t="str">
        <v>Electronics</v>
      </c>
      <c r="AD108" s="12">
        <v>2</v>
      </c>
      <c r="AE108" s="12">
        <v>699.99</v>
      </c>
      <c r="AF108" s="12" t="str">
        <v>Debit Card</v>
      </c>
      <c r="AG108" s="12" t="str">
        <v>Central</v>
      </c>
      <c r="AH108" s="12" t="str">
        <v>Premium</v>
      </c>
      <c r="AI108" s="12">
        <v>44681</v>
      </c>
      <c r="AJ108" s="12">
        <v>1399.98</v>
      </c>
      <c r="AL108" s="12"/>
    </row>
    <row r="109" spans="1:38" x14ac:dyDescent="0.3">
      <c r="A109" s="20" t="s">
        <v>242</v>
      </c>
      <c r="B109" s="16">
        <v>45545</v>
      </c>
      <c r="C109" s="15" t="s">
        <v>55</v>
      </c>
      <c r="D109" s="15" t="s">
        <v>56</v>
      </c>
      <c r="E109" s="15" t="s">
        <v>114</v>
      </c>
      <c r="F109" s="15" t="s">
        <v>115</v>
      </c>
      <c r="G109" s="15" t="s">
        <v>33</v>
      </c>
      <c r="H109" s="15">
        <v>1</v>
      </c>
      <c r="I109" s="15">
        <v>79.989999999999995</v>
      </c>
      <c r="J109" s="15" t="s">
        <v>20</v>
      </c>
      <c r="K109" s="15" t="s">
        <v>50</v>
      </c>
      <c r="L109" s="15" t="s">
        <v>22</v>
      </c>
      <c r="M109" s="16">
        <v>44693</v>
      </c>
      <c r="N109" s="17">
        <v>79.989999999999995</v>
      </c>
      <c r="O109" s="12" t="str">
        <f t="shared" si="8"/>
        <v>Sep</v>
      </c>
      <c r="P109" s="12">
        <f t="shared" si="9"/>
        <v>2024</v>
      </c>
      <c r="Q109" s="12">
        <f t="shared" ca="1" si="10"/>
        <v>1411</v>
      </c>
      <c r="R109" s="12">
        <f t="shared" si="11"/>
        <v>45565</v>
      </c>
      <c r="S109" s="18">
        <f t="shared" ca="1" si="12"/>
        <v>46104.411816550928</v>
      </c>
      <c r="T109" s="12" t="str">
        <f t="shared" si="13"/>
        <v>Low Sale</v>
      </c>
      <c r="U109" s="21">
        <f t="shared" si="7"/>
        <v>5089.7300000000005</v>
      </c>
      <c r="W109" s="12" t="str">
        <v>TRX0010</v>
      </c>
      <c r="X109" s="12">
        <v>45688</v>
      </c>
      <c r="Y109" s="12" t="str">
        <v>CUST026</v>
      </c>
      <c r="Z109" s="12" t="str">
        <v>Karen Hill</v>
      </c>
      <c r="AA109" s="12" t="str">
        <v>P002</v>
      </c>
      <c r="AB109" s="12" t="str">
        <v>Smartphone</v>
      </c>
      <c r="AC109" s="12" t="str">
        <v>Electronics</v>
      </c>
      <c r="AD109" s="12">
        <v>4</v>
      </c>
      <c r="AE109" s="12">
        <v>699.99</v>
      </c>
      <c r="AF109" s="12" t="str">
        <v>Debit Card</v>
      </c>
      <c r="AG109" s="12" t="str">
        <v>West</v>
      </c>
      <c r="AH109" s="12" t="str">
        <v>Premium</v>
      </c>
      <c r="AI109" s="12">
        <v>44692</v>
      </c>
      <c r="AJ109" s="12">
        <v>2799.96</v>
      </c>
      <c r="AL109" s="12"/>
    </row>
    <row r="110" spans="1:38" x14ac:dyDescent="0.3">
      <c r="A110" s="20" t="s">
        <v>243</v>
      </c>
      <c r="B110" s="16">
        <v>45547</v>
      </c>
      <c r="C110" s="15" t="s">
        <v>48</v>
      </c>
      <c r="D110" s="15" t="s">
        <v>49</v>
      </c>
      <c r="E110" s="15" t="s">
        <v>105</v>
      </c>
      <c r="F110" s="15" t="s">
        <v>106</v>
      </c>
      <c r="G110" s="15" t="s">
        <v>46</v>
      </c>
      <c r="H110" s="15">
        <v>3</v>
      </c>
      <c r="I110" s="15">
        <v>299.99</v>
      </c>
      <c r="J110" s="15" t="s">
        <v>26</v>
      </c>
      <c r="K110" s="15" t="s">
        <v>21</v>
      </c>
      <c r="L110" s="15" t="s">
        <v>27</v>
      </c>
      <c r="M110" s="16">
        <v>44494</v>
      </c>
      <c r="N110" s="17">
        <v>899.97</v>
      </c>
      <c r="O110" s="12" t="str">
        <f t="shared" si="8"/>
        <v>Sep</v>
      </c>
      <c r="P110" s="12">
        <f t="shared" si="9"/>
        <v>2024</v>
      </c>
      <c r="Q110" s="12">
        <f t="shared" ca="1" si="10"/>
        <v>1610</v>
      </c>
      <c r="R110" s="12">
        <f t="shared" si="11"/>
        <v>45565</v>
      </c>
      <c r="S110" s="18">
        <f t="shared" ca="1" si="12"/>
        <v>46104.411816550928</v>
      </c>
      <c r="T110" s="12" t="str">
        <f t="shared" si="13"/>
        <v>Low Sale</v>
      </c>
      <c r="U110" s="21">
        <f t="shared" si="7"/>
        <v>8269.7900000000009</v>
      </c>
      <c r="W110" s="12" t="str">
        <v>TRX0069</v>
      </c>
      <c r="X110" s="12">
        <v>45688</v>
      </c>
      <c r="Y110" s="12" t="str">
        <v>CUST029</v>
      </c>
      <c r="Z110" s="12" t="str">
        <v>Edward Mitchell</v>
      </c>
      <c r="AA110" s="12" t="str">
        <v>P010</v>
      </c>
      <c r="AB110" s="12" t="str">
        <v>Keyboard</v>
      </c>
      <c r="AC110" s="12" t="str">
        <v>Electronics</v>
      </c>
      <c r="AD110" s="12">
        <v>2</v>
      </c>
      <c r="AE110" s="12">
        <v>89.99</v>
      </c>
      <c r="AF110" s="12" t="str">
        <v>Debit Card</v>
      </c>
      <c r="AG110" s="12" t="str">
        <v>South</v>
      </c>
      <c r="AH110" s="12" t="str">
        <v>Basic</v>
      </c>
      <c r="AI110" s="12">
        <v>44777</v>
      </c>
      <c r="AJ110" s="12">
        <v>179.98</v>
      </c>
      <c r="AL110" s="12"/>
    </row>
    <row r="111" spans="1:38" x14ac:dyDescent="0.3">
      <c r="A111" s="20" t="s">
        <v>244</v>
      </c>
      <c r="B111" s="16">
        <v>45548</v>
      </c>
      <c r="C111" s="15" t="s">
        <v>38</v>
      </c>
      <c r="D111" s="15" t="s">
        <v>39</v>
      </c>
      <c r="E111" s="15" t="s">
        <v>117</v>
      </c>
      <c r="F111" s="15" t="s">
        <v>118</v>
      </c>
      <c r="G111" s="15" t="s">
        <v>19</v>
      </c>
      <c r="H111" s="15">
        <v>2</v>
      </c>
      <c r="I111" s="15">
        <v>89.99</v>
      </c>
      <c r="J111" s="15" t="s">
        <v>26</v>
      </c>
      <c r="K111" s="15" t="s">
        <v>35</v>
      </c>
      <c r="L111" s="15" t="s">
        <v>27</v>
      </c>
      <c r="M111" s="16">
        <v>44641</v>
      </c>
      <c r="N111" s="17">
        <v>179.98</v>
      </c>
      <c r="O111" s="12" t="str">
        <f t="shared" si="8"/>
        <v>Sep</v>
      </c>
      <c r="P111" s="12">
        <f t="shared" si="9"/>
        <v>2024</v>
      </c>
      <c r="Q111" s="12">
        <f t="shared" ca="1" si="10"/>
        <v>1463</v>
      </c>
      <c r="R111" s="12">
        <f t="shared" si="11"/>
        <v>45565</v>
      </c>
      <c r="S111" s="18">
        <f t="shared" ca="1" si="12"/>
        <v>46104.411816550928</v>
      </c>
      <c r="T111" s="12" t="str">
        <f t="shared" si="13"/>
        <v>Low Sale</v>
      </c>
      <c r="U111" s="21">
        <f t="shared" si="7"/>
        <v>4309.8099999999995</v>
      </c>
      <c r="W111" s="12" t="str">
        <v>TRX0166</v>
      </c>
      <c r="X111" s="12">
        <v>45688</v>
      </c>
      <c r="Y111" s="12" t="str">
        <v>CUST003</v>
      </c>
      <c r="Z111" s="12" t="str">
        <v>Michael Brown</v>
      </c>
      <c r="AA111" s="12" t="str">
        <v>P010</v>
      </c>
      <c r="AB111" s="12" t="str">
        <v>Keyboard</v>
      </c>
      <c r="AC111" s="12" t="str">
        <v>Electronics</v>
      </c>
      <c r="AD111" s="12">
        <v>3</v>
      </c>
      <c r="AE111" s="12">
        <v>89.99</v>
      </c>
      <c r="AF111" s="12" t="str">
        <v>Debit Card</v>
      </c>
      <c r="AG111" s="12" t="str">
        <v>South</v>
      </c>
      <c r="AH111" s="12" t="str">
        <v>Premium</v>
      </c>
      <c r="AI111" s="12">
        <v>45307</v>
      </c>
      <c r="AJ111" s="12">
        <v>269.97000000000003</v>
      </c>
      <c r="AL111" s="12"/>
    </row>
    <row r="112" spans="1:38" x14ac:dyDescent="0.3">
      <c r="A112" s="20" t="s">
        <v>245</v>
      </c>
      <c r="B112" s="16">
        <v>45550</v>
      </c>
      <c r="C112" s="15" t="s">
        <v>246</v>
      </c>
      <c r="D112" s="15" t="s">
        <v>247</v>
      </c>
      <c r="E112" s="15" t="s">
        <v>52</v>
      </c>
      <c r="F112" s="15" t="s">
        <v>53</v>
      </c>
      <c r="G112" s="15" t="s">
        <v>19</v>
      </c>
      <c r="H112" s="15">
        <v>4</v>
      </c>
      <c r="I112" s="15">
        <v>149.99</v>
      </c>
      <c r="J112" s="15" t="s">
        <v>20</v>
      </c>
      <c r="K112" s="15" t="s">
        <v>40</v>
      </c>
      <c r="L112" s="15" t="s">
        <v>22</v>
      </c>
      <c r="M112" s="16">
        <v>44909</v>
      </c>
      <c r="N112" s="17">
        <v>599.96</v>
      </c>
      <c r="O112" s="12" t="str">
        <f t="shared" si="8"/>
        <v>Sep</v>
      </c>
      <c r="P112" s="12">
        <f t="shared" si="9"/>
        <v>2024</v>
      </c>
      <c r="Q112" s="12">
        <f t="shared" ca="1" si="10"/>
        <v>1195</v>
      </c>
      <c r="R112" s="12">
        <f t="shared" si="11"/>
        <v>45565</v>
      </c>
      <c r="S112" s="18">
        <f t="shared" ca="1" si="12"/>
        <v>46104.411816550928</v>
      </c>
      <c r="T112" s="12" t="str">
        <f t="shared" si="13"/>
        <v>Low Sale</v>
      </c>
      <c r="U112" s="21">
        <f t="shared" si="7"/>
        <v>1749.92</v>
      </c>
      <c r="W112" s="12" t="str">
        <v>TRX0196</v>
      </c>
      <c r="X112" s="12">
        <v>45704</v>
      </c>
      <c r="Y112" s="12" t="str">
        <v>CUST023</v>
      </c>
      <c r="Z112" s="12" t="str">
        <v>Paul Baker</v>
      </c>
      <c r="AA112" s="12" t="str">
        <v>P010</v>
      </c>
      <c r="AB112" s="12" t="str">
        <v>Keyboard</v>
      </c>
      <c r="AC112" s="12" t="str">
        <v>Electronics</v>
      </c>
      <c r="AD112" s="12">
        <v>2</v>
      </c>
      <c r="AE112" s="12">
        <v>89.99</v>
      </c>
      <c r="AF112" s="12" t="str">
        <v>PayPal</v>
      </c>
      <c r="AG112" s="12" t="str">
        <v>Central</v>
      </c>
      <c r="AH112" s="12" t="str">
        <v>Basic</v>
      </c>
      <c r="AI112" s="12">
        <v>45257</v>
      </c>
      <c r="AJ112" s="12">
        <v>179.98</v>
      </c>
      <c r="AL112" s="12"/>
    </row>
    <row r="113" spans="1:38" x14ac:dyDescent="0.3">
      <c r="A113" s="20" t="s">
        <v>248</v>
      </c>
      <c r="B113" s="16">
        <v>45551</v>
      </c>
      <c r="C113" s="15" t="s">
        <v>65</v>
      </c>
      <c r="D113" s="15" t="s">
        <v>66</v>
      </c>
      <c r="E113" s="15" t="s">
        <v>17</v>
      </c>
      <c r="F113" s="15" t="s">
        <v>18</v>
      </c>
      <c r="G113" s="15" t="s">
        <v>19</v>
      </c>
      <c r="H113" s="15">
        <v>2</v>
      </c>
      <c r="I113" s="15">
        <v>249.99</v>
      </c>
      <c r="J113" s="15" t="s">
        <v>34</v>
      </c>
      <c r="K113" s="15" t="s">
        <v>35</v>
      </c>
      <c r="L113" s="15" t="s">
        <v>22</v>
      </c>
      <c r="M113" s="16">
        <v>44993</v>
      </c>
      <c r="N113" s="17">
        <v>499.98</v>
      </c>
      <c r="O113" s="12" t="str">
        <f t="shared" si="8"/>
        <v>Sep</v>
      </c>
      <c r="P113" s="12">
        <f t="shared" si="9"/>
        <v>2024</v>
      </c>
      <c r="Q113" s="12">
        <f t="shared" ca="1" si="10"/>
        <v>1111</v>
      </c>
      <c r="R113" s="12">
        <f t="shared" si="11"/>
        <v>45565</v>
      </c>
      <c r="S113" s="18">
        <f t="shared" ca="1" si="12"/>
        <v>46104.411816550928</v>
      </c>
      <c r="T113" s="12" t="str">
        <f t="shared" si="13"/>
        <v>Low Sale</v>
      </c>
      <c r="U113" s="21">
        <f t="shared" si="7"/>
        <v>8009.7699999999995</v>
      </c>
      <c r="W113" s="12" t="str">
        <v>TRX0179</v>
      </c>
      <c r="X113" s="12">
        <v>45707</v>
      </c>
      <c r="Y113" s="12" t="str">
        <v>CUST029</v>
      </c>
      <c r="Z113" s="12" t="str">
        <v>Edward Mitchell</v>
      </c>
      <c r="AA113" s="12" t="str">
        <v>P002</v>
      </c>
      <c r="AB113" s="12" t="str">
        <v>Smartphone</v>
      </c>
      <c r="AC113" s="12" t="str">
        <v>Electronics</v>
      </c>
      <c r="AD113" s="12">
        <v>5</v>
      </c>
      <c r="AE113" s="12">
        <v>699.99</v>
      </c>
      <c r="AF113" s="12" t="str">
        <v>PayPal</v>
      </c>
      <c r="AG113" s="12" t="str">
        <v>South</v>
      </c>
      <c r="AH113" s="12" t="str">
        <v>Premium</v>
      </c>
      <c r="AI113" s="12">
        <v>45352</v>
      </c>
      <c r="AJ113" s="12">
        <v>3499.95</v>
      </c>
      <c r="AL113" s="12"/>
    </row>
    <row r="114" spans="1:38" x14ac:dyDescent="0.3">
      <c r="A114" s="20" t="s">
        <v>249</v>
      </c>
      <c r="B114" s="16">
        <v>45551</v>
      </c>
      <c r="C114" s="15" t="s">
        <v>154</v>
      </c>
      <c r="D114" s="15" t="s">
        <v>155</v>
      </c>
      <c r="E114" s="15" t="s">
        <v>126</v>
      </c>
      <c r="F114" s="15" t="s">
        <v>127</v>
      </c>
      <c r="G114" s="15" t="s">
        <v>46</v>
      </c>
      <c r="H114" s="15">
        <v>4</v>
      </c>
      <c r="I114" s="15">
        <v>199.99</v>
      </c>
      <c r="J114" s="15" t="s">
        <v>57</v>
      </c>
      <c r="K114" s="15" t="s">
        <v>63</v>
      </c>
      <c r="L114" s="15" t="s">
        <v>22</v>
      </c>
      <c r="M114" s="16">
        <v>44458</v>
      </c>
      <c r="N114" s="17">
        <v>799.96</v>
      </c>
      <c r="O114" s="12" t="str">
        <f t="shared" si="8"/>
        <v>Sep</v>
      </c>
      <c r="P114" s="12">
        <f t="shared" si="9"/>
        <v>2024</v>
      </c>
      <c r="Q114" s="12">
        <f t="shared" ca="1" si="10"/>
        <v>1646</v>
      </c>
      <c r="R114" s="12">
        <f t="shared" si="11"/>
        <v>45565</v>
      </c>
      <c r="S114" s="18">
        <f t="shared" ca="1" si="12"/>
        <v>46104.411816550928</v>
      </c>
      <c r="T114" s="12" t="str">
        <f t="shared" si="13"/>
        <v>Low Sale</v>
      </c>
      <c r="U114" s="21">
        <f t="shared" si="7"/>
        <v>5499.8099999999995</v>
      </c>
      <c r="W114" s="12" t="str">
        <v>TRX0214</v>
      </c>
      <c r="X114" s="12">
        <v>45708</v>
      </c>
      <c r="Y114" s="12" t="str">
        <v>CUST018</v>
      </c>
      <c r="Z114" s="12" t="str">
        <v>Barbara Young</v>
      </c>
      <c r="AA114" s="12" t="str">
        <v>P001</v>
      </c>
      <c r="AB114" s="12" t="str">
        <v>Laptop</v>
      </c>
      <c r="AC114" s="12" t="str">
        <v>Electronics</v>
      </c>
      <c r="AD114" s="12">
        <v>3</v>
      </c>
      <c r="AE114" s="12">
        <v>899.99</v>
      </c>
      <c r="AF114" s="12" t="str">
        <v>Cash</v>
      </c>
      <c r="AG114" s="12" t="str">
        <v>East</v>
      </c>
      <c r="AH114" s="12" t="str">
        <v>Standard</v>
      </c>
      <c r="AI114" s="12">
        <v>44613</v>
      </c>
      <c r="AJ114" s="12">
        <v>2699.97</v>
      </c>
      <c r="AL114" s="12"/>
    </row>
    <row r="115" spans="1:38" x14ac:dyDescent="0.3">
      <c r="A115" s="20" t="s">
        <v>250</v>
      </c>
      <c r="B115" s="16">
        <v>45554</v>
      </c>
      <c r="C115" s="15" t="s">
        <v>147</v>
      </c>
      <c r="D115" s="15" t="s">
        <v>148</v>
      </c>
      <c r="E115" s="15" t="s">
        <v>117</v>
      </c>
      <c r="F115" s="15" t="s">
        <v>118</v>
      </c>
      <c r="G115" s="15" t="s">
        <v>19</v>
      </c>
      <c r="H115" s="15">
        <v>5</v>
      </c>
      <c r="I115" s="15">
        <v>89.99</v>
      </c>
      <c r="J115" s="15" t="s">
        <v>26</v>
      </c>
      <c r="K115" s="15" t="s">
        <v>63</v>
      </c>
      <c r="L115" s="15" t="s">
        <v>27</v>
      </c>
      <c r="M115" s="16">
        <v>44446</v>
      </c>
      <c r="N115" s="17">
        <v>449.95</v>
      </c>
      <c r="O115" s="12" t="str">
        <f t="shared" si="8"/>
        <v>Sep</v>
      </c>
      <c r="P115" s="12">
        <f t="shared" si="9"/>
        <v>2024</v>
      </c>
      <c r="Q115" s="12">
        <f t="shared" ca="1" si="10"/>
        <v>1658</v>
      </c>
      <c r="R115" s="12">
        <f t="shared" si="11"/>
        <v>45565</v>
      </c>
      <c r="S115" s="18">
        <f t="shared" ca="1" si="12"/>
        <v>46104.411816550928</v>
      </c>
      <c r="T115" s="12" t="str">
        <f t="shared" si="13"/>
        <v>Low Sale</v>
      </c>
      <c r="U115" s="21">
        <f t="shared" si="7"/>
        <v>7309.7999999999993</v>
      </c>
      <c r="W115" s="12" t="str">
        <v>TRX0151</v>
      </c>
      <c r="X115" s="12">
        <v>45710</v>
      </c>
      <c r="Y115" s="12" t="str">
        <v>CUST040</v>
      </c>
      <c r="Z115" s="12" t="str">
        <v>Sharon Butler</v>
      </c>
      <c r="AA115" s="12" t="str">
        <v>P002</v>
      </c>
      <c r="AB115" s="12" t="str">
        <v>Smartphone</v>
      </c>
      <c r="AC115" s="12" t="str">
        <v>Electronics</v>
      </c>
      <c r="AD115" s="12">
        <v>1</v>
      </c>
      <c r="AE115" s="12">
        <v>699.99</v>
      </c>
      <c r="AF115" s="12" t="str">
        <v>PayPal</v>
      </c>
      <c r="AG115" s="12" t="str">
        <v>West</v>
      </c>
      <c r="AH115" s="12" t="str">
        <v>Basic</v>
      </c>
      <c r="AI115" s="12">
        <v>44934</v>
      </c>
      <c r="AJ115" s="12">
        <v>699.99</v>
      </c>
      <c r="AL115" s="12"/>
    </row>
    <row r="116" spans="1:38" x14ac:dyDescent="0.3">
      <c r="A116" s="20" t="s">
        <v>251</v>
      </c>
      <c r="B116" s="16">
        <v>45554</v>
      </c>
      <c r="C116" s="15" t="s">
        <v>252</v>
      </c>
      <c r="D116" s="15" t="s">
        <v>253</v>
      </c>
      <c r="E116" s="15" t="s">
        <v>52</v>
      </c>
      <c r="F116" s="15" t="s">
        <v>53</v>
      </c>
      <c r="G116" s="15" t="s">
        <v>19</v>
      </c>
      <c r="H116" s="15">
        <v>1</v>
      </c>
      <c r="I116" s="15">
        <v>149.99</v>
      </c>
      <c r="J116" s="15" t="s">
        <v>34</v>
      </c>
      <c r="K116" s="15" t="s">
        <v>63</v>
      </c>
      <c r="L116" s="15" t="s">
        <v>36</v>
      </c>
      <c r="M116" s="16">
        <v>44482</v>
      </c>
      <c r="N116" s="17">
        <v>149.99</v>
      </c>
      <c r="O116" s="12" t="str">
        <f t="shared" si="8"/>
        <v>Sep</v>
      </c>
      <c r="P116" s="12">
        <f t="shared" si="9"/>
        <v>2024</v>
      </c>
      <c r="Q116" s="12">
        <f t="shared" ca="1" si="10"/>
        <v>1622</v>
      </c>
      <c r="R116" s="12">
        <f t="shared" si="11"/>
        <v>45565</v>
      </c>
      <c r="S116" s="18">
        <f t="shared" ca="1" si="12"/>
        <v>46104.411816550928</v>
      </c>
      <c r="T116" s="12" t="str">
        <f t="shared" si="13"/>
        <v>Low Sale</v>
      </c>
      <c r="U116" s="21">
        <f t="shared" si="7"/>
        <v>4749.91</v>
      </c>
      <c r="W116" s="12" t="str">
        <v>TRX0047</v>
      </c>
      <c r="X116" s="12">
        <v>45711</v>
      </c>
      <c r="Y116" s="12" t="str">
        <v>CUST042</v>
      </c>
      <c r="Z116" s="12" t="str">
        <v>Ruth Brooks</v>
      </c>
      <c r="AA116" s="12" t="str">
        <v>P002</v>
      </c>
      <c r="AB116" s="12" t="str">
        <v>Smartphone</v>
      </c>
      <c r="AC116" s="12" t="str">
        <v>Electronics</v>
      </c>
      <c r="AD116" s="12">
        <v>1</v>
      </c>
      <c r="AE116" s="12">
        <v>699.99</v>
      </c>
      <c r="AF116" s="12" t="str">
        <v>Cash</v>
      </c>
      <c r="AG116" s="12" t="str">
        <v>North</v>
      </c>
      <c r="AH116" s="12" t="str">
        <v>Premium</v>
      </c>
      <c r="AI116" s="12">
        <v>44583</v>
      </c>
      <c r="AJ116" s="12">
        <v>699.99</v>
      </c>
      <c r="AL116" s="12"/>
    </row>
    <row r="117" spans="1:38" x14ac:dyDescent="0.3">
      <c r="A117" s="20" t="s">
        <v>254</v>
      </c>
      <c r="B117" s="16">
        <v>45554</v>
      </c>
      <c r="C117" s="15" t="s">
        <v>72</v>
      </c>
      <c r="D117" s="15" t="s">
        <v>73</v>
      </c>
      <c r="E117" s="15" t="s">
        <v>80</v>
      </c>
      <c r="F117" s="15" t="s">
        <v>81</v>
      </c>
      <c r="G117" s="15" t="s">
        <v>19</v>
      </c>
      <c r="H117" s="15">
        <v>4</v>
      </c>
      <c r="I117" s="15">
        <v>699.99</v>
      </c>
      <c r="J117" s="15" t="s">
        <v>34</v>
      </c>
      <c r="K117" s="15" t="s">
        <v>35</v>
      </c>
      <c r="L117" s="15" t="s">
        <v>22</v>
      </c>
      <c r="M117" s="16">
        <v>44618</v>
      </c>
      <c r="N117" s="17">
        <v>2799.96</v>
      </c>
      <c r="O117" s="12" t="str">
        <f t="shared" si="8"/>
        <v>Sep</v>
      </c>
      <c r="P117" s="12">
        <f t="shared" si="9"/>
        <v>2024</v>
      </c>
      <c r="Q117" s="12">
        <f t="shared" ca="1" si="10"/>
        <v>1486</v>
      </c>
      <c r="R117" s="12">
        <f t="shared" si="11"/>
        <v>45565</v>
      </c>
      <c r="S117" s="18">
        <f t="shared" ca="1" si="12"/>
        <v>46104.411816550928</v>
      </c>
      <c r="T117" s="12" t="str">
        <f t="shared" si="13"/>
        <v>High Sale</v>
      </c>
      <c r="U117" s="21">
        <f t="shared" si="7"/>
        <v>5949.85</v>
      </c>
      <c r="W117" s="12" t="str">
        <v>TRX0062</v>
      </c>
      <c r="X117" s="12">
        <v>45711</v>
      </c>
      <c r="Y117" s="12" t="str">
        <v>CUST016</v>
      </c>
      <c r="Z117" s="12" t="str">
        <v>Elizabeth Hall</v>
      </c>
      <c r="AA117" s="12" t="str">
        <v>P010</v>
      </c>
      <c r="AB117" s="12" t="str">
        <v>Keyboard</v>
      </c>
      <c r="AC117" s="12" t="str">
        <v>Electronics</v>
      </c>
      <c r="AD117" s="12">
        <v>5</v>
      </c>
      <c r="AE117" s="12">
        <v>89.99</v>
      </c>
      <c r="AF117" s="12" t="str">
        <v>PayPal</v>
      </c>
      <c r="AG117" s="12" t="str">
        <v>West</v>
      </c>
      <c r="AH117" s="12" t="str">
        <v>Premium</v>
      </c>
      <c r="AI117" s="12">
        <v>45140</v>
      </c>
      <c r="AJ117" s="12">
        <v>449.95</v>
      </c>
      <c r="AL117" s="12"/>
    </row>
    <row r="118" spans="1:38" x14ac:dyDescent="0.3">
      <c r="A118" s="20" t="s">
        <v>255</v>
      </c>
      <c r="B118" s="16">
        <v>45559</v>
      </c>
      <c r="C118" s="15" t="s">
        <v>234</v>
      </c>
      <c r="D118" s="15" t="s">
        <v>235</v>
      </c>
      <c r="E118" s="15" t="s">
        <v>61</v>
      </c>
      <c r="F118" s="15" t="s">
        <v>62</v>
      </c>
      <c r="G118" s="15" t="s">
        <v>19</v>
      </c>
      <c r="H118" s="15">
        <v>3</v>
      </c>
      <c r="I118" s="15">
        <v>899.99</v>
      </c>
      <c r="J118" s="15" t="s">
        <v>26</v>
      </c>
      <c r="K118" s="15" t="s">
        <v>40</v>
      </c>
      <c r="L118" s="15" t="s">
        <v>36</v>
      </c>
      <c r="M118" s="16">
        <v>45157</v>
      </c>
      <c r="N118" s="17">
        <v>2699.97</v>
      </c>
      <c r="O118" s="12" t="str">
        <f t="shared" si="8"/>
        <v>Sep</v>
      </c>
      <c r="P118" s="12">
        <f t="shared" si="9"/>
        <v>2024</v>
      </c>
      <c r="Q118" s="12">
        <f t="shared" ca="1" si="10"/>
        <v>947</v>
      </c>
      <c r="R118" s="12">
        <f t="shared" si="11"/>
        <v>45565</v>
      </c>
      <c r="S118" s="18">
        <f t="shared" ca="1" si="12"/>
        <v>46104.411816550928</v>
      </c>
      <c r="T118" s="12" t="str">
        <f t="shared" si="13"/>
        <v>High Sale</v>
      </c>
      <c r="U118" s="21">
        <f t="shared" si="7"/>
        <v>6349.83</v>
      </c>
      <c r="W118" s="12" t="str">
        <v>TRX0226</v>
      </c>
      <c r="X118" s="12">
        <v>45720</v>
      </c>
      <c r="Y118" s="12" t="str">
        <v>CUST039</v>
      </c>
      <c r="Z118" s="12" t="str">
        <v>Lawrence Reed</v>
      </c>
      <c r="AA118" s="12" t="str">
        <v>P002</v>
      </c>
      <c r="AB118" s="12" t="str">
        <v>Smartphone</v>
      </c>
      <c r="AC118" s="12" t="str">
        <v>Electronics</v>
      </c>
      <c r="AD118" s="12">
        <v>5</v>
      </c>
      <c r="AE118" s="12">
        <v>699.99</v>
      </c>
      <c r="AF118" s="12" t="str">
        <v>Debit Card</v>
      </c>
      <c r="AG118" s="12" t="str">
        <v>East</v>
      </c>
      <c r="AH118" s="12" t="str">
        <v>Premium</v>
      </c>
      <c r="AI118" s="12">
        <v>45161</v>
      </c>
      <c r="AJ118" s="12">
        <v>3499.95</v>
      </c>
      <c r="AL118" s="12"/>
    </row>
    <row r="119" spans="1:38" x14ac:dyDescent="0.3">
      <c r="A119" s="20" t="s">
        <v>256</v>
      </c>
      <c r="B119" s="16">
        <v>45560</v>
      </c>
      <c r="C119" s="15" t="s">
        <v>112</v>
      </c>
      <c r="D119" s="15" t="s">
        <v>113</v>
      </c>
      <c r="E119" s="15" t="s">
        <v>44</v>
      </c>
      <c r="F119" s="15" t="s">
        <v>45</v>
      </c>
      <c r="G119" s="15" t="s">
        <v>46</v>
      </c>
      <c r="H119" s="15">
        <v>3</v>
      </c>
      <c r="I119" s="15">
        <v>149.99</v>
      </c>
      <c r="J119" s="15" t="s">
        <v>34</v>
      </c>
      <c r="K119" s="15" t="s">
        <v>63</v>
      </c>
      <c r="L119" s="15" t="s">
        <v>22</v>
      </c>
      <c r="M119" s="16">
        <v>44886</v>
      </c>
      <c r="N119" s="17">
        <v>449.97</v>
      </c>
      <c r="O119" s="12" t="str">
        <f t="shared" si="8"/>
        <v>Sep</v>
      </c>
      <c r="P119" s="12">
        <f t="shared" si="9"/>
        <v>2024</v>
      </c>
      <c r="Q119" s="12">
        <f t="shared" ca="1" si="10"/>
        <v>1218</v>
      </c>
      <c r="R119" s="12">
        <f t="shared" si="11"/>
        <v>45565</v>
      </c>
      <c r="S119" s="18">
        <f t="shared" ca="1" si="12"/>
        <v>46104.411816550928</v>
      </c>
      <c r="T119" s="12" t="str">
        <f t="shared" si="13"/>
        <v>Low Sale</v>
      </c>
      <c r="U119" s="21">
        <f t="shared" si="7"/>
        <v>1289.9000000000001</v>
      </c>
      <c r="W119" s="12" t="str">
        <v>TRX0233</v>
      </c>
      <c r="X119" s="12">
        <v>45723</v>
      </c>
      <c r="Y119" s="12" t="str">
        <v>CUST023</v>
      </c>
      <c r="Z119" s="12" t="str">
        <v>Paul Baker</v>
      </c>
      <c r="AA119" s="12" t="str">
        <v>P010</v>
      </c>
      <c r="AB119" s="12" t="str">
        <v>Keyboard</v>
      </c>
      <c r="AC119" s="12" t="str">
        <v>Electronics</v>
      </c>
      <c r="AD119" s="12">
        <v>2</v>
      </c>
      <c r="AE119" s="12">
        <v>89.99</v>
      </c>
      <c r="AF119" s="12" t="str">
        <v>Credit Card</v>
      </c>
      <c r="AG119" s="12" t="str">
        <v>West</v>
      </c>
      <c r="AH119" s="12" t="str">
        <v>Premium</v>
      </c>
      <c r="AI119" s="12">
        <v>45295</v>
      </c>
      <c r="AJ119" s="12">
        <v>179.98</v>
      </c>
      <c r="AL119" s="12"/>
    </row>
    <row r="120" spans="1:38" x14ac:dyDescent="0.3">
      <c r="A120" s="20" t="s">
        <v>257</v>
      </c>
      <c r="B120" s="16">
        <v>45563</v>
      </c>
      <c r="C120" s="15" t="s">
        <v>99</v>
      </c>
      <c r="D120" s="15" t="s">
        <v>100</v>
      </c>
      <c r="E120" s="15" t="s">
        <v>105</v>
      </c>
      <c r="F120" s="15" t="s">
        <v>106</v>
      </c>
      <c r="G120" s="15" t="s">
        <v>46</v>
      </c>
      <c r="H120" s="15">
        <v>2</v>
      </c>
      <c r="I120" s="15">
        <v>299.99</v>
      </c>
      <c r="J120" s="15" t="s">
        <v>57</v>
      </c>
      <c r="K120" s="15" t="s">
        <v>21</v>
      </c>
      <c r="L120" s="15" t="s">
        <v>22</v>
      </c>
      <c r="M120" s="16">
        <v>44569</v>
      </c>
      <c r="N120" s="17">
        <v>599.98</v>
      </c>
      <c r="O120" s="12" t="str">
        <f t="shared" si="8"/>
        <v>Sep</v>
      </c>
      <c r="P120" s="12">
        <f t="shared" si="9"/>
        <v>2024</v>
      </c>
      <c r="Q120" s="12">
        <f t="shared" ca="1" si="10"/>
        <v>1535</v>
      </c>
      <c r="R120" s="12">
        <f t="shared" si="11"/>
        <v>45565</v>
      </c>
      <c r="S120" s="18">
        <f t="shared" ca="1" si="12"/>
        <v>46104.411816550928</v>
      </c>
      <c r="T120" s="12" t="str">
        <f t="shared" si="13"/>
        <v>Low Sale</v>
      </c>
      <c r="U120" s="21">
        <f t="shared" si="7"/>
        <v>9799.73</v>
      </c>
      <c r="W120" s="12" t="str">
        <v>TRX0175</v>
      </c>
      <c r="X120" s="12">
        <v>45723</v>
      </c>
      <c r="Y120" s="12" t="str">
        <v>CUST030</v>
      </c>
      <c r="Z120" s="12" t="str">
        <v>Helen Roberts</v>
      </c>
      <c r="AA120" s="12" t="str">
        <v>P009</v>
      </c>
      <c r="AB120" s="12" t="str">
        <v>Monitor</v>
      </c>
      <c r="AC120" s="12" t="str">
        <v>Electronics</v>
      </c>
      <c r="AD120" s="12">
        <v>5</v>
      </c>
      <c r="AE120" s="12">
        <v>249.99</v>
      </c>
      <c r="AF120" s="12" t="str">
        <v>Cash</v>
      </c>
      <c r="AG120" s="12" t="str">
        <v>East</v>
      </c>
      <c r="AH120" s="12" t="str">
        <v>Standard</v>
      </c>
      <c r="AI120" s="12">
        <v>44540</v>
      </c>
      <c r="AJ120" s="12">
        <v>1249.95</v>
      </c>
      <c r="AL120" s="12"/>
    </row>
    <row r="121" spans="1:38" x14ac:dyDescent="0.3">
      <c r="A121" s="20" t="s">
        <v>258</v>
      </c>
      <c r="B121" s="16">
        <v>45564</v>
      </c>
      <c r="C121" s="15" t="s">
        <v>259</v>
      </c>
      <c r="D121" s="15" t="s">
        <v>260</v>
      </c>
      <c r="E121" s="15" t="s">
        <v>126</v>
      </c>
      <c r="F121" s="15" t="s">
        <v>127</v>
      </c>
      <c r="G121" s="15" t="s">
        <v>46</v>
      </c>
      <c r="H121" s="15">
        <v>1</v>
      </c>
      <c r="I121" s="15">
        <v>199.99</v>
      </c>
      <c r="J121" s="15" t="s">
        <v>57</v>
      </c>
      <c r="K121" s="15" t="s">
        <v>63</v>
      </c>
      <c r="L121" s="15" t="s">
        <v>36</v>
      </c>
      <c r="M121" s="16">
        <v>44953</v>
      </c>
      <c r="N121" s="17">
        <v>199.99</v>
      </c>
      <c r="O121" s="12" t="str">
        <f t="shared" si="8"/>
        <v>Sep</v>
      </c>
      <c r="P121" s="12">
        <f t="shared" si="9"/>
        <v>2024</v>
      </c>
      <c r="Q121" s="12">
        <f t="shared" ca="1" si="10"/>
        <v>1151</v>
      </c>
      <c r="R121" s="12">
        <f t="shared" si="11"/>
        <v>45565</v>
      </c>
      <c r="S121" s="18">
        <f t="shared" ca="1" si="12"/>
        <v>46104.411816550928</v>
      </c>
      <c r="T121" s="12" t="str">
        <f t="shared" si="13"/>
        <v>Low Sale</v>
      </c>
      <c r="U121" s="21">
        <f t="shared" si="7"/>
        <v>739.93000000000006</v>
      </c>
      <c r="W121" s="12" t="str">
        <v>TRX0016</v>
      </c>
      <c r="X121" s="12">
        <v>45724</v>
      </c>
      <c r="Y121" s="12" t="str">
        <v>CUST035</v>
      </c>
      <c r="Z121" s="12" t="str">
        <v>Harry Morgan</v>
      </c>
      <c r="AA121" s="12" t="str">
        <v>P001</v>
      </c>
      <c r="AB121" s="12" t="str">
        <v>Laptop</v>
      </c>
      <c r="AC121" s="12" t="str">
        <v>Electronics</v>
      </c>
      <c r="AD121" s="12">
        <v>5</v>
      </c>
      <c r="AE121" s="12">
        <v>899.99</v>
      </c>
      <c r="AF121" s="12" t="str">
        <v>PayPal</v>
      </c>
      <c r="AG121" s="12" t="str">
        <v>East</v>
      </c>
      <c r="AH121" s="12" t="str">
        <v>Premium</v>
      </c>
      <c r="AI121" s="12">
        <v>45389</v>
      </c>
      <c r="AJ121" s="12">
        <v>4499.95</v>
      </c>
      <c r="AL121" s="12"/>
    </row>
    <row r="122" spans="1:38" x14ac:dyDescent="0.3">
      <c r="A122" s="20" t="s">
        <v>261</v>
      </c>
      <c r="B122" s="16">
        <v>45566</v>
      </c>
      <c r="C122" s="15" t="s">
        <v>42</v>
      </c>
      <c r="D122" s="15" t="s">
        <v>43</v>
      </c>
      <c r="E122" s="15" t="s">
        <v>105</v>
      </c>
      <c r="F122" s="15" t="s">
        <v>106</v>
      </c>
      <c r="G122" s="15" t="s">
        <v>46</v>
      </c>
      <c r="H122" s="15">
        <v>4</v>
      </c>
      <c r="I122" s="15">
        <v>299.99</v>
      </c>
      <c r="J122" s="15" t="s">
        <v>20</v>
      </c>
      <c r="K122" s="15" t="s">
        <v>21</v>
      </c>
      <c r="L122" s="15" t="s">
        <v>27</v>
      </c>
      <c r="M122" s="16">
        <v>44460</v>
      </c>
      <c r="N122" s="17">
        <v>1199.96</v>
      </c>
      <c r="O122" s="12" t="str">
        <f t="shared" si="8"/>
        <v>Oct</v>
      </c>
      <c r="P122" s="12">
        <f t="shared" si="9"/>
        <v>2024</v>
      </c>
      <c r="Q122" s="12">
        <f t="shared" ca="1" si="10"/>
        <v>1644</v>
      </c>
      <c r="R122" s="12">
        <f t="shared" si="11"/>
        <v>45596</v>
      </c>
      <c r="S122" s="18">
        <f t="shared" ca="1" si="12"/>
        <v>46104.411816550928</v>
      </c>
      <c r="T122" s="12" t="str">
        <f t="shared" si="13"/>
        <v>High Sale</v>
      </c>
      <c r="U122" s="21">
        <f t="shared" si="7"/>
        <v>6169.7400000000007</v>
      </c>
      <c r="W122" s="12" t="str">
        <v>TRX0038</v>
      </c>
      <c r="X122" s="12">
        <v>45726</v>
      </c>
      <c r="Y122" s="12" t="str">
        <v>CUST035</v>
      </c>
      <c r="Z122" s="12" t="str">
        <v>Harry Morgan</v>
      </c>
      <c r="AA122" s="12" t="str">
        <v>P009</v>
      </c>
      <c r="AB122" s="12" t="str">
        <v>Monitor</v>
      </c>
      <c r="AC122" s="12" t="str">
        <v>Electronics</v>
      </c>
      <c r="AD122" s="12">
        <v>1</v>
      </c>
      <c r="AE122" s="12">
        <v>249.99</v>
      </c>
      <c r="AF122" s="12" t="str">
        <v>Cash</v>
      </c>
      <c r="AG122" s="12" t="str">
        <v>North</v>
      </c>
      <c r="AH122" s="12" t="str">
        <v>Standard</v>
      </c>
      <c r="AI122" s="12">
        <v>45117</v>
      </c>
      <c r="AJ122" s="12">
        <v>249.99</v>
      </c>
      <c r="AL122" s="12"/>
    </row>
    <row r="123" spans="1:38" x14ac:dyDescent="0.3">
      <c r="A123" s="20" t="s">
        <v>262</v>
      </c>
      <c r="B123" s="16">
        <v>45572</v>
      </c>
      <c r="C123" s="15" t="s">
        <v>89</v>
      </c>
      <c r="D123" s="15" t="s">
        <v>90</v>
      </c>
      <c r="E123" s="15" t="s">
        <v>31</v>
      </c>
      <c r="F123" s="15" t="s">
        <v>32</v>
      </c>
      <c r="G123" s="15" t="s">
        <v>33</v>
      </c>
      <c r="H123" s="15">
        <v>2</v>
      </c>
      <c r="I123" s="15">
        <v>59.99</v>
      </c>
      <c r="J123" s="15" t="s">
        <v>26</v>
      </c>
      <c r="K123" s="15" t="s">
        <v>21</v>
      </c>
      <c r="L123" s="15" t="s">
        <v>22</v>
      </c>
      <c r="M123" s="16">
        <v>44579</v>
      </c>
      <c r="N123" s="17">
        <v>119.98</v>
      </c>
      <c r="O123" s="12" t="str">
        <f t="shared" si="8"/>
        <v>Oct</v>
      </c>
      <c r="P123" s="12">
        <f t="shared" si="9"/>
        <v>2024</v>
      </c>
      <c r="Q123" s="12">
        <f t="shared" ca="1" si="10"/>
        <v>1525</v>
      </c>
      <c r="R123" s="12">
        <f t="shared" si="11"/>
        <v>45596</v>
      </c>
      <c r="S123" s="18">
        <f t="shared" ca="1" si="12"/>
        <v>46104.411816550928</v>
      </c>
      <c r="T123" s="12" t="str">
        <f t="shared" si="13"/>
        <v>Low Sale</v>
      </c>
      <c r="U123" s="21">
        <f t="shared" si="7"/>
        <v>1909.93</v>
      </c>
      <c r="W123" s="12" t="str">
        <v>TRX0124</v>
      </c>
      <c r="X123" s="12">
        <v>45737</v>
      </c>
      <c r="Y123" s="12" t="str">
        <v>CUST040</v>
      </c>
      <c r="Z123" s="12" t="str">
        <v>Sharon Butler</v>
      </c>
      <c r="AA123" s="12" t="str">
        <v>P001</v>
      </c>
      <c r="AB123" s="12" t="str">
        <v>Laptop</v>
      </c>
      <c r="AC123" s="12" t="str">
        <v>Electronics</v>
      </c>
      <c r="AD123" s="12">
        <v>3</v>
      </c>
      <c r="AE123" s="12">
        <v>899.99</v>
      </c>
      <c r="AF123" s="12" t="str">
        <v>Debit Card</v>
      </c>
      <c r="AG123" s="12" t="str">
        <v>North</v>
      </c>
      <c r="AH123" s="12" t="str">
        <v>Premium</v>
      </c>
      <c r="AI123" s="12">
        <v>44876</v>
      </c>
      <c r="AJ123" s="12">
        <v>2699.97</v>
      </c>
      <c r="AL123" s="12"/>
    </row>
    <row r="124" spans="1:38" x14ac:dyDescent="0.3">
      <c r="A124" s="20" t="s">
        <v>263</v>
      </c>
      <c r="B124" s="16">
        <v>45572</v>
      </c>
      <c r="C124" s="15" t="s">
        <v>234</v>
      </c>
      <c r="D124" s="15" t="s">
        <v>235</v>
      </c>
      <c r="E124" s="15" t="s">
        <v>52</v>
      </c>
      <c r="F124" s="15" t="s">
        <v>53</v>
      </c>
      <c r="G124" s="15" t="s">
        <v>19</v>
      </c>
      <c r="H124" s="15">
        <v>4</v>
      </c>
      <c r="I124" s="15">
        <v>149.99</v>
      </c>
      <c r="J124" s="15" t="s">
        <v>26</v>
      </c>
      <c r="K124" s="15" t="s">
        <v>40</v>
      </c>
      <c r="L124" s="15" t="s">
        <v>27</v>
      </c>
      <c r="M124" s="16">
        <v>45076</v>
      </c>
      <c r="N124" s="17">
        <v>599.96</v>
      </c>
      <c r="O124" s="12" t="str">
        <f t="shared" si="8"/>
        <v>Oct</v>
      </c>
      <c r="P124" s="12">
        <f t="shared" si="9"/>
        <v>2024</v>
      </c>
      <c r="Q124" s="12">
        <f t="shared" ca="1" si="10"/>
        <v>1028</v>
      </c>
      <c r="R124" s="12">
        <f t="shared" si="11"/>
        <v>45596</v>
      </c>
      <c r="S124" s="18">
        <f t="shared" ca="1" si="12"/>
        <v>46104.411816550928</v>
      </c>
      <c r="T124" s="12" t="str">
        <f t="shared" si="13"/>
        <v>Low Sale</v>
      </c>
      <c r="U124" s="21">
        <f t="shared" si="7"/>
        <v>6349.83</v>
      </c>
      <c r="W124" s="12" t="str">
        <v>TRX0013</v>
      </c>
      <c r="X124" s="12">
        <v>45737</v>
      </c>
      <c r="Y124" s="12" t="str">
        <v>CUST024</v>
      </c>
      <c r="Z124" s="12" t="str">
        <v>Dorothy Nelson</v>
      </c>
      <c r="AA124" s="12" t="str">
        <v>P001</v>
      </c>
      <c r="AB124" s="12" t="str">
        <v>Laptop</v>
      </c>
      <c r="AC124" s="12" t="str">
        <v>Electronics</v>
      </c>
      <c r="AD124" s="12">
        <v>3</v>
      </c>
      <c r="AE124" s="12">
        <v>899.99</v>
      </c>
      <c r="AF124" s="12" t="str">
        <v>PayPal</v>
      </c>
      <c r="AG124" s="12" t="str">
        <v>North</v>
      </c>
      <c r="AH124" s="12" t="str">
        <v>Basic</v>
      </c>
      <c r="AI124" s="12">
        <v>44975</v>
      </c>
      <c r="AJ124" s="12">
        <v>2699.97</v>
      </c>
      <c r="AL124" s="12"/>
    </row>
    <row r="125" spans="1:38" x14ac:dyDescent="0.3">
      <c r="A125" s="20" t="s">
        <v>264</v>
      </c>
      <c r="B125" s="16">
        <v>45573</v>
      </c>
      <c r="C125" s="15" t="s">
        <v>211</v>
      </c>
      <c r="D125" s="15" t="s">
        <v>212</v>
      </c>
      <c r="E125" s="15" t="s">
        <v>80</v>
      </c>
      <c r="F125" s="15" t="s">
        <v>81</v>
      </c>
      <c r="G125" s="15" t="s">
        <v>19</v>
      </c>
      <c r="H125" s="15">
        <v>2</v>
      </c>
      <c r="I125" s="15">
        <v>699.99</v>
      </c>
      <c r="J125" s="15" t="s">
        <v>57</v>
      </c>
      <c r="K125" s="15" t="s">
        <v>63</v>
      </c>
      <c r="L125" s="15" t="s">
        <v>27</v>
      </c>
      <c r="M125" s="16">
        <v>45274</v>
      </c>
      <c r="N125" s="17">
        <v>1399.98</v>
      </c>
      <c r="O125" s="12" t="str">
        <f t="shared" si="8"/>
        <v>Oct</v>
      </c>
      <c r="P125" s="12">
        <f t="shared" si="9"/>
        <v>2024</v>
      </c>
      <c r="Q125" s="12">
        <f t="shared" ca="1" si="10"/>
        <v>830</v>
      </c>
      <c r="R125" s="12">
        <f t="shared" si="11"/>
        <v>45596</v>
      </c>
      <c r="S125" s="18">
        <f t="shared" ca="1" si="12"/>
        <v>46104.411816550928</v>
      </c>
      <c r="T125" s="12" t="str">
        <f t="shared" si="13"/>
        <v>High Sale</v>
      </c>
      <c r="U125" s="21">
        <f t="shared" si="7"/>
        <v>3649.8599999999997</v>
      </c>
      <c r="W125" s="12" t="str">
        <v>TRX0213</v>
      </c>
      <c r="X125" s="12">
        <v>45745</v>
      </c>
      <c r="Y125" s="12" t="str">
        <v>CUST020</v>
      </c>
      <c r="Z125" s="12" t="str">
        <v>Margaret Wright</v>
      </c>
      <c r="AA125" s="12" t="str">
        <v>P010</v>
      </c>
      <c r="AB125" s="12" t="str">
        <v>Keyboard</v>
      </c>
      <c r="AC125" s="12" t="str">
        <v>Electronics</v>
      </c>
      <c r="AD125" s="12">
        <v>5</v>
      </c>
      <c r="AE125" s="12">
        <v>89.99</v>
      </c>
      <c r="AF125" s="12" t="str">
        <v>PayPal</v>
      </c>
      <c r="AG125" s="12" t="str">
        <v>South</v>
      </c>
      <c r="AH125" s="12" t="str">
        <v>Basic</v>
      </c>
      <c r="AI125" s="12">
        <v>44704</v>
      </c>
      <c r="AJ125" s="12">
        <v>449.95</v>
      </c>
      <c r="AL125" s="12"/>
    </row>
    <row r="126" spans="1:38" x14ac:dyDescent="0.3">
      <c r="A126" s="20" t="s">
        <v>265</v>
      </c>
      <c r="B126" s="16">
        <v>45573</v>
      </c>
      <c r="C126" s="15" t="s">
        <v>231</v>
      </c>
      <c r="D126" s="15" t="s">
        <v>232</v>
      </c>
      <c r="E126" s="15" t="s">
        <v>44</v>
      </c>
      <c r="F126" s="15" t="s">
        <v>45</v>
      </c>
      <c r="G126" s="15" t="s">
        <v>46</v>
      </c>
      <c r="H126" s="15">
        <v>3</v>
      </c>
      <c r="I126" s="15">
        <v>149.99</v>
      </c>
      <c r="J126" s="15" t="s">
        <v>26</v>
      </c>
      <c r="K126" s="15" t="s">
        <v>35</v>
      </c>
      <c r="L126" s="15" t="s">
        <v>36</v>
      </c>
      <c r="M126" s="16">
        <v>44940</v>
      </c>
      <c r="N126" s="17">
        <v>449.97</v>
      </c>
      <c r="O126" s="12" t="str">
        <f t="shared" si="8"/>
        <v>Oct</v>
      </c>
      <c r="P126" s="12">
        <f t="shared" si="9"/>
        <v>2024</v>
      </c>
      <c r="Q126" s="12">
        <f t="shared" ca="1" si="10"/>
        <v>1164</v>
      </c>
      <c r="R126" s="12">
        <f t="shared" si="11"/>
        <v>45596</v>
      </c>
      <c r="S126" s="18">
        <f t="shared" ca="1" si="12"/>
        <v>46104.411816550928</v>
      </c>
      <c r="T126" s="12" t="str">
        <f t="shared" si="13"/>
        <v>Low Sale</v>
      </c>
      <c r="U126" s="21">
        <f t="shared" si="7"/>
        <v>1149.93</v>
      </c>
      <c r="W126" s="12" t="str">
        <v>TRX0250</v>
      </c>
      <c r="X126" s="12">
        <v>45746</v>
      </c>
      <c r="Y126" s="12" t="str">
        <v>CUST026</v>
      </c>
      <c r="Z126" s="12" t="str">
        <v>Karen Hill</v>
      </c>
      <c r="AA126" s="12" t="str">
        <v>P010</v>
      </c>
      <c r="AB126" s="12" t="str">
        <v>Keyboard</v>
      </c>
      <c r="AC126" s="12" t="str">
        <v>Electronics</v>
      </c>
      <c r="AD126" s="12">
        <v>2</v>
      </c>
      <c r="AE126" s="12">
        <v>89.99</v>
      </c>
      <c r="AF126" s="12" t="str">
        <v>Debit Card</v>
      </c>
      <c r="AG126" s="12" t="str">
        <v>West</v>
      </c>
      <c r="AH126" s="12" t="str">
        <v>Premium</v>
      </c>
      <c r="AI126" s="12">
        <v>44522</v>
      </c>
      <c r="AJ126" s="12">
        <v>179.98</v>
      </c>
      <c r="AL126" s="12"/>
    </row>
    <row r="127" spans="1:38" x14ac:dyDescent="0.3">
      <c r="A127" s="20" t="s">
        <v>266</v>
      </c>
      <c r="B127" s="16">
        <v>45576</v>
      </c>
      <c r="C127" s="15" t="s">
        <v>147</v>
      </c>
      <c r="D127" s="15" t="s">
        <v>148</v>
      </c>
      <c r="E127" s="15" t="s">
        <v>105</v>
      </c>
      <c r="F127" s="15" t="s">
        <v>106</v>
      </c>
      <c r="G127" s="15" t="s">
        <v>46</v>
      </c>
      <c r="H127" s="15">
        <v>3</v>
      </c>
      <c r="I127" s="15">
        <v>299.99</v>
      </c>
      <c r="J127" s="15" t="s">
        <v>26</v>
      </c>
      <c r="K127" s="15" t="s">
        <v>21</v>
      </c>
      <c r="L127" s="15" t="s">
        <v>36</v>
      </c>
      <c r="M127" s="16">
        <v>45174</v>
      </c>
      <c r="N127" s="17">
        <v>899.97</v>
      </c>
      <c r="O127" s="12" t="str">
        <f t="shared" si="8"/>
        <v>Oct</v>
      </c>
      <c r="P127" s="12">
        <f t="shared" si="9"/>
        <v>2024</v>
      </c>
      <c r="Q127" s="12">
        <f t="shared" ca="1" si="10"/>
        <v>930</v>
      </c>
      <c r="R127" s="12">
        <f t="shared" si="11"/>
        <v>45596</v>
      </c>
      <c r="S127" s="18">
        <f t="shared" ca="1" si="12"/>
        <v>46104.411816550928</v>
      </c>
      <c r="T127" s="12" t="str">
        <f t="shared" si="13"/>
        <v>Low Sale</v>
      </c>
      <c r="U127" s="21">
        <f t="shared" si="7"/>
        <v>7309.7999999999993</v>
      </c>
      <c r="W127" s="12" t="str">
        <v>TRX0068</v>
      </c>
      <c r="X127" s="12">
        <v>45748</v>
      </c>
      <c r="Y127" s="12" t="str">
        <v>CUST044</v>
      </c>
      <c r="Z127" s="12" t="str">
        <v>Cynthia Price</v>
      </c>
      <c r="AA127" s="12" t="str">
        <v>P002</v>
      </c>
      <c r="AB127" s="12" t="str">
        <v>Smartphone</v>
      </c>
      <c r="AC127" s="12" t="str">
        <v>Electronics</v>
      </c>
      <c r="AD127" s="12">
        <v>2</v>
      </c>
      <c r="AE127" s="12">
        <v>699.99</v>
      </c>
      <c r="AF127" s="12" t="str">
        <v>PayPal</v>
      </c>
      <c r="AG127" s="12" t="str">
        <v>North</v>
      </c>
      <c r="AH127" s="12" t="str">
        <v>Standard</v>
      </c>
      <c r="AI127" s="12">
        <v>44618</v>
      </c>
      <c r="AJ127" s="12">
        <v>1399.98</v>
      </c>
      <c r="AL127" s="12"/>
    </row>
    <row r="128" spans="1:38" x14ac:dyDescent="0.3">
      <c r="A128" s="20" t="s">
        <v>267</v>
      </c>
      <c r="B128" s="16">
        <v>45579</v>
      </c>
      <c r="C128" s="15" t="s">
        <v>83</v>
      </c>
      <c r="D128" s="15" t="s">
        <v>84</v>
      </c>
      <c r="E128" s="15" t="s">
        <v>61</v>
      </c>
      <c r="F128" s="15" t="s">
        <v>62</v>
      </c>
      <c r="G128" s="15" t="s">
        <v>19</v>
      </c>
      <c r="H128" s="15">
        <v>3</v>
      </c>
      <c r="I128" s="15">
        <v>899.99</v>
      </c>
      <c r="J128" s="15" t="s">
        <v>34</v>
      </c>
      <c r="K128" s="15" t="s">
        <v>50</v>
      </c>
      <c r="L128" s="15" t="s">
        <v>22</v>
      </c>
      <c r="M128" s="16">
        <v>45215</v>
      </c>
      <c r="N128" s="17">
        <v>2699.97</v>
      </c>
      <c r="O128" s="12" t="str">
        <f t="shared" si="8"/>
        <v>Oct</v>
      </c>
      <c r="P128" s="12">
        <f t="shared" si="9"/>
        <v>2024</v>
      </c>
      <c r="Q128" s="12">
        <f t="shared" ca="1" si="10"/>
        <v>889</v>
      </c>
      <c r="R128" s="12">
        <f t="shared" si="11"/>
        <v>45596</v>
      </c>
      <c r="S128" s="18">
        <f t="shared" ca="1" si="12"/>
        <v>46104.411816550928</v>
      </c>
      <c r="T128" s="12" t="str">
        <f t="shared" si="13"/>
        <v>High Sale</v>
      </c>
      <c r="U128" s="21">
        <f t="shared" si="7"/>
        <v>3779.93</v>
      </c>
      <c r="W128" s="12" t="str">
        <v>TRX0144</v>
      </c>
      <c r="X128" s="12">
        <v>45749</v>
      </c>
      <c r="Y128" s="12" t="str">
        <v>CUST029</v>
      </c>
      <c r="Z128" s="12" t="str">
        <v>Edward Mitchell</v>
      </c>
      <c r="AA128" s="12" t="str">
        <v>P001</v>
      </c>
      <c r="AB128" s="12" t="str">
        <v>Laptop</v>
      </c>
      <c r="AC128" s="12" t="str">
        <v>Electronics</v>
      </c>
      <c r="AD128" s="12">
        <v>3</v>
      </c>
      <c r="AE128" s="12">
        <v>899.99</v>
      </c>
      <c r="AF128" s="12" t="str">
        <v>Cash</v>
      </c>
      <c r="AG128" s="12" t="str">
        <v>Central</v>
      </c>
      <c r="AH128" s="12" t="str">
        <v>Standard</v>
      </c>
      <c r="AI128" s="12">
        <v>44953</v>
      </c>
      <c r="AJ128" s="12">
        <v>2699.97</v>
      </c>
      <c r="AL128" s="12"/>
    </row>
    <row r="129" spans="1:38" x14ac:dyDescent="0.3">
      <c r="A129" s="20" t="s">
        <v>268</v>
      </c>
      <c r="B129" s="16">
        <v>45581</v>
      </c>
      <c r="C129" s="15" t="s">
        <v>96</v>
      </c>
      <c r="D129" s="15" t="s">
        <v>97</v>
      </c>
      <c r="E129" s="15" t="s">
        <v>80</v>
      </c>
      <c r="F129" s="15" t="s">
        <v>81</v>
      </c>
      <c r="G129" s="15" t="s">
        <v>19</v>
      </c>
      <c r="H129" s="15">
        <v>5</v>
      </c>
      <c r="I129" s="15">
        <v>699.99</v>
      </c>
      <c r="J129" s="15" t="s">
        <v>20</v>
      </c>
      <c r="K129" s="15" t="s">
        <v>63</v>
      </c>
      <c r="L129" s="15" t="s">
        <v>36</v>
      </c>
      <c r="M129" s="16">
        <v>45008</v>
      </c>
      <c r="N129" s="17">
        <v>3499.95</v>
      </c>
      <c r="O129" s="12" t="str">
        <f t="shared" si="8"/>
        <v>Oct</v>
      </c>
      <c r="P129" s="12">
        <f t="shared" si="9"/>
        <v>2024</v>
      </c>
      <c r="Q129" s="12">
        <f t="shared" ca="1" si="10"/>
        <v>1096</v>
      </c>
      <c r="R129" s="12">
        <f t="shared" si="11"/>
        <v>45596</v>
      </c>
      <c r="S129" s="18">
        <f t="shared" ca="1" si="12"/>
        <v>46104.411816550928</v>
      </c>
      <c r="T129" s="12" t="str">
        <f t="shared" si="13"/>
        <v>High Sale</v>
      </c>
      <c r="U129" s="21">
        <f t="shared" si="7"/>
        <v>10649.8</v>
      </c>
      <c r="W129" s="12" t="str">
        <v>TRX0116</v>
      </c>
      <c r="X129" s="12">
        <v>45756</v>
      </c>
      <c r="Y129" s="12" t="str">
        <v>CUST009</v>
      </c>
      <c r="Z129" s="12" t="str">
        <v>Robert Thomas</v>
      </c>
      <c r="AA129" s="12" t="str">
        <v>P010</v>
      </c>
      <c r="AB129" s="12" t="str">
        <v>Keyboard</v>
      </c>
      <c r="AC129" s="12" t="str">
        <v>Electronics</v>
      </c>
      <c r="AD129" s="12">
        <v>1</v>
      </c>
      <c r="AE129" s="12">
        <v>89.99</v>
      </c>
      <c r="AF129" s="12" t="str">
        <v>Debit Card</v>
      </c>
      <c r="AG129" s="12" t="str">
        <v>East</v>
      </c>
      <c r="AH129" s="12" t="str">
        <v>Basic</v>
      </c>
      <c r="AI129" s="12">
        <v>45346</v>
      </c>
      <c r="AJ129" s="12">
        <v>89.99</v>
      </c>
      <c r="AL129" s="12"/>
    </row>
    <row r="130" spans="1:38" x14ac:dyDescent="0.3">
      <c r="A130" s="20" t="s">
        <v>269</v>
      </c>
      <c r="B130" s="16">
        <v>45581</v>
      </c>
      <c r="C130" s="15" t="s">
        <v>171</v>
      </c>
      <c r="D130" s="15" t="s">
        <v>172</v>
      </c>
      <c r="E130" s="15" t="s">
        <v>80</v>
      </c>
      <c r="F130" s="15" t="s">
        <v>81</v>
      </c>
      <c r="G130" s="15" t="s">
        <v>19</v>
      </c>
      <c r="H130" s="15">
        <v>4</v>
      </c>
      <c r="I130" s="15">
        <v>699.99</v>
      </c>
      <c r="J130" s="15" t="s">
        <v>26</v>
      </c>
      <c r="K130" s="15" t="s">
        <v>21</v>
      </c>
      <c r="L130" s="15" t="s">
        <v>22</v>
      </c>
      <c r="M130" s="16">
        <v>45385</v>
      </c>
      <c r="N130" s="17">
        <v>2799.96</v>
      </c>
      <c r="O130" s="12" t="str">
        <f t="shared" si="8"/>
        <v>Oct</v>
      </c>
      <c r="P130" s="12">
        <f t="shared" si="9"/>
        <v>2024</v>
      </c>
      <c r="Q130" s="12">
        <f t="shared" ca="1" si="10"/>
        <v>719</v>
      </c>
      <c r="R130" s="12">
        <f t="shared" si="11"/>
        <v>45596</v>
      </c>
      <c r="S130" s="18">
        <f t="shared" ca="1" si="12"/>
        <v>46104.411816550928</v>
      </c>
      <c r="T130" s="12" t="str">
        <f t="shared" si="13"/>
        <v>High Sale</v>
      </c>
      <c r="U130" s="21">
        <f t="shared" ref="U130:U193" si="14">SUMIFS($N:$N, $D:$D, D130)</f>
        <v>3669.8500000000004</v>
      </c>
      <c r="W130" s="12" t="str">
        <v>TRX0120</v>
      </c>
      <c r="X130" s="12">
        <v>45758</v>
      </c>
      <c r="Y130" s="12" t="str">
        <v>CUST045</v>
      </c>
      <c r="Z130" s="12" t="str">
        <v>Douglas Watson</v>
      </c>
      <c r="AA130" s="12" t="str">
        <v>P002</v>
      </c>
      <c r="AB130" s="12" t="str">
        <v>Smartphone</v>
      </c>
      <c r="AC130" s="12" t="str">
        <v>Electronics</v>
      </c>
      <c r="AD130" s="12">
        <v>3</v>
      </c>
      <c r="AE130" s="12">
        <v>699.99</v>
      </c>
      <c r="AF130" s="12" t="str">
        <v>PayPal</v>
      </c>
      <c r="AG130" s="12" t="str">
        <v>North</v>
      </c>
      <c r="AH130" s="12" t="str">
        <v>Basic</v>
      </c>
      <c r="AI130" s="12">
        <v>44909</v>
      </c>
      <c r="AJ130" s="12">
        <v>2099.9699999999998</v>
      </c>
      <c r="AL130" s="12"/>
    </row>
    <row r="131" spans="1:38" x14ac:dyDescent="0.3">
      <c r="A131" s="20" t="s">
        <v>270</v>
      </c>
      <c r="B131" s="16">
        <v>45581</v>
      </c>
      <c r="C131" s="15" t="s">
        <v>150</v>
      </c>
      <c r="D131" s="15" t="s">
        <v>151</v>
      </c>
      <c r="E131" s="15" t="s">
        <v>61</v>
      </c>
      <c r="F131" s="15" t="s">
        <v>62</v>
      </c>
      <c r="G131" s="15" t="s">
        <v>19</v>
      </c>
      <c r="H131" s="15">
        <v>1</v>
      </c>
      <c r="I131" s="15">
        <v>899.99</v>
      </c>
      <c r="J131" s="15" t="s">
        <v>26</v>
      </c>
      <c r="K131" s="15" t="s">
        <v>63</v>
      </c>
      <c r="L131" s="15" t="s">
        <v>36</v>
      </c>
      <c r="M131" s="16">
        <v>45369</v>
      </c>
      <c r="N131" s="17">
        <v>899.99</v>
      </c>
      <c r="O131" s="12" t="str">
        <f t="shared" ref="O131:O194" si="15">TEXT(B131,"mmm")</f>
        <v>Oct</v>
      </c>
      <c r="P131" s="12">
        <f t="shared" ref="P131:P194" si="16">YEAR(B131)</f>
        <v>2024</v>
      </c>
      <c r="Q131" s="12">
        <f t="shared" ref="Q131:Q194" ca="1" si="17">DATEDIF(M131,TODAY(),"D")</f>
        <v>735</v>
      </c>
      <c r="R131" s="12">
        <f t="shared" ref="R131:R194" si="18">EOMONTH(B131,0)</f>
        <v>45596</v>
      </c>
      <c r="S131" s="18">
        <f t="shared" ref="S131:S194" ca="1" si="19">NOW()</f>
        <v>46104.411816550928</v>
      </c>
      <c r="T131" s="12" t="str">
        <f t="shared" ref="T131:T194" si="20">IF(N131&gt;1000,"High Sale","Low Sale")</f>
        <v>Low Sale</v>
      </c>
      <c r="U131" s="21">
        <f t="shared" si="14"/>
        <v>5619.869999999999</v>
      </c>
      <c r="W131" s="12" t="str">
        <v>TRX0103</v>
      </c>
      <c r="X131" s="12">
        <v>45758</v>
      </c>
      <c r="Y131" s="12" t="str">
        <v>CUST039</v>
      </c>
      <c r="Z131" s="12" t="str">
        <v>Lawrence Reed</v>
      </c>
      <c r="AA131" s="12" t="str">
        <v>P010</v>
      </c>
      <c r="AB131" s="12" t="str">
        <v>Keyboard</v>
      </c>
      <c r="AC131" s="12" t="str">
        <v>Electronics</v>
      </c>
      <c r="AD131" s="12">
        <v>2</v>
      </c>
      <c r="AE131" s="12">
        <v>89.99</v>
      </c>
      <c r="AF131" s="12" t="str">
        <v>Debit Card</v>
      </c>
      <c r="AG131" s="12" t="str">
        <v>East</v>
      </c>
      <c r="AH131" s="12" t="str">
        <v>Basic</v>
      </c>
      <c r="AI131" s="12">
        <v>45088</v>
      </c>
      <c r="AJ131" s="12">
        <v>179.98</v>
      </c>
      <c r="AL131" s="12"/>
    </row>
    <row r="132" spans="1:38" x14ac:dyDescent="0.3">
      <c r="A132" s="20" t="s">
        <v>271</v>
      </c>
      <c r="B132" s="16">
        <v>45583</v>
      </c>
      <c r="C132" s="15" t="s">
        <v>226</v>
      </c>
      <c r="D132" s="15" t="s">
        <v>227</v>
      </c>
      <c r="E132" s="15" t="s">
        <v>52</v>
      </c>
      <c r="F132" s="15" t="s">
        <v>53</v>
      </c>
      <c r="G132" s="15" t="s">
        <v>19</v>
      </c>
      <c r="H132" s="15">
        <v>2</v>
      </c>
      <c r="I132" s="15">
        <v>149.99</v>
      </c>
      <c r="J132" s="15" t="s">
        <v>26</v>
      </c>
      <c r="K132" s="15" t="s">
        <v>50</v>
      </c>
      <c r="L132" s="15" t="s">
        <v>22</v>
      </c>
      <c r="M132" s="16">
        <v>44916</v>
      </c>
      <c r="N132" s="17">
        <v>299.98</v>
      </c>
      <c r="O132" s="12" t="str">
        <f t="shared" si="15"/>
        <v>Oct</v>
      </c>
      <c r="P132" s="12">
        <f t="shared" si="16"/>
        <v>2024</v>
      </c>
      <c r="Q132" s="12">
        <f t="shared" ca="1" si="17"/>
        <v>1188</v>
      </c>
      <c r="R132" s="12">
        <f t="shared" si="18"/>
        <v>45596</v>
      </c>
      <c r="S132" s="18">
        <f t="shared" ca="1" si="19"/>
        <v>46104.411816550928</v>
      </c>
      <c r="T132" s="12" t="str">
        <f t="shared" si="20"/>
        <v>Low Sale</v>
      </c>
      <c r="U132" s="21">
        <f t="shared" si="14"/>
        <v>6989.7699999999986</v>
      </c>
      <c r="AL132" s="12"/>
    </row>
    <row r="133" spans="1:38" x14ac:dyDescent="0.3">
      <c r="A133" s="20" t="s">
        <v>272</v>
      </c>
      <c r="B133" s="16">
        <v>45586</v>
      </c>
      <c r="C133" s="15" t="s">
        <v>226</v>
      </c>
      <c r="D133" s="15" t="s">
        <v>227</v>
      </c>
      <c r="E133" s="15" t="s">
        <v>117</v>
      </c>
      <c r="F133" s="15" t="s">
        <v>118</v>
      </c>
      <c r="G133" s="15" t="s">
        <v>19</v>
      </c>
      <c r="H133" s="15">
        <v>3</v>
      </c>
      <c r="I133" s="15">
        <v>89.99</v>
      </c>
      <c r="J133" s="15" t="s">
        <v>34</v>
      </c>
      <c r="K133" s="15" t="s">
        <v>21</v>
      </c>
      <c r="L133" s="15" t="s">
        <v>22</v>
      </c>
      <c r="M133" s="16">
        <v>44551</v>
      </c>
      <c r="N133" s="17">
        <v>269.97000000000003</v>
      </c>
      <c r="O133" s="12" t="str">
        <f t="shared" si="15"/>
        <v>Oct</v>
      </c>
      <c r="P133" s="12">
        <f t="shared" si="16"/>
        <v>2024</v>
      </c>
      <c r="Q133" s="12">
        <f t="shared" ca="1" si="17"/>
        <v>1553</v>
      </c>
      <c r="R133" s="12">
        <f t="shared" si="18"/>
        <v>45596</v>
      </c>
      <c r="S133" s="18">
        <f t="shared" ca="1" si="19"/>
        <v>46104.411816550928</v>
      </c>
      <c r="T133" s="12" t="str">
        <f t="shared" si="20"/>
        <v>Low Sale</v>
      </c>
      <c r="U133" s="21">
        <f t="shared" si="14"/>
        <v>6989.7699999999986</v>
      </c>
      <c r="AL133" s="12"/>
    </row>
    <row r="134" spans="1:38" x14ac:dyDescent="0.3">
      <c r="A134" s="20" t="s">
        <v>273</v>
      </c>
      <c r="B134" s="16">
        <v>45588</v>
      </c>
      <c r="C134" s="15" t="s">
        <v>38</v>
      </c>
      <c r="D134" s="15" t="s">
        <v>39</v>
      </c>
      <c r="E134" s="15" t="s">
        <v>52</v>
      </c>
      <c r="F134" s="15" t="s">
        <v>53</v>
      </c>
      <c r="G134" s="15" t="s">
        <v>19</v>
      </c>
      <c r="H134" s="15">
        <v>2</v>
      </c>
      <c r="I134" s="15">
        <v>149.99</v>
      </c>
      <c r="J134" s="15" t="s">
        <v>34</v>
      </c>
      <c r="K134" s="15" t="s">
        <v>21</v>
      </c>
      <c r="L134" s="15" t="s">
        <v>22</v>
      </c>
      <c r="M134" s="16">
        <v>44473</v>
      </c>
      <c r="N134" s="17">
        <v>299.98</v>
      </c>
      <c r="O134" s="12" t="str">
        <f t="shared" si="15"/>
        <v>Oct</v>
      </c>
      <c r="P134" s="12">
        <f t="shared" si="16"/>
        <v>2024</v>
      </c>
      <c r="Q134" s="12">
        <f t="shared" ca="1" si="17"/>
        <v>1631</v>
      </c>
      <c r="R134" s="12">
        <f t="shared" si="18"/>
        <v>45596</v>
      </c>
      <c r="S134" s="18">
        <f t="shared" ca="1" si="19"/>
        <v>46104.411816550928</v>
      </c>
      <c r="T134" s="12" t="str">
        <f t="shared" si="20"/>
        <v>Low Sale</v>
      </c>
      <c r="U134" s="21">
        <f t="shared" si="14"/>
        <v>4309.8099999999995</v>
      </c>
      <c r="AL134" s="12"/>
    </row>
    <row r="135" spans="1:38" x14ac:dyDescent="0.3">
      <c r="A135" s="20" t="s">
        <v>274</v>
      </c>
      <c r="B135" s="16">
        <v>45588</v>
      </c>
      <c r="C135" s="15" t="s">
        <v>154</v>
      </c>
      <c r="D135" s="15" t="s">
        <v>155</v>
      </c>
      <c r="E135" s="15" t="s">
        <v>80</v>
      </c>
      <c r="F135" s="15" t="s">
        <v>81</v>
      </c>
      <c r="G135" s="15" t="s">
        <v>19</v>
      </c>
      <c r="H135" s="15">
        <v>2</v>
      </c>
      <c r="I135" s="15">
        <v>699.99</v>
      </c>
      <c r="J135" s="15" t="s">
        <v>20</v>
      </c>
      <c r="K135" s="15" t="s">
        <v>21</v>
      </c>
      <c r="L135" s="15" t="s">
        <v>22</v>
      </c>
      <c r="M135" s="16">
        <v>44992</v>
      </c>
      <c r="N135" s="17">
        <v>1399.98</v>
      </c>
      <c r="O135" s="12" t="str">
        <f t="shared" si="15"/>
        <v>Oct</v>
      </c>
      <c r="P135" s="12">
        <f t="shared" si="16"/>
        <v>2024</v>
      </c>
      <c r="Q135" s="12">
        <f t="shared" ca="1" si="17"/>
        <v>1112</v>
      </c>
      <c r="R135" s="12">
        <f t="shared" si="18"/>
        <v>45596</v>
      </c>
      <c r="S135" s="18">
        <f t="shared" ca="1" si="19"/>
        <v>46104.411816550928</v>
      </c>
      <c r="T135" s="12" t="str">
        <f t="shared" si="20"/>
        <v>High Sale</v>
      </c>
      <c r="U135" s="21">
        <f t="shared" si="14"/>
        <v>5499.8099999999995</v>
      </c>
      <c r="AL135" s="12"/>
    </row>
    <row r="136" spans="1:38" x14ac:dyDescent="0.3">
      <c r="A136" s="20" t="s">
        <v>275</v>
      </c>
      <c r="B136" s="16">
        <v>45589</v>
      </c>
      <c r="C136" s="15" t="s">
        <v>158</v>
      </c>
      <c r="D136" s="15" t="s">
        <v>159</v>
      </c>
      <c r="E136" s="15" t="s">
        <v>80</v>
      </c>
      <c r="F136" s="15" t="s">
        <v>81</v>
      </c>
      <c r="G136" s="15" t="s">
        <v>19</v>
      </c>
      <c r="H136" s="15">
        <v>5</v>
      </c>
      <c r="I136" s="15">
        <v>699.99</v>
      </c>
      <c r="J136" s="15" t="s">
        <v>20</v>
      </c>
      <c r="K136" s="15" t="s">
        <v>40</v>
      </c>
      <c r="L136" s="15" t="s">
        <v>27</v>
      </c>
      <c r="M136" s="16">
        <v>44635</v>
      </c>
      <c r="N136" s="17">
        <v>3499.95</v>
      </c>
      <c r="O136" s="12" t="str">
        <f t="shared" si="15"/>
        <v>Oct</v>
      </c>
      <c r="P136" s="12">
        <f t="shared" si="16"/>
        <v>2024</v>
      </c>
      <c r="Q136" s="12">
        <f t="shared" ca="1" si="17"/>
        <v>1469</v>
      </c>
      <c r="R136" s="12">
        <f t="shared" si="18"/>
        <v>45596</v>
      </c>
      <c r="S136" s="18">
        <f t="shared" ca="1" si="19"/>
        <v>46104.411816550928</v>
      </c>
      <c r="T136" s="12" t="str">
        <f t="shared" si="20"/>
        <v>High Sale</v>
      </c>
      <c r="U136" s="21">
        <f t="shared" si="14"/>
        <v>5649.84</v>
      </c>
      <c r="AL136" s="12"/>
    </row>
    <row r="137" spans="1:38" x14ac:dyDescent="0.3">
      <c r="A137" s="20" t="s">
        <v>276</v>
      </c>
      <c r="B137" s="16">
        <v>45592</v>
      </c>
      <c r="C137" s="15" t="s">
        <v>171</v>
      </c>
      <c r="D137" s="15" t="s">
        <v>172</v>
      </c>
      <c r="E137" s="15" t="s">
        <v>117</v>
      </c>
      <c r="F137" s="15" t="s">
        <v>118</v>
      </c>
      <c r="G137" s="15" t="s">
        <v>19</v>
      </c>
      <c r="H137" s="15">
        <v>3</v>
      </c>
      <c r="I137" s="15">
        <v>89.99</v>
      </c>
      <c r="J137" s="15" t="s">
        <v>26</v>
      </c>
      <c r="K137" s="15" t="s">
        <v>40</v>
      </c>
      <c r="L137" s="15" t="s">
        <v>36</v>
      </c>
      <c r="M137" s="16">
        <v>44615</v>
      </c>
      <c r="N137" s="17">
        <v>269.97000000000003</v>
      </c>
      <c r="O137" s="12" t="str">
        <f t="shared" si="15"/>
        <v>Oct</v>
      </c>
      <c r="P137" s="12">
        <f t="shared" si="16"/>
        <v>2024</v>
      </c>
      <c r="Q137" s="12">
        <f t="shared" ca="1" si="17"/>
        <v>1489</v>
      </c>
      <c r="R137" s="12">
        <f t="shared" si="18"/>
        <v>45596</v>
      </c>
      <c r="S137" s="18">
        <f t="shared" ca="1" si="19"/>
        <v>46104.411816550928</v>
      </c>
      <c r="T137" s="12" t="str">
        <f t="shared" si="20"/>
        <v>Low Sale</v>
      </c>
      <c r="U137" s="21">
        <f t="shared" si="14"/>
        <v>3669.8500000000004</v>
      </c>
      <c r="AL137" s="12"/>
    </row>
    <row r="138" spans="1:38" x14ac:dyDescent="0.3">
      <c r="A138" s="20" t="s">
        <v>277</v>
      </c>
      <c r="B138" s="16">
        <v>45597</v>
      </c>
      <c r="C138" s="15" t="s">
        <v>15</v>
      </c>
      <c r="D138" s="15" t="s">
        <v>16</v>
      </c>
      <c r="E138" s="15" t="s">
        <v>17</v>
      </c>
      <c r="F138" s="15" t="s">
        <v>18</v>
      </c>
      <c r="G138" s="15" t="s">
        <v>19</v>
      </c>
      <c r="H138" s="15">
        <v>5</v>
      </c>
      <c r="I138" s="15">
        <v>249.99</v>
      </c>
      <c r="J138" s="15" t="s">
        <v>26</v>
      </c>
      <c r="K138" s="15" t="s">
        <v>35</v>
      </c>
      <c r="L138" s="15" t="s">
        <v>36</v>
      </c>
      <c r="M138" s="16">
        <v>44881</v>
      </c>
      <c r="N138" s="17">
        <v>1249.95</v>
      </c>
      <c r="O138" s="12" t="str">
        <f t="shared" si="15"/>
        <v>Nov</v>
      </c>
      <c r="P138" s="12">
        <f t="shared" si="16"/>
        <v>2024</v>
      </c>
      <c r="Q138" s="12">
        <f t="shared" ca="1" si="17"/>
        <v>1223</v>
      </c>
      <c r="R138" s="12">
        <f t="shared" si="18"/>
        <v>45626</v>
      </c>
      <c r="S138" s="18">
        <f t="shared" ca="1" si="19"/>
        <v>46104.411816550928</v>
      </c>
      <c r="T138" s="12" t="str">
        <f t="shared" si="20"/>
        <v>High Sale</v>
      </c>
      <c r="U138" s="21">
        <f t="shared" si="14"/>
        <v>8309.739999999998</v>
      </c>
      <c r="AL138" s="12"/>
    </row>
    <row r="139" spans="1:38" x14ac:dyDescent="0.3">
      <c r="A139" s="20" t="s">
        <v>278</v>
      </c>
      <c r="B139" s="16">
        <v>45600</v>
      </c>
      <c r="C139" s="15" t="s">
        <v>65</v>
      </c>
      <c r="D139" s="15" t="s">
        <v>66</v>
      </c>
      <c r="E139" s="15" t="s">
        <v>105</v>
      </c>
      <c r="F139" s="15" t="s">
        <v>106</v>
      </c>
      <c r="G139" s="15" t="s">
        <v>46</v>
      </c>
      <c r="H139" s="15">
        <v>3</v>
      </c>
      <c r="I139" s="15">
        <v>299.99</v>
      </c>
      <c r="J139" s="15" t="s">
        <v>26</v>
      </c>
      <c r="K139" s="15" t="s">
        <v>35</v>
      </c>
      <c r="L139" s="15" t="s">
        <v>36</v>
      </c>
      <c r="M139" s="16">
        <v>44502</v>
      </c>
      <c r="N139" s="17">
        <v>899.97</v>
      </c>
      <c r="O139" s="12" t="str">
        <f t="shared" si="15"/>
        <v>Nov</v>
      </c>
      <c r="P139" s="12">
        <f t="shared" si="16"/>
        <v>2024</v>
      </c>
      <c r="Q139" s="12">
        <f t="shared" ca="1" si="17"/>
        <v>1602</v>
      </c>
      <c r="R139" s="12">
        <f t="shared" si="18"/>
        <v>45626</v>
      </c>
      <c r="S139" s="18">
        <f t="shared" ca="1" si="19"/>
        <v>46104.411816550928</v>
      </c>
      <c r="T139" s="12" t="str">
        <f t="shared" si="20"/>
        <v>Low Sale</v>
      </c>
      <c r="U139" s="21">
        <f t="shared" si="14"/>
        <v>8009.7699999999995</v>
      </c>
      <c r="AL139" s="12"/>
    </row>
    <row r="140" spans="1:38" x14ac:dyDescent="0.3">
      <c r="A140" s="20" t="s">
        <v>279</v>
      </c>
      <c r="B140" s="16">
        <v>45603</v>
      </c>
      <c r="C140" s="15" t="s">
        <v>99</v>
      </c>
      <c r="D140" s="15" t="s">
        <v>100</v>
      </c>
      <c r="E140" s="15" t="s">
        <v>117</v>
      </c>
      <c r="F140" s="15" t="s">
        <v>118</v>
      </c>
      <c r="G140" s="15" t="s">
        <v>19</v>
      </c>
      <c r="H140" s="15">
        <v>3</v>
      </c>
      <c r="I140" s="15">
        <v>89.99</v>
      </c>
      <c r="J140" s="15" t="s">
        <v>26</v>
      </c>
      <c r="K140" s="15" t="s">
        <v>40</v>
      </c>
      <c r="L140" s="15" t="s">
        <v>27</v>
      </c>
      <c r="M140" s="16">
        <v>44420</v>
      </c>
      <c r="N140" s="17">
        <v>269.97000000000003</v>
      </c>
      <c r="O140" s="12" t="str">
        <f t="shared" si="15"/>
        <v>Nov</v>
      </c>
      <c r="P140" s="12">
        <f t="shared" si="16"/>
        <v>2024</v>
      </c>
      <c r="Q140" s="12">
        <f t="shared" ca="1" si="17"/>
        <v>1684</v>
      </c>
      <c r="R140" s="12">
        <f t="shared" si="18"/>
        <v>45626</v>
      </c>
      <c r="S140" s="18">
        <f t="shared" ca="1" si="19"/>
        <v>46104.411816550928</v>
      </c>
      <c r="T140" s="12" t="str">
        <f t="shared" si="20"/>
        <v>Low Sale</v>
      </c>
      <c r="U140" s="21">
        <f t="shared" si="14"/>
        <v>9799.73</v>
      </c>
      <c r="AL140" s="12"/>
    </row>
    <row r="141" spans="1:38" x14ac:dyDescent="0.3">
      <c r="A141" s="20" t="s">
        <v>280</v>
      </c>
      <c r="B141" s="16">
        <v>45604</v>
      </c>
      <c r="C141" s="15" t="s">
        <v>89</v>
      </c>
      <c r="D141" s="15" t="s">
        <v>90</v>
      </c>
      <c r="E141" s="15" t="s">
        <v>44</v>
      </c>
      <c r="F141" s="15" t="s">
        <v>45</v>
      </c>
      <c r="G141" s="15" t="s">
        <v>46</v>
      </c>
      <c r="H141" s="15">
        <v>2</v>
      </c>
      <c r="I141" s="15">
        <v>149.99</v>
      </c>
      <c r="J141" s="15" t="s">
        <v>26</v>
      </c>
      <c r="K141" s="15" t="s">
        <v>50</v>
      </c>
      <c r="L141" s="15" t="s">
        <v>27</v>
      </c>
      <c r="M141" s="16">
        <v>44848</v>
      </c>
      <c r="N141" s="17">
        <v>299.98</v>
      </c>
      <c r="O141" s="12" t="str">
        <f t="shared" si="15"/>
        <v>Nov</v>
      </c>
      <c r="P141" s="12">
        <f t="shared" si="16"/>
        <v>2024</v>
      </c>
      <c r="Q141" s="12">
        <f t="shared" ca="1" si="17"/>
        <v>1256</v>
      </c>
      <c r="R141" s="12">
        <f t="shared" si="18"/>
        <v>45626</v>
      </c>
      <c r="S141" s="18">
        <f t="shared" ca="1" si="19"/>
        <v>46104.411816550928</v>
      </c>
      <c r="T141" s="12" t="str">
        <f t="shared" si="20"/>
        <v>Low Sale</v>
      </c>
      <c r="U141" s="21">
        <f t="shared" si="14"/>
        <v>1909.93</v>
      </c>
      <c r="AL141" s="12"/>
    </row>
    <row r="142" spans="1:38" x14ac:dyDescent="0.3">
      <c r="A142" s="20" t="s">
        <v>281</v>
      </c>
      <c r="B142" s="16">
        <v>45605</v>
      </c>
      <c r="C142" s="15" t="s">
        <v>185</v>
      </c>
      <c r="D142" s="15" t="s">
        <v>186</v>
      </c>
      <c r="E142" s="15" t="s">
        <v>17</v>
      </c>
      <c r="F142" s="15" t="s">
        <v>18</v>
      </c>
      <c r="G142" s="15" t="s">
        <v>19</v>
      </c>
      <c r="H142" s="15">
        <v>1</v>
      </c>
      <c r="I142" s="15">
        <v>249.99</v>
      </c>
      <c r="J142" s="15" t="s">
        <v>26</v>
      </c>
      <c r="K142" s="15" t="s">
        <v>40</v>
      </c>
      <c r="L142" s="15" t="s">
        <v>27</v>
      </c>
      <c r="M142" s="16">
        <v>44828</v>
      </c>
      <c r="N142" s="17">
        <v>249.99</v>
      </c>
      <c r="O142" s="12" t="str">
        <f t="shared" si="15"/>
        <v>Nov</v>
      </c>
      <c r="P142" s="12">
        <f t="shared" si="16"/>
        <v>2024</v>
      </c>
      <c r="Q142" s="12">
        <f t="shared" ca="1" si="17"/>
        <v>1276</v>
      </c>
      <c r="R142" s="12">
        <f t="shared" si="18"/>
        <v>45626</v>
      </c>
      <c r="S142" s="18">
        <f t="shared" ca="1" si="19"/>
        <v>46104.411816550928</v>
      </c>
      <c r="T142" s="12" t="str">
        <f t="shared" si="20"/>
        <v>Low Sale</v>
      </c>
      <c r="U142" s="21">
        <f t="shared" si="14"/>
        <v>2099.88</v>
      </c>
      <c r="AL142" s="12"/>
    </row>
    <row r="143" spans="1:38" x14ac:dyDescent="0.3">
      <c r="A143" s="20" t="s">
        <v>282</v>
      </c>
      <c r="B143" s="16">
        <v>45607</v>
      </c>
      <c r="C143" s="15" t="s">
        <v>72</v>
      </c>
      <c r="D143" s="15" t="s">
        <v>73</v>
      </c>
      <c r="E143" s="15" t="s">
        <v>52</v>
      </c>
      <c r="F143" s="15" t="s">
        <v>53</v>
      </c>
      <c r="G143" s="15" t="s">
        <v>19</v>
      </c>
      <c r="H143" s="15">
        <v>3</v>
      </c>
      <c r="I143" s="15">
        <v>149.99</v>
      </c>
      <c r="J143" s="15" t="s">
        <v>20</v>
      </c>
      <c r="K143" s="15" t="s">
        <v>40</v>
      </c>
      <c r="L143" s="15" t="s">
        <v>22</v>
      </c>
      <c r="M143" s="16">
        <v>44769</v>
      </c>
      <c r="N143" s="17">
        <v>449.97</v>
      </c>
      <c r="O143" s="12" t="str">
        <f t="shared" si="15"/>
        <v>Nov</v>
      </c>
      <c r="P143" s="12">
        <f t="shared" si="16"/>
        <v>2024</v>
      </c>
      <c r="Q143" s="12">
        <f t="shared" ca="1" si="17"/>
        <v>1335</v>
      </c>
      <c r="R143" s="12">
        <f t="shared" si="18"/>
        <v>45626</v>
      </c>
      <c r="S143" s="18">
        <f t="shared" ca="1" si="19"/>
        <v>46104.411816550928</v>
      </c>
      <c r="T143" s="12" t="str">
        <f t="shared" si="20"/>
        <v>Low Sale</v>
      </c>
      <c r="U143" s="21">
        <f t="shared" si="14"/>
        <v>5949.85</v>
      </c>
      <c r="AL143" s="12"/>
    </row>
    <row r="144" spans="1:38" x14ac:dyDescent="0.3">
      <c r="A144" s="20" t="s">
        <v>283</v>
      </c>
      <c r="B144" s="16">
        <v>45607</v>
      </c>
      <c r="C144" s="15" t="s">
        <v>15</v>
      </c>
      <c r="D144" s="15" t="s">
        <v>16</v>
      </c>
      <c r="E144" s="15" t="s">
        <v>31</v>
      </c>
      <c r="F144" s="15" t="s">
        <v>32</v>
      </c>
      <c r="G144" s="15" t="s">
        <v>33</v>
      </c>
      <c r="H144" s="15">
        <v>5</v>
      </c>
      <c r="I144" s="15">
        <v>59.99</v>
      </c>
      <c r="J144" s="15" t="s">
        <v>34</v>
      </c>
      <c r="K144" s="15" t="s">
        <v>50</v>
      </c>
      <c r="L144" s="15" t="s">
        <v>27</v>
      </c>
      <c r="M144" s="16">
        <v>44694</v>
      </c>
      <c r="N144" s="17">
        <v>299.95</v>
      </c>
      <c r="O144" s="12" t="str">
        <f t="shared" si="15"/>
        <v>Nov</v>
      </c>
      <c r="P144" s="12">
        <f t="shared" si="16"/>
        <v>2024</v>
      </c>
      <c r="Q144" s="12">
        <f t="shared" ca="1" si="17"/>
        <v>1410</v>
      </c>
      <c r="R144" s="12">
        <f t="shared" si="18"/>
        <v>45626</v>
      </c>
      <c r="S144" s="18">
        <f t="shared" ca="1" si="19"/>
        <v>46104.411816550928</v>
      </c>
      <c r="T144" s="12" t="str">
        <f t="shared" si="20"/>
        <v>Low Sale</v>
      </c>
      <c r="U144" s="21">
        <f t="shared" si="14"/>
        <v>8309.739999999998</v>
      </c>
      <c r="AL144" s="12"/>
    </row>
    <row r="145" spans="1:38" x14ac:dyDescent="0.3">
      <c r="A145" s="20" t="s">
        <v>284</v>
      </c>
      <c r="B145" s="16">
        <v>45607</v>
      </c>
      <c r="C145" s="15" t="s">
        <v>99</v>
      </c>
      <c r="D145" s="15" t="s">
        <v>100</v>
      </c>
      <c r="E145" s="15" t="s">
        <v>17</v>
      </c>
      <c r="F145" s="15" t="s">
        <v>18</v>
      </c>
      <c r="G145" s="15" t="s">
        <v>19</v>
      </c>
      <c r="H145" s="15">
        <v>4</v>
      </c>
      <c r="I145" s="15">
        <v>249.99</v>
      </c>
      <c r="J145" s="15" t="s">
        <v>26</v>
      </c>
      <c r="K145" s="15" t="s">
        <v>50</v>
      </c>
      <c r="L145" s="15" t="s">
        <v>36</v>
      </c>
      <c r="M145" s="16">
        <v>44659</v>
      </c>
      <c r="N145" s="17">
        <v>999.96</v>
      </c>
      <c r="O145" s="12" t="str">
        <f t="shared" si="15"/>
        <v>Nov</v>
      </c>
      <c r="P145" s="12">
        <f t="shared" si="16"/>
        <v>2024</v>
      </c>
      <c r="Q145" s="12">
        <f t="shared" ca="1" si="17"/>
        <v>1445</v>
      </c>
      <c r="R145" s="12">
        <f t="shared" si="18"/>
        <v>45626</v>
      </c>
      <c r="S145" s="18">
        <f t="shared" ca="1" si="19"/>
        <v>46104.411816550928</v>
      </c>
      <c r="T145" s="12" t="str">
        <f t="shared" si="20"/>
        <v>Low Sale</v>
      </c>
      <c r="U145" s="21">
        <f t="shared" si="14"/>
        <v>9799.73</v>
      </c>
      <c r="AL145" s="12"/>
    </row>
    <row r="146" spans="1:38" x14ac:dyDescent="0.3">
      <c r="A146" s="20" t="s">
        <v>285</v>
      </c>
      <c r="B146" s="16">
        <v>45608</v>
      </c>
      <c r="C146" s="15" t="s">
        <v>154</v>
      </c>
      <c r="D146" s="15" t="s">
        <v>155</v>
      </c>
      <c r="E146" s="15" t="s">
        <v>44</v>
      </c>
      <c r="F146" s="15" t="s">
        <v>45</v>
      </c>
      <c r="G146" s="15" t="s">
        <v>46</v>
      </c>
      <c r="H146" s="15">
        <v>5</v>
      </c>
      <c r="I146" s="15">
        <v>149.99</v>
      </c>
      <c r="J146" s="15" t="s">
        <v>34</v>
      </c>
      <c r="K146" s="15" t="s">
        <v>21</v>
      </c>
      <c r="L146" s="15" t="s">
        <v>22</v>
      </c>
      <c r="M146" s="16">
        <v>44901</v>
      </c>
      <c r="N146" s="17">
        <v>749.95</v>
      </c>
      <c r="O146" s="12" t="str">
        <f t="shared" si="15"/>
        <v>Nov</v>
      </c>
      <c r="P146" s="12">
        <f t="shared" si="16"/>
        <v>2024</v>
      </c>
      <c r="Q146" s="12">
        <f t="shared" ca="1" si="17"/>
        <v>1203</v>
      </c>
      <c r="R146" s="12">
        <f t="shared" si="18"/>
        <v>45626</v>
      </c>
      <c r="S146" s="18">
        <f t="shared" ca="1" si="19"/>
        <v>46104.411816550928</v>
      </c>
      <c r="T146" s="12" t="str">
        <f t="shared" si="20"/>
        <v>Low Sale</v>
      </c>
      <c r="U146" s="21">
        <f t="shared" si="14"/>
        <v>5499.8099999999995</v>
      </c>
      <c r="AL146" s="12"/>
    </row>
    <row r="147" spans="1:38" x14ac:dyDescent="0.3">
      <c r="A147" s="20" t="s">
        <v>286</v>
      </c>
      <c r="B147" s="16">
        <v>45608</v>
      </c>
      <c r="C147" s="15" t="s">
        <v>83</v>
      </c>
      <c r="D147" s="15" t="s">
        <v>84</v>
      </c>
      <c r="E147" s="15" t="s">
        <v>31</v>
      </c>
      <c r="F147" s="15" t="s">
        <v>32</v>
      </c>
      <c r="G147" s="15" t="s">
        <v>33</v>
      </c>
      <c r="H147" s="15">
        <v>3</v>
      </c>
      <c r="I147" s="15">
        <v>59.99</v>
      </c>
      <c r="J147" s="15" t="s">
        <v>57</v>
      </c>
      <c r="K147" s="15" t="s">
        <v>35</v>
      </c>
      <c r="L147" s="15" t="s">
        <v>36</v>
      </c>
      <c r="M147" s="16">
        <v>45260</v>
      </c>
      <c r="N147" s="17">
        <v>179.97</v>
      </c>
      <c r="O147" s="12" t="str">
        <f t="shared" si="15"/>
        <v>Nov</v>
      </c>
      <c r="P147" s="12">
        <f t="shared" si="16"/>
        <v>2024</v>
      </c>
      <c r="Q147" s="12">
        <f t="shared" ca="1" si="17"/>
        <v>844</v>
      </c>
      <c r="R147" s="12">
        <f t="shared" si="18"/>
        <v>45626</v>
      </c>
      <c r="S147" s="18">
        <f t="shared" ca="1" si="19"/>
        <v>46104.411816550928</v>
      </c>
      <c r="T147" s="12" t="str">
        <f t="shared" si="20"/>
        <v>Low Sale</v>
      </c>
      <c r="U147" s="21">
        <f t="shared" si="14"/>
        <v>3779.93</v>
      </c>
      <c r="AL147" s="12"/>
    </row>
    <row r="148" spans="1:38" x14ac:dyDescent="0.3">
      <c r="A148" s="20" t="s">
        <v>287</v>
      </c>
      <c r="B148" s="16">
        <v>45613</v>
      </c>
      <c r="C148" s="15" t="s">
        <v>234</v>
      </c>
      <c r="D148" s="15" t="s">
        <v>235</v>
      </c>
      <c r="E148" s="15" t="s">
        <v>44</v>
      </c>
      <c r="F148" s="15" t="s">
        <v>45</v>
      </c>
      <c r="G148" s="15" t="s">
        <v>46</v>
      </c>
      <c r="H148" s="15">
        <v>5</v>
      </c>
      <c r="I148" s="15">
        <v>149.99</v>
      </c>
      <c r="J148" s="15" t="s">
        <v>20</v>
      </c>
      <c r="K148" s="15" t="s">
        <v>40</v>
      </c>
      <c r="L148" s="15" t="s">
        <v>22</v>
      </c>
      <c r="M148" s="16">
        <v>44869</v>
      </c>
      <c r="N148" s="17">
        <v>749.95</v>
      </c>
      <c r="O148" s="12" t="str">
        <f t="shared" si="15"/>
        <v>Nov</v>
      </c>
      <c r="P148" s="12">
        <f t="shared" si="16"/>
        <v>2024</v>
      </c>
      <c r="Q148" s="12">
        <f t="shared" ca="1" si="17"/>
        <v>1235</v>
      </c>
      <c r="R148" s="12">
        <f t="shared" si="18"/>
        <v>45626</v>
      </c>
      <c r="S148" s="18">
        <f t="shared" ca="1" si="19"/>
        <v>46104.411816550928</v>
      </c>
      <c r="T148" s="12" t="str">
        <f t="shared" si="20"/>
        <v>Low Sale</v>
      </c>
      <c r="U148" s="21">
        <f t="shared" si="14"/>
        <v>6349.83</v>
      </c>
      <c r="AL148" s="12"/>
    </row>
    <row r="149" spans="1:38" x14ac:dyDescent="0.3">
      <c r="A149" s="20" t="s">
        <v>288</v>
      </c>
      <c r="B149" s="16">
        <v>45613</v>
      </c>
      <c r="C149" s="15" t="s">
        <v>86</v>
      </c>
      <c r="D149" s="15" t="s">
        <v>87</v>
      </c>
      <c r="E149" s="15" t="s">
        <v>80</v>
      </c>
      <c r="F149" s="15" t="s">
        <v>81</v>
      </c>
      <c r="G149" s="15" t="s">
        <v>19</v>
      </c>
      <c r="H149" s="15">
        <v>2</v>
      </c>
      <c r="I149" s="15">
        <v>699.99</v>
      </c>
      <c r="J149" s="15" t="s">
        <v>34</v>
      </c>
      <c r="K149" s="15" t="s">
        <v>50</v>
      </c>
      <c r="L149" s="15" t="s">
        <v>36</v>
      </c>
      <c r="M149" s="16">
        <v>44770</v>
      </c>
      <c r="N149" s="17">
        <v>1399.98</v>
      </c>
      <c r="O149" s="12" t="str">
        <f t="shared" si="15"/>
        <v>Nov</v>
      </c>
      <c r="P149" s="12">
        <f t="shared" si="16"/>
        <v>2024</v>
      </c>
      <c r="Q149" s="12">
        <f t="shared" ca="1" si="17"/>
        <v>1334</v>
      </c>
      <c r="R149" s="12">
        <f t="shared" si="18"/>
        <v>45626</v>
      </c>
      <c r="S149" s="18">
        <f t="shared" ca="1" si="19"/>
        <v>46104.411816550928</v>
      </c>
      <c r="T149" s="12" t="str">
        <f t="shared" si="20"/>
        <v>High Sale</v>
      </c>
      <c r="U149" s="21">
        <f t="shared" si="14"/>
        <v>15659.65</v>
      </c>
      <c r="AL149" s="12"/>
    </row>
    <row r="150" spans="1:38" x14ac:dyDescent="0.3">
      <c r="A150" s="20" t="s">
        <v>289</v>
      </c>
      <c r="B150" s="16">
        <v>45617</v>
      </c>
      <c r="C150" s="15" t="s">
        <v>123</v>
      </c>
      <c r="D150" s="15" t="s">
        <v>124</v>
      </c>
      <c r="E150" s="15" t="s">
        <v>126</v>
      </c>
      <c r="F150" s="15" t="s">
        <v>127</v>
      </c>
      <c r="G150" s="15" t="s">
        <v>46</v>
      </c>
      <c r="H150" s="15">
        <v>4</v>
      </c>
      <c r="I150" s="15">
        <v>199.99</v>
      </c>
      <c r="J150" s="15" t="s">
        <v>57</v>
      </c>
      <c r="K150" s="15" t="s">
        <v>21</v>
      </c>
      <c r="L150" s="15" t="s">
        <v>27</v>
      </c>
      <c r="M150" s="16">
        <v>44427</v>
      </c>
      <c r="N150" s="17">
        <v>799.96</v>
      </c>
      <c r="O150" s="12" t="str">
        <f t="shared" si="15"/>
        <v>Nov</v>
      </c>
      <c r="P150" s="12">
        <f t="shared" si="16"/>
        <v>2024</v>
      </c>
      <c r="Q150" s="12">
        <f t="shared" ca="1" si="17"/>
        <v>1677</v>
      </c>
      <c r="R150" s="12">
        <f t="shared" si="18"/>
        <v>45626</v>
      </c>
      <c r="S150" s="18">
        <f t="shared" ca="1" si="19"/>
        <v>46104.411816550928</v>
      </c>
      <c r="T150" s="12" t="str">
        <f t="shared" si="20"/>
        <v>Low Sale</v>
      </c>
      <c r="U150" s="21">
        <f t="shared" si="14"/>
        <v>11919.769999999999</v>
      </c>
      <c r="AL150" s="12"/>
    </row>
    <row r="151" spans="1:38" x14ac:dyDescent="0.3">
      <c r="A151" s="20" t="s">
        <v>290</v>
      </c>
      <c r="B151" s="16">
        <v>45619</v>
      </c>
      <c r="C151" s="15" t="s">
        <v>192</v>
      </c>
      <c r="D151" s="15" t="s">
        <v>193</v>
      </c>
      <c r="E151" s="15" t="s">
        <v>31</v>
      </c>
      <c r="F151" s="15" t="s">
        <v>32</v>
      </c>
      <c r="G151" s="15" t="s">
        <v>33</v>
      </c>
      <c r="H151" s="15">
        <v>1</v>
      </c>
      <c r="I151" s="15">
        <v>59.99</v>
      </c>
      <c r="J151" s="15" t="s">
        <v>57</v>
      </c>
      <c r="K151" s="15" t="s">
        <v>50</v>
      </c>
      <c r="L151" s="15" t="s">
        <v>36</v>
      </c>
      <c r="M151" s="16">
        <v>44560</v>
      </c>
      <c r="N151" s="17">
        <v>59.99</v>
      </c>
      <c r="O151" s="12" t="str">
        <f t="shared" si="15"/>
        <v>Nov</v>
      </c>
      <c r="P151" s="12">
        <f t="shared" si="16"/>
        <v>2024</v>
      </c>
      <c r="Q151" s="12">
        <f t="shared" ca="1" si="17"/>
        <v>1544</v>
      </c>
      <c r="R151" s="12">
        <f t="shared" si="18"/>
        <v>45626</v>
      </c>
      <c r="S151" s="18">
        <f t="shared" ca="1" si="19"/>
        <v>46104.411816550928</v>
      </c>
      <c r="T151" s="12" t="str">
        <f t="shared" si="20"/>
        <v>Low Sale</v>
      </c>
      <c r="U151" s="21">
        <f t="shared" si="14"/>
        <v>1479.91</v>
      </c>
      <c r="AL151" s="12"/>
    </row>
    <row r="152" spans="1:38" x14ac:dyDescent="0.3">
      <c r="A152" s="20" t="s">
        <v>291</v>
      </c>
      <c r="B152" s="16">
        <v>45619</v>
      </c>
      <c r="C152" s="15" t="s">
        <v>154</v>
      </c>
      <c r="D152" s="15" t="s">
        <v>155</v>
      </c>
      <c r="E152" s="15" t="s">
        <v>80</v>
      </c>
      <c r="F152" s="15" t="s">
        <v>81</v>
      </c>
      <c r="G152" s="15" t="s">
        <v>19</v>
      </c>
      <c r="H152" s="15">
        <v>3</v>
      </c>
      <c r="I152" s="15">
        <v>699.99</v>
      </c>
      <c r="J152" s="15" t="s">
        <v>34</v>
      </c>
      <c r="K152" s="15" t="s">
        <v>50</v>
      </c>
      <c r="L152" s="15" t="s">
        <v>36</v>
      </c>
      <c r="M152" s="16">
        <v>44583</v>
      </c>
      <c r="N152" s="17">
        <v>2099.9699999999998</v>
      </c>
      <c r="O152" s="12" t="str">
        <f t="shared" si="15"/>
        <v>Nov</v>
      </c>
      <c r="P152" s="12">
        <f t="shared" si="16"/>
        <v>2024</v>
      </c>
      <c r="Q152" s="12">
        <f t="shared" ca="1" si="17"/>
        <v>1521</v>
      </c>
      <c r="R152" s="12">
        <f t="shared" si="18"/>
        <v>45626</v>
      </c>
      <c r="S152" s="18">
        <f t="shared" ca="1" si="19"/>
        <v>46104.411816550928</v>
      </c>
      <c r="T152" s="12" t="str">
        <f t="shared" si="20"/>
        <v>High Sale</v>
      </c>
      <c r="U152" s="21">
        <f t="shared" si="14"/>
        <v>5499.8099999999995</v>
      </c>
      <c r="AL152" s="12"/>
    </row>
    <row r="153" spans="1:38" x14ac:dyDescent="0.3">
      <c r="A153" s="20" t="s">
        <v>292</v>
      </c>
      <c r="B153" s="16">
        <v>45622</v>
      </c>
      <c r="C153" s="15" t="s">
        <v>293</v>
      </c>
      <c r="D153" s="15" t="s">
        <v>294</v>
      </c>
      <c r="E153" s="15" t="s">
        <v>17</v>
      </c>
      <c r="F153" s="15" t="s">
        <v>18</v>
      </c>
      <c r="G153" s="15" t="s">
        <v>19</v>
      </c>
      <c r="H153" s="15">
        <v>5</v>
      </c>
      <c r="I153" s="15">
        <v>249.99</v>
      </c>
      <c r="J153" s="15" t="s">
        <v>26</v>
      </c>
      <c r="K153" s="15" t="s">
        <v>40</v>
      </c>
      <c r="L153" s="15" t="s">
        <v>22</v>
      </c>
      <c r="M153" s="16">
        <v>44873</v>
      </c>
      <c r="N153" s="17">
        <v>1249.95</v>
      </c>
      <c r="O153" s="12" t="str">
        <f t="shared" si="15"/>
        <v>Nov</v>
      </c>
      <c r="P153" s="12">
        <f t="shared" si="16"/>
        <v>2024</v>
      </c>
      <c r="Q153" s="12">
        <f t="shared" ca="1" si="17"/>
        <v>1231</v>
      </c>
      <c r="R153" s="12">
        <f t="shared" si="18"/>
        <v>45626</v>
      </c>
      <c r="S153" s="18">
        <f t="shared" ca="1" si="19"/>
        <v>46104.411816550928</v>
      </c>
      <c r="T153" s="12" t="str">
        <f t="shared" si="20"/>
        <v>High Sale</v>
      </c>
      <c r="U153" s="21">
        <f t="shared" si="14"/>
        <v>4829.8899999999994</v>
      </c>
      <c r="AL153" s="12"/>
    </row>
    <row r="154" spans="1:38" x14ac:dyDescent="0.3">
      <c r="A154" s="20" t="s">
        <v>295</v>
      </c>
      <c r="B154" s="16">
        <v>45623</v>
      </c>
      <c r="C154" s="15" t="s">
        <v>112</v>
      </c>
      <c r="D154" s="15" t="s">
        <v>113</v>
      </c>
      <c r="E154" s="15" t="s">
        <v>44</v>
      </c>
      <c r="F154" s="15" t="s">
        <v>45</v>
      </c>
      <c r="G154" s="15" t="s">
        <v>46</v>
      </c>
      <c r="H154" s="15">
        <v>2</v>
      </c>
      <c r="I154" s="15">
        <v>149.99</v>
      </c>
      <c r="J154" s="15" t="s">
        <v>20</v>
      </c>
      <c r="K154" s="15" t="s">
        <v>35</v>
      </c>
      <c r="L154" s="15" t="s">
        <v>36</v>
      </c>
      <c r="M154" s="16">
        <v>45101</v>
      </c>
      <c r="N154" s="17">
        <v>299.98</v>
      </c>
      <c r="O154" s="12" t="str">
        <f t="shared" si="15"/>
        <v>Nov</v>
      </c>
      <c r="P154" s="12">
        <f t="shared" si="16"/>
        <v>2024</v>
      </c>
      <c r="Q154" s="12">
        <f t="shared" ca="1" si="17"/>
        <v>1003</v>
      </c>
      <c r="R154" s="12">
        <f t="shared" si="18"/>
        <v>45626</v>
      </c>
      <c r="S154" s="18">
        <f t="shared" ca="1" si="19"/>
        <v>46104.411816550928</v>
      </c>
      <c r="T154" s="12" t="str">
        <f t="shared" si="20"/>
        <v>Low Sale</v>
      </c>
      <c r="U154" s="21">
        <f t="shared" si="14"/>
        <v>1289.9000000000001</v>
      </c>
      <c r="AL154" s="12"/>
    </row>
    <row r="155" spans="1:38" x14ac:dyDescent="0.3">
      <c r="A155" s="20" t="s">
        <v>296</v>
      </c>
      <c r="B155" s="16">
        <v>45627</v>
      </c>
      <c r="C155" s="15" t="s">
        <v>29</v>
      </c>
      <c r="D155" s="15" t="s">
        <v>30</v>
      </c>
      <c r="E155" s="15" t="s">
        <v>105</v>
      </c>
      <c r="F155" s="15" t="s">
        <v>106</v>
      </c>
      <c r="G155" s="15" t="s">
        <v>46</v>
      </c>
      <c r="H155" s="15">
        <v>3</v>
      </c>
      <c r="I155" s="15">
        <v>299.99</v>
      </c>
      <c r="J155" s="15" t="s">
        <v>20</v>
      </c>
      <c r="K155" s="15" t="s">
        <v>35</v>
      </c>
      <c r="L155" s="15" t="s">
        <v>27</v>
      </c>
      <c r="M155" s="16">
        <v>44659</v>
      </c>
      <c r="N155" s="17">
        <v>899.97</v>
      </c>
      <c r="O155" s="12" t="str">
        <f t="shared" si="15"/>
        <v>Dec</v>
      </c>
      <c r="P155" s="12">
        <f t="shared" si="16"/>
        <v>2024</v>
      </c>
      <c r="Q155" s="12">
        <f t="shared" ca="1" si="17"/>
        <v>1445</v>
      </c>
      <c r="R155" s="12">
        <f t="shared" si="18"/>
        <v>45657</v>
      </c>
      <c r="S155" s="18">
        <f t="shared" ca="1" si="19"/>
        <v>46104.411816550928</v>
      </c>
      <c r="T155" s="12" t="str">
        <f t="shared" si="20"/>
        <v>Low Sale</v>
      </c>
      <c r="U155" s="21">
        <f t="shared" si="14"/>
        <v>3259.87</v>
      </c>
      <c r="AL155" s="12"/>
    </row>
    <row r="156" spans="1:38" x14ac:dyDescent="0.3">
      <c r="A156" s="20" t="s">
        <v>297</v>
      </c>
      <c r="B156" s="16">
        <v>45627</v>
      </c>
      <c r="C156" s="15" t="s">
        <v>55</v>
      </c>
      <c r="D156" s="15" t="s">
        <v>56</v>
      </c>
      <c r="E156" s="15" t="s">
        <v>17</v>
      </c>
      <c r="F156" s="15" t="s">
        <v>18</v>
      </c>
      <c r="G156" s="15" t="s">
        <v>19</v>
      </c>
      <c r="H156" s="15">
        <v>5</v>
      </c>
      <c r="I156" s="15">
        <v>249.99</v>
      </c>
      <c r="J156" s="15" t="s">
        <v>20</v>
      </c>
      <c r="K156" s="15" t="s">
        <v>21</v>
      </c>
      <c r="L156" s="15" t="s">
        <v>27</v>
      </c>
      <c r="M156" s="16">
        <v>44485</v>
      </c>
      <c r="N156" s="17">
        <v>1249.95</v>
      </c>
      <c r="O156" s="12" t="str">
        <f t="shared" si="15"/>
        <v>Dec</v>
      </c>
      <c r="P156" s="12">
        <f t="shared" si="16"/>
        <v>2024</v>
      </c>
      <c r="Q156" s="12">
        <f t="shared" ca="1" si="17"/>
        <v>1619</v>
      </c>
      <c r="R156" s="12">
        <f t="shared" si="18"/>
        <v>45657</v>
      </c>
      <c r="S156" s="18">
        <f t="shared" ca="1" si="19"/>
        <v>46104.411816550928</v>
      </c>
      <c r="T156" s="12" t="str">
        <f t="shared" si="20"/>
        <v>High Sale</v>
      </c>
      <c r="U156" s="21">
        <f t="shared" si="14"/>
        <v>5089.7300000000005</v>
      </c>
      <c r="AL156" s="12"/>
    </row>
    <row r="157" spans="1:38" x14ac:dyDescent="0.3">
      <c r="A157" s="20" t="s">
        <v>298</v>
      </c>
      <c r="B157" s="16">
        <v>45627</v>
      </c>
      <c r="C157" s="15" t="s">
        <v>24</v>
      </c>
      <c r="D157" s="15" t="s">
        <v>25</v>
      </c>
      <c r="E157" s="15" t="s">
        <v>52</v>
      </c>
      <c r="F157" s="15" t="s">
        <v>53</v>
      </c>
      <c r="G157" s="15" t="s">
        <v>19</v>
      </c>
      <c r="H157" s="15">
        <v>2</v>
      </c>
      <c r="I157" s="15">
        <v>149.99</v>
      </c>
      <c r="J157" s="15" t="s">
        <v>20</v>
      </c>
      <c r="K157" s="15" t="s">
        <v>35</v>
      </c>
      <c r="L157" s="15" t="s">
        <v>27</v>
      </c>
      <c r="M157" s="16">
        <v>44475</v>
      </c>
      <c r="N157" s="17">
        <v>299.98</v>
      </c>
      <c r="O157" s="12" t="str">
        <f t="shared" si="15"/>
        <v>Dec</v>
      </c>
      <c r="P157" s="12">
        <f t="shared" si="16"/>
        <v>2024</v>
      </c>
      <c r="Q157" s="12">
        <f t="shared" ca="1" si="17"/>
        <v>1629</v>
      </c>
      <c r="R157" s="12">
        <f t="shared" si="18"/>
        <v>45657</v>
      </c>
      <c r="S157" s="18">
        <f t="shared" ca="1" si="19"/>
        <v>46104.411816550928</v>
      </c>
      <c r="T157" s="12" t="str">
        <f t="shared" si="20"/>
        <v>Low Sale</v>
      </c>
      <c r="U157" s="21">
        <f t="shared" si="14"/>
        <v>6949.84</v>
      </c>
      <c r="AL157" s="12"/>
    </row>
    <row r="158" spans="1:38" x14ac:dyDescent="0.3">
      <c r="A158" s="20" t="s">
        <v>299</v>
      </c>
      <c r="B158" s="16">
        <v>45627</v>
      </c>
      <c r="C158" s="15" t="s">
        <v>86</v>
      </c>
      <c r="D158" s="15" t="s">
        <v>87</v>
      </c>
      <c r="E158" s="15" t="s">
        <v>80</v>
      </c>
      <c r="F158" s="15" t="s">
        <v>81</v>
      </c>
      <c r="G158" s="15" t="s">
        <v>19</v>
      </c>
      <c r="H158" s="15">
        <v>5</v>
      </c>
      <c r="I158" s="15">
        <v>699.99</v>
      </c>
      <c r="J158" s="15" t="s">
        <v>57</v>
      </c>
      <c r="K158" s="15" t="s">
        <v>50</v>
      </c>
      <c r="L158" s="15" t="s">
        <v>36</v>
      </c>
      <c r="M158" s="16">
        <v>44944</v>
      </c>
      <c r="N158" s="17">
        <v>3499.95</v>
      </c>
      <c r="O158" s="12" t="str">
        <f t="shared" si="15"/>
        <v>Dec</v>
      </c>
      <c r="P158" s="12">
        <f t="shared" si="16"/>
        <v>2024</v>
      </c>
      <c r="Q158" s="12">
        <f t="shared" ca="1" si="17"/>
        <v>1160</v>
      </c>
      <c r="R158" s="12">
        <f t="shared" si="18"/>
        <v>45657</v>
      </c>
      <c r="S158" s="18">
        <f t="shared" ca="1" si="19"/>
        <v>46104.411816550928</v>
      </c>
      <c r="T158" s="12" t="str">
        <f t="shared" si="20"/>
        <v>High Sale</v>
      </c>
      <c r="U158" s="21">
        <f t="shared" si="14"/>
        <v>15659.65</v>
      </c>
      <c r="AL158" s="12"/>
    </row>
    <row r="159" spans="1:38" x14ac:dyDescent="0.3">
      <c r="A159" s="20" t="s">
        <v>300</v>
      </c>
      <c r="B159" s="16">
        <v>45629</v>
      </c>
      <c r="C159" s="15" t="s">
        <v>252</v>
      </c>
      <c r="D159" s="15" t="s">
        <v>253</v>
      </c>
      <c r="E159" s="15" t="s">
        <v>17</v>
      </c>
      <c r="F159" s="15" t="s">
        <v>18</v>
      </c>
      <c r="G159" s="15" t="s">
        <v>19</v>
      </c>
      <c r="H159" s="15">
        <v>4</v>
      </c>
      <c r="I159" s="15">
        <v>249.99</v>
      </c>
      <c r="J159" s="15" t="s">
        <v>34</v>
      </c>
      <c r="K159" s="15" t="s">
        <v>63</v>
      </c>
      <c r="L159" s="15" t="s">
        <v>27</v>
      </c>
      <c r="M159" s="16">
        <v>45098</v>
      </c>
      <c r="N159" s="17">
        <v>999.96</v>
      </c>
      <c r="O159" s="12" t="str">
        <f t="shared" si="15"/>
        <v>Dec</v>
      </c>
      <c r="P159" s="12">
        <f t="shared" si="16"/>
        <v>2024</v>
      </c>
      <c r="Q159" s="12">
        <f t="shared" ca="1" si="17"/>
        <v>1006</v>
      </c>
      <c r="R159" s="12">
        <f t="shared" si="18"/>
        <v>45657</v>
      </c>
      <c r="S159" s="18">
        <f t="shared" ca="1" si="19"/>
        <v>46104.411816550928</v>
      </c>
      <c r="T159" s="12" t="str">
        <f t="shared" si="20"/>
        <v>Low Sale</v>
      </c>
      <c r="U159" s="21">
        <f t="shared" si="14"/>
        <v>4749.91</v>
      </c>
      <c r="AL159" s="12"/>
    </row>
    <row r="160" spans="1:38" x14ac:dyDescent="0.3">
      <c r="A160" s="20" t="s">
        <v>301</v>
      </c>
      <c r="B160" s="16">
        <v>45630</v>
      </c>
      <c r="C160" s="15" t="s">
        <v>48</v>
      </c>
      <c r="D160" s="15" t="s">
        <v>49</v>
      </c>
      <c r="E160" s="15" t="s">
        <v>80</v>
      </c>
      <c r="F160" s="15" t="s">
        <v>81</v>
      </c>
      <c r="G160" s="15" t="s">
        <v>19</v>
      </c>
      <c r="H160" s="15">
        <v>4</v>
      </c>
      <c r="I160" s="15">
        <v>699.99</v>
      </c>
      <c r="J160" s="15" t="s">
        <v>26</v>
      </c>
      <c r="K160" s="15" t="s">
        <v>40</v>
      </c>
      <c r="L160" s="15" t="s">
        <v>27</v>
      </c>
      <c r="M160" s="16">
        <v>44703</v>
      </c>
      <c r="N160" s="17">
        <v>2799.96</v>
      </c>
      <c r="O160" s="12" t="str">
        <f t="shared" si="15"/>
        <v>Dec</v>
      </c>
      <c r="P160" s="12">
        <f t="shared" si="16"/>
        <v>2024</v>
      </c>
      <c r="Q160" s="12">
        <f t="shared" ca="1" si="17"/>
        <v>1401</v>
      </c>
      <c r="R160" s="12">
        <f t="shared" si="18"/>
        <v>45657</v>
      </c>
      <c r="S160" s="18">
        <f t="shared" ca="1" si="19"/>
        <v>46104.411816550928</v>
      </c>
      <c r="T160" s="12" t="str">
        <f t="shared" si="20"/>
        <v>High Sale</v>
      </c>
      <c r="U160" s="21">
        <f t="shared" si="14"/>
        <v>8269.7900000000009</v>
      </c>
      <c r="AL160" s="12"/>
    </row>
    <row r="161" spans="1:38" x14ac:dyDescent="0.3">
      <c r="A161" s="20" t="s">
        <v>302</v>
      </c>
      <c r="B161" s="16">
        <v>45635</v>
      </c>
      <c r="C161" s="15" t="s">
        <v>108</v>
      </c>
      <c r="D161" s="15" t="s">
        <v>109</v>
      </c>
      <c r="E161" s="15" t="s">
        <v>17</v>
      </c>
      <c r="F161" s="15" t="s">
        <v>18</v>
      </c>
      <c r="G161" s="15" t="s">
        <v>19</v>
      </c>
      <c r="H161" s="15">
        <v>2</v>
      </c>
      <c r="I161" s="15">
        <v>249.99</v>
      </c>
      <c r="J161" s="15" t="s">
        <v>26</v>
      </c>
      <c r="K161" s="15" t="s">
        <v>21</v>
      </c>
      <c r="L161" s="15" t="s">
        <v>27</v>
      </c>
      <c r="M161" s="16">
        <v>44396</v>
      </c>
      <c r="N161" s="17">
        <v>499.98</v>
      </c>
      <c r="O161" s="12" t="str">
        <f t="shared" si="15"/>
        <v>Dec</v>
      </c>
      <c r="P161" s="12">
        <f t="shared" si="16"/>
        <v>2024</v>
      </c>
      <c r="Q161" s="12">
        <f t="shared" ca="1" si="17"/>
        <v>1708</v>
      </c>
      <c r="R161" s="12">
        <f t="shared" si="18"/>
        <v>45657</v>
      </c>
      <c r="S161" s="18">
        <f t="shared" ca="1" si="19"/>
        <v>46104.411816550928</v>
      </c>
      <c r="T161" s="12" t="str">
        <f t="shared" si="20"/>
        <v>Low Sale</v>
      </c>
      <c r="U161" s="21">
        <f t="shared" si="14"/>
        <v>4189.7700000000004</v>
      </c>
      <c r="AL161" s="12"/>
    </row>
    <row r="162" spans="1:38" x14ac:dyDescent="0.3">
      <c r="A162" s="20" t="s">
        <v>303</v>
      </c>
      <c r="B162" s="16">
        <v>45635</v>
      </c>
      <c r="C162" s="15" t="s">
        <v>304</v>
      </c>
      <c r="D162" s="15" t="s">
        <v>305</v>
      </c>
      <c r="E162" s="15" t="s">
        <v>31</v>
      </c>
      <c r="F162" s="15" t="s">
        <v>32</v>
      </c>
      <c r="G162" s="15" t="s">
        <v>33</v>
      </c>
      <c r="H162" s="15">
        <v>3</v>
      </c>
      <c r="I162" s="15">
        <v>59.99</v>
      </c>
      <c r="J162" s="15" t="s">
        <v>20</v>
      </c>
      <c r="K162" s="15" t="s">
        <v>21</v>
      </c>
      <c r="L162" s="15" t="s">
        <v>27</v>
      </c>
      <c r="M162" s="16">
        <v>45052</v>
      </c>
      <c r="N162" s="17">
        <v>179.97</v>
      </c>
      <c r="O162" s="12" t="str">
        <f t="shared" si="15"/>
        <v>Dec</v>
      </c>
      <c r="P162" s="12">
        <f t="shared" si="16"/>
        <v>2024</v>
      </c>
      <c r="Q162" s="12">
        <f t="shared" ca="1" si="17"/>
        <v>1052</v>
      </c>
      <c r="R162" s="12">
        <f t="shared" si="18"/>
        <v>45657</v>
      </c>
      <c r="S162" s="18">
        <f t="shared" ca="1" si="19"/>
        <v>46104.411816550928</v>
      </c>
      <c r="T162" s="12" t="str">
        <f t="shared" si="20"/>
        <v>Low Sale</v>
      </c>
      <c r="U162" s="21">
        <f t="shared" si="14"/>
        <v>179.97</v>
      </c>
      <c r="AL162" s="12"/>
    </row>
    <row r="163" spans="1:38" x14ac:dyDescent="0.3">
      <c r="A163" s="20" t="s">
        <v>306</v>
      </c>
      <c r="B163" s="16">
        <v>45635</v>
      </c>
      <c r="C163" s="15" t="s">
        <v>141</v>
      </c>
      <c r="D163" s="15" t="s">
        <v>142</v>
      </c>
      <c r="E163" s="15" t="s">
        <v>114</v>
      </c>
      <c r="F163" s="15" t="s">
        <v>115</v>
      </c>
      <c r="G163" s="15" t="s">
        <v>33</v>
      </c>
      <c r="H163" s="15">
        <v>4</v>
      </c>
      <c r="I163" s="15">
        <v>79.989999999999995</v>
      </c>
      <c r="J163" s="15" t="s">
        <v>57</v>
      </c>
      <c r="K163" s="15" t="s">
        <v>63</v>
      </c>
      <c r="L163" s="15" t="s">
        <v>36</v>
      </c>
      <c r="M163" s="16">
        <v>44921</v>
      </c>
      <c r="N163" s="17">
        <v>319.95999999999998</v>
      </c>
      <c r="O163" s="12" t="str">
        <f t="shared" si="15"/>
        <v>Dec</v>
      </c>
      <c r="P163" s="12">
        <f t="shared" si="16"/>
        <v>2024</v>
      </c>
      <c r="Q163" s="12">
        <f t="shared" ca="1" si="17"/>
        <v>1183</v>
      </c>
      <c r="R163" s="12">
        <f t="shared" si="18"/>
        <v>45657</v>
      </c>
      <c r="S163" s="18">
        <f t="shared" ca="1" si="19"/>
        <v>46104.411816550928</v>
      </c>
      <c r="T163" s="12" t="str">
        <f t="shared" si="20"/>
        <v>Low Sale</v>
      </c>
      <c r="U163" s="21">
        <f t="shared" si="14"/>
        <v>4739.8500000000004</v>
      </c>
      <c r="AL163" s="12"/>
    </row>
    <row r="164" spans="1:38" x14ac:dyDescent="0.3">
      <c r="A164" s="20" t="s">
        <v>307</v>
      </c>
      <c r="B164" s="16">
        <v>45636</v>
      </c>
      <c r="C164" s="15" t="s">
        <v>120</v>
      </c>
      <c r="D164" s="15" t="s">
        <v>121</v>
      </c>
      <c r="E164" s="15" t="s">
        <v>114</v>
      </c>
      <c r="F164" s="15" t="s">
        <v>115</v>
      </c>
      <c r="G164" s="15" t="s">
        <v>33</v>
      </c>
      <c r="H164" s="15">
        <v>3</v>
      </c>
      <c r="I164" s="15">
        <v>79.989999999999995</v>
      </c>
      <c r="J164" s="15" t="s">
        <v>57</v>
      </c>
      <c r="K164" s="15" t="s">
        <v>63</v>
      </c>
      <c r="L164" s="15" t="s">
        <v>36</v>
      </c>
      <c r="M164" s="16">
        <v>44779</v>
      </c>
      <c r="N164" s="17">
        <v>239.97</v>
      </c>
      <c r="O164" s="12" t="str">
        <f t="shared" si="15"/>
        <v>Dec</v>
      </c>
      <c r="P164" s="12">
        <f t="shared" si="16"/>
        <v>2024</v>
      </c>
      <c r="Q164" s="12">
        <f t="shared" ca="1" si="17"/>
        <v>1325</v>
      </c>
      <c r="R164" s="12">
        <f t="shared" si="18"/>
        <v>45657</v>
      </c>
      <c r="S164" s="18">
        <f t="shared" ca="1" si="19"/>
        <v>46104.411816550928</v>
      </c>
      <c r="T164" s="12" t="str">
        <f t="shared" si="20"/>
        <v>Low Sale</v>
      </c>
      <c r="U164" s="21">
        <f t="shared" si="14"/>
        <v>6459.79</v>
      </c>
      <c r="AL164" s="12"/>
    </row>
    <row r="165" spans="1:38" x14ac:dyDescent="0.3">
      <c r="A165" s="20" t="s">
        <v>308</v>
      </c>
      <c r="B165" s="16">
        <v>45638</v>
      </c>
      <c r="C165" s="15" t="s">
        <v>72</v>
      </c>
      <c r="D165" s="15" t="s">
        <v>73</v>
      </c>
      <c r="E165" s="15" t="s">
        <v>61</v>
      </c>
      <c r="F165" s="15" t="s">
        <v>62</v>
      </c>
      <c r="G165" s="15" t="s">
        <v>19</v>
      </c>
      <c r="H165" s="15">
        <v>2</v>
      </c>
      <c r="I165" s="15">
        <v>899.99</v>
      </c>
      <c r="J165" s="15" t="s">
        <v>20</v>
      </c>
      <c r="K165" s="15" t="s">
        <v>40</v>
      </c>
      <c r="L165" s="15" t="s">
        <v>22</v>
      </c>
      <c r="M165" s="16">
        <v>44406</v>
      </c>
      <c r="N165" s="17">
        <v>1799.98</v>
      </c>
      <c r="O165" s="12" t="str">
        <f t="shared" si="15"/>
        <v>Dec</v>
      </c>
      <c r="P165" s="12">
        <f t="shared" si="16"/>
        <v>2024</v>
      </c>
      <c r="Q165" s="12">
        <f t="shared" ca="1" si="17"/>
        <v>1698</v>
      </c>
      <c r="R165" s="12">
        <f t="shared" si="18"/>
        <v>45657</v>
      </c>
      <c r="S165" s="18">
        <f t="shared" ca="1" si="19"/>
        <v>46104.411816550928</v>
      </c>
      <c r="T165" s="12" t="str">
        <f t="shared" si="20"/>
        <v>High Sale</v>
      </c>
      <c r="U165" s="21">
        <f t="shared" si="14"/>
        <v>5949.85</v>
      </c>
      <c r="AL165" s="12"/>
    </row>
    <row r="166" spans="1:38" x14ac:dyDescent="0.3">
      <c r="A166" s="20" t="s">
        <v>309</v>
      </c>
      <c r="B166" s="16">
        <v>45641</v>
      </c>
      <c r="C166" s="15" t="s">
        <v>182</v>
      </c>
      <c r="D166" s="15" t="s">
        <v>183</v>
      </c>
      <c r="E166" s="15" t="s">
        <v>44</v>
      </c>
      <c r="F166" s="15" t="s">
        <v>45</v>
      </c>
      <c r="G166" s="15" t="s">
        <v>46</v>
      </c>
      <c r="H166" s="15">
        <v>1</v>
      </c>
      <c r="I166" s="15">
        <v>149.99</v>
      </c>
      <c r="J166" s="15" t="s">
        <v>57</v>
      </c>
      <c r="K166" s="15" t="s">
        <v>63</v>
      </c>
      <c r="L166" s="15" t="s">
        <v>36</v>
      </c>
      <c r="M166" s="16">
        <v>45200</v>
      </c>
      <c r="N166" s="17">
        <v>149.99</v>
      </c>
      <c r="O166" s="12" t="str">
        <f t="shared" si="15"/>
        <v>Dec</v>
      </c>
      <c r="P166" s="12">
        <f t="shared" si="16"/>
        <v>2024</v>
      </c>
      <c r="Q166" s="12">
        <f t="shared" ca="1" si="17"/>
        <v>904</v>
      </c>
      <c r="R166" s="12">
        <f t="shared" si="18"/>
        <v>45657</v>
      </c>
      <c r="S166" s="18">
        <f t="shared" ca="1" si="19"/>
        <v>46104.411816550928</v>
      </c>
      <c r="T166" s="12" t="str">
        <f t="shared" si="20"/>
        <v>Low Sale</v>
      </c>
      <c r="U166" s="21">
        <f t="shared" si="14"/>
        <v>1809.84</v>
      </c>
      <c r="AL166" s="12"/>
    </row>
    <row r="167" spans="1:38" x14ac:dyDescent="0.3">
      <c r="A167" s="20" t="s">
        <v>310</v>
      </c>
      <c r="B167" s="16">
        <v>45641</v>
      </c>
      <c r="C167" s="15" t="s">
        <v>138</v>
      </c>
      <c r="D167" s="15" t="s">
        <v>139</v>
      </c>
      <c r="E167" s="15" t="s">
        <v>105</v>
      </c>
      <c r="F167" s="15" t="s">
        <v>106</v>
      </c>
      <c r="G167" s="15" t="s">
        <v>46</v>
      </c>
      <c r="H167" s="15">
        <v>2</v>
      </c>
      <c r="I167" s="15">
        <v>299.99</v>
      </c>
      <c r="J167" s="15" t="s">
        <v>20</v>
      </c>
      <c r="K167" s="15" t="s">
        <v>63</v>
      </c>
      <c r="L167" s="15" t="s">
        <v>27</v>
      </c>
      <c r="M167" s="16">
        <v>44724</v>
      </c>
      <c r="N167" s="17">
        <v>599.98</v>
      </c>
      <c r="O167" s="12" t="str">
        <f t="shared" si="15"/>
        <v>Dec</v>
      </c>
      <c r="P167" s="12">
        <f t="shared" si="16"/>
        <v>2024</v>
      </c>
      <c r="Q167" s="12">
        <f t="shared" ca="1" si="17"/>
        <v>1380</v>
      </c>
      <c r="R167" s="12">
        <f t="shared" si="18"/>
        <v>45657</v>
      </c>
      <c r="S167" s="18">
        <f t="shared" ca="1" si="19"/>
        <v>46104.411816550928</v>
      </c>
      <c r="T167" s="12" t="str">
        <f t="shared" si="20"/>
        <v>Low Sale</v>
      </c>
      <c r="U167" s="21">
        <f t="shared" si="14"/>
        <v>2649.83</v>
      </c>
      <c r="AL167" s="12"/>
    </row>
    <row r="168" spans="1:38" x14ac:dyDescent="0.3">
      <c r="A168" s="20" t="s">
        <v>311</v>
      </c>
      <c r="B168" s="16">
        <v>45644</v>
      </c>
      <c r="C168" s="15" t="s">
        <v>132</v>
      </c>
      <c r="D168" s="15" t="s">
        <v>133</v>
      </c>
      <c r="E168" s="15" t="s">
        <v>31</v>
      </c>
      <c r="F168" s="15" t="s">
        <v>32</v>
      </c>
      <c r="G168" s="15" t="s">
        <v>33</v>
      </c>
      <c r="H168" s="15">
        <v>2</v>
      </c>
      <c r="I168" s="15">
        <v>59.99</v>
      </c>
      <c r="J168" s="15" t="s">
        <v>20</v>
      </c>
      <c r="K168" s="15" t="s">
        <v>50</v>
      </c>
      <c r="L168" s="15" t="s">
        <v>22</v>
      </c>
      <c r="M168" s="16">
        <v>45191</v>
      </c>
      <c r="N168" s="17">
        <v>119.98</v>
      </c>
      <c r="O168" s="12" t="str">
        <f t="shared" si="15"/>
        <v>Dec</v>
      </c>
      <c r="P168" s="12">
        <f t="shared" si="16"/>
        <v>2024</v>
      </c>
      <c r="Q168" s="12">
        <f t="shared" ca="1" si="17"/>
        <v>913</v>
      </c>
      <c r="R168" s="12">
        <f t="shared" si="18"/>
        <v>45657</v>
      </c>
      <c r="S168" s="18">
        <f t="shared" ca="1" si="19"/>
        <v>46104.411816550928</v>
      </c>
      <c r="T168" s="12" t="str">
        <f t="shared" si="20"/>
        <v>Low Sale</v>
      </c>
      <c r="U168" s="21">
        <f t="shared" si="14"/>
        <v>1229.8800000000001</v>
      </c>
      <c r="AL168" s="12"/>
    </row>
    <row r="169" spans="1:38" x14ac:dyDescent="0.3">
      <c r="A169" s="20" t="s">
        <v>312</v>
      </c>
      <c r="B169" s="16">
        <v>45645</v>
      </c>
      <c r="C169" s="15" t="s">
        <v>182</v>
      </c>
      <c r="D169" s="15" t="s">
        <v>183</v>
      </c>
      <c r="E169" s="15" t="s">
        <v>117</v>
      </c>
      <c r="F169" s="15" t="s">
        <v>118</v>
      </c>
      <c r="G169" s="15" t="s">
        <v>19</v>
      </c>
      <c r="H169" s="15">
        <v>1</v>
      </c>
      <c r="I169" s="15">
        <v>89.99</v>
      </c>
      <c r="J169" s="15" t="s">
        <v>57</v>
      </c>
      <c r="K169" s="15" t="s">
        <v>21</v>
      </c>
      <c r="L169" s="15" t="s">
        <v>36</v>
      </c>
      <c r="M169" s="16">
        <v>44760</v>
      </c>
      <c r="N169" s="17">
        <v>89.99</v>
      </c>
      <c r="O169" s="12" t="str">
        <f t="shared" si="15"/>
        <v>Dec</v>
      </c>
      <c r="P169" s="12">
        <f t="shared" si="16"/>
        <v>2024</v>
      </c>
      <c r="Q169" s="12">
        <f t="shared" ca="1" si="17"/>
        <v>1344</v>
      </c>
      <c r="R169" s="12">
        <f t="shared" si="18"/>
        <v>45657</v>
      </c>
      <c r="S169" s="18">
        <f t="shared" ca="1" si="19"/>
        <v>46104.411816550928</v>
      </c>
      <c r="T169" s="12" t="str">
        <f t="shared" si="20"/>
        <v>Low Sale</v>
      </c>
      <c r="U169" s="21">
        <f t="shared" si="14"/>
        <v>1809.84</v>
      </c>
      <c r="AL169" s="12"/>
    </row>
    <row r="170" spans="1:38" x14ac:dyDescent="0.3">
      <c r="A170" s="20" t="s">
        <v>313</v>
      </c>
      <c r="B170" s="16">
        <v>45645</v>
      </c>
      <c r="C170" s="15" t="s">
        <v>147</v>
      </c>
      <c r="D170" s="15" t="s">
        <v>148</v>
      </c>
      <c r="E170" s="15" t="s">
        <v>61</v>
      </c>
      <c r="F170" s="15" t="s">
        <v>62</v>
      </c>
      <c r="G170" s="15" t="s">
        <v>19</v>
      </c>
      <c r="H170" s="15">
        <v>5</v>
      </c>
      <c r="I170" s="15">
        <v>899.99</v>
      </c>
      <c r="J170" s="15" t="s">
        <v>57</v>
      </c>
      <c r="K170" s="15" t="s">
        <v>63</v>
      </c>
      <c r="L170" s="15" t="s">
        <v>36</v>
      </c>
      <c r="M170" s="16">
        <v>44625</v>
      </c>
      <c r="N170" s="17">
        <v>4499.95</v>
      </c>
      <c r="O170" s="12" t="str">
        <f t="shared" si="15"/>
        <v>Dec</v>
      </c>
      <c r="P170" s="12">
        <f t="shared" si="16"/>
        <v>2024</v>
      </c>
      <c r="Q170" s="12">
        <f t="shared" ca="1" si="17"/>
        <v>1479</v>
      </c>
      <c r="R170" s="12">
        <f t="shared" si="18"/>
        <v>45657</v>
      </c>
      <c r="S170" s="18">
        <f t="shared" ca="1" si="19"/>
        <v>46104.411816550928</v>
      </c>
      <c r="T170" s="12" t="str">
        <f t="shared" si="20"/>
        <v>High Sale</v>
      </c>
      <c r="U170" s="21">
        <f t="shared" si="14"/>
        <v>7309.7999999999993</v>
      </c>
      <c r="AL170" s="12"/>
    </row>
    <row r="171" spans="1:38" x14ac:dyDescent="0.3">
      <c r="A171" s="20" t="s">
        <v>314</v>
      </c>
      <c r="B171" s="16">
        <v>45646</v>
      </c>
      <c r="C171" s="15" t="s">
        <v>42</v>
      </c>
      <c r="D171" s="15" t="s">
        <v>43</v>
      </c>
      <c r="E171" s="15" t="s">
        <v>44</v>
      </c>
      <c r="F171" s="15" t="s">
        <v>45</v>
      </c>
      <c r="G171" s="15" t="s">
        <v>46</v>
      </c>
      <c r="H171" s="15">
        <v>2</v>
      </c>
      <c r="I171" s="15">
        <v>149.99</v>
      </c>
      <c r="J171" s="15" t="s">
        <v>20</v>
      </c>
      <c r="K171" s="15" t="s">
        <v>35</v>
      </c>
      <c r="L171" s="15" t="s">
        <v>22</v>
      </c>
      <c r="M171" s="16">
        <v>45239</v>
      </c>
      <c r="N171" s="17">
        <v>299.98</v>
      </c>
      <c r="O171" s="12" t="str">
        <f t="shared" si="15"/>
        <v>Dec</v>
      </c>
      <c r="P171" s="12">
        <f t="shared" si="16"/>
        <v>2024</v>
      </c>
      <c r="Q171" s="12">
        <f t="shared" ca="1" si="17"/>
        <v>865</v>
      </c>
      <c r="R171" s="12">
        <f t="shared" si="18"/>
        <v>45657</v>
      </c>
      <c r="S171" s="18">
        <f t="shared" ca="1" si="19"/>
        <v>46104.411816550928</v>
      </c>
      <c r="T171" s="12" t="str">
        <f t="shared" si="20"/>
        <v>Low Sale</v>
      </c>
      <c r="U171" s="21">
        <f t="shared" si="14"/>
        <v>6169.7400000000007</v>
      </c>
      <c r="AL171" s="12"/>
    </row>
    <row r="172" spans="1:38" x14ac:dyDescent="0.3">
      <c r="A172" s="20" t="s">
        <v>315</v>
      </c>
      <c r="B172" s="16">
        <v>45648</v>
      </c>
      <c r="C172" s="15" t="s">
        <v>112</v>
      </c>
      <c r="D172" s="15" t="s">
        <v>113</v>
      </c>
      <c r="E172" s="15" t="s">
        <v>52</v>
      </c>
      <c r="F172" s="15" t="s">
        <v>53</v>
      </c>
      <c r="G172" s="15" t="s">
        <v>19</v>
      </c>
      <c r="H172" s="15">
        <v>2</v>
      </c>
      <c r="I172" s="15">
        <v>149.99</v>
      </c>
      <c r="J172" s="15" t="s">
        <v>57</v>
      </c>
      <c r="K172" s="15" t="s">
        <v>50</v>
      </c>
      <c r="L172" s="15" t="s">
        <v>27</v>
      </c>
      <c r="M172" s="16">
        <v>45280</v>
      </c>
      <c r="N172" s="17">
        <v>299.98</v>
      </c>
      <c r="O172" s="12" t="str">
        <f t="shared" si="15"/>
        <v>Dec</v>
      </c>
      <c r="P172" s="12">
        <f t="shared" si="16"/>
        <v>2024</v>
      </c>
      <c r="Q172" s="12">
        <f t="shared" ca="1" si="17"/>
        <v>824</v>
      </c>
      <c r="R172" s="12">
        <f t="shared" si="18"/>
        <v>45657</v>
      </c>
      <c r="S172" s="18">
        <f t="shared" ca="1" si="19"/>
        <v>46104.411816550928</v>
      </c>
      <c r="T172" s="12" t="str">
        <f t="shared" si="20"/>
        <v>Low Sale</v>
      </c>
      <c r="U172" s="21">
        <f t="shared" si="14"/>
        <v>1289.9000000000001</v>
      </c>
      <c r="AL172" s="12"/>
    </row>
    <row r="173" spans="1:38" x14ac:dyDescent="0.3">
      <c r="A173" s="20" t="s">
        <v>316</v>
      </c>
      <c r="B173" s="16">
        <v>45648</v>
      </c>
      <c r="C173" s="15" t="s">
        <v>182</v>
      </c>
      <c r="D173" s="15" t="s">
        <v>183</v>
      </c>
      <c r="E173" s="15" t="s">
        <v>44</v>
      </c>
      <c r="F173" s="15" t="s">
        <v>45</v>
      </c>
      <c r="G173" s="15" t="s">
        <v>46</v>
      </c>
      <c r="H173" s="15">
        <v>3</v>
      </c>
      <c r="I173" s="15">
        <v>149.99</v>
      </c>
      <c r="J173" s="15" t="s">
        <v>57</v>
      </c>
      <c r="K173" s="15" t="s">
        <v>40</v>
      </c>
      <c r="L173" s="15" t="s">
        <v>36</v>
      </c>
      <c r="M173" s="16">
        <v>44522</v>
      </c>
      <c r="N173" s="17">
        <v>449.97</v>
      </c>
      <c r="O173" s="12" t="str">
        <f t="shared" si="15"/>
        <v>Dec</v>
      </c>
      <c r="P173" s="12">
        <f t="shared" si="16"/>
        <v>2024</v>
      </c>
      <c r="Q173" s="12">
        <f t="shared" ca="1" si="17"/>
        <v>1582</v>
      </c>
      <c r="R173" s="12">
        <f t="shared" si="18"/>
        <v>45657</v>
      </c>
      <c r="S173" s="18">
        <f t="shared" ca="1" si="19"/>
        <v>46104.411816550928</v>
      </c>
      <c r="T173" s="12" t="str">
        <f t="shared" si="20"/>
        <v>Low Sale</v>
      </c>
      <c r="U173" s="21">
        <f t="shared" si="14"/>
        <v>1809.84</v>
      </c>
      <c r="AL173" s="12"/>
    </row>
    <row r="174" spans="1:38" x14ac:dyDescent="0.3">
      <c r="A174" s="20" t="s">
        <v>317</v>
      </c>
      <c r="B174" s="16">
        <v>45649</v>
      </c>
      <c r="C174" s="15" t="s">
        <v>29</v>
      </c>
      <c r="D174" s="15" t="s">
        <v>30</v>
      </c>
      <c r="E174" s="15" t="s">
        <v>105</v>
      </c>
      <c r="F174" s="15" t="s">
        <v>106</v>
      </c>
      <c r="G174" s="15" t="s">
        <v>46</v>
      </c>
      <c r="H174" s="15">
        <v>2</v>
      </c>
      <c r="I174" s="15">
        <v>299.99</v>
      </c>
      <c r="J174" s="15" t="s">
        <v>34</v>
      </c>
      <c r="K174" s="15" t="s">
        <v>35</v>
      </c>
      <c r="L174" s="15" t="s">
        <v>22</v>
      </c>
      <c r="M174" s="16">
        <v>44721</v>
      </c>
      <c r="N174" s="17">
        <v>599.98</v>
      </c>
      <c r="O174" s="12" t="str">
        <f t="shared" si="15"/>
        <v>Dec</v>
      </c>
      <c r="P174" s="12">
        <f t="shared" si="16"/>
        <v>2024</v>
      </c>
      <c r="Q174" s="12">
        <f t="shared" ca="1" si="17"/>
        <v>1383</v>
      </c>
      <c r="R174" s="12">
        <f t="shared" si="18"/>
        <v>45657</v>
      </c>
      <c r="S174" s="18">
        <f t="shared" ca="1" si="19"/>
        <v>46104.411816550928</v>
      </c>
      <c r="T174" s="12" t="str">
        <f t="shared" si="20"/>
        <v>Low Sale</v>
      </c>
      <c r="U174" s="21">
        <f t="shared" si="14"/>
        <v>3259.87</v>
      </c>
      <c r="AL174" s="12"/>
    </row>
    <row r="175" spans="1:38" x14ac:dyDescent="0.3">
      <c r="A175" s="20" t="s">
        <v>318</v>
      </c>
      <c r="B175" s="16">
        <v>45654</v>
      </c>
      <c r="C175" s="15" t="s">
        <v>42</v>
      </c>
      <c r="D175" s="15" t="s">
        <v>43</v>
      </c>
      <c r="E175" s="15" t="s">
        <v>105</v>
      </c>
      <c r="F175" s="15" t="s">
        <v>106</v>
      </c>
      <c r="G175" s="15" t="s">
        <v>46</v>
      </c>
      <c r="H175" s="15">
        <v>2</v>
      </c>
      <c r="I175" s="15">
        <v>299.99</v>
      </c>
      <c r="J175" s="15" t="s">
        <v>20</v>
      </c>
      <c r="K175" s="15" t="s">
        <v>50</v>
      </c>
      <c r="L175" s="15" t="s">
        <v>22</v>
      </c>
      <c r="M175" s="16">
        <v>44771</v>
      </c>
      <c r="N175" s="17">
        <v>599.98</v>
      </c>
      <c r="O175" s="12" t="str">
        <f t="shared" si="15"/>
        <v>Dec</v>
      </c>
      <c r="P175" s="12">
        <f t="shared" si="16"/>
        <v>2024</v>
      </c>
      <c r="Q175" s="12">
        <f t="shared" ca="1" si="17"/>
        <v>1333</v>
      </c>
      <c r="R175" s="12">
        <f t="shared" si="18"/>
        <v>45657</v>
      </c>
      <c r="S175" s="18">
        <f t="shared" ca="1" si="19"/>
        <v>46104.411816550928</v>
      </c>
      <c r="T175" s="12" t="str">
        <f t="shared" si="20"/>
        <v>Low Sale</v>
      </c>
      <c r="U175" s="21">
        <f t="shared" si="14"/>
        <v>6169.7400000000007</v>
      </c>
      <c r="AL175" s="12"/>
    </row>
    <row r="176" spans="1:38" x14ac:dyDescent="0.3">
      <c r="A176" s="20" t="s">
        <v>319</v>
      </c>
      <c r="B176" s="16">
        <v>45654</v>
      </c>
      <c r="C176" s="15" t="s">
        <v>120</v>
      </c>
      <c r="D176" s="15" t="s">
        <v>121</v>
      </c>
      <c r="E176" s="15" t="s">
        <v>126</v>
      </c>
      <c r="F176" s="15" t="s">
        <v>127</v>
      </c>
      <c r="G176" s="15" t="s">
        <v>46</v>
      </c>
      <c r="H176" s="15">
        <v>4</v>
      </c>
      <c r="I176" s="15">
        <v>199.99</v>
      </c>
      <c r="J176" s="15" t="s">
        <v>26</v>
      </c>
      <c r="K176" s="15" t="s">
        <v>21</v>
      </c>
      <c r="L176" s="15" t="s">
        <v>22</v>
      </c>
      <c r="M176" s="16">
        <v>44523</v>
      </c>
      <c r="N176" s="17">
        <v>799.96</v>
      </c>
      <c r="O176" s="12" t="str">
        <f t="shared" si="15"/>
        <v>Dec</v>
      </c>
      <c r="P176" s="12">
        <f t="shared" si="16"/>
        <v>2024</v>
      </c>
      <c r="Q176" s="12">
        <f t="shared" ca="1" si="17"/>
        <v>1581</v>
      </c>
      <c r="R176" s="12">
        <f t="shared" si="18"/>
        <v>45657</v>
      </c>
      <c r="S176" s="18">
        <f t="shared" ca="1" si="19"/>
        <v>46104.411816550928</v>
      </c>
      <c r="T176" s="12" t="str">
        <f t="shared" si="20"/>
        <v>Low Sale</v>
      </c>
      <c r="U176" s="21">
        <f t="shared" si="14"/>
        <v>6459.79</v>
      </c>
      <c r="AL176" s="12"/>
    </row>
    <row r="177" spans="1:38" x14ac:dyDescent="0.3">
      <c r="A177" s="20" t="s">
        <v>320</v>
      </c>
      <c r="B177" s="16">
        <v>45655</v>
      </c>
      <c r="C177" s="15" t="s">
        <v>59</v>
      </c>
      <c r="D177" s="15" t="s">
        <v>60</v>
      </c>
      <c r="E177" s="15" t="s">
        <v>117</v>
      </c>
      <c r="F177" s="15" t="s">
        <v>118</v>
      </c>
      <c r="G177" s="15" t="s">
        <v>19</v>
      </c>
      <c r="H177" s="15">
        <v>1</v>
      </c>
      <c r="I177" s="15">
        <v>89.99</v>
      </c>
      <c r="J177" s="15" t="s">
        <v>26</v>
      </c>
      <c r="K177" s="15" t="s">
        <v>35</v>
      </c>
      <c r="L177" s="15" t="s">
        <v>27</v>
      </c>
      <c r="M177" s="16">
        <v>44591</v>
      </c>
      <c r="N177" s="17">
        <v>89.99</v>
      </c>
      <c r="O177" s="12" t="str">
        <f t="shared" si="15"/>
        <v>Dec</v>
      </c>
      <c r="P177" s="12">
        <f t="shared" si="16"/>
        <v>2024</v>
      </c>
      <c r="Q177" s="12">
        <f t="shared" ca="1" si="17"/>
        <v>1513</v>
      </c>
      <c r="R177" s="12">
        <f t="shared" si="18"/>
        <v>45657</v>
      </c>
      <c r="S177" s="18">
        <f t="shared" ca="1" si="19"/>
        <v>46104.411816550928</v>
      </c>
      <c r="T177" s="12" t="str">
        <f t="shared" si="20"/>
        <v>Low Sale</v>
      </c>
      <c r="U177" s="21">
        <f t="shared" si="14"/>
        <v>3509.8999999999996</v>
      </c>
      <c r="AL177" s="12"/>
    </row>
    <row r="178" spans="1:38" x14ac:dyDescent="0.3">
      <c r="A178" s="20" t="s">
        <v>321</v>
      </c>
      <c r="B178" s="16">
        <v>45655</v>
      </c>
      <c r="C178" s="15" t="s">
        <v>108</v>
      </c>
      <c r="D178" s="15" t="s">
        <v>109</v>
      </c>
      <c r="E178" s="15" t="s">
        <v>44</v>
      </c>
      <c r="F178" s="15" t="s">
        <v>45</v>
      </c>
      <c r="G178" s="15" t="s">
        <v>46</v>
      </c>
      <c r="H178" s="15">
        <v>5</v>
      </c>
      <c r="I178" s="15">
        <v>149.99</v>
      </c>
      <c r="J178" s="15" t="s">
        <v>20</v>
      </c>
      <c r="K178" s="15" t="s">
        <v>21</v>
      </c>
      <c r="L178" s="15" t="s">
        <v>27</v>
      </c>
      <c r="M178" s="16">
        <v>45347</v>
      </c>
      <c r="N178" s="17">
        <v>749.95</v>
      </c>
      <c r="O178" s="12" t="str">
        <f t="shared" si="15"/>
        <v>Dec</v>
      </c>
      <c r="P178" s="12">
        <f t="shared" si="16"/>
        <v>2024</v>
      </c>
      <c r="Q178" s="12">
        <f t="shared" ca="1" si="17"/>
        <v>757</v>
      </c>
      <c r="R178" s="12">
        <f t="shared" si="18"/>
        <v>45657</v>
      </c>
      <c r="S178" s="18">
        <f t="shared" ca="1" si="19"/>
        <v>46104.411816550928</v>
      </c>
      <c r="T178" s="12" t="str">
        <f t="shared" si="20"/>
        <v>Low Sale</v>
      </c>
      <c r="U178" s="21">
        <f t="shared" si="14"/>
        <v>4189.7700000000004</v>
      </c>
      <c r="AL178" s="12"/>
    </row>
    <row r="179" spans="1:38" x14ac:dyDescent="0.3">
      <c r="A179" s="20" t="s">
        <v>322</v>
      </c>
      <c r="B179" s="16">
        <v>45657</v>
      </c>
      <c r="C179" s="15" t="s">
        <v>86</v>
      </c>
      <c r="D179" s="15" t="s">
        <v>87</v>
      </c>
      <c r="E179" s="15" t="s">
        <v>61</v>
      </c>
      <c r="F179" s="15" t="s">
        <v>62</v>
      </c>
      <c r="G179" s="15" t="s">
        <v>19</v>
      </c>
      <c r="H179" s="15">
        <v>1</v>
      </c>
      <c r="I179" s="15">
        <v>899.99</v>
      </c>
      <c r="J179" s="15" t="s">
        <v>34</v>
      </c>
      <c r="K179" s="15" t="s">
        <v>40</v>
      </c>
      <c r="L179" s="15" t="s">
        <v>27</v>
      </c>
      <c r="M179" s="16">
        <v>45050</v>
      </c>
      <c r="N179" s="17">
        <v>899.99</v>
      </c>
      <c r="O179" s="12" t="str">
        <f t="shared" si="15"/>
        <v>Dec</v>
      </c>
      <c r="P179" s="12">
        <f t="shared" si="16"/>
        <v>2024</v>
      </c>
      <c r="Q179" s="12">
        <f t="shared" ca="1" si="17"/>
        <v>1054</v>
      </c>
      <c r="R179" s="12">
        <f t="shared" si="18"/>
        <v>45657</v>
      </c>
      <c r="S179" s="18">
        <f t="shared" ca="1" si="19"/>
        <v>46104.411816550928</v>
      </c>
      <c r="T179" s="12" t="str">
        <f t="shared" si="20"/>
        <v>Low Sale</v>
      </c>
      <c r="U179" s="21">
        <f t="shared" si="14"/>
        <v>15659.65</v>
      </c>
      <c r="AL179" s="12"/>
    </row>
    <row r="180" spans="1:38" x14ac:dyDescent="0.3">
      <c r="A180" s="20" t="s">
        <v>323</v>
      </c>
      <c r="B180" s="16">
        <v>45660</v>
      </c>
      <c r="C180" s="15" t="s">
        <v>147</v>
      </c>
      <c r="D180" s="15" t="s">
        <v>148</v>
      </c>
      <c r="E180" s="15" t="s">
        <v>117</v>
      </c>
      <c r="F180" s="15" t="s">
        <v>118</v>
      </c>
      <c r="G180" s="15" t="s">
        <v>19</v>
      </c>
      <c r="H180" s="15">
        <v>2</v>
      </c>
      <c r="I180" s="15">
        <v>89.99</v>
      </c>
      <c r="J180" s="15" t="s">
        <v>26</v>
      </c>
      <c r="K180" s="15" t="s">
        <v>35</v>
      </c>
      <c r="L180" s="15" t="s">
        <v>27</v>
      </c>
      <c r="M180" s="16">
        <v>44564</v>
      </c>
      <c r="N180" s="17">
        <v>179.98</v>
      </c>
      <c r="O180" s="12" t="str">
        <f t="shared" si="15"/>
        <v>Jan</v>
      </c>
      <c r="P180" s="12">
        <f t="shared" si="16"/>
        <v>2025</v>
      </c>
      <c r="Q180" s="12">
        <f t="shared" ca="1" si="17"/>
        <v>1540</v>
      </c>
      <c r="R180" s="12">
        <f t="shared" si="18"/>
        <v>45688</v>
      </c>
      <c r="S180" s="18">
        <f t="shared" ca="1" si="19"/>
        <v>46104.411816550928</v>
      </c>
      <c r="T180" s="12" t="str">
        <f t="shared" si="20"/>
        <v>Low Sale</v>
      </c>
      <c r="U180" s="21">
        <f t="shared" si="14"/>
        <v>7309.7999999999993</v>
      </c>
      <c r="AL180" s="12"/>
    </row>
    <row r="181" spans="1:38" x14ac:dyDescent="0.3">
      <c r="A181" s="20" t="s">
        <v>324</v>
      </c>
      <c r="B181" s="16">
        <v>45661</v>
      </c>
      <c r="C181" s="15" t="s">
        <v>325</v>
      </c>
      <c r="D181" s="15" t="s">
        <v>326</v>
      </c>
      <c r="E181" s="15" t="s">
        <v>61</v>
      </c>
      <c r="F181" s="15" t="s">
        <v>62</v>
      </c>
      <c r="G181" s="15" t="s">
        <v>19</v>
      </c>
      <c r="H181" s="15">
        <v>1</v>
      </c>
      <c r="I181" s="15">
        <v>899.99</v>
      </c>
      <c r="J181" s="15" t="s">
        <v>34</v>
      </c>
      <c r="K181" s="15" t="s">
        <v>40</v>
      </c>
      <c r="L181" s="15" t="s">
        <v>36</v>
      </c>
      <c r="M181" s="16">
        <v>44752</v>
      </c>
      <c r="N181" s="17">
        <v>899.99</v>
      </c>
      <c r="O181" s="12" t="str">
        <f t="shared" si="15"/>
        <v>Jan</v>
      </c>
      <c r="P181" s="12">
        <f t="shared" si="16"/>
        <v>2025</v>
      </c>
      <c r="Q181" s="12">
        <f t="shared" ca="1" si="17"/>
        <v>1352</v>
      </c>
      <c r="R181" s="12">
        <f t="shared" si="18"/>
        <v>45688</v>
      </c>
      <c r="S181" s="18">
        <f t="shared" ca="1" si="19"/>
        <v>46104.411816550928</v>
      </c>
      <c r="T181" s="12" t="str">
        <f t="shared" si="20"/>
        <v>Low Sale</v>
      </c>
      <c r="U181" s="21">
        <f t="shared" si="14"/>
        <v>1559.94</v>
      </c>
      <c r="AL181" s="12"/>
    </row>
    <row r="182" spans="1:38" x14ac:dyDescent="0.3">
      <c r="A182" s="20" t="s">
        <v>327</v>
      </c>
      <c r="B182" s="16">
        <v>45663</v>
      </c>
      <c r="C182" s="15" t="s">
        <v>129</v>
      </c>
      <c r="D182" s="15" t="s">
        <v>130</v>
      </c>
      <c r="E182" s="15" t="s">
        <v>52</v>
      </c>
      <c r="F182" s="15" t="s">
        <v>53</v>
      </c>
      <c r="G182" s="15" t="s">
        <v>19</v>
      </c>
      <c r="H182" s="15">
        <v>5</v>
      </c>
      <c r="I182" s="15">
        <v>149.99</v>
      </c>
      <c r="J182" s="15" t="s">
        <v>34</v>
      </c>
      <c r="K182" s="15" t="s">
        <v>63</v>
      </c>
      <c r="L182" s="15" t="s">
        <v>27</v>
      </c>
      <c r="M182" s="16">
        <v>44824</v>
      </c>
      <c r="N182" s="17">
        <v>749.95</v>
      </c>
      <c r="O182" s="12" t="str">
        <f t="shared" si="15"/>
        <v>Jan</v>
      </c>
      <c r="P182" s="12">
        <f t="shared" si="16"/>
        <v>2025</v>
      </c>
      <c r="Q182" s="12">
        <f t="shared" ca="1" si="17"/>
        <v>1280</v>
      </c>
      <c r="R182" s="12">
        <f t="shared" si="18"/>
        <v>45688</v>
      </c>
      <c r="S182" s="18">
        <f t="shared" ca="1" si="19"/>
        <v>46104.411816550928</v>
      </c>
      <c r="T182" s="12" t="str">
        <f t="shared" si="20"/>
        <v>Low Sale</v>
      </c>
      <c r="U182" s="21">
        <f t="shared" si="14"/>
        <v>2039.8000000000002</v>
      </c>
      <c r="AL182" s="12"/>
    </row>
    <row r="183" spans="1:38" x14ac:dyDescent="0.3">
      <c r="A183" s="20" t="s">
        <v>328</v>
      </c>
      <c r="B183" s="16">
        <v>45663</v>
      </c>
      <c r="C183" s="15" t="s">
        <v>42</v>
      </c>
      <c r="D183" s="15" t="s">
        <v>43</v>
      </c>
      <c r="E183" s="15" t="s">
        <v>105</v>
      </c>
      <c r="F183" s="15" t="s">
        <v>106</v>
      </c>
      <c r="G183" s="15" t="s">
        <v>46</v>
      </c>
      <c r="H183" s="15">
        <v>3</v>
      </c>
      <c r="I183" s="15">
        <v>299.99</v>
      </c>
      <c r="J183" s="15" t="s">
        <v>20</v>
      </c>
      <c r="K183" s="15" t="s">
        <v>35</v>
      </c>
      <c r="L183" s="15" t="s">
        <v>36</v>
      </c>
      <c r="M183" s="16">
        <v>44422</v>
      </c>
      <c r="N183" s="17">
        <v>899.97</v>
      </c>
      <c r="O183" s="12" t="str">
        <f t="shared" si="15"/>
        <v>Jan</v>
      </c>
      <c r="P183" s="12">
        <f t="shared" si="16"/>
        <v>2025</v>
      </c>
      <c r="Q183" s="12">
        <f t="shared" ca="1" si="17"/>
        <v>1682</v>
      </c>
      <c r="R183" s="12">
        <f t="shared" si="18"/>
        <v>45688</v>
      </c>
      <c r="S183" s="18">
        <f t="shared" ca="1" si="19"/>
        <v>46104.411816550928</v>
      </c>
      <c r="T183" s="12" t="str">
        <f t="shared" si="20"/>
        <v>Low Sale</v>
      </c>
      <c r="U183" s="21">
        <f t="shared" si="14"/>
        <v>6169.7400000000007</v>
      </c>
      <c r="AL183" s="12"/>
    </row>
    <row r="184" spans="1:38" x14ac:dyDescent="0.3">
      <c r="A184" s="20" t="s">
        <v>329</v>
      </c>
      <c r="B184" s="16">
        <v>45666</v>
      </c>
      <c r="C184" s="15" t="s">
        <v>65</v>
      </c>
      <c r="D184" s="15" t="s">
        <v>66</v>
      </c>
      <c r="E184" s="15" t="s">
        <v>80</v>
      </c>
      <c r="F184" s="15" t="s">
        <v>81</v>
      </c>
      <c r="G184" s="15" t="s">
        <v>19</v>
      </c>
      <c r="H184" s="15">
        <v>3</v>
      </c>
      <c r="I184" s="15">
        <v>699.99</v>
      </c>
      <c r="J184" s="15" t="s">
        <v>26</v>
      </c>
      <c r="K184" s="15" t="s">
        <v>21</v>
      </c>
      <c r="L184" s="15" t="s">
        <v>27</v>
      </c>
      <c r="M184" s="16">
        <v>45105</v>
      </c>
      <c r="N184" s="17">
        <v>2099.9699999999998</v>
      </c>
      <c r="O184" s="12" t="str">
        <f t="shared" si="15"/>
        <v>Jan</v>
      </c>
      <c r="P184" s="12">
        <f t="shared" si="16"/>
        <v>2025</v>
      </c>
      <c r="Q184" s="12">
        <f t="shared" ca="1" si="17"/>
        <v>999</v>
      </c>
      <c r="R184" s="12">
        <f t="shared" si="18"/>
        <v>45688</v>
      </c>
      <c r="S184" s="18">
        <f t="shared" ca="1" si="19"/>
        <v>46104.411816550928</v>
      </c>
      <c r="T184" s="12" t="str">
        <f t="shared" si="20"/>
        <v>High Sale</v>
      </c>
      <c r="U184" s="21">
        <f t="shared" si="14"/>
        <v>8009.7699999999995</v>
      </c>
      <c r="AL184" s="12"/>
    </row>
    <row r="185" spans="1:38" x14ac:dyDescent="0.3">
      <c r="A185" s="20" t="s">
        <v>330</v>
      </c>
      <c r="B185" s="16">
        <v>45667</v>
      </c>
      <c r="C185" s="15" t="s">
        <v>108</v>
      </c>
      <c r="D185" s="15" t="s">
        <v>109</v>
      </c>
      <c r="E185" s="15" t="s">
        <v>126</v>
      </c>
      <c r="F185" s="15" t="s">
        <v>127</v>
      </c>
      <c r="G185" s="15" t="s">
        <v>46</v>
      </c>
      <c r="H185" s="15">
        <v>5</v>
      </c>
      <c r="I185" s="15">
        <v>199.99</v>
      </c>
      <c r="J185" s="15" t="s">
        <v>34</v>
      </c>
      <c r="K185" s="15" t="s">
        <v>21</v>
      </c>
      <c r="L185" s="15" t="s">
        <v>36</v>
      </c>
      <c r="M185" s="16">
        <v>44633</v>
      </c>
      <c r="N185" s="17">
        <v>999.95</v>
      </c>
      <c r="O185" s="12" t="str">
        <f t="shared" si="15"/>
        <v>Jan</v>
      </c>
      <c r="P185" s="12">
        <f t="shared" si="16"/>
        <v>2025</v>
      </c>
      <c r="Q185" s="12">
        <f t="shared" ca="1" si="17"/>
        <v>1471</v>
      </c>
      <c r="R185" s="12">
        <f t="shared" si="18"/>
        <v>45688</v>
      </c>
      <c r="S185" s="18">
        <f t="shared" ca="1" si="19"/>
        <v>46104.411816550928</v>
      </c>
      <c r="T185" s="12" t="str">
        <f t="shared" si="20"/>
        <v>Low Sale</v>
      </c>
      <c r="U185" s="21">
        <f t="shared" si="14"/>
        <v>4189.7700000000004</v>
      </c>
      <c r="AL185" s="12"/>
    </row>
    <row r="186" spans="1:38" x14ac:dyDescent="0.3">
      <c r="A186" s="20" t="s">
        <v>331</v>
      </c>
      <c r="B186" s="16">
        <v>45667</v>
      </c>
      <c r="C186" s="15" t="s">
        <v>93</v>
      </c>
      <c r="D186" s="15" t="s">
        <v>94</v>
      </c>
      <c r="E186" s="15" t="s">
        <v>17</v>
      </c>
      <c r="F186" s="15" t="s">
        <v>18</v>
      </c>
      <c r="G186" s="15" t="s">
        <v>19</v>
      </c>
      <c r="H186" s="15">
        <v>5</v>
      </c>
      <c r="I186" s="15">
        <v>249.99</v>
      </c>
      <c r="J186" s="15" t="s">
        <v>26</v>
      </c>
      <c r="K186" s="15" t="s">
        <v>35</v>
      </c>
      <c r="L186" s="15" t="s">
        <v>22</v>
      </c>
      <c r="M186" s="16">
        <v>45330</v>
      </c>
      <c r="N186" s="17">
        <v>1249.95</v>
      </c>
      <c r="O186" s="12" t="str">
        <f t="shared" si="15"/>
        <v>Jan</v>
      </c>
      <c r="P186" s="12">
        <f t="shared" si="16"/>
        <v>2025</v>
      </c>
      <c r="Q186" s="12">
        <f t="shared" ca="1" si="17"/>
        <v>774</v>
      </c>
      <c r="R186" s="12">
        <f t="shared" si="18"/>
        <v>45688</v>
      </c>
      <c r="S186" s="18">
        <f t="shared" ca="1" si="19"/>
        <v>46104.411816550928</v>
      </c>
      <c r="T186" s="12" t="str">
        <f t="shared" si="20"/>
        <v>High Sale</v>
      </c>
      <c r="U186" s="21">
        <f t="shared" si="14"/>
        <v>4789.7900000000009</v>
      </c>
      <c r="AL186" s="12"/>
    </row>
    <row r="187" spans="1:38" x14ac:dyDescent="0.3">
      <c r="A187" s="20" t="s">
        <v>332</v>
      </c>
      <c r="B187" s="16">
        <v>45668</v>
      </c>
      <c r="C187" s="15" t="s">
        <v>138</v>
      </c>
      <c r="D187" s="15" t="s">
        <v>139</v>
      </c>
      <c r="E187" s="15" t="s">
        <v>52</v>
      </c>
      <c r="F187" s="15" t="s">
        <v>53</v>
      </c>
      <c r="G187" s="15" t="s">
        <v>19</v>
      </c>
      <c r="H187" s="15">
        <v>4</v>
      </c>
      <c r="I187" s="15">
        <v>149.99</v>
      </c>
      <c r="J187" s="15" t="s">
        <v>57</v>
      </c>
      <c r="K187" s="15" t="s">
        <v>63</v>
      </c>
      <c r="L187" s="15" t="s">
        <v>36</v>
      </c>
      <c r="M187" s="16">
        <v>44536</v>
      </c>
      <c r="N187" s="17">
        <v>599.96</v>
      </c>
      <c r="O187" s="12" t="str">
        <f t="shared" si="15"/>
        <v>Jan</v>
      </c>
      <c r="P187" s="12">
        <f t="shared" si="16"/>
        <v>2025</v>
      </c>
      <c r="Q187" s="12">
        <f t="shared" ca="1" si="17"/>
        <v>1568</v>
      </c>
      <c r="R187" s="12">
        <f t="shared" si="18"/>
        <v>45688</v>
      </c>
      <c r="S187" s="18">
        <f t="shared" ca="1" si="19"/>
        <v>46104.411816550928</v>
      </c>
      <c r="T187" s="12" t="str">
        <f t="shared" si="20"/>
        <v>Low Sale</v>
      </c>
      <c r="U187" s="21">
        <f t="shared" si="14"/>
        <v>2649.83</v>
      </c>
      <c r="AL187" s="12"/>
    </row>
    <row r="188" spans="1:38" x14ac:dyDescent="0.3">
      <c r="A188" s="20" t="s">
        <v>333</v>
      </c>
      <c r="B188" s="16">
        <v>45668</v>
      </c>
      <c r="C188" s="15" t="s">
        <v>78</v>
      </c>
      <c r="D188" s="15" t="s">
        <v>79</v>
      </c>
      <c r="E188" s="15" t="s">
        <v>80</v>
      </c>
      <c r="F188" s="15" t="s">
        <v>81</v>
      </c>
      <c r="G188" s="15" t="s">
        <v>19</v>
      </c>
      <c r="H188" s="15">
        <v>3</v>
      </c>
      <c r="I188" s="15">
        <v>699.99</v>
      </c>
      <c r="J188" s="15" t="s">
        <v>20</v>
      </c>
      <c r="K188" s="15" t="s">
        <v>40</v>
      </c>
      <c r="L188" s="15" t="s">
        <v>27</v>
      </c>
      <c r="M188" s="16">
        <v>44602</v>
      </c>
      <c r="N188" s="17">
        <v>2099.9699999999998</v>
      </c>
      <c r="O188" s="12" t="str">
        <f t="shared" si="15"/>
        <v>Jan</v>
      </c>
      <c r="P188" s="12">
        <f t="shared" si="16"/>
        <v>2025</v>
      </c>
      <c r="Q188" s="12">
        <f t="shared" ca="1" si="17"/>
        <v>1502</v>
      </c>
      <c r="R188" s="12">
        <f t="shared" si="18"/>
        <v>45688</v>
      </c>
      <c r="S188" s="18">
        <f t="shared" ca="1" si="19"/>
        <v>46104.411816550928</v>
      </c>
      <c r="T188" s="12" t="str">
        <f t="shared" si="20"/>
        <v>High Sale</v>
      </c>
      <c r="U188" s="21">
        <f t="shared" si="14"/>
        <v>4199.9399999999996</v>
      </c>
      <c r="AL188" s="12"/>
    </row>
    <row r="189" spans="1:38" x14ac:dyDescent="0.3">
      <c r="A189" s="20" t="s">
        <v>334</v>
      </c>
      <c r="B189" s="16">
        <v>45670</v>
      </c>
      <c r="C189" s="15" t="s">
        <v>293</v>
      </c>
      <c r="D189" s="15" t="s">
        <v>294</v>
      </c>
      <c r="E189" s="15" t="s">
        <v>114</v>
      </c>
      <c r="F189" s="15" t="s">
        <v>115</v>
      </c>
      <c r="G189" s="15" t="s">
        <v>33</v>
      </c>
      <c r="H189" s="15">
        <v>1</v>
      </c>
      <c r="I189" s="15">
        <v>79.989999999999995</v>
      </c>
      <c r="J189" s="15" t="s">
        <v>26</v>
      </c>
      <c r="K189" s="15" t="s">
        <v>35</v>
      </c>
      <c r="L189" s="15" t="s">
        <v>22</v>
      </c>
      <c r="M189" s="16">
        <v>45322</v>
      </c>
      <c r="N189" s="17">
        <v>79.989999999999995</v>
      </c>
      <c r="O189" s="12" t="str">
        <f t="shared" si="15"/>
        <v>Jan</v>
      </c>
      <c r="P189" s="12">
        <f t="shared" si="16"/>
        <v>2025</v>
      </c>
      <c r="Q189" s="12">
        <f t="shared" ca="1" si="17"/>
        <v>782</v>
      </c>
      <c r="R189" s="12">
        <f t="shared" si="18"/>
        <v>45688</v>
      </c>
      <c r="S189" s="18">
        <f t="shared" ca="1" si="19"/>
        <v>46104.411816550928</v>
      </c>
      <c r="T189" s="12" t="str">
        <f t="shared" si="20"/>
        <v>Low Sale</v>
      </c>
      <c r="U189" s="21">
        <f t="shared" si="14"/>
        <v>4829.8899999999994</v>
      </c>
      <c r="AL189" s="12"/>
    </row>
    <row r="190" spans="1:38" x14ac:dyDescent="0.3">
      <c r="A190" s="20" t="s">
        <v>335</v>
      </c>
      <c r="B190" s="16">
        <v>45670</v>
      </c>
      <c r="C190" s="15" t="s">
        <v>86</v>
      </c>
      <c r="D190" s="15" t="s">
        <v>87</v>
      </c>
      <c r="E190" s="15" t="s">
        <v>105</v>
      </c>
      <c r="F190" s="15" t="s">
        <v>106</v>
      </c>
      <c r="G190" s="15" t="s">
        <v>46</v>
      </c>
      <c r="H190" s="15">
        <v>1</v>
      </c>
      <c r="I190" s="15">
        <v>299.99</v>
      </c>
      <c r="J190" s="15" t="s">
        <v>26</v>
      </c>
      <c r="K190" s="15" t="s">
        <v>40</v>
      </c>
      <c r="L190" s="15" t="s">
        <v>22</v>
      </c>
      <c r="M190" s="16">
        <v>44436</v>
      </c>
      <c r="N190" s="17">
        <v>299.99</v>
      </c>
      <c r="O190" s="12" t="str">
        <f t="shared" si="15"/>
        <v>Jan</v>
      </c>
      <c r="P190" s="12">
        <f t="shared" si="16"/>
        <v>2025</v>
      </c>
      <c r="Q190" s="12">
        <f t="shared" ca="1" si="17"/>
        <v>1668</v>
      </c>
      <c r="R190" s="12">
        <f t="shared" si="18"/>
        <v>45688</v>
      </c>
      <c r="S190" s="18">
        <f t="shared" ca="1" si="19"/>
        <v>46104.411816550928</v>
      </c>
      <c r="T190" s="12" t="str">
        <f t="shared" si="20"/>
        <v>Low Sale</v>
      </c>
      <c r="U190" s="21">
        <f t="shared" si="14"/>
        <v>15659.65</v>
      </c>
      <c r="AL190" s="12"/>
    </row>
    <row r="191" spans="1:38" x14ac:dyDescent="0.3">
      <c r="A191" s="20" t="s">
        <v>336</v>
      </c>
      <c r="B191" s="16">
        <v>45671</v>
      </c>
      <c r="C191" s="15" t="s">
        <v>158</v>
      </c>
      <c r="D191" s="15" t="s">
        <v>159</v>
      </c>
      <c r="E191" s="15" t="s">
        <v>17</v>
      </c>
      <c r="F191" s="15" t="s">
        <v>18</v>
      </c>
      <c r="G191" s="15" t="s">
        <v>19</v>
      </c>
      <c r="H191" s="15">
        <v>4</v>
      </c>
      <c r="I191" s="15">
        <v>249.99</v>
      </c>
      <c r="J191" s="15" t="s">
        <v>26</v>
      </c>
      <c r="K191" s="15" t="s">
        <v>40</v>
      </c>
      <c r="L191" s="15" t="s">
        <v>27</v>
      </c>
      <c r="M191" s="16">
        <v>44460</v>
      </c>
      <c r="N191" s="17">
        <v>999.96</v>
      </c>
      <c r="O191" s="12" t="str">
        <f t="shared" si="15"/>
        <v>Jan</v>
      </c>
      <c r="P191" s="12">
        <f t="shared" si="16"/>
        <v>2025</v>
      </c>
      <c r="Q191" s="12">
        <f t="shared" ca="1" si="17"/>
        <v>1644</v>
      </c>
      <c r="R191" s="12">
        <f t="shared" si="18"/>
        <v>45688</v>
      </c>
      <c r="S191" s="18">
        <f t="shared" ca="1" si="19"/>
        <v>46104.411816550928</v>
      </c>
      <c r="T191" s="12" t="str">
        <f t="shared" si="20"/>
        <v>Low Sale</v>
      </c>
      <c r="U191" s="21">
        <f t="shared" si="14"/>
        <v>5649.84</v>
      </c>
      <c r="AL191" s="12"/>
    </row>
    <row r="192" spans="1:38" x14ac:dyDescent="0.3">
      <c r="A192" s="20" t="s">
        <v>337</v>
      </c>
      <c r="B192" s="16">
        <v>45671</v>
      </c>
      <c r="C192" s="15" t="s">
        <v>120</v>
      </c>
      <c r="D192" s="15" t="s">
        <v>121</v>
      </c>
      <c r="E192" s="15" t="s">
        <v>52</v>
      </c>
      <c r="F192" s="15" t="s">
        <v>53</v>
      </c>
      <c r="G192" s="15" t="s">
        <v>19</v>
      </c>
      <c r="H192" s="15">
        <v>2</v>
      </c>
      <c r="I192" s="15">
        <v>149.99</v>
      </c>
      <c r="J192" s="15" t="s">
        <v>20</v>
      </c>
      <c r="K192" s="15" t="s">
        <v>40</v>
      </c>
      <c r="L192" s="15" t="s">
        <v>36</v>
      </c>
      <c r="M192" s="16">
        <v>44913</v>
      </c>
      <c r="N192" s="17">
        <v>299.98</v>
      </c>
      <c r="O192" s="12" t="str">
        <f t="shared" si="15"/>
        <v>Jan</v>
      </c>
      <c r="P192" s="12">
        <f t="shared" si="16"/>
        <v>2025</v>
      </c>
      <c r="Q192" s="12">
        <f t="shared" ca="1" si="17"/>
        <v>1191</v>
      </c>
      <c r="R192" s="12">
        <f t="shared" si="18"/>
        <v>45688</v>
      </c>
      <c r="S192" s="18">
        <f t="shared" ca="1" si="19"/>
        <v>46104.411816550928</v>
      </c>
      <c r="T192" s="12" t="str">
        <f t="shared" si="20"/>
        <v>Low Sale</v>
      </c>
      <c r="U192" s="21">
        <f t="shared" si="14"/>
        <v>6459.79</v>
      </c>
      <c r="AL192" s="12"/>
    </row>
    <row r="193" spans="1:38" x14ac:dyDescent="0.3">
      <c r="A193" s="20" t="s">
        <v>338</v>
      </c>
      <c r="B193" s="16">
        <v>45671</v>
      </c>
      <c r="C193" s="15" t="s">
        <v>234</v>
      </c>
      <c r="D193" s="15" t="s">
        <v>235</v>
      </c>
      <c r="E193" s="15" t="s">
        <v>105</v>
      </c>
      <c r="F193" s="15" t="s">
        <v>106</v>
      </c>
      <c r="G193" s="15" t="s">
        <v>46</v>
      </c>
      <c r="H193" s="15">
        <v>3</v>
      </c>
      <c r="I193" s="15">
        <v>299.99</v>
      </c>
      <c r="J193" s="15" t="s">
        <v>26</v>
      </c>
      <c r="K193" s="15" t="s">
        <v>35</v>
      </c>
      <c r="L193" s="15" t="s">
        <v>22</v>
      </c>
      <c r="M193" s="16">
        <v>45204</v>
      </c>
      <c r="N193" s="17">
        <v>899.97</v>
      </c>
      <c r="O193" s="12" t="str">
        <f t="shared" si="15"/>
        <v>Jan</v>
      </c>
      <c r="P193" s="12">
        <f t="shared" si="16"/>
        <v>2025</v>
      </c>
      <c r="Q193" s="12">
        <f t="shared" ca="1" si="17"/>
        <v>900</v>
      </c>
      <c r="R193" s="12">
        <f t="shared" si="18"/>
        <v>45688</v>
      </c>
      <c r="S193" s="18">
        <f t="shared" ca="1" si="19"/>
        <v>46104.411816550928</v>
      </c>
      <c r="T193" s="12" t="str">
        <f t="shared" si="20"/>
        <v>Low Sale</v>
      </c>
      <c r="U193" s="21">
        <f t="shared" si="14"/>
        <v>6349.83</v>
      </c>
      <c r="AL193" s="12"/>
    </row>
    <row r="194" spans="1:38" x14ac:dyDescent="0.3">
      <c r="A194" s="20" t="s">
        <v>339</v>
      </c>
      <c r="B194" s="16">
        <v>45673</v>
      </c>
      <c r="C194" s="15" t="s">
        <v>226</v>
      </c>
      <c r="D194" s="15" t="s">
        <v>227</v>
      </c>
      <c r="E194" s="15" t="s">
        <v>126</v>
      </c>
      <c r="F194" s="15" t="s">
        <v>127</v>
      </c>
      <c r="G194" s="15" t="s">
        <v>46</v>
      </c>
      <c r="H194" s="15">
        <v>4</v>
      </c>
      <c r="I194" s="15">
        <v>199.99</v>
      </c>
      <c r="J194" s="15" t="s">
        <v>57</v>
      </c>
      <c r="K194" s="15" t="s">
        <v>35</v>
      </c>
      <c r="L194" s="15" t="s">
        <v>36</v>
      </c>
      <c r="M194" s="16">
        <v>44544</v>
      </c>
      <c r="N194" s="17">
        <v>799.96</v>
      </c>
      <c r="O194" s="12" t="str">
        <f t="shared" si="15"/>
        <v>Jan</v>
      </c>
      <c r="P194" s="12">
        <f t="shared" si="16"/>
        <v>2025</v>
      </c>
      <c r="Q194" s="12">
        <f t="shared" ca="1" si="17"/>
        <v>1560</v>
      </c>
      <c r="R194" s="12">
        <f t="shared" si="18"/>
        <v>45688</v>
      </c>
      <c r="S194" s="18">
        <f t="shared" ca="1" si="19"/>
        <v>46104.411816550928</v>
      </c>
      <c r="T194" s="12" t="str">
        <f t="shared" si="20"/>
        <v>Low Sale</v>
      </c>
      <c r="U194" s="21">
        <f t="shared" ref="U194:U251" si="21">SUMIFS($N:$N, $D:$D, D194)</f>
        <v>6989.7699999999986</v>
      </c>
      <c r="AL194" s="12"/>
    </row>
    <row r="195" spans="1:38" x14ac:dyDescent="0.3">
      <c r="A195" s="20" t="s">
        <v>340</v>
      </c>
      <c r="B195" s="16">
        <v>45673</v>
      </c>
      <c r="C195" s="15" t="s">
        <v>211</v>
      </c>
      <c r="D195" s="15" t="s">
        <v>212</v>
      </c>
      <c r="E195" s="15" t="s">
        <v>105</v>
      </c>
      <c r="F195" s="15" t="s">
        <v>106</v>
      </c>
      <c r="G195" s="15" t="s">
        <v>46</v>
      </c>
      <c r="H195" s="15">
        <v>5</v>
      </c>
      <c r="I195" s="15">
        <v>299.99</v>
      </c>
      <c r="J195" s="15" t="s">
        <v>57</v>
      </c>
      <c r="K195" s="15" t="s">
        <v>21</v>
      </c>
      <c r="L195" s="15" t="s">
        <v>22</v>
      </c>
      <c r="M195" s="16">
        <v>44431</v>
      </c>
      <c r="N195" s="17">
        <v>1499.95</v>
      </c>
      <c r="O195" s="12" t="str">
        <f t="shared" ref="O195:O251" si="22">TEXT(B195,"mmm")</f>
        <v>Jan</v>
      </c>
      <c r="P195" s="12">
        <f t="shared" ref="P195:P251" si="23">YEAR(B195)</f>
        <v>2025</v>
      </c>
      <c r="Q195" s="12">
        <f t="shared" ref="Q195:Q251" ca="1" si="24">DATEDIF(M195,TODAY(),"D")</f>
        <v>1673</v>
      </c>
      <c r="R195" s="12">
        <f t="shared" ref="R195:R251" si="25">EOMONTH(B195,0)</f>
        <v>45688</v>
      </c>
      <c r="S195" s="18">
        <f t="shared" ref="S195:S251" ca="1" si="26">NOW()</f>
        <v>46104.411816550928</v>
      </c>
      <c r="T195" s="12" t="str">
        <f t="shared" ref="T195:T251" si="27">IF(N195&gt;1000,"High Sale","Low Sale")</f>
        <v>High Sale</v>
      </c>
      <c r="U195" s="21">
        <f t="shared" si="21"/>
        <v>3649.8599999999997</v>
      </c>
      <c r="AL195" s="12"/>
    </row>
    <row r="196" spans="1:38" x14ac:dyDescent="0.3">
      <c r="A196" s="20" t="s">
        <v>341</v>
      </c>
      <c r="B196" s="16">
        <v>45673</v>
      </c>
      <c r="C196" s="15" t="s">
        <v>59</v>
      </c>
      <c r="D196" s="15" t="s">
        <v>60</v>
      </c>
      <c r="E196" s="15" t="s">
        <v>44</v>
      </c>
      <c r="F196" s="15" t="s">
        <v>45</v>
      </c>
      <c r="G196" s="15" t="s">
        <v>46</v>
      </c>
      <c r="H196" s="15">
        <v>3</v>
      </c>
      <c r="I196" s="15">
        <v>149.99</v>
      </c>
      <c r="J196" s="15" t="s">
        <v>26</v>
      </c>
      <c r="K196" s="15" t="s">
        <v>63</v>
      </c>
      <c r="L196" s="15" t="s">
        <v>36</v>
      </c>
      <c r="M196" s="16">
        <v>44395</v>
      </c>
      <c r="N196" s="17">
        <v>449.97</v>
      </c>
      <c r="O196" s="12" t="str">
        <f t="shared" si="22"/>
        <v>Jan</v>
      </c>
      <c r="P196" s="12">
        <f t="shared" si="23"/>
        <v>2025</v>
      </c>
      <c r="Q196" s="12">
        <f t="shared" ca="1" si="24"/>
        <v>1709</v>
      </c>
      <c r="R196" s="12">
        <f t="shared" si="25"/>
        <v>45688</v>
      </c>
      <c r="S196" s="18">
        <f t="shared" ca="1" si="26"/>
        <v>46104.411816550928</v>
      </c>
      <c r="T196" s="12" t="str">
        <f t="shared" si="27"/>
        <v>Low Sale</v>
      </c>
      <c r="U196" s="21">
        <f t="shared" si="21"/>
        <v>3509.8999999999996</v>
      </c>
      <c r="AL196" s="12"/>
    </row>
    <row r="197" spans="1:38" x14ac:dyDescent="0.3">
      <c r="A197" s="20" t="s">
        <v>342</v>
      </c>
      <c r="B197" s="16">
        <v>45676</v>
      </c>
      <c r="C197" s="15" t="s">
        <v>129</v>
      </c>
      <c r="D197" s="15" t="s">
        <v>130</v>
      </c>
      <c r="E197" s="15" t="s">
        <v>31</v>
      </c>
      <c r="F197" s="15" t="s">
        <v>32</v>
      </c>
      <c r="G197" s="15" t="s">
        <v>33</v>
      </c>
      <c r="H197" s="15">
        <v>5</v>
      </c>
      <c r="I197" s="15">
        <v>59.99</v>
      </c>
      <c r="J197" s="15" t="s">
        <v>57</v>
      </c>
      <c r="K197" s="15" t="s">
        <v>63</v>
      </c>
      <c r="L197" s="15" t="s">
        <v>22</v>
      </c>
      <c r="M197" s="16">
        <v>44642</v>
      </c>
      <c r="N197" s="17">
        <v>299.95</v>
      </c>
      <c r="O197" s="12" t="str">
        <f t="shared" si="22"/>
        <v>Jan</v>
      </c>
      <c r="P197" s="12">
        <f t="shared" si="23"/>
        <v>2025</v>
      </c>
      <c r="Q197" s="12">
        <f t="shared" ca="1" si="24"/>
        <v>1462</v>
      </c>
      <c r="R197" s="12">
        <f t="shared" si="25"/>
        <v>45688</v>
      </c>
      <c r="S197" s="18">
        <f t="shared" ca="1" si="26"/>
        <v>46104.411816550928</v>
      </c>
      <c r="T197" s="12" t="str">
        <f t="shared" si="27"/>
        <v>Low Sale</v>
      </c>
      <c r="U197" s="21">
        <f t="shared" si="21"/>
        <v>2039.8000000000002</v>
      </c>
      <c r="AL197" s="12"/>
    </row>
    <row r="198" spans="1:38" x14ac:dyDescent="0.3">
      <c r="A198" s="20" t="s">
        <v>343</v>
      </c>
      <c r="B198" s="16">
        <v>45682</v>
      </c>
      <c r="C198" s="15" t="s">
        <v>68</v>
      </c>
      <c r="D198" s="15" t="s">
        <v>69</v>
      </c>
      <c r="E198" s="15" t="s">
        <v>31</v>
      </c>
      <c r="F198" s="15" t="s">
        <v>32</v>
      </c>
      <c r="G198" s="15" t="s">
        <v>33</v>
      </c>
      <c r="H198" s="15">
        <v>4</v>
      </c>
      <c r="I198" s="15">
        <v>59.99</v>
      </c>
      <c r="J198" s="15" t="s">
        <v>57</v>
      </c>
      <c r="K198" s="15" t="s">
        <v>63</v>
      </c>
      <c r="L198" s="15" t="s">
        <v>36</v>
      </c>
      <c r="M198" s="16">
        <v>44564</v>
      </c>
      <c r="N198" s="17">
        <v>239.96</v>
      </c>
      <c r="O198" s="12" t="str">
        <f t="shared" si="22"/>
        <v>Jan</v>
      </c>
      <c r="P198" s="12">
        <f t="shared" si="23"/>
        <v>2025</v>
      </c>
      <c r="Q198" s="12">
        <f t="shared" ca="1" si="24"/>
        <v>1540</v>
      </c>
      <c r="R198" s="12">
        <f t="shared" si="25"/>
        <v>45688</v>
      </c>
      <c r="S198" s="18">
        <f t="shared" ca="1" si="26"/>
        <v>46104.411816550928</v>
      </c>
      <c r="T198" s="12" t="str">
        <f t="shared" si="27"/>
        <v>Low Sale</v>
      </c>
      <c r="U198" s="21">
        <f t="shared" si="21"/>
        <v>1979.89</v>
      </c>
      <c r="AL198" s="12"/>
    </row>
    <row r="199" spans="1:38" x14ac:dyDescent="0.3">
      <c r="A199" s="20" t="s">
        <v>344</v>
      </c>
      <c r="B199" s="16">
        <v>45683</v>
      </c>
      <c r="C199" s="15" t="s">
        <v>48</v>
      </c>
      <c r="D199" s="15" t="s">
        <v>49</v>
      </c>
      <c r="E199" s="15" t="s">
        <v>17</v>
      </c>
      <c r="F199" s="15" t="s">
        <v>18</v>
      </c>
      <c r="G199" s="15" t="s">
        <v>19</v>
      </c>
      <c r="H199" s="15">
        <v>4</v>
      </c>
      <c r="I199" s="15">
        <v>249.99</v>
      </c>
      <c r="J199" s="15" t="s">
        <v>57</v>
      </c>
      <c r="K199" s="15" t="s">
        <v>21</v>
      </c>
      <c r="L199" s="15" t="s">
        <v>27</v>
      </c>
      <c r="M199" s="16">
        <v>45217</v>
      </c>
      <c r="N199" s="17">
        <v>999.96</v>
      </c>
      <c r="O199" s="12" t="str">
        <f t="shared" si="22"/>
        <v>Jan</v>
      </c>
      <c r="P199" s="12">
        <f t="shared" si="23"/>
        <v>2025</v>
      </c>
      <c r="Q199" s="12">
        <f t="shared" ca="1" si="24"/>
        <v>887</v>
      </c>
      <c r="R199" s="12">
        <f t="shared" si="25"/>
        <v>45688</v>
      </c>
      <c r="S199" s="18">
        <f t="shared" ca="1" si="26"/>
        <v>46104.411816550928</v>
      </c>
      <c r="T199" s="12" t="str">
        <f t="shared" si="27"/>
        <v>Low Sale</v>
      </c>
      <c r="U199" s="21">
        <f t="shared" si="21"/>
        <v>8269.7900000000009</v>
      </c>
      <c r="AL199" s="12"/>
    </row>
    <row r="200" spans="1:38" x14ac:dyDescent="0.3">
      <c r="A200" s="20" t="s">
        <v>345</v>
      </c>
      <c r="B200" s="16">
        <v>45686</v>
      </c>
      <c r="C200" s="15" t="s">
        <v>252</v>
      </c>
      <c r="D200" s="15" t="s">
        <v>253</v>
      </c>
      <c r="E200" s="15" t="s">
        <v>61</v>
      </c>
      <c r="F200" s="15" t="s">
        <v>62</v>
      </c>
      <c r="G200" s="15" t="s">
        <v>19</v>
      </c>
      <c r="H200" s="15">
        <v>4</v>
      </c>
      <c r="I200" s="15">
        <v>899.99</v>
      </c>
      <c r="J200" s="15" t="s">
        <v>34</v>
      </c>
      <c r="K200" s="15" t="s">
        <v>21</v>
      </c>
      <c r="L200" s="15" t="s">
        <v>22</v>
      </c>
      <c r="M200" s="16">
        <v>44734</v>
      </c>
      <c r="N200" s="17">
        <v>3599.96</v>
      </c>
      <c r="O200" s="12" t="str">
        <f t="shared" si="22"/>
        <v>Jan</v>
      </c>
      <c r="P200" s="12">
        <f t="shared" si="23"/>
        <v>2025</v>
      </c>
      <c r="Q200" s="12">
        <f t="shared" ca="1" si="24"/>
        <v>1370</v>
      </c>
      <c r="R200" s="12">
        <f t="shared" si="25"/>
        <v>45688</v>
      </c>
      <c r="S200" s="18">
        <f t="shared" ca="1" si="26"/>
        <v>46104.411816550928</v>
      </c>
      <c r="T200" s="12" t="str">
        <f t="shared" si="27"/>
        <v>High Sale</v>
      </c>
      <c r="U200" s="21">
        <f t="shared" si="21"/>
        <v>4749.91</v>
      </c>
      <c r="AL200" s="12"/>
    </row>
    <row r="201" spans="1:38" x14ac:dyDescent="0.3">
      <c r="A201" s="20" t="s">
        <v>346</v>
      </c>
      <c r="B201" s="16">
        <v>45686</v>
      </c>
      <c r="C201" s="15" t="s">
        <v>86</v>
      </c>
      <c r="D201" s="15" t="s">
        <v>87</v>
      </c>
      <c r="E201" s="15" t="s">
        <v>105</v>
      </c>
      <c r="F201" s="15" t="s">
        <v>106</v>
      </c>
      <c r="G201" s="15" t="s">
        <v>46</v>
      </c>
      <c r="H201" s="15">
        <v>3</v>
      </c>
      <c r="I201" s="15">
        <v>299.99</v>
      </c>
      <c r="J201" s="15" t="s">
        <v>57</v>
      </c>
      <c r="K201" s="15" t="s">
        <v>50</v>
      </c>
      <c r="L201" s="15" t="s">
        <v>36</v>
      </c>
      <c r="M201" s="16">
        <v>44952</v>
      </c>
      <c r="N201" s="17">
        <v>899.97</v>
      </c>
      <c r="O201" s="12" t="str">
        <f t="shared" si="22"/>
        <v>Jan</v>
      </c>
      <c r="P201" s="12">
        <f t="shared" si="23"/>
        <v>2025</v>
      </c>
      <c r="Q201" s="12">
        <f t="shared" ca="1" si="24"/>
        <v>1152</v>
      </c>
      <c r="R201" s="12">
        <f t="shared" si="25"/>
        <v>45688</v>
      </c>
      <c r="S201" s="18">
        <f t="shared" ca="1" si="26"/>
        <v>46104.411816550928</v>
      </c>
      <c r="T201" s="12" t="str">
        <f t="shared" si="27"/>
        <v>Low Sale</v>
      </c>
      <c r="U201" s="21">
        <f t="shared" si="21"/>
        <v>15659.65</v>
      </c>
      <c r="AL201" s="12"/>
    </row>
    <row r="202" spans="1:38" x14ac:dyDescent="0.3">
      <c r="A202" s="20" t="s">
        <v>347</v>
      </c>
      <c r="B202" s="16">
        <v>45686</v>
      </c>
      <c r="C202" s="15" t="s">
        <v>293</v>
      </c>
      <c r="D202" s="15" t="s">
        <v>294</v>
      </c>
      <c r="E202" s="15" t="s">
        <v>80</v>
      </c>
      <c r="F202" s="15" t="s">
        <v>81</v>
      </c>
      <c r="G202" s="15" t="s">
        <v>19</v>
      </c>
      <c r="H202" s="15">
        <v>2</v>
      </c>
      <c r="I202" s="15">
        <v>699.99</v>
      </c>
      <c r="J202" s="15" t="s">
        <v>57</v>
      </c>
      <c r="K202" s="15" t="s">
        <v>21</v>
      </c>
      <c r="L202" s="15" t="s">
        <v>27</v>
      </c>
      <c r="M202" s="16">
        <v>44681</v>
      </c>
      <c r="N202" s="17">
        <v>1399.98</v>
      </c>
      <c r="O202" s="12" t="str">
        <f t="shared" si="22"/>
        <v>Jan</v>
      </c>
      <c r="P202" s="12">
        <f t="shared" si="23"/>
        <v>2025</v>
      </c>
      <c r="Q202" s="12">
        <f t="shared" ca="1" si="24"/>
        <v>1423</v>
      </c>
      <c r="R202" s="12">
        <f t="shared" si="25"/>
        <v>45688</v>
      </c>
      <c r="S202" s="18">
        <f t="shared" ca="1" si="26"/>
        <v>46104.411816550928</v>
      </c>
      <c r="T202" s="12" t="str">
        <f t="shared" si="27"/>
        <v>High Sale</v>
      </c>
      <c r="U202" s="21">
        <f t="shared" si="21"/>
        <v>4829.8899999999994</v>
      </c>
      <c r="AL202" s="12"/>
    </row>
    <row r="203" spans="1:38" x14ac:dyDescent="0.3">
      <c r="A203" s="20" t="s">
        <v>348</v>
      </c>
      <c r="B203" s="16">
        <v>45688</v>
      </c>
      <c r="C203" s="15" t="s">
        <v>65</v>
      </c>
      <c r="D203" s="15" t="s">
        <v>66</v>
      </c>
      <c r="E203" s="15" t="s">
        <v>80</v>
      </c>
      <c r="F203" s="15" t="s">
        <v>81</v>
      </c>
      <c r="G203" s="15" t="s">
        <v>19</v>
      </c>
      <c r="H203" s="15">
        <v>4</v>
      </c>
      <c r="I203" s="15">
        <v>699.99</v>
      </c>
      <c r="J203" s="15" t="s">
        <v>57</v>
      </c>
      <c r="K203" s="15" t="s">
        <v>50</v>
      </c>
      <c r="L203" s="15" t="s">
        <v>27</v>
      </c>
      <c r="M203" s="16">
        <v>44692</v>
      </c>
      <c r="N203" s="17">
        <v>2799.96</v>
      </c>
      <c r="O203" s="12" t="str">
        <f t="shared" si="22"/>
        <v>Jan</v>
      </c>
      <c r="P203" s="12">
        <f t="shared" si="23"/>
        <v>2025</v>
      </c>
      <c r="Q203" s="12">
        <f t="shared" ca="1" si="24"/>
        <v>1412</v>
      </c>
      <c r="R203" s="12">
        <f t="shared" si="25"/>
        <v>45688</v>
      </c>
      <c r="S203" s="18">
        <f t="shared" ca="1" si="26"/>
        <v>46104.411816550928</v>
      </c>
      <c r="T203" s="12" t="str">
        <f t="shared" si="27"/>
        <v>High Sale</v>
      </c>
      <c r="U203" s="21">
        <f t="shared" si="21"/>
        <v>8009.7699999999995</v>
      </c>
      <c r="AL203" s="12"/>
    </row>
    <row r="204" spans="1:38" x14ac:dyDescent="0.3">
      <c r="A204" s="20" t="s">
        <v>349</v>
      </c>
      <c r="B204" s="16">
        <v>45688</v>
      </c>
      <c r="C204" s="15" t="s">
        <v>123</v>
      </c>
      <c r="D204" s="15" t="s">
        <v>124</v>
      </c>
      <c r="E204" s="15" t="s">
        <v>117</v>
      </c>
      <c r="F204" s="15" t="s">
        <v>118</v>
      </c>
      <c r="G204" s="15" t="s">
        <v>19</v>
      </c>
      <c r="H204" s="15">
        <v>2</v>
      </c>
      <c r="I204" s="15">
        <v>89.99</v>
      </c>
      <c r="J204" s="15" t="s">
        <v>57</v>
      </c>
      <c r="K204" s="15" t="s">
        <v>35</v>
      </c>
      <c r="L204" s="15" t="s">
        <v>22</v>
      </c>
      <c r="M204" s="16">
        <v>44777</v>
      </c>
      <c r="N204" s="17">
        <v>179.98</v>
      </c>
      <c r="O204" s="12" t="str">
        <f t="shared" si="22"/>
        <v>Jan</v>
      </c>
      <c r="P204" s="12">
        <f t="shared" si="23"/>
        <v>2025</v>
      </c>
      <c r="Q204" s="12">
        <f t="shared" ca="1" si="24"/>
        <v>1327</v>
      </c>
      <c r="R204" s="12">
        <f t="shared" si="25"/>
        <v>45688</v>
      </c>
      <c r="S204" s="18">
        <f t="shared" ca="1" si="26"/>
        <v>46104.411816550928</v>
      </c>
      <c r="T204" s="12" t="str">
        <f t="shared" si="27"/>
        <v>Low Sale</v>
      </c>
      <c r="U204" s="21">
        <f t="shared" si="21"/>
        <v>11919.769999999999</v>
      </c>
      <c r="AL204" s="12"/>
    </row>
    <row r="205" spans="1:38" x14ac:dyDescent="0.3">
      <c r="A205" s="20" t="s">
        <v>350</v>
      </c>
      <c r="B205" s="16">
        <v>45688</v>
      </c>
      <c r="C205" s="15" t="s">
        <v>42</v>
      </c>
      <c r="D205" s="15" t="s">
        <v>43</v>
      </c>
      <c r="E205" s="15" t="s">
        <v>117</v>
      </c>
      <c r="F205" s="15" t="s">
        <v>118</v>
      </c>
      <c r="G205" s="15" t="s">
        <v>19</v>
      </c>
      <c r="H205" s="15">
        <v>3</v>
      </c>
      <c r="I205" s="15">
        <v>89.99</v>
      </c>
      <c r="J205" s="15" t="s">
        <v>57</v>
      </c>
      <c r="K205" s="15" t="s">
        <v>35</v>
      </c>
      <c r="L205" s="15" t="s">
        <v>27</v>
      </c>
      <c r="M205" s="16">
        <v>45307</v>
      </c>
      <c r="N205" s="17">
        <v>269.97000000000003</v>
      </c>
      <c r="O205" s="12" t="str">
        <f t="shared" si="22"/>
        <v>Jan</v>
      </c>
      <c r="P205" s="12">
        <f t="shared" si="23"/>
        <v>2025</v>
      </c>
      <c r="Q205" s="12">
        <f t="shared" ca="1" si="24"/>
        <v>797</v>
      </c>
      <c r="R205" s="12">
        <f t="shared" si="25"/>
        <v>45688</v>
      </c>
      <c r="S205" s="18">
        <f t="shared" ca="1" si="26"/>
        <v>46104.411816550928</v>
      </c>
      <c r="T205" s="12" t="str">
        <f t="shared" si="27"/>
        <v>Low Sale</v>
      </c>
      <c r="U205" s="21">
        <f t="shared" si="21"/>
        <v>6169.7400000000007</v>
      </c>
      <c r="AL205" s="12"/>
    </row>
    <row r="206" spans="1:38" x14ac:dyDescent="0.3">
      <c r="A206" s="20" t="s">
        <v>351</v>
      </c>
      <c r="B206" s="16">
        <v>45692</v>
      </c>
      <c r="C206" s="15" t="s">
        <v>325</v>
      </c>
      <c r="D206" s="15" t="s">
        <v>326</v>
      </c>
      <c r="E206" s="15" t="s">
        <v>31</v>
      </c>
      <c r="F206" s="15" t="s">
        <v>32</v>
      </c>
      <c r="G206" s="15" t="s">
        <v>33</v>
      </c>
      <c r="H206" s="15">
        <v>1</v>
      </c>
      <c r="I206" s="15">
        <v>59.99</v>
      </c>
      <c r="J206" s="15" t="s">
        <v>57</v>
      </c>
      <c r="K206" s="15" t="s">
        <v>21</v>
      </c>
      <c r="L206" s="15" t="s">
        <v>36</v>
      </c>
      <c r="M206" s="16">
        <v>45045</v>
      </c>
      <c r="N206" s="17">
        <v>59.99</v>
      </c>
      <c r="O206" s="12" t="str">
        <f t="shared" si="22"/>
        <v>Feb</v>
      </c>
      <c r="P206" s="12">
        <f t="shared" si="23"/>
        <v>2025</v>
      </c>
      <c r="Q206" s="12">
        <f t="shared" ca="1" si="24"/>
        <v>1059</v>
      </c>
      <c r="R206" s="12">
        <f t="shared" si="25"/>
        <v>45716</v>
      </c>
      <c r="S206" s="18">
        <f t="shared" ca="1" si="26"/>
        <v>46104.411816550928</v>
      </c>
      <c r="T206" s="12" t="str">
        <f t="shared" si="27"/>
        <v>Low Sale</v>
      </c>
      <c r="U206" s="21">
        <f t="shared" si="21"/>
        <v>1559.94</v>
      </c>
      <c r="AL206" s="12"/>
    </row>
    <row r="207" spans="1:38" x14ac:dyDescent="0.3">
      <c r="A207" s="20" t="s">
        <v>352</v>
      </c>
      <c r="B207" s="16">
        <v>45695</v>
      </c>
      <c r="C207" s="15" t="s">
        <v>246</v>
      </c>
      <c r="D207" s="15" t="s">
        <v>247</v>
      </c>
      <c r="E207" s="15" t="s">
        <v>44</v>
      </c>
      <c r="F207" s="15" t="s">
        <v>45</v>
      </c>
      <c r="G207" s="15" t="s">
        <v>46</v>
      </c>
      <c r="H207" s="15">
        <v>3</v>
      </c>
      <c r="I207" s="15">
        <v>149.99</v>
      </c>
      <c r="J207" s="15" t="s">
        <v>57</v>
      </c>
      <c r="K207" s="15" t="s">
        <v>40</v>
      </c>
      <c r="L207" s="15" t="s">
        <v>27</v>
      </c>
      <c r="M207" s="16">
        <v>44564</v>
      </c>
      <c r="N207" s="17">
        <v>449.97</v>
      </c>
      <c r="O207" s="12" t="str">
        <f t="shared" si="22"/>
        <v>Feb</v>
      </c>
      <c r="P207" s="12">
        <f t="shared" si="23"/>
        <v>2025</v>
      </c>
      <c r="Q207" s="12">
        <f t="shared" ca="1" si="24"/>
        <v>1540</v>
      </c>
      <c r="R207" s="12">
        <f t="shared" si="25"/>
        <v>45716</v>
      </c>
      <c r="S207" s="18">
        <f t="shared" ca="1" si="26"/>
        <v>46104.411816550928</v>
      </c>
      <c r="T207" s="12" t="str">
        <f t="shared" si="27"/>
        <v>Low Sale</v>
      </c>
      <c r="U207" s="21">
        <f t="shared" si="21"/>
        <v>1749.92</v>
      </c>
      <c r="AL207" s="12"/>
    </row>
    <row r="208" spans="1:38" x14ac:dyDescent="0.3">
      <c r="A208" s="20" t="s">
        <v>353</v>
      </c>
      <c r="B208" s="16">
        <v>45695</v>
      </c>
      <c r="C208" s="15" t="s">
        <v>93</v>
      </c>
      <c r="D208" s="15" t="s">
        <v>94</v>
      </c>
      <c r="E208" s="15" t="s">
        <v>105</v>
      </c>
      <c r="F208" s="15" t="s">
        <v>106</v>
      </c>
      <c r="G208" s="15" t="s">
        <v>46</v>
      </c>
      <c r="H208" s="15">
        <v>5</v>
      </c>
      <c r="I208" s="15">
        <v>299.99</v>
      </c>
      <c r="J208" s="15" t="s">
        <v>26</v>
      </c>
      <c r="K208" s="15" t="s">
        <v>35</v>
      </c>
      <c r="L208" s="15" t="s">
        <v>22</v>
      </c>
      <c r="M208" s="16">
        <v>44959</v>
      </c>
      <c r="N208" s="17">
        <v>1499.95</v>
      </c>
      <c r="O208" s="12" t="str">
        <f t="shared" si="22"/>
        <v>Feb</v>
      </c>
      <c r="P208" s="12">
        <f t="shared" si="23"/>
        <v>2025</v>
      </c>
      <c r="Q208" s="12">
        <f t="shared" ca="1" si="24"/>
        <v>1145</v>
      </c>
      <c r="R208" s="12">
        <f t="shared" si="25"/>
        <v>45716</v>
      </c>
      <c r="S208" s="18">
        <f t="shared" ca="1" si="26"/>
        <v>46104.411816550928</v>
      </c>
      <c r="T208" s="12" t="str">
        <f t="shared" si="27"/>
        <v>High Sale</v>
      </c>
      <c r="U208" s="21">
        <f t="shared" si="21"/>
        <v>4789.7900000000009</v>
      </c>
      <c r="AL208" s="12"/>
    </row>
    <row r="209" spans="1:38" x14ac:dyDescent="0.3">
      <c r="A209" s="20" t="s">
        <v>354</v>
      </c>
      <c r="B209" s="16">
        <v>45696</v>
      </c>
      <c r="C209" s="15" t="s">
        <v>150</v>
      </c>
      <c r="D209" s="15" t="s">
        <v>151</v>
      </c>
      <c r="E209" s="15" t="s">
        <v>31</v>
      </c>
      <c r="F209" s="15" t="s">
        <v>32</v>
      </c>
      <c r="G209" s="15" t="s">
        <v>33</v>
      </c>
      <c r="H209" s="15">
        <v>5</v>
      </c>
      <c r="I209" s="15">
        <v>59.99</v>
      </c>
      <c r="J209" s="15" t="s">
        <v>57</v>
      </c>
      <c r="K209" s="15" t="s">
        <v>21</v>
      </c>
      <c r="L209" s="15" t="s">
        <v>36</v>
      </c>
      <c r="M209" s="16">
        <v>45177</v>
      </c>
      <c r="N209" s="17">
        <v>299.95</v>
      </c>
      <c r="O209" s="12" t="str">
        <f t="shared" si="22"/>
        <v>Feb</v>
      </c>
      <c r="P209" s="12">
        <f t="shared" si="23"/>
        <v>2025</v>
      </c>
      <c r="Q209" s="12">
        <f t="shared" ca="1" si="24"/>
        <v>927</v>
      </c>
      <c r="R209" s="12">
        <f t="shared" si="25"/>
        <v>45716</v>
      </c>
      <c r="S209" s="18">
        <f t="shared" ca="1" si="26"/>
        <v>46104.411816550928</v>
      </c>
      <c r="T209" s="12" t="str">
        <f t="shared" si="27"/>
        <v>Low Sale</v>
      </c>
      <c r="U209" s="21">
        <f t="shared" si="21"/>
        <v>5619.869999999999</v>
      </c>
      <c r="AL209" s="12"/>
    </row>
    <row r="210" spans="1:38" x14ac:dyDescent="0.3">
      <c r="A210" s="20" t="s">
        <v>355</v>
      </c>
      <c r="B210" s="16">
        <v>45701</v>
      </c>
      <c r="C210" s="15" t="s">
        <v>108</v>
      </c>
      <c r="D210" s="15" t="s">
        <v>109</v>
      </c>
      <c r="E210" s="15" t="s">
        <v>114</v>
      </c>
      <c r="F210" s="15" t="s">
        <v>115</v>
      </c>
      <c r="G210" s="15" t="s">
        <v>33</v>
      </c>
      <c r="H210" s="15">
        <v>3</v>
      </c>
      <c r="I210" s="15">
        <v>79.989999999999995</v>
      </c>
      <c r="J210" s="15" t="s">
        <v>20</v>
      </c>
      <c r="K210" s="15" t="s">
        <v>63</v>
      </c>
      <c r="L210" s="15" t="s">
        <v>27</v>
      </c>
      <c r="M210" s="16">
        <v>44436</v>
      </c>
      <c r="N210" s="17">
        <v>239.97</v>
      </c>
      <c r="O210" s="12" t="str">
        <f t="shared" si="22"/>
        <v>Feb</v>
      </c>
      <c r="P210" s="12">
        <f t="shared" si="23"/>
        <v>2025</v>
      </c>
      <c r="Q210" s="12">
        <f t="shared" ca="1" si="24"/>
        <v>1668</v>
      </c>
      <c r="R210" s="12">
        <f t="shared" si="25"/>
        <v>45716</v>
      </c>
      <c r="S210" s="18">
        <f t="shared" ca="1" si="26"/>
        <v>46104.411816550928</v>
      </c>
      <c r="T210" s="12" t="str">
        <f t="shared" si="27"/>
        <v>Low Sale</v>
      </c>
      <c r="U210" s="21">
        <f t="shared" si="21"/>
        <v>4189.7700000000004</v>
      </c>
      <c r="AL210" s="12"/>
    </row>
    <row r="211" spans="1:38" x14ac:dyDescent="0.3">
      <c r="A211" s="20" t="s">
        <v>356</v>
      </c>
      <c r="B211" s="16">
        <v>45704</v>
      </c>
      <c r="C211" s="15" t="s">
        <v>29</v>
      </c>
      <c r="D211" s="15" t="s">
        <v>30</v>
      </c>
      <c r="E211" s="15" t="s">
        <v>126</v>
      </c>
      <c r="F211" s="15" t="s">
        <v>127</v>
      </c>
      <c r="G211" s="15" t="s">
        <v>46</v>
      </c>
      <c r="H211" s="15">
        <v>3</v>
      </c>
      <c r="I211" s="15">
        <v>199.99</v>
      </c>
      <c r="J211" s="15" t="s">
        <v>20</v>
      </c>
      <c r="K211" s="15" t="s">
        <v>21</v>
      </c>
      <c r="L211" s="15" t="s">
        <v>22</v>
      </c>
      <c r="M211" s="16">
        <v>44735</v>
      </c>
      <c r="N211" s="17">
        <v>599.97</v>
      </c>
      <c r="O211" s="12" t="str">
        <f t="shared" si="22"/>
        <v>Feb</v>
      </c>
      <c r="P211" s="12">
        <f t="shared" si="23"/>
        <v>2025</v>
      </c>
      <c r="Q211" s="12">
        <f t="shared" ca="1" si="24"/>
        <v>1369</v>
      </c>
      <c r="R211" s="12">
        <f t="shared" si="25"/>
        <v>45716</v>
      </c>
      <c r="S211" s="18">
        <f t="shared" ca="1" si="26"/>
        <v>46104.411816550928</v>
      </c>
      <c r="T211" s="12" t="str">
        <f t="shared" si="27"/>
        <v>Low Sale</v>
      </c>
      <c r="U211" s="21">
        <f t="shared" si="21"/>
        <v>3259.87</v>
      </c>
      <c r="AL211" s="12"/>
    </row>
    <row r="212" spans="1:38" x14ac:dyDescent="0.3">
      <c r="A212" s="20" t="s">
        <v>357</v>
      </c>
      <c r="B212" s="16">
        <v>45704</v>
      </c>
      <c r="C212" s="15" t="s">
        <v>15</v>
      </c>
      <c r="D212" s="15" t="s">
        <v>16</v>
      </c>
      <c r="E212" s="15" t="s">
        <v>117</v>
      </c>
      <c r="F212" s="15" t="s">
        <v>118</v>
      </c>
      <c r="G212" s="15" t="s">
        <v>19</v>
      </c>
      <c r="H212" s="15">
        <v>2</v>
      </c>
      <c r="I212" s="15">
        <v>89.99</v>
      </c>
      <c r="J212" s="15" t="s">
        <v>34</v>
      </c>
      <c r="K212" s="15" t="s">
        <v>21</v>
      </c>
      <c r="L212" s="15" t="s">
        <v>22</v>
      </c>
      <c r="M212" s="16">
        <v>45257</v>
      </c>
      <c r="N212" s="17">
        <v>179.98</v>
      </c>
      <c r="O212" s="12" t="str">
        <f t="shared" si="22"/>
        <v>Feb</v>
      </c>
      <c r="P212" s="12">
        <f t="shared" si="23"/>
        <v>2025</v>
      </c>
      <c r="Q212" s="12">
        <f t="shared" ca="1" si="24"/>
        <v>847</v>
      </c>
      <c r="R212" s="12">
        <f t="shared" si="25"/>
        <v>45716</v>
      </c>
      <c r="S212" s="18">
        <f t="shared" ca="1" si="26"/>
        <v>46104.411816550928</v>
      </c>
      <c r="T212" s="12" t="str">
        <f t="shared" si="27"/>
        <v>Low Sale</v>
      </c>
      <c r="U212" s="21">
        <f t="shared" si="21"/>
        <v>8309.739999999998</v>
      </c>
      <c r="AL212" s="12"/>
    </row>
    <row r="213" spans="1:38" x14ac:dyDescent="0.3">
      <c r="A213" s="20" t="s">
        <v>358</v>
      </c>
      <c r="B213" s="16">
        <v>45705</v>
      </c>
      <c r="C213" s="15" t="s">
        <v>259</v>
      </c>
      <c r="D213" s="15" t="s">
        <v>260</v>
      </c>
      <c r="E213" s="15" t="s">
        <v>44</v>
      </c>
      <c r="F213" s="15" t="s">
        <v>45</v>
      </c>
      <c r="G213" s="15" t="s">
        <v>46</v>
      </c>
      <c r="H213" s="15">
        <v>2</v>
      </c>
      <c r="I213" s="15">
        <v>149.99</v>
      </c>
      <c r="J213" s="15" t="s">
        <v>20</v>
      </c>
      <c r="K213" s="15" t="s">
        <v>35</v>
      </c>
      <c r="L213" s="15" t="s">
        <v>27</v>
      </c>
      <c r="M213" s="16">
        <v>44728</v>
      </c>
      <c r="N213" s="17">
        <v>299.98</v>
      </c>
      <c r="O213" s="12" t="str">
        <f t="shared" si="22"/>
        <v>Feb</v>
      </c>
      <c r="P213" s="12">
        <f t="shared" si="23"/>
        <v>2025</v>
      </c>
      <c r="Q213" s="12">
        <f t="shared" ca="1" si="24"/>
        <v>1376</v>
      </c>
      <c r="R213" s="12">
        <f t="shared" si="25"/>
        <v>45716</v>
      </c>
      <c r="S213" s="18">
        <f t="shared" ca="1" si="26"/>
        <v>46104.411816550928</v>
      </c>
      <c r="T213" s="12" t="str">
        <f t="shared" si="27"/>
        <v>Low Sale</v>
      </c>
      <c r="U213" s="21">
        <f t="shared" si="21"/>
        <v>739.93000000000006</v>
      </c>
      <c r="AL213" s="12"/>
    </row>
    <row r="214" spans="1:38" x14ac:dyDescent="0.3">
      <c r="A214" s="20" t="s">
        <v>359</v>
      </c>
      <c r="B214" s="16">
        <v>45707</v>
      </c>
      <c r="C214" s="15" t="s">
        <v>123</v>
      </c>
      <c r="D214" s="15" t="s">
        <v>124</v>
      </c>
      <c r="E214" s="15" t="s">
        <v>80</v>
      </c>
      <c r="F214" s="15" t="s">
        <v>81</v>
      </c>
      <c r="G214" s="15" t="s">
        <v>19</v>
      </c>
      <c r="H214" s="15">
        <v>5</v>
      </c>
      <c r="I214" s="15">
        <v>699.99</v>
      </c>
      <c r="J214" s="15" t="s">
        <v>34</v>
      </c>
      <c r="K214" s="15" t="s">
        <v>35</v>
      </c>
      <c r="L214" s="15" t="s">
        <v>27</v>
      </c>
      <c r="M214" s="16">
        <v>45352</v>
      </c>
      <c r="N214" s="17">
        <v>3499.95</v>
      </c>
      <c r="O214" s="12" t="str">
        <f t="shared" si="22"/>
        <v>Feb</v>
      </c>
      <c r="P214" s="12">
        <f t="shared" si="23"/>
        <v>2025</v>
      </c>
      <c r="Q214" s="12">
        <f t="shared" ca="1" si="24"/>
        <v>752</v>
      </c>
      <c r="R214" s="12">
        <f t="shared" si="25"/>
        <v>45716</v>
      </c>
      <c r="S214" s="18">
        <f t="shared" ca="1" si="26"/>
        <v>46104.411816550928</v>
      </c>
      <c r="T214" s="12" t="str">
        <f t="shared" si="27"/>
        <v>High Sale</v>
      </c>
      <c r="U214" s="21">
        <f t="shared" si="21"/>
        <v>11919.769999999999</v>
      </c>
      <c r="AL214" s="12"/>
    </row>
    <row r="215" spans="1:38" x14ac:dyDescent="0.3">
      <c r="A215" s="20" t="s">
        <v>360</v>
      </c>
      <c r="B215" s="16">
        <v>45707</v>
      </c>
      <c r="C215" s="15" t="s">
        <v>42</v>
      </c>
      <c r="D215" s="15" t="s">
        <v>43</v>
      </c>
      <c r="E215" s="15" t="s">
        <v>44</v>
      </c>
      <c r="F215" s="15" t="s">
        <v>45</v>
      </c>
      <c r="G215" s="15" t="s">
        <v>46</v>
      </c>
      <c r="H215" s="15">
        <v>3</v>
      </c>
      <c r="I215" s="15">
        <v>149.99</v>
      </c>
      <c r="J215" s="15" t="s">
        <v>34</v>
      </c>
      <c r="K215" s="15" t="s">
        <v>21</v>
      </c>
      <c r="L215" s="15" t="s">
        <v>36</v>
      </c>
      <c r="M215" s="16">
        <v>44633</v>
      </c>
      <c r="N215" s="17">
        <v>449.97</v>
      </c>
      <c r="O215" s="12" t="str">
        <f t="shared" si="22"/>
        <v>Feb</v>
      </c>
      <c r="P215" s="12">
        <f t="shared" si="23"/>
        <v>2025</v>
      </c>
      <c r="Q215" s="12">
        <f t="shared" ca="1" si="24"/>
        <v>1471</v>
      </c>
      <c r="R215" s="12">
        <f t="shared" si="25"/>
        <v>45716</v>
      </c>
      <c r="S215" s="18">
        <f t="shared" ca="1" si="26"/>
        <v>46104.411816550928</v>
      </c>
      <c r="T215" s="12" t="str">
        <f t="shared" si="27"/>
        <v>Low Sale</v>
      </c>
      <c r="U215" s="21">
        <f t="shared" si="21"/>
        <v>6169.7400000000007</v>
      </c>
      <c r="AL215" s="12"/>
    </row>
    <row r="216" spans="1:38" x14ac:dyDescent="0.3">
      <c r="A216" s="20" t="s">
        <v>361</v>
      </c>
      <c r="B216" s="16">
        <v>45708</v>
      </c>
      <c r="C216" s="15" t="s">
        <v>96</v>
      </c>
      <c r="D216" s="15" t="s">
        <v>97</v>
      </c>
      <c r="E216" s="15" t="s">
        <v>61</v>
      </c>
      <c r="F216" s="15" t="s">
        <v>62</v>
      </c>
      <c r="G216" s="15" t="s">
        <v>19</v>
      </c>
      <c r="H216" s="15">
        <v>3</v>
      </c>
      <c r="I216" s="15">
        <v>899.99</v>
      </c>
      <c r="J216" s="15" t="s">
        <v>20</v>
      </c>
      <c r="K216" s="15" t="s">
        <v>63</v>
      </c>
      <c r="L216" s="15" t="s">
        <v>36</v>
      </c>
      <c r="M216" s="16">
        <v>44613</v>
      </c>
      <c r="N216" s="17">
        <v>2699.97</v>
      </c>
      <c r="O216" s="12" t="str">
        <f t="shared" si="22"/>
        <v>Feb</v>
      </c>
      <c r="P216" s="12">
        <f t="shared" si="23"/>
        <v>2025</v>
      </c>
      <c r="Q216" s="12">
        <f t="shared" ca="1" si="24"/>
        <v>1491</v>
      </c>
      <c r="R216" s="12">
        <f t="shared" si="25"/>
        <v>45716</v>
      </c>
      <c r="S216" s="18">
        <f t="shared" ca="1" si="26"/>
        <v>46104.411816550928</v>
      </c>
      <c r="T216" s="12" t="str">
        <f t="shared" si="27"/>
        <v>High Sale</v>
      </c>
      <c r="U216" s="21">
        <f t="shared" si="21"/>
        <v>10649.8</v>
      </c>
      <c r="AL216" s="12"/>
    </row>
    <row r="217" spans="1:38" x14ac:dyDescent="0.3">
      <c r="A217" s="20" t="s">
        <v>362</v>
      </c>
      <c r="B217" s="16">
        <v>45708</v>
      </c>
      <c r="C217" s="15" t="s">
        <v>192</v>
      </c>
      <c r="D217" s="15" t="s">
        <v>193</v>
      </c>
      <c r="E217" s="15" t="s">
        <v>126</v>
      </c>
      <c r="F217" s="15" t="s">
        <v>127</v>
      </c>
      <c r="G217" s="15" t="s">
        <v>46</v>
      </c>
      <c r="H217" s="15">
        <v>3</v>
      </c>
      <c r="I217" s="15">
        <v>199.99</v>
      </c>
      <c r="J217" s="15" t="s">
        <v>20</v>
      </c>
      <c r="K217" s="15" t="s">
        <v>50</v>
      </c>
      <c r="L217" s="15" t="s">
        <v>27</v>
      </c>
      <c r="M217" s="16">
        <v>44823</v>
      </c>
      <c r="N217" s="17">
        <v>599.97</v>
      </c>
      <c r="O217" s="12" t="str">
        <f t="shared" si="22"/>
        <v>Feb</v>
      </c>
      <c r="P217" s="12">
        <f t="shared" si="23"/>
        <v>2025</v>
      </c>
      <c r="Q217" s="12">
        <f t="shared" ca="1" si="24"/>
        <v>1281</v>
      </c>
      <c r="R217" s="12">
        <f t="shared" si="25"/>
        <v>45716</v>
      </c>
      <c r="S217" s="18">
        <f t="shared" ca="1" si="26"/>
        <v>46104.411816550928</v>
      </c>
      <c r="T217" s="12" t="str">
        <f t="shared" si="27"/>
        <v>Low Sale</v>
      </c>
      <c r="U217" s="21">
        <f t="shared" si="21"/>
        <v>1479.91</v>
      </c>
      <c r="AL217" s="12"/>
    </row>
    <row r="218" spans="1:38" x14ac:dyDescent="0.3">
      <c r="A218" s="20" t="s">
        <v>363</v>
      </c>
      <c r="B218" s="16">
        <v>45710</v>
      </c>
      <c r="C218" s="15" t="s">
        <v>55</v>
      </c>
      <c r="D218" s="15" t="s">
        <v>56</v>
      </c>
      <c r="E218" s="15" t="s">
        <v>105</v>
      </c>
      <c r="F218" s="15" t="s">
        <v>106</v>
      </c>
      <c r="G218" s="15" t="s">
        <v>46</v>
      </c>
      <c r="H218" s="15">
        <v>5</v>
      </c>
      <c r="I218" s="15">
        <v>299.99</v>
      </c>
      <c r="J218" s="15" t="s">
        <v>20</v>
      </c>
      <c r="K218" s="15" t="s">
        <v>50</v>
      </c>
      <c r="L218" s="15" t="s">
        <v>36</v>
      </c>
      <c r="M218" s="16">
        <v>45142</v>
      </c>
      <c r="N218" s="17">
        <v>1499.95</v>
      </c>
      <c r="O218" s="12" t="str">
        <f t="shared" si="22"/>
        <v>Feb</v>
      </c>
      <c r="P218" s="12">
        <f t="shared" si="23"/>
        <v>2025</v>
      </c>
      <c r="Q218" s="12">
        <f t="shared" ca="1" si="24"/>
        <v>962</v>
      </c>
      <c r="R218" s="12">
        <f t="shared" si="25"/>
        <v>45716</v>
      </c>
      <c r="S218" s="18">
        <f t="shared" ca="1" si="26"/>
        <v>46104.411816550928</v>
      </c>
      <c r="T218" s="12" t="str">
        <f t="shared" si="27"/>
        <v>High Sale</v>
      </c>
      <c r="U218" s="21">
        <f t="shared" si="21"/>
        <v>5089.7300000000005</v>
      </c>
      <c r="AL218" s="12"/>
    </row>
    <row r="219" spans="1:38" x14ac:dyDescent="0.3">
      <c r="A219" s="20" t="s">
        <v>364</v>
      </c>
      <c r="B219" s="16">
        <v>45710</v>
      </c>
      <c r="C219" s="15" t="s">
        <v>150</v>
      </c>
      <c r="D219" s="15" t="s">
        <v>151</v>
      </c>
      <c r="E219" s="15" t="s">
        <v>80</v>
      </c>
      <c r="F219" s="15" t="s">
        <v>81</v>
      </c>
      <c r="G219" s="15" t="s">
        <v>19</v>
      </c>
      <c r="H219" s="15">
        <v>1</v>
      </c>
      <c r="I219" s="15">
        <v>699.99</v>
      </c>
      <c r="J219" s="15" t="s">
        <v>34</v>
      </c>
      <c r="K219" s="15" t="s">
        <v>50</v>
      </c>
      <c r="L219" s="15" t="s">
        <v>22</v>
      </c>
      <c r="M219" s="16">
        <v>44934</v>
      </c>
      <c r="N219" s="17">
        <v>699.99</v>
      </c>
      <c r="O219" s="12" t="str">
        <f t="shared" si="22"/>
        <v>Feb</v>
      </c>
      <c r="P219" s="12">
        <f t="shared" si="23"/>
        <v>2025</v>
      </c>
      <c r="Q219" s="12">
        <f t="shared" ca="1" si="24"/>
        <v>1170</v>
      </c>
      <c r="R219" s="12">
        <f t="shared" si="25"/>
        <v>45716</v>
      </c>
      <c r="S219" s="18">
        <f t="shared" ca="1" si="26"/>
        <v>46104.411816550928</v>
      </c>
      <c r="T219" s="12" t="str">
        <f t="shared" si="27"/>
        <v>Low Sale</v>
      </c>
      <c r="U219" s="21">
        <f t="shared" si="21"/>
        <v>5619.869999999999</v>
      </c>
      <c r="AL219" s="12"/>
    </row>
    <row r="220" spans="1:38" x14ac:dyDescent="0.3">
      <c r="A220" s="20" t="s">
        <v>365</v>
      </c>
      <c r="B220" s="16">
        <v>45711</v>
      </c>
      <c r="C220" s="15" t="s">
        <v>246</v>
      </c>
      <c r="D220" s="15" t="s">
        <v>247</v>
      </c>
      <c r="E220" s="15" t="s">
        <v>80</v>
      </c>
      <c r="F220" s="15" t="s">
        <v>81</v>
      </c>
      <c r="G220" s="15" t="s">
        <v>19</v>
      </c>
      <c r="H220" s="15">
        <v>1</v>
      </c>
      <c r="I220" s="15">
        <v>699.99</v>
      </c>
      <c r="J220" s="15" t="s">
        <v>20</v>
      </c>
      <c r="K220" s="15" t="s">
        <v>40</v>
      </c>
      <c r="L220" s="15" t="s">
        <v>27</v>
      </c>
      <c r="M220" s="16">
        <v>44583</v>
      </c>
      <c r="N220" s="17">
        <v>699.99</v>
      </c>
      <c r="O220" s="12" t="str">
        <f t="shared" si="22"/>
        <v>Feb</v>
      </c>
      <c r="P220" s="12">
        <f t="shared" si="23"/>
        <v>2025</v>
      </c>
      <c r="Q220" s="12">
        <f t="shared" ca="1" si="24"/>
        <v>1521</v>
      </c>
      <c r="R220" s="12">
        <f t="shared" si="25"/>
        <v>45716</v>
      </c>
      <c r="S220" s="18">
        <f t="shared" ca="1" si="26"/>
        <v>46104.411816550928</v>
      </c>
      <c r="T220" s="12" t="str">
        <f t="shared" si="27"/>
        <v>Low Sale</v>
      </c>
      <c r="U220" s="21">
        <f t="shared" si="21"/>
        <v>1749.92</v>
      </c>
      <c r="AL220" s="12"/>
    </row>
    <row r="221" spans="1:38" x14ac:dyDescent="0.3">
      <c r="A221" s="20" t="s">
        <v>366</v>
      </c>
      <c r="B221" s="16">
        <v>45711</v>
      </c>
      <c r="C221" s="15" t="s">
        <v>325</v>
      </c>
      <c r="D221" s="15" t="s">
        <v>326</v>
      </c>
      <c r="E221" s="15" t="s">
        <v>44</v>
      </c>
      <c r="F221" s="15" t="s">
        <v>45</v>
      </c>
      <c r="G221" s="15" t="s">
        <v>46</v>
      </c>
      <c r="H221" s="15">
        <v>4</v>
      </c>
      <c r="I221" s="15">
        <v>149.99</v>
      </c>
      <c r="J221" s="15" t="s">
        <v>34</v>
      </c>
      <c r="K221" s="15" t="s">
        <v>40</v>
      </c>
      <c r="L221" s="15" t="s">
        <v>27</v>
      </c>
      <c r="M221" s="16">
        <v>44412</v>
      </c>
      <c r="N221" s="17">
        <v>599.96</v>
      </c>
      <c r="O221" s="12" t="str">
        <f t="shared" si="22"/>
        <v>Feb</v>
      </c>
      <c r="P221" s="12">
        <f t="shared" si="23"/>
        <v>2025</v>
      </c>
      <c r="Q221" s="12">
        <f t="shared" ca="1" si="24"/>
        <v>1692</v>
      </c>
      <c r="R221" s="12">
        <f t="shared" si="25"/>
        <v>45716</v>
      </c>
      <c r="S221" s="18">
        <f t="shared" ca="1" si="26"/>
        <v>46104.411816550928</v>
      </c>
      <c r="T221" s="12" t="str">
        <f t="shared" si="27"/>
        <v>Low Sale</v>
      </c>
      <c r="U221" s="21">
        <f t="shared" si="21"/>
        <v>1559.94</v>
      </c>
      <c r="AL221" s="12"/>
    </row>
    <row r="222" spans="1:38" x14ac:dyDescent="0.3">
      <c r="A222" s="20" t="s">
        <v>367</v>
      </c>
      <c r="B222" s="16">
        <v>45711</v>
      </c>
      <c r="C222" s="15" t="s">
        <v>211</v>
      </c>
      <c r="D222" s="15" t="s">
        <v>212</v>
      </c>
      <c r="E222" s="15" t="s">
        <v>117</v>
      </c>
      <c r="F222" s="15" t="s">
        <v>118</v>
      </c>
      <c r="G222" s="15" t="s">
        <v>19</v>
      </c>
      <c r="H222" s="15">
        <v>5</v>
      </c>
      <c r="I222" s="15">
        <v>89.99</v>
      </c>
      <c r="J222" s="15" t="s">
        <v>34</v>
      </c>
      <c r="K222" s="15" t="s">
        <v>50</v>
      </c>
      <c r="L222" s="15" t="s">
        <v>27</v>
      </c>
      <c r="M222" s="16">
        <v>45140</v>
      </c>
      <c r="N222" s="17">
        <v>449.95</v>
      </c>
      <c r="O222" s="12" t="str">
        <f t="shared" si="22"/>
        <v>Feb</v>
      </c>
      <c r="P222" s="12">
        <f t="shared" si="23"/>
        <v>2025</v>
      </c>
      <c r="Q222" s="12">
        <f t="shared" ca="1" si="24"/>
        <v>964</v>
      </c>
      <c r="R222" s="12">
        <f t="shared" si="25"/>
        <v>45716</v>
      </c>
      <c r="S222" s="18">
        <f t="shared" ca="1" si="26"/>
        <v>46104.411816550928</v>
      </c>
      <c r="T222" s="12" t="str">
        <f t="shared" si="27"/>
        <v>Low Sale</v>
      </c>
      <c r="U222" s="21">
        <f t="shared" si="21"/>
        <v>3649.8599999999997</v>
      </c>
      <c r="AL222" s="12"/>
    </row>
    <row r="223" spans="1:38" x14ac:dyDescent="0.3">
      <c r="A223" s="20" t="s">
        <v>368</v>
      </c>
      <c r="B223" s="16">
        <v>45712</v>
      </c>
      <c r="C223" s="15" t="s">
        <v>138</v>
      </c>
      <c r="D223" s="15" t="s">
        <v>139</v>
      </c>
      <c r="E223" s="15" t="s">
        <v>126</v>
      </c>
      <c r="F223" s="15" t="s">
        <v>127</v>
      </c>
      <c r="G223" s="15" t="s">
        <v>46</v>
      </c>
      <c r="H223" s="15">
        <v>2</v>
      </c>
      <c r="I223" s="15">
        <v>199.99</v>
      </c>
      <c r="J223" s="15" t="s">
        <v>20</v>
      </c>
      <c r="K223" s="15" t="s">
        <v>21</v>
      </c>
      <c r="L223" s="15" t="s">
        <v>27</v>
      </c>
      <c r="M223" s="16">
        <v>44573</v>
      </c>
      <c r="N223" s="17">
        <v>399.98</v>
      </c>
      <c r="O223" s="12" t="str">
        <f t="shared" si="22"/>
        <v>Feb</v>
      </c>
      <c r="P223" s="12">
        <f t="shared" si="23"/>
        <v>2025</v>
      </c>
      <c r="Q223" s="12">
        <f t="shared" ca="1" si="24"/>
        <v>1531</v>
      </c>
      <c r="R223" s="12">
        <f t="shared" si="25"/>
        <v>45716</v>
      </c>
      <c r="S223" s="18">
        <f t="shared" ca="1" si="26"/>
        <v>46104.411816550928</v>
      </c>
      <c r="T223" s="12" t="str">
        <f t="shared" si="27"/>
        <v>Low Sale</v>
      </c>
      <c r="U223" s="21">
        <f t="shared" si="21"/>
        <v>2649.83</v>
      </c>
      <c r="AL223" s="12"/>
    </row>
    <row r="224" spans="1:38" x14ac:dyDescent="0.3">
      <c r="A224" s="20" t="s">
        <v>369</v>
      </c>
      <c r="B224" s="16">
        <v>45715</v>
      </c>
      <c r="C224" s="15" t="s">
        <v>259</v>
      </c>
      <c r="D224" s="15" t="s">
        <v>260</v>
      </c>
      <c r="E224" s="15" t="s">
        <v>31</v>
      </c>
      <c r="F224" s="15" t="s">
        <v>32</v>
      </c>
      <c r="G224" s="15" t="s">
        <v>33</v>
      </c>
      <c r="H224" s="15">
        <v>4</v>
      </c>
      <c r="I224" s="15">
        <v>59.99</v>
      </c>
      <c r="J224" s="15" t="s">
        <v>20</v>
      </c>
      <c r="K224" s="15" t="s">
        <v>50</v>
      </c>
      <c r="L224" s="15" t="s">
        <v>36</v>
      </c>
      <c r="M224" s="16">
        <v>45070</v>
      </c>
      <c r="N224" s="17">
        <v>239.96</v>
      </c>
      <c r="O224" s="12" t="str">
        <f t="shared" si="22"/>
        <v>Feb</v>
      </c>
      <c r="P224" s="12">
        <f t="shared" si="23"/>
        <v>2025</v>
      </c>
      <c r="Q224" s="12">
        <f t="shared" ca="1" si="24"/>
        <v>1034</v>
      </c>
      <c r="R224" s="12">
        <f t="shared" si="25"/>
        <v>45716</v>
      </c>
      <c r="S224" s="18">
        <f t="shared" ca="1" si="26"/>
        <v>46104.411816550928</v>
      </c>
      <c r="T224" s="12" t="str">
        <f t="shared" si="27"/>
        <v>Low Sale</v>
      </c>
      <c r="U224" s="21">
        <f t="shared" si="21"/>
        <v>739.93000000000006</v>
      </c>
      <c r="AL224" s="12"/>
    </row>
    <row r="225" spans="1:38" x14ac:dyDescent="0.3">
      <c r="A225" s="20" t="s">
        <v>370</v>
      </c>
      <c r="B225" s="16">
        <v>45715</v>
      </c>
      <c r="C225" s="15" t="s">
        <v>93</v>
      </c>
      <c r="D225" s="15" t="s">
        <v>94</v>
      </c>
      <c r="E225" s="15" t="s">
        <v>105</v>
      </c>
      <c r="F225" s="15" t="s">
        <v>106</v>
      </c>
      <c r="G225" s="15" t="s">
        <v>46</v>
      </c>
      <c r="H225" s="15">
        <v>2</v>
      </c>
      <c r="I225" s="15">
        <v>299.99</v>
      </c>
      <c r="J225" s="15" t="s">
        <v>34</v>
      </c>
      <c r="K225" s="15" t="s">
        <v>35</v>
      </c>
      <c r="L225" s="15" t="s">
        <v>22</v>
      </c>
      <c r="M225" s="16">
        <v>44576</v>
      </c>
      <c r="N225" s="17">
        <v>599.98</v>
      </c>
      <c r="O225" s="12" t="str">
        <f t="shared" si="22"/>
        <v>Feb</v>
      </c>
      <c r="P225" s="12">
        <f t="shared" si="23"/>
        <v>2025</v>
      </c>
      <c r="Q225" s="12">
        <f t="shared" ca="1" si="24"/>
        <v>1528</v>
      </c>
      <c r="R225" s="12">
        <f t="shared" si="25"/>
        <v>45716</v>
      </c>
      <c r="S225" s="18">
        <f t="shared" ca="1" si="26"/>
        <v>46104.411816550928</v>
      </c>
      <c r="T225" s="12" t="str">
        <f t="shared" si="27"/>
        <v>Low Sale</v>
      </c>
      <c r="U225" s="21">
        <f t="shared" si="21"/>
        <v>4789.7900000000009</v>
      </c>
      <c r="AL225" s="12"/>
    </row>
    <row r="226" spans="1:38" x14ac:dyDescent="0.3">
      <c r="A226" s="20" t="s">
        <v>371</v>
      </c>
      <c r="B226" s="16">
        <v>45718</v>
      </c>
      <c r="C226" s="15" t="s">
        <v>55</v>
      </c>
      <c r="D226" s="15" t="s">
        <v>56</v>
      </c>
      <c r="E226" s="15" t="s">
        <v>44</v>
      </c>
      <c r="F226" s="15" t="s">
        <v>45</v>
      </c>
      <c r="G226" s="15" t="s">
        <v>46</v>
      </c>
      <c r="H226" s="15">
        <v>2</v>
      </c>
      <c r="I226" s="15">
        <v>149.99</v>
      </c>
      <c r="J226" s="15" t="s">
        <v>20</v>
      </c>
      <c r="K226" s="15" t="s">
        <v>21</v>
      </c>
      <c r="L226" s="15" t="s">
        <v>22</v>
      </c>
      <c r="M226" s="16">
        <v>45068</v>
      </c>
      <c r="N226" s="17">
        <v>299.98</v>
      </c>
      <c r="O226" s="12" t="str">
        <f t="shared" si="22"/>
        <v>Mar</v>
      </c>
      <c r="P226" s="12">
        <f t="shared" si="23"/>
        <v>2025</v>
      </c>
      <c r="Q226" s="12">
        <f t="shared" ca="1" si="24"/>
        <v>1036</v>
      </c>
      <c r="R226" s="12">
        <f t="shared" si="25"/>
        <v>45747</v>
      </c>
      <c r="S226" s="18">
        <f t="shared" ca="1" si="26"/>
        <v>46104.411816550928</v>
      </c>
      <c r="T226" s="12" t="str">
        <f t="shared" si="27"/>
        <v>Low Sale</v>
      </c>
      <c r="U226" s="21">
        <f t="shared" si="21"/>
        <v>5089.7300000000005</v>
      </c>
      <c r="AL226" s="12"/>
    </row>
    <row r="227" spans="1:38" x14ac:dyDescent="0.3">
      <c r="A227" s="20" t="s">
        <v>372</v>
      </c>
      <c r="B227" s="16">
        <v>45720</v>
      </c>
      <c r="C227" s="15" t="s">
        <v>226</v>
      </c>
      <c r="D227" s="15" t="s">
        <v>227</v>
      </c>
      <c r="E227" s="15" t="s">
        <v>80</v>
      </c>
      <c r="F227" s="15" t="s">
        <v>81</v>
      </c>
      <c r="G227" s="15" t="s">
        <v>19</v>
      </c>
      <c r="H227" s="15">
        <v>5</v>
      </c>
      <c r="I227" s="15">
        <v>699.99</v>
      </c>
      <c r="J227" s="15" t="s">
        <v>57</v>
      </c>
      <c r="K227" s="15" t="s">
        <v>63</v>
      </c>
      <c r="L227" s="15" t="s">
        <v>27</v>
      </c>
      <c r="M227" s="16">
        <v>45161</v>
      </c>
      <c r="N227" s="17">
        <v>3499.95</v>
      </c>
      <c r="O227" s="12" t="str">
        <f t="shared" si="22"/>
        <v>Mar</v>
      </c>
      <c r="P227" s="12">
        <f t="shared" si="23"/>
        <v>2025</v>
      </c>
      <c r="Q227" s="12">
        <f t="shared" ca="1" si="24"/>
        <v>943</v>
      </c>
      <c r="R227" s="12">
        <f t="shared" si="25"/>
        <v>45747</v>
      </c>
      <c r="S227" s="18">
        <f t="shared" ca="1" si="26"/>
        <v>46104.411816550928</v>
      </c>
      <c r="T227" s="12" t="str">
        <f t="shared" si="27"/>
        <v>High Sale</v>
      </c>
      <c r="U227" s="21">
        <f t="shared" si="21"/>
        <v>6989.7699999999986</v>
      </c>
      <c r="AL227" s="12"/>
    </row>
    <row r="228" spans="1:38" x14ac:dyDescent="0.3">
      <c r="A228" s="20" t="s">
        <v>373</v>
      </c>
      <c r="B228" s="16">
        <v>45721</v>
      </c>
      <c r="C228" s="15" t="s">
        <v>75</v>
      </c>
      <c r="D228" s="15" t="s">
        <v>76</v>
      </c>
      <c r="E228" s="15" t="s">
        <v>31</v>
      </c>
      <c r="F228" s="15" t="s">
        <v>32</v>
      </c>
      <c r="G228" s="15" t="s">
        <v>33</v>
      </c>
      <c r="H228" s="15">
        <v>5</v>
      </c>
      <c r="I228" s="15">
        <v>59.99</v>
      </c>
      <c r="J228" s="15" t="s">
        <v>20</v>
      </c>
      <c r="K228" s="15" t="s">
        <v>50</v>
      </c>
      <c r="L228" s="15" t="s">
        <v>27</v>
      </c>
      <c r="M228" s="16">
        <v>45291</v>
      </c>
      <c r="N228" s="17">
        <v>299.95</v>
      </c>
      <c r="O228" s="12" t="str">
        <f t="shared" si="22"/>
        <v>Mar</v>
      </c>
      <c r="P228" s="12">
        <f t="shared" si="23"/>
        <v>2025</v>
      </c>
      <c r="Q228" s="12">
        <f t="shared" ca="1" si="24"/>
        <v>813</v>
      </c>
      <c r="R228" s="12">
        <f t="shared" si="25"/>
        <v>45747</v>
      </c>
      <c r="S228" s="18">
        <f t="shared" ca="1" si="26"/>
        <v>46104.411816550928</v>
      </c>
      <c r="T228" s="12" t="str">
        <f t="shared" si="27"/>
        <v>Low Sale</v>
      </c>
      <c r="U228" s="21">
        <f t="shared" si="21"/>
        <v>479.91999999999996</v>
      </c>
      <c r="AL228" s="12"/>
    </row>
    <row r="229" spans="1:38" x14ac:dyDescent="0.3">
      <c r="A229" s="20" t="s">
        <v>374</v>
      </c>
      <c r="B229" s="16">
        <v>45723</v>
      </c>
      <c r="C229" s="15" t="s">
        <v>15</v>
      </c>
      <c r="D229" s="15" t="s">
        <v>16</v>
      </c>
      <c r="E229" s="15" t="s">
        <v>117</v>
      </c>
      <c r="F229" s="15" t="s">
        <v>118</v>
      </c>
      <c r="G229" s="15" t="s">
        <v>19</v>
      </c>
      <c r="H229" s="15">
        <v>2</v>
      </c>
      <c r="I229" s="15">
        <v>89.99</v>
      </c>
      <c r="J229" s="15" t="s">
        <v>26</v>
      </c>
      <c r="K229" s="15" t="s">
        <v>50</v>
      </c>
      <c r="L229" s="15" t="s">
        <v>27</v>
      </c>
      <c r="M229" s="16">
        <v>45295</v>
      </c>
      <c r="N229" s="17">
        <v>179.98</v>
      </c>
      <c r="O229" s="12" t="str">
        <f t="shared" si="22"/>
        <v>Mar</v>
      </c>
      <c r="P229" s="12">
        <f t="shared" si="23"/>
        <v>2025</v>
      </c>
      <c r="Q229" s="12">
        <f t="shared" ca="1" si="24"/>
        <v>809</v>
      </c>
      <c r="R229" s="12">
        <f t="shared" si="25"/>
        <v>45747</v>
      </c>
      <c r="S229" s="18">
        <f t="shared" ca="1" si="26"/>
        <v>46104.411816550928</v>
      </c>
      <c r="T229" s="12" t="str">
        <f t="shared" si="27"/>
        <v>Low Sale</v>
      </c>
      <c r="U229" s="21">
        <f t="shared" si="21"/>
        <v>8309.739999999998</v>
      </c>
      <c r="AL229" s="12"/>
    </row>
    <row r="230" spans="1:38" x14ac:dyDescent="0.3">
      <c r="A230" s="20" t="s">
        <v>375</v>
      </c>
      <c r="B230" s="16">
        <v>45723</v>
      </c>
      <c r="C230" s="15" t="s">
        <v>120</v>
      </c>
      <c r="D230" s="15" t="s">
        <v>121</v>
      </c>
      <c r="E230" s="15" t="s">
        <v>17</v>
      </c>
      <c r="F230" s="15" t="s">
        <v>18</v>
      </c>
      <c r="G230" s="15" t="s">
        <v>19</v>
      </c>
      <c r="H230" s="15">
        <v>5</v>
      </c>
      <c r="I230" s="15">
        <v>249.99</v>
      </c>
      <c r="J230" s="15" t="s">
        <v>20</v>
      </c>
      <c r="K230" s="15" t="s">
        <v>63</v>
      </c>
      <c r="L230" s="15" t="s">
        <v>36</v>
      </c>
      <c r="M230" s="16">
        <v>44540</v>
      </c>
      <c r="N230" s="17">
        <v>1249.95</v>
      </c>
      <c r="O230" s="12" t="str">
        <f t="shared" si="22"/>
        <v>Mar</v>
      </c>
      <c r="P230" s="12">
        <f t="shared" si="23"/>
        <v>2025</v>
      </c>
      <c r="Q230" s="12">
        <f t="shared" ca="1" si="24"/>
        <v>1564</v>
      </c>
      <c r="R230" s="12">
        <f t="shared" si="25"/>
        <v>45747</v>
      </c>
      <c r="S230" s="18">
        <f t="shared" ca="1" si="26"/>
        <v>46104.411816550928</v>
      </c>
      <c r="T230" s="12" t="str">
        <f t="shared" si="27"/>
        <v>High Sale</v>
      </c>
      <c r="U230" s="21">
        <f t="shared" si="21"/>
        <v>6459.79</v>
      </c>
      <c r="AL230" s="12"/>
    </row>
    <row r="231" spans="1:38" x14ac:dyDescent="0.3">
      <c r="A231" s="20" t="s">
        <v>376</v>
      </c>
      <c r="B231" s="16">
        <v>45724</v>
      </c>
      <c r="C231" s="15" t="s">
        <v>226</v>
      </c>
      <c r="D231" s="15" t="s">
        <v>227</v>
      </c>
      <c r="E231" s="15" t="s">
        <v>44</v>
      </c>
      <c r="F231" s="15" t="s">
        <v>45</v>
      </c>
      <c r="G231" s="15" t="s">
        <v>46</v>
      </c>
      <c r="H231" s="15">
        <v>2</v>
      </c>
      <c r="I231" s="15">
        <v>149.99</v>
      </c>
      <c r="J231" s="15" t="s">
        <v>34</v>
      </c>
      <c r="K231" s="15" t="s">
        <v>21</v>
      </c>
      <c r="L231" s="15" t="s">
        <v>27</v>
      </c>
      <c r="M231" s="16">
        <v>44632</v>
      </c>
      <c r="N231" s="17">
        <v>299.98</v>
      </c>
      <c r="O231" s="12" t="str">
        <f t="shared" si="22"/>
        <v>Mar</v>
      </c>
      <c r="P231" s="12">
        <f t="shared" si="23"/>
        <v>2025</v>
      </c>
      <c r="Q231" s="12">
        <f t="shared" ca="1" si="24"/>
        <v>1472</v>
      </c>
      <c r="R231" s="12">
        <f t="shared" si="25"/>
        <v>45747</v>
      </c>
      <c r="S231" s="18">
        <f t="shared" ca="1" si="26"/>
        <v>46104.411816550928</v>
      </c>
      <c r="T231" s="12" t="str">
        <f t="shared" si="27"/>
        <v>Low Sale</v>
      </c>
      <c r="U231" s="21">
        <f t="shared" si="21"/>
        <v>6989.7699999999986</v>
      </c>
      <c r="AL231" s="12"/>
    </row>
    <row r="232" spans="1:38" x14ac:dyDescent="0.3">
      <c r="A232" s="20" t="s">
        <v>377</v>
      </c>
      <c r="B232" s="16">
        <v>45724</v>
      </c>
      <c r="C232" s="15" t="s">
        <v>144</v>
      </c>
      <c r="D232" s="15" t="s">
        <v>145</v>
      </c>
      <c r="E232" s="15" t="s">
        <v>61</v>
      </c>
      <c r="F232" s="15" t="s">
        <v>62</v>
      </c>
      <c r="G232" s="15" t="s">
        <v>19</v>
      </c>
      <c r="H232" s="15">
        <v>5</v>
      </c>
      <c r="I232" s="15">
        <v>899.99</v>
      </c>
      <c r="J232" s="15" t="s">
        <v>34</v>
      </c>
      <c r="K232" s="15" t="s">
        <v>63</v>
      </c>
      <c r="L232" s="15" t="s">
        <v>27</v>
      </c>
      <c r="M232" s="16">
        <v>45389</v>
      </c>
      <c r="N232" s="17">
        <v>4499.95</v>
      </c>
      <c r="O232" s="12" t="str">
        <f t="shared" si="22"/>
        <v>Mar</v>
      </c>
      <c r="P232" s="12">
        <f t="shared" si="23"/>
        <v>2025</v>
      </c>
      <c r="Q232" s="12">
        <f t="shared" ca="1" si="24"/>
        <v>715</v>
      </c>
      <c r="R232" s="12">
        <f t="shared" si="25"/>
        <v>45747</v>
      </c>
      <c r="S232" s="18">
        <f t="shared" ca="1" si="26"/>
        <v>46104.411816550928</v>
      </c>
      <c r="T232" s="12" t="str">
        <f t="shared" si="27"/>
        <v>High Sale</v>
      </c>
      <c r="U232" s="21">
        <f t="shared" si="21"/>
        <v>5519.8899999999994</v>
      </c>
      <c r="AL232" s="12"/>
    </row>
    <row r="233" spans="1:38" x14ac:dyDescent="0.3">
      <c r="A233" s="20" t="s">
        <v>378</v>
      </c>
      <c r="B233" s="16">
        <v>45724</v>
      </c>
      <c r="C233" s="15" t="s">
        <v>55</v>
      </c>
      <c r="D233" s="15" t="s">
        <v>56</v>
      </c>
      <c r="E233" s="15" t="s">
        <v>44</v>
      </c>
      <c r="F233" s="15" t="s">
        <v>45</v>
      </c>
      <c r="G233" s="15" t="s">
        <v>46</v>
      </c>
      <c r="H233" s="15">
        <v>4</v>
      </c>
      <c r="I233" s="15">
        <v>149.99</v>
      </c>
      <c r="J233" s="15" t="s">
        <v>20</v>
      </c>
      <c r="K233" s="15" t="s">
        <v>21</v>
      </c>
      <c r="L233" s="15" t="s">
        <v>36</v>
      </c>
      <c r="M233" s="16">
        <v>45263</v>
      </c>
      <c r="N233" s="17">
        <v>599.96</v>
      </c>
      <c r="O233" s="12" t="str">
        <f t="shared" si="22"/>
        <v>Mar</v>
      </c>
      <c r="P233" s="12">
        <f t="shared" si="23"/>
        <v>2025</v>
      </c>
      <c r="Q233" s="12">
        <f t="shared" ca="1" si="24"/>
        <v>841</v>
      </c>
      <c r="R233" s="12">
        <f t="shared" si="25"/>
        <v>45747</v>
      </c>
      <c r="S233" s="18">
        <f t="shared" ca="1" si="26"/>
        <v>46104.411816550928</v>
      </c>
      <c r="T233" s="12" t="str">
        <f t="shared" si="27"/>
        <v>Low Sale</v>
      </c>
      <c r="U233" s="21">
        <f t="shared" si="21"/>
        <v>5089.7300000000005</v>
      </c>
      <c r="AL233" s="12"/>
    </row>
    <row r="234" spans="1:38" x14ac:dyDescent="0.3">
      <c r="A234" s="20" t="s">
        <v>379</v>
      </c>
      <c r="B234" s="16">
        <v>45726</v>
      </c>
      <c r="C234" s="15" t="s">
        <v>144</v>
      </c>
      <c r="D234" s="15" t="s">
        <v>145</v>
      </c>
      <c r="E234" s="15" t="s">
        <v>17</v>
      </c>
      <c r="F234" s="15" t="s">
        <v>18</v>
      </c>
      <c r="G234" s="15" t="s">
        <v>19</v>
      </c>
      <c r="H234" s="15">
        <v>1</v>
      </c>
      <c r="I234" s="15">
        <v>249.99</v>
      </c>
      <c r="J234" s="15" t="s">
        <v>20</v>
      </c>
      <c r="K234" s="15" t="s">
        <v>40</v>
      </c>
      <c r="L234" s="15" t="s">
        <v>36</v>
      </c>
      <c r="M234" s="16">
        <v>45117</v>
      </c>
      <c r="N234" s="17">
        <v>249.99</v>
      </c>
      <c r="O234" s="12" t="str">
        <f t="shared" si="22"/>
        <v>Mar</v>
      </c>
      <c r="P234" s="12">
        <f t="shared" si="23"/>
        <v>2025</v>
      </c>
      <c r="Q234" s="12">
        <f t="shared" ca="1" si="24"/>
        <v>987</v>
      </c>
      <c r="R234" s="12">
        <f t="shared" si="25"/>
        <v>45747</v>
      </c>
      <c r="S234" s="18">
        <f t="shared" ca="1" si="26"/>
        <v>46104.411816550928</v>
      </c>
      <c r="T234" s="12" t="str">
        <f t="shared" si="27"/>
        <v>Low Sale</v>
      </c>
      <c r="U234" s="21">
        <f t="shared" si="21"/>
        <v>5519.8899999999994</v>
      </c>
      <c r="AL234" s="12"/>
    </row>
    <row r="235" spans="1:38" x14ac:dyDescent="0.3">
      <c r="A235" s="20" t="s">
        <v>380</v>
      </c>
      <c r="B235" s="16">
        <v>45734</v>
      </c>
      <c r="C235" s="15" t="s">
        <v>192</v>
      </c>
      <c r="D235" s="15" t="s">
        <v>193</v>
      </c>
      <c r="E235" s="15" t="s">
        <v>31</v>
      </c>
      <c r="F235" s="15" t="s">
        <v>32</v>
      </c>
      <c r="G235" s="15" t="s">
        <v>33</v>
      </c>
      <c r="H235" s="15">
        <v>2</v>
      </c>
      <c r="I235" s="15">
        <v>59.99</v>
      </c>
      <c r="J235" s="15" t="s">
        <v>26</v>
      </c>
      <c r="K235" s="15" t="s">
        <v>50</v>
      </c>
      <c r="L235" s="15" t="s">
        <v>22</v>
      </c>
      <c r="M235" s="16">
        <v>45193</v>
      </c>
      <c r="N235" s="17">
        <v>119.98</v>
      </c>
      <c r="O235" s="12" t="str">
        <f t="shared" si="22"/>
        <v>Mar</v>
      </c>
      <c r="P235" s="12">
        <f t="shared" si="23"/>
        <v>2025</v>
      </c>
      <c r="Q235" s="12">
        <f t="shared" ca="1" si="24"/>
        <v>911</v>
      </c>
      <c r="R235" s="12">
        <f t="shared" si="25"/>
        <v>45747</v>
      </c>
      <c r="S235" s="18">
        <f t="shared" ca="1" si="26"/>
        <v>46104.411816550928</v>
      </c>
      <c r="T235" s="12" t="str">
        <f t="shared" si="27"/>
        <v>Low Sale</v>
      </c>
      <c r="U235" s="21">
        <f t="shared" si="21"/>
        <v>1479.91</v>
      </c>
      <c r="AL235" s="12"/>
    </row>
    <row r="236" spans="1:38" x14ac:dyDescent="0.3">
      <c r="A236" s="20" t="s">
        <v>381</v>
      </c>
      <c r="B236" s="16">
        <v>45737</v>
      </c>
      <c r="C236" s="15" t="s">
        <v>132</v>
      </c>
      <c r="D236" s="15" t="s">
        <v>133</v>
      </c>
      <c r="E236" s="15" t="s">
        <v>44</v>
      </c>
      <c r="F236" s="15" t="s">
        <v>45</v>
      </c>
      <c r="G236" s="15" t="s">
        <v>46</v>
      </c>
      <c r="H236" s="15">
        <v>2</v>
      </c>
      <c r="I236" s="15">
        <v>149.99</v>
      </c>
      <c r="J236" s="15" t="s">
        <v>20</v>
      </c>
      <c r="K236" s="15" t="s">
        <v>50</v>
      </c>
      <c r="L236" s="15" t="s">
        <v>27</v>
      </c>
      <c r="M236" s="16">
        <v>45233</v>
      </c>
      <c r="N236" s="17">
        <v>299.98</v>
      </c>
      <c r="O236" s="12" t="str">
        <f t="shared" si="22"/>
        <v>Mar</v>
      </c>
      <c r="P236" s="12">
        <f t="shared" si="23"/>
        <v>2025</v>
      </c>
      <c r="Q236" s="12">
        <f t="shared" ca="1" si="24"/>
        <v>871</v>
      </c>
      <c r="R236" s="12">
        <f t="shared" si="25"/>
        <v>45747</v>
      </c>
      <c r="S236" s="18">
        <f t="shared" ca="1" si="26"/>
        <v>46104.411816550928</v>
      </c>
      <c r="T236" s="12" t="str">
        <f t="shared" si="27"/>
        <v>Low Sale</v>
      </c>
      <c r="U236" s="21">
        <f t="shared" si="21"/>
        <v>1229.8800000000001</v>
      </c>
      <c r="AL236" s="12"/>
    </row>
    <row r="237" spans="1:38" x14ac:dyDescent="0.3">
      <c r="A237" s="20" t="s">
        <v>382</v>
      </c>
      <c r="B237" s="16">
        <v>45737</v>
      </c>
      <c r="C237" s="15" t="s">
        <v>150</v>
      </c>
      <c r="D237" s="15" t="s">
        <v>151</v>
      </c>
      <c r="E237" s="15" t="s">
        <v>61</v>
      </c>
      <c r="F237" s="15" t="s">
        <v>62</v>
      </c>
      <c r="G237" s="15" t="s">
        <v>19</v>
      </c>
      <c r="H237" s="15">
        <v>3</v>
      </c>
      <c r="I237" s="15">
        <v>899.99</v>
      </c>
      <c r="J237" s="15" t="s">
        <v>57</v>
      </c>
      <c r="K237" s="15" t="s">
        <v>40</v>
      </c>
      <c r="L237" s="15" t="s">
        <v>27</v>
      </c>
      <c r="M237" s="16">
        <v>44876</v>
      </c>
      <c r="N237" s="17">
        <v>2699.97</v>
      </c>
      <c r="O237" s="12" t="str">
        <f t="shared" si="22"/>
        <v>Mar</v>
      </c>
      <c r="P237" s="12">
        <f t="shared" si="23"/>
        <v>2025</v>
      </c>
      <c r="Q237" s="12">
        <f t="shared" ca="1" si="24"/>
        <v>1228</v>
      </c>
      <c r="R237" s="12">
        <f t="shared" si="25"/>
        <v>45747</v>
      </c>
      <c r="S237" s="18">
        <f t="shared" ca="1" si="26"/>
        <v>46104.411816550928</v>
      </c>
      <c r="T237" s="12" t="str">
        <f t="shared" si="27"/>
        <v>High Sale</v>
      </c>
      <c r="U237" s="21">
        <f t="shared" si="21"/>
        <v>5619.869999999999</v>
      </c>
      <c r="AL237" s="12"/>
    </row>
    <row r="238" spans="1:38" x14ac:dyDescent="0.3">
      <c r="A238" s="20" t="s">
        <v>383</v>
      </c>
      <c r="B238" s="16">
        <v>45737</v>
      </c>
      <c r="C238" s="15" t="s">
        <v>48</v>
      </c>
      <c r="D238" s="15" t="s">
        <v>49</v>
      </c>
      <c r="E238" s="15" t="s">
        <v>61</v>
      </c>
      <c r="F238" s="15" t="s">
        <v>62</v>
      </c>
      <c r="G238" s="15" t="s">
        <v>19</v>
      </c>
      <c r="H238" s="15">
        <v>3</v>
      </c>
      <c r="I238" s="15">
        <v>899.99</v>
      </c>
      <c r="J238" s="15" t="s">
        <v>34</v>
      </c>
      <c r="K238" s="15" t="s">
        <v>40</v>
      </c>
      <c r="L238" s="15" t="s">
        <v>22</v>
      </c>
      <c r="M238" s="16">
        <v>44975</v>
      </c>
      <c r="N238" s="17">
        <v>2699.97</v>
      </c>
      <c r="O238" s="12" t="str">
        <f t="shared" si="22"/>
        <v>Mar</v>
      </c>
      <c r="P238" s="12">
        <f t="shared" si="23"/>
        <v>2025</v>
      </c>
      <c r="Q238" s="12">
        <f t="shared" ca="1" si="24"/>
        <v>1129</v>
      </c>
      <c r="R238" s="12">
        <f t="shared" si="25"/>
        <v>45747</v>
      </c>
      <c r="S238" s="18">
        <f t="shared" ca="1" si="26"/>
        <v>46104.411816550928</v>
      </c>
      <c r="T238" s="12" t="str">
        <f t="shared" si="27"/>
        <v>High Sale</v>
      </c>
      <c r="U238" s="21">
        <f t="shared" si="21"/>
        <v>8269.7900000000009</v>
      </c>
      <c r="AL238" s="12"/>
    </row>
    <row r="239" spans="1:38" x14ac:dyDescent="0.3">
      <c r="A239" s="20" t="s">
        <v>384</v>
      </c>
      <c r="B239" s="16">
        <v>45739</v>
      </c>
      <c r="C239" s="15" t="s">
        <v>15</v>
      </c>
      <c r="D239" s="15" t="s">
        <v>16</v>
      </c>
      <c r="E239" s="15" t="s">
        <v>105</v>
      </c>
      <c r="F239" s="15" t="s">
        <v>106</v>
      </c>
      <c r="G239" s="15" t="s">
        <v>46</v>
      </c>
      <c r="H239" s="15">
        <v>3</v>
      </c>
      <c r="I239" s="15">
        <v>299.99</v>
      </c>
      <c r="J239" s="15" t="s">
        <v>26</v>
      </c>
      <c r="K239" s="15" t="s">
        <v>50</v>
      </c>
      <c r="L239" s="15" t="s">
        <v>27</v>
      </c>
      <c r="M239" s="16">
        <v>45234</v>
      </c>
      <c r="N239" s="17">
        <v>899.97</v>
      </c>
      <c r="O239" s="12" t="str">
        <f t="shared" si="22"/>
        <v>Mar</v>
      </c>
      <c r="P239" s="12">
        <f t="shared" si="23"/>
        <v>2025</v>
      </c>
      <c r="Q239" s="12">
        <f t="shared" ca="1" si="24"/>
        <v>870</v>
      </c>
      <c r="R239" s="12">
        <f t="shared" si="25"/>
        <v>45747</v>
      </c>
      <c r="S239" s="18">
        <f t="shared" ca="1" si="26"/>
        <v>46104.411816550928</v>
      </c>
      <c r="T239" s="12" t="str">
        <f t="shared" si="27"/>
        <v>Low Sale</v>
      </c>
      <c r="U239" s="21">
        <f t="shared" si="21"/>
        <v>8309.739999999998</v>
      </c>
      <c r="AL239" s="12"/>
    </row>
    <row r="240" spans="1:38" x14ac:dyDescent="0.3">
      <c r="A240" s="20" t="s">
        <v>385</v>
      </c>
      <c r="B240" s="16">
        <v>45740</v>
      </c>
      <c r="C240" s="15" t="s">
        <v>386</v>
      </c>
      <c r="D240" s="15" t="s">
        <v>387</v>
      </c>
      <c r="E240" s="15" t="s">
        <v>44</v>
      </c>
      <c r="F240" s="15" t="s">
        <v>45</v>
      </c>
      <c r="G240" s="15" t="s">
        <v>46</v>
      </c>
      <c r="H240" s="15">
        <v>4</v>
      </c>
      <c r="I240" s="15">
        <v>149.99</v>
      </c>
      <c r="J240" s="15" t="s">
        <v>34</v>
      </c>
      <c r="K240" s="15" t="s">
        <v>50</v>
      </c>
      <c r="L240" s="15" t="s">
        <v>36</v>
      </c>
      <c r="M240" s="16">
        <v>44560</v>
      </c>
      <c r="N240" s="17">
        <v>599.96</v>
      </c>
      <c r="O240" s="12" t="str">
        <f t="shared" si="22"/>
        <v>Mar</v>
      </c>
      <c r="P240" s="12">
        <f t="shared" si="23"/>
        <v>2025</v>
      </c>
      <c r="Q240" s="12">
        <f t="shared" ca="1" si="24"/>
        <v>1544</v>
      </c>
      <c r="R240" s="12">
        <f t="shared" si="25"/>
        <v>45747</v>
      </c>
      <c r="S240" s="18">
        <f t="shared" ca="1" si="26"/>
        <v>46104.411816550928</v>
      </c>
      <c r="T240" s="12" t="str">
        <f t="shared" si="27"/>
        <v>Low Sale</v>
      </c>
      <c r="U240" s="21">
        <f t="shared" si="21"/>
        <v>599.96</v>
      </c>
      <c r="AL240" s="12"/>
    </row>
    <row r="241" spans="1:38" x14ac:dyDescent="0.3">
      <c r="A241" s="20" t="s">
        <v>388</v>
      </c>
      <c r="B241" s="16">
        <v>45743</v>
      </c>
      <c r="C241" s="15" t="s">
        <v>102</v>
      </c>
      <c r="D241" s="15" t="s">
        <v>103</v>
      </c>
      <c r="E241" s="15" t="s">
        <v>114</v>
      </c>
      <c r="F241" s="15" t="s">
        <v>115</v>
      </c>
      <c r="G241" s="15" t="s">
        <v>33</v>
      </c>
      <c r="H241" s="15">
        <v>4</v>
      </c>
      <c r="I241" s="15">
        <v>79.989999999999995</v>
      </c>
      <c r="J241" s="15" t="s">
        <v>26</v>
      </c>
      <c r="K241" s="15" t="s">
        <v>21</v>
      </c>
      <c r="L241" s="15" t="s">
        <v>22</v>
      </c>
      <c r="M241" s="16">
        <v>45288</v>
      </c>
      <c r="N241" s="17">
        <v>319.95999999999998</v>
      </c>
      <c r="O241" s="12" t="str">
        <f t="shared" si="22"/>
        <v>Mar</v>
      </c>
      <c r="P241" s="12">
        <f t="shared" si="23"/>
        <v>2025</v>
      </c>
      <c r="Q241" s="12">
        <f t="shared" ca="1" si="24"/>
        <v>816</v>
      </c>
      <c r="R241" s="12">
        <f t="shared" si="25"/>
        <v>45747</v>
      </c>
      <c r="S241" s="18">
        <f t="shared" ca="1" si="26"/>
        <v>46104.411816550928</v>
      </c>
      <c r="T241" s="12" t="str">
        <f t="shared" si="27"/>
        <v>Low Sale</v>
      </c>
      <c r="U241" s="21">
        <f t="shared" si="21"/>
        <v>3769.8300000000004</v>
      </c>
      <c r="AL241" s="12"/>
    </row>
    <row r="242" spans="1:38" x14ac:dyDescent="0.3">
      <c r="A242" s="20" t="s">
        <v>389</v>
      </c>
      <c r="B242" s="16">
        <v>45745</v>
      </c>
      <c r="C242" s="15" t="s">
        <v>185</v>
      </c>
      <c r="D242" s="15" t="s">
        <v>186</v>
      </c>
      <c r="E242" s="15" t="s">
        <v>117</v>
      </c>
      <c r="F242" s="15" t="s">
        <v>118</v>
      </c>
      <c r="G242" s="15" t="s">
        <v>19</v>
      </c>
      <c r="H242" s="15">
        <v>5</v>
      </c>
      <c r="I242" s="15">
        <v>89.99</v>
      </c>
      <c r="J242" s="15" t="s">
        <v>34</v>
      </c>
      <c r="K242" s="15" t="s">
        <v>35</v>
      </c>
      <c r="L242" s="15" t="s">
        <v>22</v>
      </c>
      <c r="M242" s="16">
        <v>44704</v>
      </c>
      <c r="N242" s="17">
        <v>449.95</v>
      </c>
      <c r="O242" s="12" t="str">
        <f t="shared" si="22"/>
        <v>Mar</v>
      </c>
      <c r="P242" s="12">
        <f t="shared" si="23"/>
        <v>2025</v>
      </c>
      <c r="Q242" s="12">
        <f t="shared" ca="1" si="24"/>
        <v>1400</v>
      </c>
      <c r="R242" s="12">
        <f t="shared" si="25"/>
        <v>45747</v>
      </c>
      <c r="S242" s="18">
        <f t="shared" ca="1" si="26"/>
        <v>46104.411816550928</v>
      </c>
      <c r="T242" s="12" t="str">
        <f t="shared" si="27"/>
        <v>Low Sale</v>
      </c>
      <c r="U242" s="21">
        <f t="shared" si="21"/>
        <v>2099.88</v>
      </c>
      <c r="AL242" s="12"/>
    </row>
    <row r="243" spans="1:38" x14ac:dyDescent="0.3">
      <c r="A243" s="20" t="s">
        <v>390</v>
      </c>
      <c r="B243" s="16">
        <v>45746</v>
      </c>
      <c r="C243" s="15" t="s">
        <v>93</v>
      </c>
      <c r="D243" s="15" t="s">
        <v>94</v>
      </c>
      <c r="E243" s="15" t="s">
        <v>44</v>
      </c>
      <c r="F243" s="15" t="s">
        <v>45</v>
      </c>
      <c r="G243" s="15" t="s">
        <v>46</v>
      </c>
      <c r="H243" s="15">
        <v>3</v>
      </c>
      <c r="I243" s="15">
        <v>149.99</v>
      </c>
      <c r="J243" s="15" t="s">
        <v>34</v>
      </c>
      <c r="K243" s="15" t="s">
        <v>21</v>
      </c>
      <c r="L243" s="15" t="s">
        <v>36</v>
      </c>
      <c r="M243" s="16">
        <v>45171</v>
      </c>
      <c r="N243" s="17">
        <v>449.97</v>
      </c>
      <c r="O243" s="12" t="str">
        <f t="shared" si="22"/>
        <v>Mar</v>
      </c>
      <c r="P243" s="12">
        <f t="shared" si="23"/>
        <v>2025</v>
      </c>
      <c r="Q243" s="12">
        <f t="shared" ca="1" si="24"/>
        <v>933</v>
      </c>
      <c r="R243" s="12">
        <f t="shared" si="25"/>
        <v>45747</v>
      </c>
      <c r="S243" s="18">
        <f t="shared" ca="1" si="26"/>
        <v>46104.411816550928</v>
      </c>
      <c r="T243" s="12" t="str">
        <f t="shared" si="27"/>
        <v>Low Sale</v>
      </c>
      <c r="U243" s="21">
        <f t="shared" si="21"/>
        <v>4789.7900000000009</v>
      </c>
      <c r="AL243" s="12"/>
    </row>
    <row r="244" spans="1:38" x14ac:dyDescent="0.3">
      <c r="A244" s="20" t="s">
        <v>391</v>
      </c>
      <c r="B244" s="16">
        <v>45746</v>
      </c>
      <c r="C244" s="15" t="s">
        <v>65</v>
      </c>
      <c r="D244" s="15" t="s">
        <v>66</v>
      </c>
      <c r="E244" s="15" t="s">
        <v>117</v>
      </c>
      <c r="F244" s="15" t="s">
        <v>118</v>
      </c>
      <c r="G244" s="15" t="s">
        <v>19</v>
      </c>
      <c r="H244" s="15">
        <v>2</v>
      </c>
      <c r="I244" s="15">
        <v>89.99</v>
      </c>
      <c r="J244" s="15" t="s">
        <v>57</v>
      </c>
      <c r="K244" s="15" t="s">
        <v>50</v>
      </c>
      <c r="L244" s="15" t="s">
        <v>27</v>
      </c>
      <c r="M244" s="16">
        <v>44522</v>
      </c>
      <c r="N244" s="17">
        <v>179.98</v>
      </c>
      <c r="O244" s="12" t="str">
        <f t="shared" si="22"/>
        <v>Mar</v>
      </c>
      <c r="P244" s="12">
        <f t="shared" si="23"/>
        <v>2025</v>
      </c>
      <c r="Q244" s="12">
        <f t="shared" ca="1" si="24"/>
        <v>1582</v>
      </c>
      <c r="R244" s="12">
        <f t="shared" si="25"/>
        <v>45747</v>
      </c>
      <c r="S244" s="18">
        <f t="shared" ca="1" si="26"/>
        <v>46104.411816550928</v>
      </c>
      <c r="T244" s="12" t="str">
        <f t="shared" si="27"/>
        <v>Low Sale</v>
      </c>
      <c r="U244" s="21">
        <f t="shared" si="21"/>
        <v>8009.7699999999995</v>
      </c>
      <c r="AL244" s="12"/>
    </row>
    <row r="245" spans="1:38" x14ac:dyDescent="0.3">
      <c r="A245" s="20" t="s">
        <v>392</v>
      </c>
      <c r="B245" s="16">
        <v>45748</v>
      </c>
      <c r="C245" s="15" t="s">
        <v>102</v>
      </c>
      <c r="D245" s="15" t="s">
        <v>103</v>
      </c>
      <c r="E245" s="15" t="s">
        <v>80</v>
      </c>
      <c r="F245" s="15" t="s">
        <v>81</v>
      </c>
      <c r="G245" s="15" t="s">
        <v>19</v>
      </c>
      <c r="H245" s="15">
        <v>2</v>
      </c>
      <c r="I245" s="15">
        <v>699.99</v>
      </c>
      <c r="J245" s="15" t="s">
        <v>34</v>
      </c>
      <c r="K245" s="15" t="s">
        <v>40</v>
      </c>
      <c r="L245" s="15" t="s">
        <v>36</v>
      </c>
      <c r="M245" s="16">
        <v>44618</v>
      </c>
      <c r="N245" s="17">
        <v>1399.98</v>
      </c>
      <c r="O245" s="12" t="str">
        <f t="shared" si="22"/>
        <v>Apr</v>
      </c>
      <c r="P245" s="12">
        <f t="shared" si="23"/>
        <v>2025</v>
      </c>
      <c r="Q245" s="12">
        <f t="shared" ca="1" si="24"/>
        <v>1486</v>
      </c>
      <c r="R245" s="12">
        <f t="shared" si="25"/>
        <v>45777</v>
      </c>
      <c r="S245" s="18">
        <f t="shared" ca="1" si="26"/>
        <v>46104.411816550928</v>
      </c>
      <c r="T245" s="12" t="str">
        <f t="shared" si="27"/>
        <v>High Sale</v>
      </c>
      <c r="U245" s="21">
        <f t="shared" si="21"/>
        <v>3769.8300000000004</v>
      </c>
      <c r="AL245" s="12"/>
    </row>
    <row r="246" spans="1:38" x14ac:dyDescent="0.3">
      <c r="A246" s="20" t="s">
        <v>393</v>
      </c>
      <c r="B246" s="16">
        <v>45749</v>
      </c>
      <c r="C246" s="15" t="s">
        <v>123</v>
      </c>
      <c r="D246" s="15" t="s">
        <v>124</v>
      </c>
      <c r="E246" s="15" t="s">
        <v>61</v>
      </c>
      <c r="F246" s="15" t="s">
        <v>62</v>
      </c>
      <c r="G246" s="15" t="s">
        <v>19</v>
      </c>
      <c r="H246" s="15">
        <v>3</v>
      </c>
      <c r="I246" s="15">
        <v>899.99</v>
      </c>
      <c r="J246" s="15" t="s">
        <v>20</v>
      </c>
      <c r="K246" s="15" t="s">
        <v>21</v>
      </c>
      <c r="L246" s="15" t="s">
        <v>36</v>
      </c>
      <c r="M246" s="16">
        <v>44953</v>
      </c>
      <c r="N246" s="17">
        <v>2699.97</v>
      </c>
      <c r="O246" s="12" t="str">
        <f t="shared" si="22"/>
        <v>Apr</v>
      </c>
      <c r="P246" s="12">
        <f t="shared" si="23"/>
        <v>2025</v>
      </c>
      <c r="Q246" s="12">
        <f t="shared" ca="1" si="24"/>
        <v>1151</v>
      </c>
      <c r="R246" s="12">
        <f t="shared" si="25"/>
        <v>45777</v>
      </c>
      <c r="S246" s="18">
        <f t="shared" ca="1" si="26"/>
        <v>46104.411816550928</v>
      </c>
      <c r="T246" s="12" t="str">
        <f t="shared" si="27"/>
        <v>High Sale</v>
      </c>
      <c r="U246" s="21">
        <f t="shared" si="21"/>
        <v>11919.769999999999</v>
      </c>
      <c r="AL246" s="12"/>
    </row>
    <row r="247" spans="1:38" x14ac:dyDescent="0.3">
      <c r="A247" s="20" t="s">
        <v>394</v>
      </c>
      <c r="B247" s="16">
        <v>45755</v>
      </c>
      <c r="C247" s="15" t="s">
        <v>93</v>
      </c>
      <c r="D247" s="15" t="s">
        <v>94</v>
      </c>
      <c r="E247" s="15" t="s">
        <v>114</v>
      </c>
      <c r="F247" s="15" t="s">
        <v>115</v>
      </c>
      <c r="G247" s="15" t="s">
        <v>33</v>
      </c>
      <c r="H247" s="15">
        <v>3</v>
      </c>
      <c r="I247" s="15">
        <v>79.989999999999995</v>
      </c>
      <c r="J247" s="15" t="s">
        <v>26</v>
      </c>
      <c r="K247" s="15" t="s">
        <v>40</v>
      </c>
      <c r="L247" s="15" t="s">
        <v>22</v>
      </c>
      <c r="M247" s="16">
        <v>44511</v>
      </c>
      <c r="N247" s="17">
        <v>239.97</v>
      </c>
      <c r="O247" s="12" t="str">
        <f t="shared" si="22"/>
        <v>Apr</v>
      </c>
      <c r="P247" s="12">
        <f t="shared" si="23"/>
        <v>2025</v>
      </c>
      <c r="Q247" s="12">
        <f t="shared" ca="1" si="24"/>
        <v>1593</v>
      </c>
      <c r="R247" s="12">
        <f t="shared" si="25"/>
        <v>45777</v>
      </c>
      <c r="S247" s="18">
        <f t="shared" ca="1" si="26"/>
        <v>46104.411816550928</v>
      </c>
      <c r="T247" s="12" t="str">
        <f t="shared" si="27"/>
        <v>Low Sale</v>
      </c>
      <c r="U247" s="21">
        <f t="shared" si="21"/>
        <v>4789.7900000000009</v>
      </c>
      <c r="AL247" s="12"/>
    </row>
    <row r="248" spans="1:38" x14ac:dyDescent="0.3">
      <c r="A248" s="20" t="s">
        <v>395</v>
      </c>
      <c r="B248" s="16">
        <v>45756</v>
      </c>
      <c r="C248" s="15" t="s">
        <v>59</v>
      </c>
      <c r="D248" s="15" t="s">
        <v>60</v>
      </c>
      <c r="E248" s="15" t="s">
        <v>117</v>
      </c>
      <c r="F248" s="15" t="s">
        <v>118</v>
      </c>
      <c r="G248" s="15" t="s">
        <v>19</v>
      </c>
      <c r="H248" s="15">
        <v>1</v>
      </c>
      <c r="I248" s="15">
        <v>89.99</v>
      </c>
      <c r="J248" s="15" t="s">
        <v>57</v>
      </c>
      <c r="K248" s="15" t="s">
        <v>63</v>
      </c>
      <c r="L248" s="15" t="s">
        <v>22</v>
      </c>
      <c r="M248" s="16">
        <v>45346</v>
      </c>
      <c r="N248" s="17">
        <v>89.99</v>
      </c>
      <c r="O248" s="12" t="str">
        <f t="shared" si="22"/>
        <v>Apr</v>
      </c>
      <c r="P248" s="12">
        <f t="shared" si="23"/>
        <v>2025</v>
      </c>
      <c r="Q248" s="12">
        <f t="shared" ca="1" si="24"/>
        <v>758</v>
      </c>
      <c r="R248" s="12">
        <f t="shared" si="25"/>
        <v>45777</v>
      </c>
      <c r="S248" s="18">
        <f t="shared" ca="1" si="26"/>
        <v>46104.411816550928</v>
      </c>
      <c r="T248" s="12" t="str">
        <f t="shared" si="27"/>
        <v>Low Sale</v>
      </c>
      <c r="U248" s="21">
        <f t="shared" si="21"/>
        <v>3509.8999999999996</v>
      </c>
      <c r="AL248" s="12"/>
    </row>
    <row r="249" spans="1:38" x14ac:dyDescent="0.3">
      <c r="A249" s="20" t="s">
        <v>396</v>
      </c>
      <c r="B249" s="16">
        <v>45758</v>
      </c>
      <c r="C249" s="15" t="s">
        <v>293</v>
      </c>
      <c r="D249" s="15" t="s">
        <v>294</v>
      </c>
      <c r="E249" s="15" t="s">
        <v>80</v>
      </c>
      <c r="F249" s="15" t="s">
        <v>81</v>
      </c>
      <c r="G249" s="15" t="s">
        <v>19</v>
      </c>
      <c r="H249" s="15">
        <v>3</v>
      </c>
      <c r="I249" s="15">
        <v>699.99</v>
      </c>
      <c r="J249" s="15" t="s">
        <v>34</v>
      </c>
      <c r="K249" s="15" t="s">
        <v>40</v>
      </c>
      <c r="L249" s="15" t="s">
        <v>22</v>
      </c>
      <c r="M249" s="16">
        <v>44909</v>
      </c>
      <c r="N249" s="17">
        <v>2099.9699999999998</v>
      </c>
      <c r="O249" s="12" t="str">
        <f t="shared" si="22"/>
        <v>Apr</v>
      </c>
      <c r="P249" s="12">
        <f t="shared" si="23"/>
        <v>2025</v>
      </c>
      <c r="Q249" s="12">
        <f t="shared" ca="1" si="24"/>
        <v>1195</v>
      </c>
      <c r="R249" s="12">
        <f t="shared" si="25"/>
        <v>45777</v>
      </c>
      <c r="S249" s="18">
        <f t="shared" ca="1" si="26"/>
        <v>46104.411816550928</v>
      </c>
      <c r="T249" s="12" t="str">
        <f t="shared" si="27"/>
        <v>High Sale</v>
      </c>
      <c r="U249" s="21">
        <f t="shared" si="21"/>
        <v>4829.8899999999994</v>
      </c>
      <c r="AL249" s="12"/>
    </row>
    <row r="250" spans="1:38" x14ac:dyDescent="0.3">
      <c r="A250" s="20" t="s">
        <v>397</v>
      </c>
      <c r="B250" s="16">
        <v>45758</v>
      </c>
      <c r="C250" s="15" t="s">
        <v>226</v>
      </c>
      <c r="D250" s="15" t="s">
        <v>227</v>
      </c>
      <c r="E250" s="15" t="s">
        <v>117</v>
      </c>
      <c r="F250" s="15" t="s">
        <v>118</v>
      </c>
      <c r="G250" s="15" t="s">
        <v>19</v>
      </c>
      <c r="H250" s="15">
        <v>2</v>
      </c>
      <c r="I250" s="15">
        <v>89.99</v>
      </c>
      <c r="J250" s="15" t="s">
        <v>57</v>
      </c>
      <c r="K250" s="15" t="s">
        <v>63</v>
      </c>
      <c r="L250" s="15" t="s">
        <v>22</v>
      </c>
      <c r="M250" s="16">
        <v>45088</v>
      </c>
      <c r="N250" s="17">
        <v>179.98</v>
      </c>
      <c r="O250" s="12" t="str">
        <f t="shared" si="22"/>
        <v>Apr</v>
      </c>
      <c r="P250" s="12">
        <f t="shared" si="23"/>
        <v>2025</v>
      </c>
      <c r="Q250" s="12">
        <f t="shared" ca="1" si="24"/>
        <v>1016</v>
      </c>
      <c r="R250" s="12">
        <f t="shared" si="25"/>
        <v>45777</v>
      </c>
      <c r="S250" s="18">
        <f t="shared" ca="1" si="26"/>
        <v>46104.411816550928</v>
      </c>
      <c r="T250" s="12" t="str">
        <f t="shared" si="27"/>
        <v>Low Sale</v>
      </c>
      <c r="U250" s="21">
        <f t="shared" si="21"/>
        <v>6989.7699999999986</v>
      </c>
      <c r="AL250" s="12"/>
    </row>
    <row r="251" spans="1:38" x14ac:dyDescent="0.3">
      <c r="A251" s="27" t="s">
        <v>398</v>
      </c>
      <c r="B251" s="28">
        <v>45758</v>
      </c>
      <c r="C251" s="29" t="s">
        <v>138</v>
      </c>
      <c r="D251" s="29" t="s">
        <v>139</v>
      </c>
      <c r="E251" s="29" t="s">
        <v>117</v>
      </c>
      <c r="F251" s="29" t="s">
        <v>118</v>
      </c>
      <c r="G251" s="29" t="s">
        <v>19</v>
      </c>
      <c r="H251" s="29">
        <v>3</v>
      </c>
      <c r="I251" s="29">
        <v>89.99</v>
      </c>
      <c r="J251" s="29" t="s">
        <v>57</v>
      </c>
      <c r="K251" s="29" t="s">
        <v>40</v>
      </c>
      <c r="L251" s="29" t="s">
        <v>27</v>
      </c>
      <c r="M251" s="28">
        <v>44878</v>
      </c>
      <c r="N251" s="30">
        <v>269.97000000000003</v>
      </c>
      <c r="O251" s="31" t="str">
        <f t="shared" si="22"/>
        <v>Apr</v>
      </c>
      <c r="P251" s="31">
        <f t="shared" si="23"/>
        <v>2025</v>
      </c>
      <c r="Q251" s="31">
        <f t="shared" ca="1" si="24"/>
        <v>1226</v>
      </c>
      <c r="R251" s="31">
        <f t="shared" si="25"/>
        <v>45777</v>
      </c>
      <c r="S251" s="32">
        <f t="shared" ca="1" si="26"/>
        <v>46104.411816550928</v>
      </c>
      <c r="T251" s="31" t="str">
        <f t="shared" si="27"/>
        <v>Low Sale</v>
      </c>
      <c r="U251" s="33">
        <f t="shared" si="21"/>
        <v>2649.83</v>
      </c>
      <c r="AL251" s="12"/>
    </row>
  </sheetData>
  <mergeCells count="1">
    <mergeCell ref="AA1:AF1"/>
  </mergeCells>
  <conditionalFormatting sqref="H1:H1048576">
    <cfRule type="iconSet" priority="2">
      <iconSet>
        <cfvo type="percent" val="0"/>
        <cfvo type="percent" val="33"/>
        <cfvo type="percent" val="67"/>
      </iconSet>
    </cfRule>
  </conditionalFormatting>
  <conditionalFormatting sqref="I1:I1048576">
    <cfRule type="dataBar" priority="1">
      <dataBar>
        <cfvo type="min"/>
        <cfvo type="max"/>
        <color rgb="FFD6007B"/>
      </dataBar>
      <extLst>
        <ext xmlns:x14="http://schemas.microsoft.com/office/spreadsheetml/2009/9/main" uri="{B025F937-C7B1-47D3-B67F-A62EFF666E3E}">
          <x14:id>{1202A444-B94A-419C-9656-9683918BB5EC}</x14:id>
        </ext>
      </extLst>
    </cfRule>
  </conditionalFormatting>
  <conditionalFormatting sqref="N1:N1048576">
    <cfRule type="iconSet" priority="3">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202A444-B94A-419C-9656-9683918BB5EC}">
            <x14:dataBar minLength="0" maxLength="100" border="1" negativeBarBorderColorSameAsPositive="0">
              <x14:cfvo type="autoMin"/>
              <x14:cfvo type="autoMax"/>
              <x14:borderColor rgb="FFD6007B"/>
              <x14:negativeFillColor rgb="FFFF0000"/>
              <x14:negativeBorderColor rgb="FFFF0000"/>
              <x14:axisColor rgb="FF000000"/>
            </x14:dataBar>
          </x14:cfRule>
          <xm:sqref>I1:I1048576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F945-68AD-4DF1-B73A-4522FE4C2C25}">
  <dimension ref="E3:E50"/>
  <sheetViews>
    <sheetView workbookViewId="0">
      <selection activeCell="D39" sqref="D39"/>
    </sheetView>
  </sheetViews>
  <sheetFormatPr defaultRowHeight="14.4" x14ac:dyDescent="0.3"/>
  <sheetData>
    <row r="3" spans="5:5" ht="23.4" x14ac:dyDescent="0.3">
      <c r="E3" s="8"/>
    </row>
    <row r="46" spans="5:5" x14ac:dyDescent="0.3">
      <c r="E46" s="9"/>
    </row>
    <row r="47" spans="5:5" x14ac:dyDescent="0.3">
      <c r="E47" s="9"/>
    </row>
    <row r="48" spans="5:5" x14ac:dyDescent="0.3">
      <c r="E48" s="9"/>
    </row>
    <row r="49" spans="5:5" x14ac:dyDescent="0.3">
      <c r="E49" s="9"/>
    </row>
    <row r="50" spans="5:5" x14ac:dyDescent="0.3">
      <c r="E50"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9CF1-370A-4799-931F-2E5AD642C7A2}">
  <dimension ref="A1:P251"/>
  <sheetViews>
    <sheetView tabSelected="1" workbookViewId="0">
      <selection activeCell="H14" sqref="H14"/>
    </sheetView>
  </sheetViews>
  <sheetFormatPr defaultRowHeight="14.4" x14ac:dyDescent="0.3"/>
  <cols>
    <col min="1" max="1" width="19.77734375" customWidth="1"/>
    <col min="2" max="2" width="13.5546875" customWidth="1"/>
    <col min="3" max="3" width="13.77734375" customWidth="1"/>
    <col min="5" max="5" width="16.5546875" customWidth="1"/>
    <col min="6" max="6" width="13.44140625" customWidth="1"/>
    <col min="7" max="7" width="15.5546875" customWidth="1"/>
    <col min="14" max="14" width="15.88671875" customWidth="1"/>
    <col min="15" max="15" width="15.44140625" customWidth="1"/>
    <col min="16" max="16" width="14.109375" customWidth="1"/>
    <col min="17" max="17" width="14" customWidth="1"/>
  </cols>
  <sheetData>
    <row r="1" spans="1:16" x14ac:dyDescent="0.3">
      <c r="B1" s="45"/>
      <c r="C1" s="46"/>
    </row>
    <row r="2" spans="1:16" ht="18" x14ac:dyDescent="0.35">
      <c r="A2" s="66" t="s">
        <v>443</v>
      </c>
      <c r="B2" s="66"/>
      <c r="C2" s="66"/>
      <c r="D2" s="66"/>
      <c r="F2" s="66" t="s">
        <v>444</v>
      </c>
      <c r="G2" s="66"/>
      <c r="H2" s="66"/>
      <c r="I2" s="66"/>
    </row>
    <row r="3" spans="1:16" x14ac:dyDescent="0.3">
      <c r="B3" s="47"/>
      <c r="C3" s="48"/>
    </row>
    <row r="4" spans="1:16" ht="15" thickBot="1" x14ac:dyDescent="0.35">
      <c r="A4" s="41" t="s">
        <v>5</v>
      </c>
      <c r="B4" s="41" t="s">
        <v>8</v>
      </c>
      <c r="C4" s="41" t="s">
        <v>442</v>
      </c>
      <c r="D4" s="41" t="s">
        <v>415</v>
      </c>
      <c r="E4" s="36"/>
      <c r="F4" s="41" t="s">
        <v>5</v>
      </c>
      <c r="G4" s="41" t="s">
        <v>8</v>
      </c>
      <c r="H4" s="41" t="s">
        <v>442</v>
      </c>
      <c r="I4" s="41" t="s">
        <v>415</v>
      </c>
    </row>
    <row r="5" spans="1:16" ht="15" thickBot="1" x14ac:dyDescent="0.35">
      <c r="A5" s="15" t="s">
        <v>18</v>
      </c>
      <c r="B5" s="42">
        <v>249.99</v>
      </c>
      <c r="C5" s="43">
        <v>1</v>
      </c>
      <c r="D5" s="43">
        <f>B5*C5</f>
        <v>249.99</v>
      </c>
      <c r="E5" s="44"/>
      <c r="F5" s="15" t="s">
        <v>18</v>
      </c>
      <c r="G5" s="15">
        <v>249.99</v>
      </c>
      <c r="H5" s="12">
        <v>20.00080003200128</v>
      </c>
      <c r="I5" s="12">
        <f>G5*H5</f>
        <v>5000</v>
      </c>
    </row>
    <row r="6" spans="1:16" ht="15" thickBot="1" x14ac:dyDescent="0.35">
      <c r="A6" s="15" t="s">
        <v>32</v>
      </c>
      <c r="B6" s="42">
        <v>59.99</v>
      </c>
      <c r="C6" s="43">
        <v>2</v>
      </c>
      <c r="D6" s="43">
        <f t="shared" ref="D6:D9" si="0">B6*C6</f>
        <v>119.98</v>
      </c>
      <c r="E6" s="44"/>
      <c r="F6" s="15" t="s">
        <v>32</v>
      </c>
      <c r="G6" s="15">
        <v>59.99</v>
      </c>
      <c r="H6" s="12">
        <v>20.003333888981494</v>
      </c>
      <c r="I6" s="12">
        <f t="shared" ref="I6:I9" si="1">G6*H6</f>
        <v>1199.9999999999998</v>
      </c>
    </row>
    <row r="7" spans="1:16" ht="15" thickBot="1" x14ac:dyDescent="0.35">
      <c r="A7" s="15" t="s">
        <v>45</v>
      </c>
      <c r="B7" s="42">
        <v>149.99</v>
      </c>
      <c r="C7" s="43">
        <v>4</v>
      </c>
      <c r="D7" s="43">
        <f t="shared" si="0"/>
        <v>599.96</v>
      </c>
      <c r="E7" s="44"/>
      <c r="F7" s="15" t="s">
        <v>45</v>
      </c>
      <c r="G7" s="15">
        <v>149.99</v>
      </c>
      <c r="H7" s="12">
        <v>5.3336889125941722</v>
      </c>
      <c r="I7" s="12">
        <f t="shared" si="1"/>
        <v>799.99999999999989</v>
      </c>
    </row>
    <row r="8" spans="1:16" ht="16.8" customHeight="1" thickBot="1" x14ac:dyDescent="0.35">
      <c r="A8" s="15" t="s">
        <v>53</v>
      </c>
      <c r="B8" s="42">
        <v>149.99</v>
      </c>
      <c r="C8" s="43">
        <v>3</v>
      </c>
      <c r="D8" s="43">
        <f t="shared" si="0"/>
        <v>449.97</v>
      </c>
      <c r="E8" s="44"/>
      <c r="F8" s="15" t="s">
        <v>53</v>
      </c>
      <c r="G8" s="15">
        <v>149.99</v>
      </c>
      <c r="H8" s="12">
        <v>4.0002666844456298</v>
      </c>
      <c r="I8" s="12">
        <f t="shared" si="1"/>
        <v>600</v>
      </c>
    </row>
    <row r="9" spans="1:16" ht="15" thickBot="1" x14ac:dyDescent="0.35">
      <c r="A9" s="15" t="s">
        <v>62</v>
      </c>
      <c r="B9" s="42">
        <v>899.99</v>
      </c>
      <c r="C9" s="43">
        <v>1</v>
      </c>
      <c r="D9" s="43">
        <f t="shared" si="0"/>
        <v>899.99</v>
      </c>
      <c r="E9" s="44"/>
      <c r="F9" s="15" t="s">
        <v>62</v>
      </c>
      <c r="G9" s="15">
        <v>899.99</v>
      </c>
      <c r="H9" s="12">
        <v>1.4444604940054888</v>
      </c>
      <c r="I9" s="12">
        <f t="shared" si="1"/>
        <v>1300</v>
      </c>
    </row>
    <row r="10" spans="1:16" ht="15" thickBot="1" x14ac:dyDescent="0.35">
      <c r="B10" s="39"/>
      <c r="C10" s="40"/>
    </row>
    <row r="11" spans="1:16" ht="15" thickBot="1" x14ac:dyDescent="0.35">
      <c r="B11" s="37"/>
      <c r="C11" s="38"/>
    </row>
    <row r="12" spans="1:16" ht="15.6" customHeight="1" x14ac:dyDescent="0.35">
      <c r="A12" s="67" t="s">
        <v>445</v>
      </c>
      <c r="B12" s="68"/>
      <c r="C12" s="68"/>
      <c r="D12" s="68"/>
      <c r="F12" s="67" t="s">
        <v>446</v>
      </c>
      <c r="G12" s="68"/>
      <c r="H12" s="68"/>
      <c r="I12" s="68"/>
      <c r="K12" s="51" t="s">
        <v>457</v>
      </c>
      <c r="L12" s="51"/>
      <c r="M12" s="56"/>
      <c r="N12" s="56"/>
      <c r="O12" s="56"/>
      <c r="P12" s="56"/>
    </row>
    <row r="13" spans="1:16" ht="18.600000000000001" customHeight="1" thickBot="1" x14ac:dyDescent="0.35">
      <c r="B13" s="39"/>
      <c r="C13" s="40"/>
      <c r="G13" s="39"/>
      <c r="H13" s="40"/>
      <c r="K13" s="50"/>
      <c r="L13" s="50"/>
      <c r="M13" s="57" t="s">
        <v>459</v>
      </c>
      <c r="N13" s="57" t="s">
        <v>453</v>
      </c>
      <c r="O13" s="57" t="s">
        <v>455</v>
      </c>
      <c r="P13" s="57" t="s">
        <v>456</v>
      </c>
    </row>
    <row r="14" spans="1:16" ht="24" customHeight="1" x14ac:dyDescent="0.3">
      <c r="A14" s="41" t="s">
        <v>5</v>
      </c>
      <c r="B14" s="41" t="s">
        <v>8</v>
      </c>
      <c r="C14" s="41" t="s">
        <v>442</v>
      </c>
      <c r="D14" s="41" t="s">
        <v>415</v>
      </c>
      <c r="F14" s="41" t="s">
        <v>5</v>
      </c>
      <c r="G14" s="41" t="s">
        <v>8</v>
      </c>
      <c r="H14" s="41" t="s">
        <v>442</v>
      </c>
      <c r="I14" s="41" t="s">
        <v>415</v>
      </c>
      <c r="K14" s="53"/>
      <c r="L14" s="53"/>
      <c r="N14" s="59" t="s">
        <v>454</v>
      </c>
      <c r="O14" s="59" t="s">
        <v>454</v>
      </c>
      <c r="P14" s="59" t="s">
        <v>454</v>
      </c>
    </row>
    <row r="15" spans="1:16" x14ac:dyDescent="0.3">
      <c r="A15" s="15" t="s">
        <v>18</v>
      </c>
      <c r="B15" s="42">
        <v>249.99</v>
      </c>
      <c r="C15" s="43">
        <v>1</v>
      </c>
      <c r="D15" s="43">
        <f>B15*C15</f>
        <v>249.99</v>
      </c>
      <c r="F15" s="15" t="s">
        <v>18</v>
      </c>
      <c r="G15" s="42">
        <v>249.99</v>
      </c>
      <c r="H15" s="43">
        <v>3</v>
      </c>
      <c r="I15" s="43">
        <f>G15*H15</f>
        <v>749.97</v>
      </c>
      <c r="K15" s="54" t="s">
        <v>458</v>
      </c>
      <c r="L15" s="54"/>
      <c r="M15" s="52"/>
      <c r="N15" s="52"/>
      <c r="O15" s="52"/>
      <c r="P15" s="52"/>
    </row>
    <row r="16" spans="1:16" x14ac:dyDescent="0.3">
      <c r="A16" s="15" t="s">
        <v>32</v>
      </c>
      <c r="B16" s="42">
        <v>59.99</v>
      </c>
      <c r="C16" s="43">
        <v>2</v>
      </c>
      <c r="D16" s="43">
        <f t="shared" ref="D16:D19" si="2">B16*C16</f>
        <v>119.98</v>
      </c>
      <c r="F16" s="15" t="s">
        <v>32</v>
      </c>
      <c r="G16" s="42">
        <v>59.99</v>
      </c>
      <c r="H16" s="43">
        <v>2</v>
      </c>
      <c r="I16" s="43">
        <f t="shared" ref="I16:I19" si="3">G16*H16</f>
        <v>119.98</v>
      </c>
      <c r="K16" s="53"/>
      <c r="L16" s="53" t="s">
        <v>447</v>
      </c>
      <c r="M16">
        <v>3</v>
      </c>
      <c r="N16" s="58">
        <v>7</v>
      </c>
      <c r="O16" s="58">
        <v>1</v>
      </c>
      <c r="P16" s="58">
        <v>3</v>
      </c>
    </row>
    <row r="17" spans="1:16" x14ac:dyDescent="0.3">
      <c r="A17" s="15" t="s">
        <v>45</v>
      </c>
      <c r="B17" s="42">
        <v>149.99</v>
      </c>
      <c r="C17" s="43">
        <v>4</v>
      </c>
      <c r="D17" s="43">
        <f t="shared" si="2"/>
        <v>599.96</v>
      </c>
      <c r="F17" s="15" t="s">
        <v>45</v>
      </c>
      <c r="G17" s="42">
        <v>149.99</v>
      </c>
      <c r="H17" s="43">
        <v>4</v>
      </c>
      <c r="I17" s="43">
        <f t="shared" si="3"/>
        <v>599.96</v>
      </c>
      <c r="K17" s="53"/>
      <c r="L17" s="53" t="s">
        <v>448</v>
      </c>
      <c r="M17">
        <v>2</v>
      </c>
      <c r="N17" s="58">
        <v>8</v>
      </c>
      <c r="O17" s="58">
        <v>1</v>
      </c>
      <c r="P17" s="58">
        <v>2</v>
      </c>
    </row>
    <row r="18" spans="1:16" x14ac:dyDescent="0.3">
      <c r="A18" s="15" t="s">
        <v>53</v>
      </c>
      <c r="B18" s="42">
        <v>149.99</v>
      </c>
      <c r="C18" s="43">
        <v>3</v>
      </c>
      <c r="D18" s="43">
        <f t="shared" si="2"/>
        <v>449.97</v>
      </c>
      <c r="F18" s="15" t="s">
        <v>53</v>
      </c>
      <c r="G18" s="42">
        <v>149.99</v>
      </c>
      <c r="H18" s="43">
        <v>3</v>
      </c>
      <c r="I18" s="43">
        <f t="shared" si="3"/>
        <v>449.97</v>
      </c>
      <c r="K18" s="53"/>
      <c r="L18" s="53" t="s">
        <v>449</v>
      </c>
      <c r="M18">
        <v>4</v>
      </c>
      <c r="N18" s="58">
        <v>9</v>
      </c>
      <c r="O18" s="58">
        <v>1</v>
      </c>
      <c r="P18" s="58">
        <v>4</v>
      </c>
    </row>
    <row r="19" spans="1:16" ht="15" thickBot="1" x14ac:dyDescent="0.35">
      <c r="A19" s="15" t="s">
        <v>62</v>
      </c>
      <c r="B19" s="42">
        <v>899.99</v>
      </c>
      <c r="C19" s="43">
        <v>1</v>
      </c>
      <c r="D19" s="43">
        <f t="shared" si="2"/>
        <v>899.99</v>
      </c>
      <c r="F19" s="15" t="s">
        <v>62</v>
      </c>
      <c r="G19" s="42">
        <v>899.99</v>
      </c>
      <c r="H19" s="43">
        <v>1</v>
      </c>
      <c r="I19" s="43">
        <f t="shared" si="3"/>
        <v>899.99</v>
      </c>
      <c r="K19" s="53"/>
      <c r="L19" s="53" t="s">
        <v>450</v>
      </c>
      <c r="M19">
        <v>3</v>
      </c>
      <c r="N19" s="58">
        <v>8</v>
      </c>
      <c r="O19" s="58">
        <v>1</v>
      </c>
      <c r="P19" s="58">
        <v>3</v>
      </c>
    </row>
    <row r="20" spans="1:16" ht="15" thickBot="1" x14ac:dyDescent="0.35">
      <c r="B20" s="4"/>
      <c r="C20" s="6"/>
      <c r="K20" s="53"/>
      <c r="L20" s="53" t="s">
        <v>451</v>
      </c>
      <c r="M20">
        <v>1</v>
      </c>
      <c r="N20" s="58">
        <v>9</v>
      </c>
      <c r="O20" s="58">
        <v>1</v>
      </c>
      <c r="P20" s="58">
        <v>1</v>
      </c>
    </row>
    <row r="21" spans="1:16" ht="15" thickBot="1" x14ac:dyDescent="0.35">
      <c r="B21" s="4"/>
      <c r="C21" s="6"/>
      <c r="K21" s="54" t="s">
        <v>460</v>
      </c>
      <c r="L21" s="54"/>
      <c r="M21" s="52"/>
      <c r="N21" s="52"/>
      <c r="O21" s="52"/>
      <c r="P21" s="52"/>
    </row>
    <row r="22" spans="1:16" ht="15" thickBot="1" x14ac:dyDescent="0.35">
      <c r="B22" s="4"/>
      <c r="C22" s="6"/>
      <c r="K22" s="55"/>
      <c r="L22" s="55" t="s">
        <v>452</v>
      </c>
      <c r="M22" s="49"/>
      <c r="N22" s="49"/>
      <c r="O22" s="49"/>
      <c r="P22" s="49"/>
    </row>
    <row r="23" spans="1:16" ht="15" thickBot="1" x14ac:dyDescent="0.35">
      <c r="B23" s="4"/>
      <c r="C23" s="6"/>
      <c r="K23" s="36" t="s">
        <v>461</v>
      </c>
      <c r="L23" s="36"/>
      <c r="M23" s="36"/>
      <c r="N23" s="36"/>
      <c r="O23" s="36"/>
      <c r="P23" s="36"/>
    </row>
    <row r="24" spans="1:16" ht="15" thickBot="1" x14ac:dyDescent="0.35">
      <c r="B24" s="4"/>
      <c r="C24" s="6"/>
      <c r="K24" s="36" t="s">
        <v>462</v>
      </c>
      <c r="L24" s="36"/>
      <c r="M24" s="36"/>
      <c r="N24" s="36"/>
      <c r="O24" s="36"/>
      <c r="P24" s="36"/>
    </row>
    <row r="25" spans="1:16" ht="15" thickBot="1" x14ac:dyDescent="0.35">
      <c r="B25" s="4"/>
      <c r="C25" s="6"/>
      <c r="K25" s="36" t="s">
        <v>463</v>
      </c>
      <c r="L25" s="36"/>
      <c r="M25" s="36"/>
      <c r="N25" s="36"/>
      <c r="O25" s="36"/>
      <c r="P25" s="36"/>
    </row>
    <row r="26" spans="1:16" ht="15" thickBot="1" x14ac:dyDescent="0.35">
      <c r="B26" s="4"/>
      <c r="C26" s="6"/>
    </row>
    <row r="27" spans="1:16" ht="15" thickBot="1" x14ac:dyDescent="0.35">
      <c r="B27" s="4"/>
      <c r="C27" s="6"/>
    </row>
    <row r="28" spans="1:16" ht="15" thickBot="1" x14ac:dyDescent="0.35">
      <c r="B28" s="4"/>
      <c r="C28" s="6"/>
    </row>
    <row r="29" spans="1:16" ht="15" thickBot="1" x14ac:dyDescent="0.35">
      <c r="B29" s="4"/>
      <c r="C29" s="6"/>
    </row>
    <row r="30" spans="1:16" ht="15" thickBot="1" x14ac:dyDescent="0.35">
      <c r="B30" s="4"/>
      <c r="C30" s="6"/>
    </row>
    <row r="31" spans="1:16" ht="15" thickBot="1" x14ac:dyDescent="0.35">
      <c r="B31" s="4"/>
      <c r="C31" s="6"/>
    </row>
    <row r="32" spans="1:16" ht="15" thickBot="1" x14ac:dyDescent="0.35">
      <c r="B32" s="4"/>
      <c r="C32" s="6"/>
    </row>
    <row r="33" spans="2:3" ht="15" thickBot="1" x14ac:dyDescent="0.35">
      <c r="B33" s="4"/>
      <c r="C33" s="6"/>
    </row>
    <row r="34" spans="2:3" ht="15" thickBot="1" x14ac:dyDescent="0.35">
      <c r="B34" s="4"/>
      <c r="C34" s="6"/>
    </row>
    <row r="35" spans="2:3" ht="15" thickBot="1" x14ac:dyDescent="0.35">
      <c r="B35" s="4"/>
      <c r="C35" s="6"/>
    </row>
    <row r="36" spans="2:3" ht="15" thickBot="1" x14ac:dyDescent="0.35">
      <c r="B36" s="4"/>
      <c r="C36" s="6"/>
    </row>
    <row r="37" spans="2:3" ht="15" thickBot="1" x14ac:dyDescent="0.35">
      <c r="B37" s="4"/>
      <c r="C37" s="6"/>
    </row>
    <row r="38" spans="2:3" ht="15" thickBot="1" x14ac:dyDescent="0.35">
      <c r="B38" s="4"/>
      <c r="C38" s="6"/>
    </row>
    <row r="39" spans="2:3" ht="15" thickBot="1" x14ac:dyDescent="0.35">
      <c r="B39" s="4"/>
      <c r="C39" s="6"/>
    </row>
    <row r="40" spans="2:3" ht="15" thickBot="1" x14ac:dyDescent="0.35">
      <c r="B40" s="4"/>
      <c r="C40" s="6"/>
    </row>
    <row r="41" spans="2:3" ht="15" thickBot="1" x14ac:dyDescent="0.35">
      <c r="B41" s="4"/>
      <c r="C41" s="6"/>
    </row>
    <row r="42" spans="2:3" ht="15" thickBot="1" x14ac:dyDescent="0.35">
      <c r="B42" s="4"/>
      <c r="C42" s="6"/>
    </row>
    <row r="43" spans="2:3" ht="15" thickBot="1" x14ac:dyDescent="0.35">
      <c r="B43" s="4"/>
      <c r="C43" s="6"/>
    </row>
    <row r="44" spans="2:3" ht="15" thickBot="1" x14ac:dyDescent="0.35">
      <c r="B44" s="4"/>
      <c r="C44" s="6"/>
    </row>
    <row r="45" spans="2:3" ht="15" thickBot="1" x14ac:dyDescent="0.35">
      <c r="B45" s="4"/>
      <c r="C45" s="6"/>
    </row>
    <row r="46" spans="2:3" ht="15" thickBot="1" x14ac:dyDescent="0.35">
      <c r="B46" s="4"/>
      <c r="C46" s="6"/>
    </row>
    <row r="47" spans="2:3" ht="15" thickBot="1" x14ac:dyDescent="0.35">
      <c r="B47" s="4"/>
      <c r="C47" s="6"/>
    </row>
    <row r="48" spans="2:3" ht="15" thickBot="1" x14ac:dyDescent="0.35">
      <c r="B48" s="4"/>
      <c r="C48" s="6"/>
    </row>
    <row r="49" spans="2:3" ht="15" thickBot="1" x14ac:dyDescent="0.35">
      <c r="B49" s="4"/>
      <c r="C49" s="6"/>
    </row>
    <row r="50" spans="2:3" ht="15" thickBot="1" x14ac:dyDescent="0.35">
      <c r="B50" s="4"/>
      <c r="C50" s="6"/>
    </row>
    <row r="51" spans="2:3" ht="15" thickBot="1" x14ac:dyDescent="0.35">
      <c r="B51" s="4"/>
      <c r="C51" s="6"/>
    </row>
    <row r="52" spans="2:3" ht="15" thickBot="1" x14ac:dyDescent="0.35">
      <c r="B52" s="4"/>
      <c r="C52" s="6"/>
    </row>
    <row r="53" spans="2:3" ht="15" thickBot="1" x14ac:dyDescent="0.35">
      <c r="B53" s="4"/>
      <c r="C53" s="6"/>
    </row>
    <row r="54" spans="2:3" ht="15" thickBot="1" x14ac:dyDescent="0.35">
      <c r="B54" s="4"/>
      <c r="C54" s="6"/>
    </row>
    <row r="55" spans="2:3" ht="15" thickBot="1" x14ac:dyDescent="0.35">
      <c r="B55" s="4"/>
      <c r="C55" s="6"/>
    </row>
    <row r="56" spans="2:3" ht="15" thickBot="1" x14ac:dyDescent="0.35">
      <c r="B56" s="4"/>
      <c r="C56" s="6"/>
    </row>
    <row r="57" spans="2:3" ht="15" thickBot="1" x14ac:dyDescent="0.35">
      <c r="B57" s="4"/>
      <c r="C57" s="6"/>
    </row>
    <row r="58" spans="2:3" ht="15" thickBot="1" x14ac:dyDescent="0.35">
      <c r="B58" s="4"/>
      <c r="C58" s="6"/>
    </row>
    <row r="59" spans="2:3" ht="15" thickBot="1" x14ac:dyDescent="0.35">
      <c r="B59" s="4"/>
      <c r="C59" s="6"/>
    </row>
    <row r="60" spans="2:3" ht="15" thickBot="1" x14ac:dyDescent="0.35">
      <c r="B60" s="4"/>
      <c r="C60" s="6"/>
    </row>
    <row r="61" spans="2:3" ht="15" thickBot="1" x14ac:dyDescent="0.35">
      <c r="B61" s="4"/>
      <c r="C61" s="6"/>
    </row>
    <row r="62" spans="2:3" ht="15" thickBot="1" x14ac:dyDescent="0.35">
      <c r="B62" s="4"/>
      <c r="C62" s="6"/>
    </row>
    <row r="63" spans="2:3" ht="15" thickBot="1" x14ac:dyDescent="0.35">
      <c r="B63" s="4"/>
      <c r="C63" s="6"/>
    </row>
    <row r="64" spans="2:3" ht="15" thickBot="1" x14ac:dyDescent="0.35">
      <c r="B64" s="4"/>
      <c r="C64" s="6"/>
    </row>
    <row r="65" spans="2:3" ht="15" thickBot="1" x14ac:dyDescent="0.35">
      <c r="B65" s="4"/>
      <c r="C65" s="6"/>
    </row>
    <row r="66" spans="2:3" ht="15" thickBot="1" x14ac:dyDescent="0.35">
      <c r="B66" s="4"/>
      <c r="C66" s="6"/>
    </row>
    <row r="67" spans="2:3" ht="15" thickBot="1" x14ac:dyDescent="0.35">
      <c r="B67" s="4"/>
      <c r="C67" s="6"/>
    </row>
    <row r="68" spans="2:3" ht="15" thickBot="1" x14ac:dyDescent="0.35">
      <c r="B68" s="4"/>
      <c r="C68" s="6"/>
    </row>
    <row r="69" spans="2:3" ht="15" thickBot="1" x14ac:dyDescent="0.35">
      <c r="B69" s="4"/>
      <c r="C69" s="6"/>
    </row>
    <row r="70" spans="2:3" ht="15" thickBot="1" x14ac:dyDescent="0.35">
      <c r="B70" s="4"/>
      <c r="C70" s="6"/>
    </row>
    <row r="71" spans="2:3" ht="15" thickBot="1" x14ac:dyDescent="0.35">
      <c r="B71" s="4"/>
      <c r="C71" s="6"/>
    </row>
    <row r="72" spans="2:3" ht="15" thickBot="1" x14ac:dyDescent="0.35">
      <c r="B72" s="4"/>
      <c r="C72" s="6"/>
    </row>
    <row r="73" spans="2:3" ht="15" thickBot="1" x14ac:dyDescent="0.35">
      <c r="B73" s="4"/>
      <c r="C73" s="6"/>
    </row>
    <row r="74" spans="2:3" ht="15" thickBot="1" x14ac:dyDescent="0.35">
      <c r="B74" s="4"/>
      <c r="C74" s="6"/>
    </row>
    <row r="75" spans="2:3" ht="15" thickBot="1" x14ac:dyDescent="0.35">
      <c r="B75" s="4"/>
      <c r="C75" s="6"/>
    </row>
    <row r="76" spans="2:3" ht="15" thickBot="1" x14ac:dyDescent="0.35">
      <c r="B76" s="4"/>
      <c r="C76" s="6"/>
    </row>
    <row r="77" spans="2:3" ht="15" thickBot="1" x14ac:dyDescent="0.35">
      <c r="B77" s="4"/>
      <c r="C77" s="6"/>
    </row>
    <row r="78" spans="2:3" ht="15" thickBot="1" x14ac:dyDescent="0.35">
      <c r="B78" s="4"/>
      <c r="C78" s="6"/>
    </row>
    <row r="79" spans="2:3" ht="15" thickBot="1" x14ac:dyDescent="0.35">
      <c r="B79" s="4"/>
      <c r="C79" s="6"/>
    </row>
    <row r="80" spans="2:3" ht="15" thickBot="1" x14ac:dyDescent="0.35">
      <c r="B80" s="4"/>
      <c r="C80" s="6"/>
    </row>
    <row r="81" spans="2:3" ht="15" thickBot="1" x14ac:dyDescent="0.35">
      <c r="B81" s="4"/>
      <c r="C81" s="6"/>
    </row>
    <row r="82" spans="2:3" ht="15" thickBot="1" x14ac:dyDescent="0.35">
      <c r="B82" s="4"/>
      <c r="C82" s="6"/>
    </row>
    <row r="83" spans="2:3" ht="15" thickBot="1" x14ac:dyDescent="0.35">
      <c r="B83" s="4"/>
      <c r="C83" s="6"/>
    </row>
    <row r="84" spans="2:3" ht="15" thickBot="1" x14ac:dyDescent="0.35">
      <c r="B84" s="4"/>
      <c r="C84" s="6"/>
    </row>
    <row r="85" spans="2:3" ht="15" thickBot="1" x14ac:dyDescent="0.35">
      <c r="B85" s="4"/>
      <c r="C85" s="6"/>
    </row>
    <row r="86" spans="2:3" ht="15" thickBot="1" x14ac:dyDescent="0.35">
      <c r="B86" s="4"/>
      <c r="C86" s="6"/>
    </row>
    <row r="87" spans="2:3" ht="15" thickBot="1" x14ac:dyDescent="0.35">
      <c r="B87" s="4"/>
      <c r="C87" s="6"/>
    </row>
    <row r="88" spans="2:3" ht="15" thickBot="1" x14ac:dyDescent="0.35">
      <c r="B88" s="4"/>
      <c r="C88" s="6"/>
    </row>
    <row r="89" spans="2:3" ht="15" thickBot="1" x14ac:dyDescent="0.35">
      <c r="B89" s="4"/>
      <c r="C89" s="6"/>
    </row>
    <row r="90" spans="2:3" ht="15" thickBot="1" x14ac:dyDescent="0.35">
      <c r="B90" s="4"/>
      <c r="C90" s="6"/>
    </row>
    <row r="91" spans="2:3" ht="15" thickBot="1" x14ac:dyDescent="0.35">
      <c r="B91" s="4"/>
      <c r="C91" s="6"/>
    </row>
    <row r="92" spans="2:3" ht="15" thickBot="1" x14ac:dyDescent="0.35">
      <c r="B92" s="4"/>
      <c r="C92" s="6"/>
    </row>
    <row r="93" spans="2:3" ht="15" thickBot="1" x14ac:dyDescent="0.35">
      <c r="B93" s="4"/>
      <c r="C93" s="6"/>
    </row>
    <row r="94" spans="2:3" ht="15" thickBot="1" x14ac:dyDescent="0.35">
      <c r="B94" s="4"/>
      <c r="C94" s="6"/>
    </row>
    <row r="95" spans="2:3" ht="15" thickBot="1" x14ac:dyDescent="0.35">
      <c r="B95" s="4"/>
      <c r="C95" s="6"/>
    </row>
    <row r="96" spans="2:3" ht="15" thickBot="1" x14ac:dyDescent="0.35">
      <c r="B96" s="4"/>
      <c r="C96" s="6"/>
    </row>
    <row r="97" spans="2:3" ht="15" thickBot="1" x14ac:dyDescent="0.35">
      <c r="B97" s="4"/>
      <c r="C97" s="6"/>
    </row>
    <row r="98" spans="2:3" ht="15" thickBot="1" x14ac:dyDescent="0.35">
      <c r="B98" s="4"/>
      <c r="C98" s="6"/>
    </row>
    <row r="99" spans="2:3" ht="15" thickBot="1" x14ac:dyDescent="0.35">
      <c r="B99" s="4"/>
      <c r="C99" s="6"/>
    </row>
    <row r="100" spans="2:3" ht="15" thickBot="1" x14ac:dyDescent="0.35">
      <c r="B100" s="4"/>
      <c r="C100" s="6"/>
    </row>
    <row r="101" spans="2:3" ht="15" thickBot="1" x14ac:dyDescent="0.35">
      <c r="B101" s="4"/>
      <c r="C101" s="6"/>
    </row>
    <row r="102" spans="2:3" ht="15" thickBot="1" x14ac:dyDescent="0.35">
      <c r="B102" s="4"/>
      <c r="C102" s="6"/>
    </row>
    <row r="103" spans="2:3" ht="15" thickBot="1" x14ac:dyDescent="0.35">
      <c r="B103" s="4"/>
      <c r="C103" s="6"/>
    </row>
    <row r="104" spans="2:3" ht="15" thickBot="1" x14ac:dyDescent="0.35">
      <c r="B104" s="4"/>
      <c r="C104" s="6"/>
    </row>
    <row r="105" spans="2:3" ht="15" thickBot="1" x14ac:dyDescent="0.35">
      <c r="B105" s="4"/>
      <c r="C105" s="6"/>
    </row>
    <row r="106" spans="2:3" ht="15" thickBot="1" x14ac:dyDescent="0.35">
      <c r="B106" s="4"/>
      <c r="C106" s="6"/>
    </row>
    <row r="107" spans="2:3" ht="15" thickBot="1" x14ac:dyDescent="0.35">
      <c r="B107" s="4"/>
      <c r="C107" s="6"/>
    </row>
    <row r="108" spans="2:3" ht="15" thickBot="1" x14ac:dyDescent="0.35">
      <c r="B108" s="4"/>
      <c r="C108" s="6"/>
    </row>
    <row r="109" spans="2:3" ht="15" thickBot="1" x14ac:dyDescent="0.35">
      <c r="B109" s="4"/>
      <c r="C109" s="6"/>
    </row>
    <row r="110" spans="2:3" ht="15" thickBot="1" x14ac:dyDescent="0.35">
      <c r="B110" s="4"/>
      <c r="C110" s="6"/>
    </row>
    <row r="111" spans="2:3" ht="15" thickBot="1" x14ac:dyDescent="0.35">
      <c r="B111" s="4"/>
      <c r="C111" s="6"/>
    </row>
    <row r="112" spans="2:3" ht="15" thickBot="1" x14ac:dyDescent="0.35">
      <c r="B112" s="4"/>
      <c r="C112" s="6"/>
    </row>
    <row r="113" spans="2:3" ht="15" thickBot="1" x14ac:dyDescent="0.35">
      <c r="B113" s="4"/>
      <c r="C113" s="6"/>
    </row>
    <row r="114" spans="2:3" ht="15" thickBot="1" x14ac:dyDescent="0.35">
      <c r="B114" s="4"/>
      <c r="C114" s="6"/>
    </row>
    <row r="115" spans="2:3" ht="15" thickBot="1" x14ac:dyDescent="0.35">
      <c r="B115" s="4"/>
      <c r="C115" s="6"/>
    </row>
    <row r="116" spans="2:3" ht="15" thickBot="1" x14ac:dyDescent="0.35">
      <c r="B116" s="4"/>
      <c r="C116" s="6"/>
    </row>
    <row r="117" spans="2:3" ht="15" thickBot="1" x14ac:dyDescent="0.35">
      <c r="B117" s="4"/>
      <c r="C117" s="6"/>
    </row>
    <row r="118" spans="2:3" ht="15" thickBot="1" x14ac:dyDescent="0.35">
      <c r="B118" s="4"/>
      <c r="C118" s="6"/>
    </row>
    <row r="119" spans="2:3" ht="15" thickBot="1" x14ac:dyDescent="0.35">
      <c r="B119" s="4"/>
      <c r="C119" s="6"/>
    </row>
    <row r="120" spans="2:3" ht="15" thickBot="1" x14ac:dyDescent="0.35">
      <c r="B120" s="4"/>
      <c r="C120" s="6"/>
    </row>
    <row r="121" spans="2:3" ht="15" thickBot="1" x14ac:dyDescent="0.35">
      <c r="B121" s="4"/>
      <c r="C121" s="6"/>
    </row>
    <row r="122" spans="2:3" ht="15" thickBot="1" x14ac:dyDescent="0.35">
      <c r="B122" s="4"/>
      <c r="C122" s="6"/>
    </row>
    <row r="123" spans="2:3" ht="15" thickBot="1" x14ac:dyDescent="0.35">
      <c r="B123" s="4"/>
      <c r="C123" s="6"/>
    </row>
    <row r="124" spans="2:3" ht="15" thickBot="1" x14ac:dyDescent="0.35">
      <c r="B124" s="4"/>
      <c r="C124" s="6"/>
    </row>
    <row r="125" spans="2:3" ht="15" thickBot="1" x14ac:dyDescent="0.35">
      <c r="B125" s="4"/>
      <c r="C125" s="6"/>
    </row>
    <row r="126" spans="2:3" ht="15" thickBot="1" x14ac:dyDescent="0.35">
      <c r="B126" s="4"/>
      <c r="C126" s="6"/>
    </row>
    <row r="127" spans="2:3" ht="15" thickBot="1" x14ac:dyDescent="0.35">
      <c r="B127" s="4"/>
      <c r="C127" s="6"/>
    </row>
    <row r="128" spans="2:3" ht="15" thickBot="1" x14ac:dyDescent="0.35">
      <c r="B128" s="4"/>
      <c r="C128" s="6"/>
    </row>
    <row r="129" spans="2:3" ht="15" thickBot="1" x14ac:dyDescent="0.35">
      <c r="B129" s="4"/>
      <c r="C129" s="6"/>
    </row>
    <row r="130" spans="2:3" ht="15" thickBot="1" x14ac:dyDescent="0.35">
      <c r="B130" s="4"/>
      <c r="C130" s="6"/>
    </row>
    <row r="131" spans="2:3" ht="15" thickBot="1" x14ac:dyDescent="0.35">
      <c r="B131" s="4"/>
      <c r="C131" s="6"/>
    </row>
    <row r="132" spans="2:3" ht="15" thickBot="1" x14ac:dyDescent="0.35">
      <c r="B132" s="4"/>
      <c r="C132" s="6"/>
    </row>
    <row r="133" spans="2:3" ht="15" thickBot="1" x14ac:dyDescent="0.35">
      <c r="B133" s="4"/>
      <c r="C133" s="6"/>
    </row>
    <row r="134" spans="2:3" ht="15" thickBot="1" x14ac:dyDescent="0.35">
      <c r="B134" s="4"/>
      <c r="C134" s="6"/>
    </row>
    <row r="135" spans="2:3" ht="15" thickBot="1" x14ac:dyDescent="0.35">
      <c r="B135" s="4"/>
      <c r="C135" s="6"/>
    </row>
    <row r="136" spans="2:3" ht="15" thickBot="1" x14ac:dyDescent="0.35">
      <c r="B136" s="4"/>
      <c r="C136" s="6"/>
    </row>
    <row r="137" spans="2:3" ht="15" thickBot="1" x14ac:dyDescent="0.35">
      <c r="B137" s="4"/>
      <c r="C137" s="6"/>
    </row>
    <row r="138" spans="2:3" ht="15" thickBot="1" x14ac:dyDescent="0.35">
      <c r="B138" s="4"/>
      <c r="C138" s="6"/>
    </row>
    <row r="139" spans="2:3" ht="15" thickBot="1" x14ac:dyDescent="0.35">
      <c r="B139" s="4"/>
      <c r="C139" s="6"/>
    </row>
    <row r="140" spans="2:3" ht="15" thickBot="1" x14ac:dyDescent="0.35">
      <c r="B140" s="4"/>
      <c r="C140" s="6"/>
    </row>
    <row r="141" spans="2:3" ht="15" thickBot="1" x14ac:dyDescent="0.35">
      <c r="B141" s="4"/>
      <c r="C141" s="6"/>
    </row>
    <row r="142" spans="2:3" ht="15" thickBot="1" x14ac:dyDescent="0.35">
      <c r="B142" s="4"/>
      <c r="C142" s="6"/>
    </row>
    <row r="143" spans="2:3" ht="15" thickBot="1" x14ac:dyDescent="0.35">
      <c r="B143" s="4"/>
      <c r="C143" s="6"/>
    </row>
    <row r="144" spans="2:3" ht="15" thickBot="1" x14ac:dyDescent="0.35">
      <c r="B144" s="4"/>
      <c r="C144" s="6"/>
    </row>
    <row r="145" spans="2:3" ht="15" thickBot="1" x14ac:dyDescent="0.35">
      <c r="B145" s="4"/>
      <c r="C145" s="6"/>
    </row>
    <row r="146" spans="2:3" ht="15" thickBot="1" x14ac:dyDescent="0.35">
      <c r="B146" s="4"/>
      <c r="C146" s="6"/>
    </row>
    <row r="147" spans="2:3" ht="15" thickBot="1" x14ac:dyDescent="0.35">
      <c r="B147" s="4"/>
      <c r="C147" s="6"/>
    </row>
    <row r="148" spans="2:3" ht="15" thickBot="1" x14ac:dyDescent="0.35">
      <c r="B148" s="4"/>
      <c r="C148" s="6"/>
    </row>
    <row r="149" spans="2:3" ht="15" thickBot="1" x14ac:dyDescent="0.35">
      <c r="B149" s="4"/>
      <c r="C149" s="6"/>
    </row>
    <row r="150" spans="2:3" ht="15" thickBot="1" x14ac:dyDescent="0.35">
      <c r="B150" s="4"/>
      <c r="C150" s="6"/>
    </row>
    <row r="151" spans="2:3" ht="15" thickBot="1" x14ac:dyDescent="0.35">
      <c r="B151" s="4"/>
      <c r="C151" s="6"/>
    </row>
    <row r="152" spans="2:3" ht="15" thickBot="1" x14ac:dyDescent="0.35">
      <c r="B152" s="4"/>
      <c r="C152" s="6"/>
    </row>
    <row r="153" spans="2:3" ht="15" thickBot="1" x14ac:dyDescent="0.35">
      <c r="B153" s="4"/>
      <c r="C153" s="6"/>
    </row>
    <row r="154" spans="2:3" ht="15" thickBot="1" x14ac:dyDescent="0.35">
      <c r="B154" s="4"/>
      <c r="C154" s="6"/>
    </row>
    <row r="155" spans="2:3" ht="15" thickBot="1" x14ac:dyDescent="0.35">
      <c r="B155" s="4"/>
      <c r="C155" s="6"/>
    </row>
    <row r="156" spans="2:3" ht="15" thickBot="1" x14ac:dyDescent="0.35">
      <c r="B156" s="4"/>
      <c r="C156" s="6"/>
    </row>
    <row r="157" spans="2:3" ht="15" thickBot="1" x14ac:dyDescent="0.35">
      <c r="B157" s="4"/>
      <c r="C157" s="6"/>
    </row>
    <row r="158" spans="2:3" ht="15" thickBot="1" x14ac:dyDescent="0.35">
      <c r="B158" s="4"/>
      <c r="C158" s="6"/>
    </row>
    <row r="159" spans="2:3" ht="15" thickBot="1" x14ac:dyDescent="0.35">
      <c r="B159" s="4"/>
      <c r="C159" s="6"/>
    </row>
    <row r="160" spans="2:3" ht="15" thickBot="1" x14ac:dyDescent="0.35">
      <c r="B160" s="4"/>
      <c r="C160" s="6"/>
    </row>
    <row r="161" spans="2:3" ht="15" thickBot="1" x14ac:dyDescent="0.35">
      <c r="B161" s="4"/>
      <c r="C161" s="6"/>
    </row>
    <row r="162" spans="2:3" ht="15" thickBot="1" x14ac:dyDescent="0.35">
      <c r="B162" s="4"/>
      <c r="C162" s="6"/>
    </row>
    <row r="163" spans="2:3" ht="15" thickBot="1" x14ac:dyDescent="0.35">
      <c r="B163" s="4"/>
      <c r="C163" s="6"/>
    </row>
    <row r="164" spans="2:3" ht="15" thickBot="1" x14ac:dyDescent="0.35">
      <c r="B164" s="4"/>
      <c r="C164" s="6"/>
    </row>
    <row r="165" spans="2:3" ht="15" thickBot="1" x14ac:dyDescent="0.35">
      <c r="B165" s="4"/>
      <c r="C165" s="6"/>
    </row>
    <row r="166" spans="2:3" ht="15" thickBot="1" x14ac:dyDescent="0.35">
      <c r="B166" s="4"/>
      <c r="C166" s="6"/>
    </row>
    <row r="167" spans="2:3" ht="15" thickBot="1" x14ac:dyDescent="0.35">
      <c r="B167" s="4"/>
      <c r="C167" s="6"/>
    </row>
    <row r="168" spans="2:3" ht="15" thickBot="1" x14ac:dyDescent="0.35">
      <c r="B168" s="4"/>
      <c r="C168" s="6"/>
    </row>
    <row r="169" spans="2:3" ht="15" thickBot="1" x14ac:dyDescent="0.35">
      <c r="B169" s="4"/>
      <c r="C169" s="6"/>
    </row>
    <row r="170" spans="2:3" ht="15" thickBot="1" x14ac:dyDescent="0.35">
      <c r="B170" s="4"/>
      <c r="C170" s="6"/>
    </row>
    <row r="171" spans="2:3" ht="15" thickBot="1" x14ac:dyDescent="0.35">
      <c r="B171" s="4"/>
      <c r="C171" s="6"/>
    </row>
    <row r="172" spans="2:3" ht="15" thickBot="1" x14ac:dyDescent="0.35">
      <c r="B172" s="4"/>
      <c r="C172" s="6"/>
    </row>
    <row r="173" spans="2:3" ht="15" thickBot="1" x14ac:dyDescent="0.35">
      <c r="B173" s="4"/>
      <c r="C173" s="6"/>
    </row>
    <row r="174" spans="2:3" ht="15" thickBot="1" x14ac:dyDescent="0.35">
      <c r="B174" s="4"/>
      <c r="C174" s="6"/>
    </row>
    <row r="175" spans="2:3" ht="15" thickBot="1" x14ac:dyDescent="0.35">
      <c r="B175" s="4"/>
      <c r="C175" s="6"/>
    </row>
    <row r="176" spans="2:3" ht="15" thickBot="1" x14ac:dyDescent="0.35">
      <c r="B176" s="4"/>
      <c r="C176" s="6"/>
    </row>
    <row r="177" spans="2:3" ht="15" thickBot="1" x14ac:dyDescent="0.35">
      <c r="B177" s="4"/>
      <c r="C177" s="6"/>
    </row>
    <row r="178" spans="2:3" ht="15" thickBot="1" x14ac:dyDescent="0.35">
      <c r="B178" s="4"/>
      <c r="C178" s="6"/>
    </row>
    <row r="179" spans="2:3" ht="15" thickBot="1" x14ac:dyDescent="0.35">
      <c r="B179" s="4"/>
      <c r="C179" s="6"/>
    </row>
    <row r="180" spans="2:3" ht="15" thickBot="1" x14ac:dyDescent="0.35">
      <c r="B180" s="4"/>
      <c r="C180" s="6"/>
    </row>
    <row r="181" spans="2:3" ht="15" thickBot="1" x14ac:dyDescent="0.35">
      <c r="B181" s="4"/>
      <c r="C181" s="6"/>
    </row>
    <row r="182" spans="2:3" ht="15" thickBot="1" x14ac:dyDescent="0.35">
      <c r="B182" s="4"/>
      <c r="C182" s="6"/>
    </row>
    <row r="183" spans="2:3" ht="15" thickBot="1" x14ac:dyDescent="0.35">
      <c r="B183" s="4"/>
      <c r="C183" s="6"/>
    </row>
    <row r="184" spans="2:3" ht="15" thickBot="1" x14ac:dyDescent="0.35">
      <c r="B184" s="4"/>
      <c r="C184" s="6"/>
    </row>
    <row r="185" spans="2:3" ht="15" thickBot="1" x14ac:dyDescent="0.35">
      <c r="B185" s="4"/>
      <c r="C185" s="6"/>
    </row>
    <row r="186" spans="2:3" ht="15" thickBot="1" x14ac:dyDescent="0.35">
      <c r="B186" s="4"/>
      <c r="C186" s="6"/>
    </row>
    <row r="187" spans="2:3" ht="15" thickBot="1" x14ac:dyDescent="0.35">
      <c r="B187" s="4"/>
      <c r="C187" s="6"/>
    </row>
    <row r="188" spans="2:3" ht="15" thickBot="1" x14ac:dyDescent="0.35">
      <c r="B188" s="4"/>
      <c r="C188" s="6"/>
    </row>
    <row r="189" spans="2:3" ht="15" thickBot="1" x14ac:dyDescent="0.35">
      <c r="B189" s="4"/>
      <c r="C189" s="6"/>
    </row>
    <row r="190" spans="2:3" ht="15" thickBot="1" x14ac:dyDescent="0.35">
      <c r="B190" s="4"/>
      <c r="C190" s="6"/>
    </row>
    <row r="191" spans="2:3" ht="15" thickBot="1" x14ac:dyDescent="0.35">
      <c r="B191" s="4"/>
      <c r="C191" s="6"/>
    </row>
    <row r="192" spans="2:3" ht="15" thickBot="1" x14ac:dyDescent="0.35">
      <c r="B192" s="4"/>
      <c r="C192" s="6"/>
    </row>
    <row r="193" spans="2:3" ht="15" thickBot="1" x14ac:dyDescent="0.35">
      <c r="B193" s="4"/>
      <c r="C193" s="6"/>
    </row>
    <row r="194" spans="2:3" ht="15" thickBot="1" x14ac:dyDescent="0.35">
      <c r="B194" s="4"/>
      <c r="C194" s="6"/>
    </row>
    <row r="195" spans="2:3" ht="15" thickBot="1" x14ac:dyDescent="0.35">
      <c r="B195" s="4"/>
      <c r="C195" s="6"/>
    </row>
    <row r="196" spans="2:3" ht="15" thickBot="1" x14ac:dyDescent="0.35">
      <c r="B196" s="4"/>
      <c r="C196" s="6"/>
    </row>
    <row r="197" spans="2:3" ht="15" thickBot="1" x14ac:dyDescent="0.35">
      <c r="B197" s="4"/>
      <c r="C197" s="6"/>
    </row>
    <row r="198" spans="2:3" ht="15" thickBot="1" x14ac:dyDescent="0.35">
      <c r="B198" s="4"/>
      <c r="C198" s="6"/>
    </row>
    <row r="199" spans="2:3" ht="15" thickBot="1" x14ac:dyDescent="0.35">
      <c r="B199" s="4"/>
      <c r="C199" s="6"/>
    </row>
    <row r="200" spans="2:3" ht="15" thickBot="1" x14ac:dyDescent="0.35">
      <c r="B200" s="4"/>
      <c r="C200" s="6"/>
    </row>
    <row r="201" spans="2:3" ht="15" thickBot="1" x14ac:dyDescent="0.35">
      <c r="B201" s="4"/>
      <c r="C201" s="6"/>
    </row>
    <row r="202" spans="2:3" ht="15" thickBot="1" x14ac:dyDescent="0.35">
      <c r="B202" s="4"/>
      <c r="C202" s="6"/>
    </row>
    <row r="203" spans="2:3" ht="15" thickBot="1" x14ac:dyDescent="0.35">
      <c r="B203" s="4"/>
      <c r="C203" s="6"/>
    </row>
    <row r="204" spans="2:3" ht="15" thickBot="1" x14ac:dyDescent="0.35">
      <c r="B204" s="4"/>
      <c r="C204" s="6"/>
    </row>
    <row r="205" spans="2:3" ht="15" thickBot="1" x14ac:dyDescent="0.35">
      <c r="B205" s="4"/>
      <c r="C205" s="6"/>
    </row>
    <row r="206" spans="2:3" ht="15" thickBot="1" x14ac:dyDescent="0.35">
      <c r="B206" s="4"/>
      <c r="C206" s="6"/>
    </row>
    <row r="207" spans="2:3" ht="15" thickBot="1" x14ac:dyDescent="0.35">
      <c r="B207" s="4"/>
      <c r="C207" s="6"/>
    </row>
    <row r="208" spans="2:3" ht="15" thickBot="1" x14ac:dyDescent="0.35">
      <c r="B208" s="4"/>
      <c r="C208" s="6"/>
    </row>
    <row r="209" spans="2:3" ht="15" thickBot="1" x14ac:dyDescent="0.35">
      <c r="B209" s="4"/>
      <c r="C209" s="6"/>
    </row>
    <row r="210" spans="2:3" ht="15" thickBot="1" x14ac:dyDescent="0.35">
      <c r="B210" s="4"/>
      <c r="C210" s="6"/>
    </row>
    <row r="211" spans="2:3" ht="15" thickBot="1" x14ac:dyDescent="0.35">
      <c r="B211" s="4"/>
      <c r="C211" s="6"/>
    </row>
    <row r="212" spans="2:3" ht="15" thickBot="1" x14ac:dyDescent="0.35">
      <c r="B212" s="4"/>
      <c r="C212" s="6"/>
    </row>
    <row r="213" spans="2:3" ht="15" thickBot="1" x14ac:dyDescent="0.35">
      <c r="B213" s="4"/>
      <c r="C213" s="6"/>
    </row>
    <row r="214" spans="2:3" ht="15" thickBot="1" x14ac:dyDescent="0.35">
      <c r="B214" s="4"/>
      <c r="C214" s="6"/>
    </row>
    <row r="215" spans="2:3" ht="15" thickBot="1" x14ac:dyDescent="0.35">
      <c r="B215" s="4"/>
      <c r="C215" s="6"/>
    </row>
    <row r="216" spans="2:3" ht="15" thickBot="1" x14ac:dyDescent="0.35">
      <c r="B216" s="4"/>
      <c r="C216" s="6"/>
    </row>
    <row r="217" spans="2:3" ht="15" thickBot="1" x14ac:dyDescent="0.35">
      <c r="B217" s="4"/>
      <c r="C217" s="6"/>
    </row>
    <row r="218" spans="2:3" ht="15" thickBot="1" x14ac:dyDescent="0.35">
      <c r="B218" s="4"/>
      <c r="C218" s="6"/>
    </row>
    <row r="219" spans="2:3" ht="15" thickBot="1" x14ac:dyDescent="0.35">
      <c r="B219" s="4"/>
      <c r="C219" s="6"/>
    </row>
    <row r="220" spans="2:3" ht="15" thickBot="1" x14ac:dyDescent="0.35">
      <c r="B220" s="4"/>
      <c r="C220" s="6"/>
    </row>
    <row r="221" spans="2:3" ht="15" thickBot="1" x14ac:dyDescent="0.35">
      <c r="B221" s="4"/>
      <c r="C221" s="6"/>
    </row>
    <row r="222" spans="2:3" ht="15" thickBot="1" x14ac:dyDescent="0.35">
      <c r="B222" s="4"/>
      <c r="C222" s="6"/>
    </row>
    <row r="223" spans="2:3" ht="15" thickBot="1" x14ac:dyDescent="0.35">
      <c r="B223" s="4"/>
      <c r="C223" s="6"/>
    </row>
    <row r="224" spans="2:3" ht="15" thickBot="1" x14ac:dyDescent="0.35">
      <c r="B224" s="4"/>
      <c r="C224" s="6"/>
    </row>
    <row r="225" spans="2:3" ht="15" thickBot="1" x14ac:dyDescent="0.35">
      <c r="B225" s="4"/>
      <c r="C225" s="6"/>
    </row>
    <row r="226" spans="2:3" ht="15" thickBot="1" x14ac:dyDescent="0.35">
      <c r="B226" s="4"/>
      <c r="C226" s="6"/>
    </row>
    <row r="227" spans="2:3" ht="15" thickBot="1" x14ac:dyDescent="0.35">
      <c r="B227" s="4"/>
      <c r="C227" s="6"/>
    </row>
    <row r="228" spans="2:3" ht="15" thickBot="1" x14ac:dyDescent="0.35">
      <c r="B228" s="4"/>
      <c r="C228" s="6"/>
    </row>
    <row r="229" spans="2:3" ht="15" thickBot="1" x14ac:dyDescent="0.35">
      <c r="B229" s="4"/>
      <c r="C229" s="6"/>
    </row>
    <row r="230" spans="2:3" ht="15" thickBot="1" x14ac:dyDescent="0.35">
      <c r="B230" s="4"/>
      <c r="C230" s="6"/>
    </row>
    <row r="231" spans="2:3" ht="15" thickBot="1" x14ac:dyDescent="0.35">
      <c r="B231" s="4"/>
      <c r="C231" s="6"/>
    </row>
    <row r="232" spans="2:3" ht="15" thickBot="1" x14ac:dyDescent="0.35">
      <c r="B232" s="4"/>
      <c r="C232" s="6"/>
    </row>
    <row r="233" spans="2:3" ht="15" thickBot="1" x14ac:dyDescent="0.35">
      <c r="B233" s="4"/>
      <c r="C233" s="6"/>
    </row>
    <row r="234" spans="2:3" ht="15" thickBot="1" x14ac:dyDescent="0.35">
      <c r="B234" s="4"/>
      <c r="C234" s="6"/>
    </row>
    <row r="235" spans="2:3" ht="15" thickBot="1" x14ac:dyDescent="0.35">
      <c r="B235" s="4"/>
      <c r="C235" s="6"/>
    </row>
    <row r="236" spans="2:3" ht="15" thickBot="1" x14ac:dyDescent="0.35">
      <c r="B236" s="4"/>
      <c r="C236" s="6"/>
    </row>
    <row r="237" spans="2:3" ht="15" thickBot="1" x14ac:dyDescent="0.35">
      <c r="B237" s="4"/>
      <c r="C237" s="6"/>
    </row>
    <row r="238" spans="2:3" ht="15" thickBot="1" x14ac:dyDescent="0.35">
      <c r="B238" s="4"/>
      <c r="C238" s="6"/>
    </row>
    <row r="239" spans="2:3" ht="15" thickBot="1" x14ac:dyDescent="0.35">
      <c r="B239" s="4"/>
      <c r="C239" s="6"/>
    </row>
    <row r="240" spans="2:3" ht="15" thickBot="1" x14ac:dyDescent="0.35">
      <c r="B240" s="4"/>
      <c r="C240" s="6"/>
    </row>
    <row r="241" spans="2:3" ht="15" thickBot="1" x14ac:dyDescent="0.35">
      <c r="B241" s="4"/>
      <c r="C241" s="6"/>
    </row>
    <row r="242" spans="2:3" ht="15" thickBot="1" x14ac:dyDescent="0.35">
      <c r="B242" s="4"/>
      <c r="C242" s="6"/>
    </row>
    <row r="243" spans="2:3" ht="15" thickBot="1" x14ac:dyDescent="0.35">
      <c r="B243" s="4"/>
      <c r="C243" s="6"/>
    </row>
    <row r="244" spans="2:3" ht="15" thickBot="1" x14ac:dyDescent="0.35">
      <c r="B244" s="4"/>
      <c r="C244" s="6"/>
    </row>
    <row r="245" spans="2:3" ht="15" thickBot="1" x14ac:dyDescent="0.35">
      <c r="B245" s="4"/>
      <c r="C245" s="6"/>
    </row>
    <row r="246" spans="2:3" ht="15" thickBot="1" x14ac:dyDescent="0.35">
      <c r="B246" s="4"/>
      <c r="C246" s="6"/>
    </row>
    <row r="247" spans="2:3" ht="15" thickBot="1" x14ac:dyDescent="0.35">
      <c r="B247" s="4"/>
      <c r="C247" s="6"/>
    </row>
    <row r="248" spans="2:3" ht="15" thickBot="1" x14ac:dyDescent="0.35">
      <c r="B248" s="4"/>
      <c r="C248" s="6"/>
    </row>
    <row r="249" spans="2:3" ht="15" thickBot="1" x14ac:dyDescent="0.35">
      <c r="B249" s="4"/>
      <c r="C249" s="6"/>
    </row>
    <row r="250" spans="2:3" ht="15" thickBot="1" x14ac:dyDescent="0.35">
      <c r="B250" s="4"/>
      <c r="C250" s="6"/>
    </row>
    <row r="251" spans="2:3" ht="15" thickBot="1" x14ac:dyDescent="0.35">
      <c r="B251" s="4"/>
      <c r="C251" s="6"/>
    </row>
  </sheetData>
  <scenarios current="1" show="1" sqref="L3">
    <scenario name="High Value" locked="1" count="5" user="Priya" comment="Created by Priya on 22-03-2026_x000a_Modified by Priya on 22-03-2026">
      <inputCells r="H15" val="7"/>
      <inputCells r="H16" val="8"/>
      <inputCells r="H17" val="9"/>
      <inputCells r="H18" val="8"/>
      <inputCells r="H19" val="9"/>
    </scenario>
    <scenario name="Low Value" locked="1" count="5" user="Priya" comment="Created by Priya on 22-03-2026_x000a_Modified by Priya on 22-03-2026">
      <inputCells r="H15" val="1"/>
      <inputCells r="H16" val="1"/>
      <inputCells r="H17" val="1"/>
      <inputCells r="H18" val="1"/>
      <inputCells r="H19" val="1"/>
    </scenario>
    <scenario name="Medium" locked="1" count="5" user="Priya" comment="Created by Priya on 22-03-2026_x000a_Modified by Priya on 22-03-2026">
      <inputCells r="H15" val="3"/>
      <inputCells r="H16" val="2"/>
      <inputCells r="H17" val="4"/>
      <inputCells r="H18" val="3"/>
      <inputCells r="H19" val="1"/>
    </scenario>
  </scenarios>
  <mergeCells count="4">
    <mergeCell ref="A2:D2"/>
    <mergeCell ref="F2:I2"/>
    <mergeCell ref="A12:D12"/>
    <mergeCell ref="F12:I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 </vt:lpstr>
      <vt:lpstr>Analysis Toolpak</vt:lpstr>
      <vt:lpstr>Pivot table</vt:lpstr>
      <vt:lpstr>Charts </vt:lpstr>
      <vt:lpstr>Dashboards</vt:lpstr>
      <vt:lpstr>Analysis</vt:lpstr>
      <vt:lpstr>- Data Storytelling</vt:lpstr>
      <vt:lpstr>WHAT-IF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priyasavaliya20@outlook.com</dc:creator>
  <cp:lastModifiedBy>priyasavaliya20@outlook.com</cp:lastModifiedBy>
  <dcterms:created xsi:type="dcterms:W3CDTF">2026-03-20T12:41:50Z</dcterms:created>
  <dcterms:modified xsi:type="dcterms:W3CDTF">2026-03-23T04:23:13Z</dcterms:modified>
</cp:coreProperties>
</file>